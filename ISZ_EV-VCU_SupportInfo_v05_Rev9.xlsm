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externalLinks/externalLink8.xml" ContentType="application/vnd.openxmlformats-officedocument.spreadsheetml.externalLink+xml"/>
  <Override PartName="/xl/externalLinks/externalLink9.xml" ContentType="application/vnd.openxmlformats-officedocument.spreadsheetml.externalLink+xml"/>
  <Override PartName="/xl/externalLinks/externalLink10.xml" ContentType="application/vnd.openxmlformats-officedocument.spreadsheetml.externalLink+xml"/>
  <Override PartName="/xl/externalLinks/externalLink11.xml" ContentType="application/vnd.openxmlformats-officedocument.spreadsheetml.externalLink+xml"/>
  <Override PartName="/xl/externalLinks/externalLink12.xml" ContentType="application/vnd.openxmlformats-officedocument.spreadsheetml.externalLink+xml"/>
  <Override PartName="/xl/externalLinks/externalLink13.xml" ContentType="application/vnd.openxmlformats-officedocument.spreadsheetml.externalLink+xml"/>
  <Override PartName="/xl/externalLinks/externalLink14.xml" ContentType="application/vnd.openxmlformats-officedocument.spreadsheetml.externalLink+xml"/>
  <Override PartName="/xl/externalLinks/externalLink15.xml" ContentType="application/vnd.openxmlformats-officedocument.spreadsheetml.externalLink+xml"/>
  <Override PartName="/xl/externalLinks/externalLink16.xml" ContentType="application/vnd.openxmlformats-officedocument.spreadsheetml.externalLink+xml"/>
  <Override PartName="/xl/externalLinks/externalLink17.xml" ContentType="application/vnd.openxmlformats-officedocument.spreadsheetml.externalLink+xml"/>
  <Override PartName="/xl/externalLinks/externalLink18.xml" ContentType="application/vnd.openxmlformats-officedocument.spreadsheetml.externalLink+xml"/>
  <Override PartName="/xl/externalLinks/externalLink19.xml" ContentType="application/vnd.openxmlformats-officedocument.spreadsheetml.externalLink+xml"/>
  <Override PartName="/xl/externalLinks/externalLink20.xml" ContentType="application/vnd.openxmlformats-officedocument.spreadsheetml.externalLink+xml"/>
  <Override PartName="/xl/externalLinks/externalLink21.xml" ContentType="application/vnd.openxmlformats-officedocument.spreadsheetml.externalLink+xml"/>
  <Override PartName="/xl/externalLinks/externalLink22.xml" ContentType="application/vnd.openxmlformats-officedocument.spreadsheetml.externalLink+xml"/>
  <Override PartName="/xl/externalLinks/externalLink23.xml" ContentType="application/vnd.openxmlformats-officedocument.spreadsheetml.externalLink+xml"/>
  <Override PartName="/xl/externalLinks/externalLink24.xml" ContentType="application/vnd.openxmlformats-officedocument.spreadsheetml.externalLink+xml"/>
  <Override PartName="/xl/externalLinks/externalLink25.xml" ContentType="application/vnd.openxmlformats-officedocument.spreadsheetml.externalLink+xml"/>
  <Override PartName="/xl/externalLinks/externalLink26.xml" ContentType="application/vnd.openxmlformats-officedocument.spreadsheetml.externalLink+xml"/>
  <Override PartName="/xl/externalLinks/externalLink27.xml" ContentType="application/vnd.openxmlformats-officedocument.spreadsheetml.externalLink+xml"/>
  <Override PartName="/xl/externalLinks/externalLink28.xml" ContentType="application/vnd.openxmlformats-officedocument.spreadsheetml.externalLink+xml"/>
  <Override PartName="/xl/externalLinks/externalLink29.xml" ContentType="application/vnd.openxmlformats-officedocument.spreadsheetml.externalLink+xml"/>
  <Override PartName="/xl/externalLinks/externalLink30.xml" ContentType="application/vnd.openxmlformats-officedocument.spreadsheetml.externalLink+xml"/>
  <Override PartName="/xl/externalLinks/externalLink31.xml" ContentType="application/vnd.openxmlformats-officedocument.spreadsheetml.externalLink+xml"/>
  <Override PartName="/xl/externalLinks/externalLink32.xml" ContentType="application/vnd.openxmlformats-officedocument.spreadsheetml.externalLink+xml"/>
  <Override PartName="/xl/externalLinks/externalLink33.xml" ContentType="application/vnd.openxmlformats-officedocument.spreadsheetml.externalLink+xml"/>
  <Override PartName="/xl/externalLinks/externalLink34.xml" ContentType="application/vnd.openxmlformats-officedocument.spreadsheetml.externalLink+xml"/>
  <Override PartName="/xl/externalLinks/externalLink35.xml" ContentType="application/vnd.openxmlformats-officedocument.spreadsheetml.externalLink+xml"/>
  <Override PartName="/xl/externalLinks/externalLink36.xml" ContentType="application/vnd.openxmlformats-officedocument.spreadsheetml.externalLink+xml"/>
  <Override PartName="/xl/externalLinks/externalLink37.xml" ContentType="application/vnd.openxmlformats-officedocument.spreadsheetml.externalLink+xml"/>
  <Override PartName="/xl/externalLinks/externalLink38.xml" ContentType="application/vnd.openxmlformats-officedocument.spreadsheetml.externalLink+xml"/>
  <Override PartName="/xl/externalLinks/externalLink39.xml" ContentType="application/vnd.openxmlformats-officedocument.spreadsheetml.externalLink+xml"/>
  <Override PartName="/xl/externalLinks/externalLink40.xml" ContentType="application/vnd.openxmlformats-officedocument.spreadsheetml.externalLink+xml"/>
  <Override PartName="/xl/externalLinks/externalLink41.xml" ContentType="application/vnd.openxmlformats-officedocument.spreadsheetml.externalLink+xml"/>
  <Override PartName="/xl/externalLinks/externalLink42.xml" ContentType="application/vnd.openxmlformats-officedocument.spreadsheetml.externalLink+xml"/>
  <Override PartName="/xl/externalLinks/externalLink43.xml" ContentType="application/vnd.openxmlformats-officedocument.spreadsheetml.externalLink+xml"/>
  <Override PartName="/xl/externalLinks/externalLink44.xml" ContentType="application/vnd.openxmlformats-officedocument.spreadsheetml.externalLink+xml"/>
  <Override PartName="/xl/externalLinks/externalLink45.xml" ContentType="application/vnd.openxmlformats-officedocument.spreadsheetml.externalLink+xml"/>
  <Override PartName="/xl/externalLinks/externalLink46.xml" ContentType="application/vnd.openxmlformats-officedocument.spreadsheetml.externalLink+xml"/>
  <Override PartName="/xl/externalLinks/externalLink47.xml" ContentType="application/vnd.openxmlformats-officedocument.spreadsheetml.externalLink+xml"/>
  <Override PartName="/xl/externalLinks/externalLink48.xml" ContentType="application/vnd.openxmlformats-officedocument.spreadsheetml.externalLink+xml"/>
  <Override PartName="/xl/externalLinks/externalLink49.xml" ContentType="application/vnd.openxmlformats-officedocument.spreadsheetml.externalLink+xml"/>
  <Override PartName="/xl/externalLinks/externalLink50.xml" ContentType="application/vnd.openxmlformats-officedocument.spreadsheetml.externalLink+xml"/>
  <Override PartName="/xl/externalLinks/externalLink51.xml" ContentType="application/vnd.openxmlformats-officedocument.spreadsheetml.externalLink+xml"/>
  <Override PartName="/xl/externalLinks/externalLink5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1.xml" ContentType="application/vnd.openxmlformats-officedocument.spreadsheetml.comments+xml"/>
  <Override PartName="/xl/threadedComments/threadedComment1.xml" ContentType="application/vnd.ms-excel.threadedcomments+xml"/>
  <Override PartName="/xl/drawings/drawing2.xml" ContentType="application/vnd.openxmlformats-officedocument.drawing+xml"/>
  <Override PartName="/xl/drawings/drawing3.xml" ContentType="application/vnd.openxmlformats-officedocument.drawing+xml"/>
  <Override PartName="/xl/ctrlProps/ctrlProp3.xml" ContentType="application/vnd.ms-excel.controlproperties+xml"/>
  <Override PartName="/xl/ctrlProps/ctrlProp4.xml" ContentType="application/vnd.ms-excel.controlproperties+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4326" codeName="{4D1C537B-E38A-612A-F078-A93A15B4B7F4}"/>
  <fileSharing readOnlyRecommended="1"/>
  <workbookPr showInkAnnotation="0" codeName="ThisWorkbook"/>
  <mc:AlternateContent xmlns:mc="http://schemas.openxmlformats.org/markup-compatibility/2006">
    <mc:Choice Requires="x15">
      <x15ac:absPath xmlns:x15ac="http://schemas.microsoft.com/office/spreadsheetml/2010/11/ac" url="C:\Users\hht2to\Downloads\"/>
    </mc:Choice>
  </mc:AlternateContent>
  <xr:revisionPtr revIDLastSave="0" documentId="13_ncr:1_{2A3D64E3-E716-48A3-A11D-3BF1A110D44C}" xr6:coauthVersionLast="47" xr6:coauthVersionMax="47" xr10:uidLastSave="{00000000-0000-0000-0000-000000000000}"/>
  <bookViews>
    <workbookView xWindow="228" yWindow="192" windowWidth="22248" windowHeight="11880" tabRatio="872" xr2:uid="{00000000-000D-0000-FFFF-FFFF00000000}"/>
  </bookViews>
  <sheets>
    <sheet name="Hist" sheetId="72" r:id="rId1"/>
    <sheet name="SID" sheetId="81" r:id="rId2"/>
    <sheet name="DID(RDBI)" sheetId="86" r:id="rId3"/>
    <sheet name="DID(WDBI)" sheetId="92" r:id="rId4"/>
    <sheet name="DID(CPS)" sheetId="89" r:id="rId5"/>
    <sheet name="RID" sheetId="84" r:id="rId6"/>
    <sheet name="DID(IOCBI)" sheetId="91" r:id="rId7"/>
    <sheet name="IOCBI(Layout)" sheetId="85" r:id="rId8"/>
    <sheet name="Note --&gt;" sheetId="93" r:id="rId9"/>
    <sheet name="IOCBI(NRC Matrix)" sheetId="94" r:id="rId10"/>
    <sheet name="RID$1500" sheetId="90" r:id="rId11"/>
    <sheet name="ATS" sheetId="95" r:id="rId12"/>
  </sheets>
  <externalReferences>
    <externalReference r:id="rId13"/>
    <externalReference r:id="rId14"/>
    <externalReference r:id="rId15"/>
    <externalReference r:id="rId16"/>
    <externalReference r:id="rId17"/>
    <externalReference r:id="rId18"/>
    <externalReference r:id="rId19"/>
    <externalReference r:id="rId20"/>
    <externalReference r:id="rId21"/>
    <externalReference r:id="rId22"/>
    <externalReference r:id="rId23"/>
    <externalReference r:id="rId24"/>
    <externalReference r:id="rId25"/>
    <externalReference r:id="rId26"/>
    <externalReference r:id="rId27"/>
    <externalReference r:id="rId28"/>
    <externalReference r:id="rId29"/>
    <externalReference r:id="rId30"/>
    <externalReference r:id="rId31"/>
    <externalReference r:id="rId32"/>
    <externalReference r:id="rId33"/>
    <externalReference r:id="rId34"/>
    <externalReference r:id="rId35"/>
    <externalReference r:id="rId36"/>
    <externalReference r:id="rId37"/>
    <externalReference r:id="rId38"/>
    <externalReference r:id="rId39"/>
    <externalReference r:id="rId40"/>
    <externalReference r:id="rId41"/>
    <externalReference r:id="rId42"/>
    <externalReference r:id="rId43"/>
    <externalReference r:id="rId44"/>
    <externalReference r:id="rId45"/>
    <externalReference r:id="rId46"/>
    <externalReference r:id="rId47"/>
    <externalReference r:id="rId48"/>
    <externalReference r:id="rId49"/>
    <externalReference r:id="rId50"/>
    <externalReference r:id="rId51"/>
    <externalReference r:id="rId52"/>
    <externalReference r:id="rId53"/>
    <externalReference r:id="rId54"/>
    <externalReference r:id="rId55"/>
    <externalReference r:id="rId56"/>
    <externalReference r:id="rId57"/>
    <externalReference r:id="rId58"/>
    <externalReference r:id="rId59"/>
    <externalReference r:id="rId60"/>
    <externalReference r:id="rId61"/>
    <externalReference r:id="rId62"/>
    <externalReference r:id="rId63"/>
    <externalReference r:id="rId64"/>
  </externalReferences>
  <definedNames>
    <definedName name="________dne１">[1]result!#REF!</definedName>
    <definedName name="________inj1">[2]result!#REF!</definedName>
    <definedName name="________inj2">[2]result!#REF!</definedName>
    <definedName name="________inj3">[2]result!#REF!</definedName>
    <definedName name="______DEL1">[3]総合B!$G$10:$I$13,[3]総合B!$G$15:$I$18,[3]総合B!$G$20:$I$22,[3]総合B!$G$25:$I$28,[3]総合B!$G$31:$I$32,[3]総合B!$G$34:$I$36,[3]総合B!$G$39:$I$40,[3]総合B!$G$43:$I$43,[3]総合B!$K$10:$M$13,[3]総合B!$K$15:$M$18,[3]総合B!$K$20:$M$22,[3]総合B!$K$25:$M$28,[3]総合B!$K$31:$M$32,[3]総合B!$K$34:$M$36,[3]総合B!$K$39:$M$40,[3]総合B!$K$43:$M$43</definedName>
    <definedName name="______DEL2">[3]総合B!$O$10:$Q$13,[3]総合B!$O$15:$Q$18,[3]総合B!$O$20:$Q$22,[3]総合B!$O$25:$Q$28,[3]総合B!$O$31:$Q$32,[3]総合B!$O$34:$Q$36,[3]総合B!$O$39:$Q$40,[3]総合B!$O$43:$Q$43,[3]総合B!$S$10:$U$13,[3]総合B!$S$15:$U$18,[3]総合B!$S$20:$U$22,[3]総合B!$S$25:$U$28,[3]総合B!$S$31:$U$32,[3]総合B!$S$34:$U$36,[3]総合B!$S$39:$U$40,[3]総合B!$S$43:$U$43</definedName>
    <definedName name="______DEL3">[3]総合B!$W$10:$Y$13,[3]総合B!$W$15:$Y$18,[3]総合B!$W$20:$Y$22,[3]総合B!$W$25:$Y$28,[3]総合B!$W$31:$Y$32,[3]総合B!$W$34:$Y$36,[3]総合B!$W$39:$Y$40,[3]総合B!$W$43:$Y$43,[3]総合B!$AA$10:$AC$13,[3]総合B!$AA$15:$AC$18,[3]総合B!$AA$20:$AC$22,[3]総合B!$AA$25:$AC$28,[3]総合B!$AA$31:$AC$32,[3]総合B!$AA$34:$AC$36,[3]総合B!$AA$39:$AC$40,[3]総合B!$AA$43:$AC$43</definedName>
    <definedName name="______DEL4">[3]総合B!$AE$10:$AG$13,[3]総合B!$AE$15:$AG$18,[3]総合B!$AE$20:$AG$22,[3]総合B!$AE$25:$AG$28,[3]総合B!$AE$31:$AG$32,[3]総合B!$AE$34:$AG$36,[3]総合B!$AE$39:$AG$40,[3]総合B!$AE$43:$AG$43,[3]総合B!#REF!,[3]総合B!#REF!,[3]総合B!#REF!,[3]総合B!#REF!,[3]総合B!#REF!,[3]総合B!#REF!,[3]総合B!#REF!,[3]総合B!#REF!</definedName>
    <definedName name="______dne１">[1]result!#REF!</definedName>
    <definedName name="______inj1">[2]result!#REF!</definedName>
    <definedName name="______inj2">[2]result!#REF!</definedName>
    <definedName name="______inj3">[2]result!#REF!</definedName>
    <definedName name="_____DEL1">[3]総合B!$G$10:$I$13,[3]総合B!$G$15:$I$18,[3]総合B!$G$20:$I$22,[3]総合B!$G$25:$I$28,[3]総合B!$G$31:$I$32,[3]総合B!$G$34:$I$36,[3]総合B!$G$39:$I$40,[3]総合B!$G$43:$I$43,[3]総合B!$K$10:$M$13,[3]総合B!$K$15:$M$18,[3]総合B!$K$20:$M$22,[3]総合B!$K$25:$M$28,[3]総合B!$K$31:$M$32,[3]総合B!$K$34:$M$36,[3]総合B!$K$39:$M$40,[3]総合B!$K$43:$M$43</definedName>
    <definedName name="_____DEL2">[3]総合B!$O$10:$Q$13,[3]総合B!$O$15:$Q$18,[3]総合B!$O$20:$Q$22,[3]総合B!$O$25:$Q$28,[3]総合B!$O$31:$Q$32,[3]総合B!$O$34:$Q$36,[3]総合B!$O$39:$Q$40,[3]総合B!$O$43:$Q$43,[3]総合B!$S$10:$U$13,[3]総合B!$S$15:$U$18,[3]総合B!$S$20:$U$22,[3]総合B!$S$25:$U$28,[3]総合B!$S$31:$U$32,[3]総合B!$S$34:$U$36,[3]総合B!$S$39:$U$40,[3]総合B!$S$43:$U$43</definedName>
    <definedName name="_____DEL3">[3]総合B!$W$10:$Y$13,[3]総合B!$W$15:$Y$18,[3]総合B!$W$20:$Y$22,[3]総合B!$W$25:$Y$28,[3]総合B!$W$31:$Y$32,[3]総合B!$W$34:$Y$36,[3]総合B!$W$39:$Y$40,[3]総合B!$W$43:$Y$43,[3]総合B!$AA$10:$AC$13,[3]総合B!$AA$15:$AC$18,[3]総合B!$AA$20:$AC$22,[3]総合B!$AA$25:$AC$28,[3]総合B!$AA$31:$AC$32,[3]総合B!$AA$34:$AC$36,[3]総合B!$AA$39:$AC$40,[3]総合B!$AA$43:$AC$43</definedName>
    <definedName name="_____DEL4">[3]総合B!$AE$10:$AG$13,[3]総合B!$AE$15:$AG$18,[3]総合B!$AE$20:$AG$22,[3]総合B!$AE$25:$AG$28,[3]総合B!$AE$31:$AG$32,[3]総合B!$AE$34:$AG$36,[3]総合B!$AE$39:$AG$40,[3]総合B!$AE$43:$AG$43,[3]総合B!#REF!,[3]総合B!#REF!,[3]総合B!#REF!,[3]総合B!#REF!,[3]総合B!#REF!,[3]総合B!#REF!,[3]総合B!#REF!,[3]総合B!#REF!</definedName>
    <definedName name="_____dne１">[1]result!#REF!</definedName>
    <definedName name="_____inj1">[2]result!#REF!</definedName>
    <definedName name="_____inj2">[2]result!#REF!</definedName>
    <definedName name="_____inj3">[2]result!#REF!</definedName>
    <definedName name="_____q1">#REF!</definedName>
    <definedName name="____A2">#REF!</definedName>
    <definedName name="____B1">#REF!</definedName>
    <definedName name="____DEL1">[3]総合B!$G$10:$I$13,[3]総合B!$G$15:$I$18,[3]総合B!$G$20:$I$22,[3]総合B!$G$25:$I$28,[3]総合B!$G$31:$I$32,[3]総合B!$G$34:$I$36,[3]総合B!$G$39:$I$40,[3]総合B!$G$43:$I$43,[3]総合B!$K$10:$M$13,[3]総合B!$K$15:$M$18,[3]総合B!$K$20:$M$22,[3]総合B!$K$25:$M$28,[3]総合B!$K$31:$M$32,[3]総合B!$K$34:$M$36,[3]総合B!$K$39:$M$40,[3]総合B!$K$43:$M$43</definedName>
    <definedName name="____DEL2">[3]総合B!$O$10:$Q$13,[3]総合B!$O$15:$Q$18,[3]総合B!$O$20:$Q$22,[3]総合B!$O$25:$Q$28,[3]総合B!$O$31:$Q$32,[3]総合B!$O$34:$Q$36,[3]総合B!$O$39:$Q$40,[3]総合B!$O$43:$Q$43,[3]総合B!$S$10:$U$13,[3]総合B!$S$15:$U$18,[3]総合B!$S$20:$U$22,[3]総合B!$S$25:$U$28,[3]総合B!$S$31:$U$32,[3]総合B!$S$34:$U$36,[3]総合B!$S$39:$U$40,[3]総合B!$S$43:$U$43</definedName>
    <definedName name="____DEL3">[3]総合B!$W$10:$Y$13,[3]総合B!$W$15:$Y$18,[3]総合B!$W$20:$Y$22,[3]総合B!$W$25:$Y$28,[3]総合B!$W$31:$Y$32,[3]総合B!$W$34:$Y$36,[3]総合B!$W$39:$Y$40,[3]総合B!$W$43:$Y$43,[3]総合B!$AA$10:$AC$13,[3]総合B!$AA$15:$AC$18,[3]総合B!$AA$20:$AC$22,[3]総合B!$AA$25:$AC$28,[3]総合B!$AA$31:$AC$32,[3]総合B!$AA$34:$AC$36,[3]総合B!$AA$39:$AC$40,[3]総合B!$AA$43:$AC$43</definedName>
    <definedName name="____DEL4">[4]総合B!$AE$10:$AG$13,[4]総合B!$AE$15:$AG$18,[4]総合B!$AE$20:$AG$22,[4]総合B!$AE$25:$AG$28,[4]総合B!$AE$31:$AG$32,[4]総合B!$AE$34:$AG$36,[4]総合B!$AE$39:$AG$40,[4]総合B!$AE$43:$AG$43,[4]総合B!#REF!,[4]総合B!#REF!,[4]総合B!#REF!,[4]総合B!#REF!,[4]総合B!#REF!,[4]総合B!#REF!,[4]総合B!#REF!,[4]総合B!#REF!</definedName>
    <definedName name="____dne１">[1]result!#REF!</definedName>
    <definedName name="____inj1">[2]result!#REF!</definedName>
    <definedName name="____inj2">[2]result!#REF!</definedName>
    <definedName name="____inj3">[2]result!#REF!</definedName>
    <definedName name="____q1">#REF!</definedName>
    <definedName name="___A2">#REF!</definedName>
    <definedName name="___B1">#REF!</definedName>
    <definedName name="___D315">[5]DataList!#REF!</definedName>
    <definedName name="___DEL1">[4]総合B!$G$10:$I$13,[4]総合B!$G$15:$I$18,[4]総合B!$G$20:$I$22,[4]総合B!$G$25:$I$28,[4]総合B!$G$31:$I$32,[4]総合B!$G$34:$I$36,[4]総合B!$G$39:$I$40,[4]総合B!$G$43:$I$43,[4]総合B!$K$10:$M$13,[4]総合B!$K$15:$M$18,[4]総合B!$K$20:$M$22,[4]総合B!$K$25:$M$28,[4]総合B!$K$31:$M$32,[4]総合B!$K$34:$M$36,[4]総合B!$K$39:$M$40,[4]総合B!$K$43:$M$43</definedName>
    <definedName name="___DEL2">[4]総合B!$O$10:$Q$13,[4]総合B!$O$15:$Q$18,[4]総合B!$O$20:$Q$22,[4]総合B!$O$25:$Q$28,[4]総合B!$O$31:$Q$32,[4]総合B!$O$34:$Q$36,[4]総合B!$O$39:$Q$40,[4]総合B!$O$43:$Q$43,[4]総合B!$S$10:$U$13,[4]総合B!$S$15:$U$18,[4]総合B!$S$20:$U$22,[4]総合B!$S$25:$U$28,[4]総合B!$S$31:$U$32,[4]総合B!$S$34:$U$36,[4]総合B!$S$39:$U$40,[4]総合B!$S$43:$U$43</definedName>
    <definedName name="___DEL3">[4]総合B!$W$10:$Y$13,[4]総合B!$W$15:$Y$18,[4]総合B!$W$20:$Y$22,[4]総合B!$W$25:$Y$28,[4]総合B!$W$31:$Y$32,[4]総合B!$W$34:$Y$36,[4]総合B!$W$39:$Y$40,[4]総合B!$W$43:$Y$43,[4]総合B!$AA$10:$AC$13,[4]総合B!$AA$15:$AC$18,[4]総合B!$AA$20:$AC$22,[4]総合B!$AA$25:$AC$28,[4]総合B!$AA$31:$AC$32,[4]総合B!$AA$34:$AC$36,[4]総合B!$AA$39:$AC$40,[4]総合B!$AA$43:$AC$43</definedName>
    <definedName name="___DEL4">[3]総合B!$AE$10:$AG$13,[3]総合B!$AE$15:$AG$18,[3]総合B!$AE$20:$AG$22,[3]総合B!$AE$25:$AG$28,[3]総合B!$AE$31:$AG$32,[3]総合B!$AE$34:$AG$36,[3]総合B!$AE$39:$AG$40,[3]総合B!$AE$43:$AG$43,[3]総合B!#REF!,[3]総合B!#REF!,[3]総合B!#REF!,[3]総合B!#REF!,[3]総合B!#REF!,[3]総合B!#REF!,[3]総合B!#REF!,[3]総合B!#REF!</definedName>
    <definedName name="___dne１">[1]result!#REF!</definedName>
    <definedName name="___inj1">[2]result!#REF!</definedName>
    <definedName name="___inj2">[2]result!#REF!</definedName>
    <definedName name="___inj3">[2]result!#REF!</definedName>
    <definedName name="___q1">#REF!</definedName>
    <definedName name="__123Graph_A" hidden="1">[6]LA4TIME!$D$5:$D$1376</definedName>
    <definedName name="__123Graph_A1_5ｻｲｸﾙ" hidden="1">[6]LA4TIME!$D$5:$D$509</definedName>
    <definedName name="__123Graph_A10ｻｲｸﾙ" hidden="1">[6]LA4TIME!$D$732:$D$770</definedName>
    <definedName name="__123Graph_A11ｻｲｸﾙ" hidden="1">[6]LA4TIME!$D$771:$D$961</definedName>
    <definedName name="__123Graph_A12ｻｲｸﾙ" hidden="1">[6]LA4TIME!$D$962:$D$1027</definedName>
    <definedName name="__123Graph_A13ｻｲｸﾙ" hidden="1">[6]LA4TIME!$D$1028:$D$1104</definedName>
    <definedName name="__123Graph_A14ｻｲｸﾙ" hidden="1">[6]LA4TIME!$D$1105:$D$1157</definedName>
    <definedName name="__123Graph_A15ｻｲｸﾙ" hidden="1">[6]LA4TIME!$D$1158:$D$1191</definedName>
    <definedName name="__123Graph_A16ｻｲｸﾙ" hidden="1">[6]LA4TIME!$D$1192:$D$1248</definedName>
    <definedName name="__123Graph_A17ｻｲｸﾙ" hidden="1">[6]LA4TIME!$D$1249:$D$1317</definedName>
    <definedName name="__123Graph_A18ｻｲｸﾙ" hidden="1">[6]LA4TIME!$D$1317:$D$1376</definedName>
    <definedName name="__123Graph_A1ｻｲｸﾙ" hidden="1">[6]LA4TIME!$D$5:$D$129</definedName>
    <definedName name="__123Graph_A2ｻｲｸﾙ" hidden="1">[6]LA4TIME!$D$130:$D$337</definedName>
    <definedName name="__123Graph_A3ｻｲｸﾙ" hidden="1">[6]LA4TIME!$D$338:$D$401</definedName>
    <definedName name="__123Graph_A4ｻｲｸﾙ" hidden="1">[6]LA4TIME!$D$402:$D$433</definedName>
    <definedName name="__123Graph_A5ｻｲｸﾙ" hidden="1">[6]LA4TIME!$D$434:$D$509</definedName>
    <definedName name="__123Graph_A6ｻｲｸﾙ" hidden="1">[6]LA4TIME!$D$510:$D$556</definedName>
    <definedName name="__123Graph_A7ｻｲｸﾙ" hidden="1">[6]LA4TIME!$D$557:$D$624</definedName>
    <definedName name="__123Graph_A8ｻｲｸﾙ" hidden="1">[6]LA4TIME!$D$625:$D$684</definedName>
    <definedName name="__123Graph_A9ｻｲｸﾙ" hidden="1">[6]LA4TIME!$D$685:$D$731</definedName>
    <definedName name="__123Graph_AB57" hidden="1">[7]班部番別!#REF!</definedName>
    <definedName name="__123Graph_AB57A" hidden="1">[7]班部番別!#REF!</definedName>
    <definedName name="__123Graph_AFULLｻｲｸﾙ" hidden="1">[6]LA4TIME!$D$5:$D$1376</definedName>
    <definedName name="__123Graph_AG00A" hidden="1">[7]班部番別!#REF!</definedName>
    <definedName name="__123Graph_AGOO" hidden="1">[7]班部番別!#REF!</definedName>
    <definedName name="__123Graph_ARR0" hidden="1">[7]班部番別!#REF!</definedName>
    <definedName name="__123Graph_ARR0A" hidden="1">[7]班部番別!#REF!</definedName>
    <definedName name="__123Graph_ART2" hidden="1">[7]班部番別!#REF!</definedName>
    <definedName name="__123Graph_ART2A" hidden="1">[7]班部番別!#REF!</definedName>
    <definedName name="__123Graph_AT23" hidden="1">[7]班部番別!#REF!</definedName>
    <definedName name="__123Graph_AT23A" hidden="1">[7]班部番別!#REF!</definedName>
    <definedName name="__123Graph_A高従比較" hidden="1">[6]VCCWT!#REF!</definedName>
    <definedName name="__123Graph_A状況" hidden="1">[8]ENG油洩れ!#REF!</definedName>
    <definedName name="__123Graph_A電圧入力" hidden="1">[6]VCCWT!#REF!</definedName>
    <definedName name="__123Graph_A入力電圧105" hidden="1">[6]VCCWT!#REF!</definedName>
    <definedName name="__123Graph_B" hidden="1">[6]VCCWT!#REF!</definedName>
    <definedName name="__123Graph_BB57" hidden="1">[7]班部番別!#REF!</definedName>
    <definedName name="__123Graph_BGOO" hidden="1">[7]班部番別!#REF!</definedName>
    <definedName name="__123Graph_BRR0" hidden="1">[7]班部番別!#REF!</definedName>
    <definedName name="__123Graph_BRT2" hidden="1">[7]班部番別!#REF!</definedName>
    <definedName name="__123Graph_BT23" hidden="1">[7]班部番別!#REF!</definedName>
    <definedName name="__123Graph_B高従比較" hidden="1">[6]VCCWT!#REF!</definedName>
    <definedName name="__123Graph_B電圧入力" hidden="1">[6]VCCWT!#REF!</definedName>
    <definedName name="__123Graph_B入力電圧105" hidden="1">[6]VCCWT!#REF!</definedName>
    <definedName name="__123Graph_C" hidden="1">[6]VCCWT!#REF!</definedName>
    <definedName name="__123Graph_CB57" hidden="1">[7]班部番別!#REF!</definedName>
    <definedName name="__123Graph_CGOO" hidden="1">[7]班部番別!#REF!</definedName>
    <definedName name="__123Graph_CRR0" hidden="1">[7]班部番別!#REF!</definedName>
    <definedName name="__123Graph_CRT2" hidden="1">[7]班部番別!#REF!</definedName>
    <definedName name="__123Graph_CT23" hidden="1">[7]班部番別!#REF!</definedName>
    <definedName name="__123Graph_C電圧入力" hidden="1">[6]VCCWT!#REF!</definedName>
    <definedName name="__123Graph_C入力電圧105" hidden="1">[6]VCCWT!#REF!</definedName>
    <definedName name="__123Graph_D" hidden="1">[7]班部番別!#REF!</definedName>
    <definedName name="__123Graph_DB57" hidden="1">[7]班部番別!#REF!</definedName>
    <definedName name="__123Graph_DGOO" hidden="1">[7]班部番別!#REF!</definedName>
    <definedName name="__123Graph_DRR0" hidden="1">[7]班部番別!#REF!</definedName>
    <definedName name="__123Graph_DRT2" hidden="1">[7]班部番別!#REF!</definedName>
    <definedName name="__123Graph_DT23" hidden="1">[7]班部番別!#REF!</definedName>
    <definedName name="__123Graph_E" hidden="1">[7]班部番別!#REF!</definedName>
    <definedName name="__123Graph_EB57" hidden="1">[7]班部番別!#REF!</definedName>
    <definedName name="__123Graph_EGOO" hidden="1">[7]班部番別!#REF!</definedName>
    <definedName name="__123Graph_ERR0" hidden="1">[7]班部番別!#REF!</definedName>
    <definedName name="__123Graph_ERT2" hidden="1">[7]班部番別!#REF!</definedName>
    <definedName name="__123Graph_ET23" hidden="1">[7]班部番別!#REF!</definedName>
    <definedName name="__123Graph_LBL_A" hidden="1">[7]班部番別!#REF!</definedName>
    <definedName name="__123Graph_LBL_AB57" hidden="1">[7]班部番別!#REF!</definedName>
    <definedName name="__123Graph_LBL_AB57A" hidden="1">[7]班部番別!#REF!</definedName>
    <definedName name="__123Graph_LBL_AG00A" hidden="1">[7]班部番別!#REF!</definedName>
    <definedName name="__123Graph_LBL_AGOO" hidden="1">[7]班部番別!#REF!</definedName>
    <definedName name="__123Graph_LBL_ARR0" hidden="1">[7]班部番別!#REF!</definedName>
    <definedName name="__123Graph_LBL_ARR0A" hidden="1">[7]班部番別!#REF!</definedName>
    <definedName name="__123Graph_LBL_ART2" hidden="1">[7]班部番別!#REF!</definedName>
    <definedName name="__123Graph_LBL_ART2A" hidden="1">[7]班部番別!#REF!</definedName>
    <definedName name="__123Graph_LBL_AT23" hidden="1">[7]班部番別!#REF!</definedName>
    <definedName name="__123Graph_LBL_AT23A" hidden="1">[7]班部番別!#REF!</definedName>
    <definedName name="__123Graph_LBL_B" hidden="1">[7]班部番別!#REF!</definedName>
    <definedName name="__123Graph_LBL_BB57" hidden="1">[7]班部番別!#REF!</definedName>
    <definedName name="__123Graph_LBL_BGOO" hidden="1">[7]班部番別!#REF!</definedName>
    <definedName name="__123Graph_LBL_BRR0" hidden="1">[7]班部番別!#REF!</definedName>
    <definedName name="__123Graph_LBL_BRT2" hidden="1">[7]班部番別!#REF!</definedName>
    <definedName name="__123Graph_LBL_BT23" hidden="1">[7]班部番別!#REF!</definedName>
    <definedName name="__123Graph_LBL_C" hidden="1">[7]班部番別!#REF!</definedName>
    <definedName name="__123Graph_LBL_CB57" hidden="1">[7]班部番別!#REF!</definedName>
    <definedName name="__123Graph_LBL_CGOO" hidden="1">[7]班部番別!#REF!</definedName>
    <definedName name="__123Graph_LBL_CRR0" hidden="1">[7]班部番別!#REF!</definedName>
    <definedName name="__123Graph_LBL_CRT2" hidden="1">[7]班部番別!#REF!</definedName>
    <definedName name="__123Graph_LBL_CT23" hidden="1">[7]班部番別!#REF!</definedName>
    <definedName name="__123Graph_LBL_D" hidden="1">[7]班部番別!#REF!</definedName>
    <definedName name="__123Graph_LBL_DB57" hidden="1">[7]班部番別!#REF!</definedName>
    <definedName name="__123Graph_LBL_DGOO" hidden="1">[7]班部番別!#REF!</definedName>
    <definedName name="__123Graph_LBL_DRR0" hidden="1">[7]班部番別!#REF!</definedName>
    <definedName name="__123Graph_LBL_DRT2" hidden="1">[7]班部番別!#REF!</definedName>
    <definedName name="__123Graph_LBL_DT23" hidden="1">[7]班部番別!#REF!</definedName>
    <definedName name="__123Graph_LBL_E" hidden="1">[7]班部番別!#REF!</definedName>
    <definedName name="__123Graph_LBL_EB57" hidden="1">[7]班部番別!#REF!</definedName>
    <definedName name="__123Graph_LBL_EGOO" hidden="1">[7]班部番別!#REF!</definedName>
    <definedName name="__123Graph_LBL_ERR0" hidden="1">[7]班部番別!#REF!</definedName>
    <definedName name="__123Graph_LBL_ERT2" hidden="1">[7]班部番別!#REF!</definedName>
    <definedName name="__123Graph_LBL_ET23" hidden="1">[7]班部番別!#REF!</definedName>
    <definedName name="__123Graph_X" hidden="1">[6]LA4TIME!$C$5:$C$1376</definedName>
    <definedName name="__123Graph_X1_5ｻｲｸﾙ" hidden="1">[6]LA4TIME!$C$5:$C$509</definedName>
    <definedName name="__123Graph_X10ｻｲｸﾙ" hidden="1">[6]LA4TIME!$C$732:$C$770</definedName>
    <definedName name="__123Graph_X11ｻｲｸﾙ" hidden="1">[6]LA4TIME!$C$771:$C$961</definedName>
    <definedName name="__123Graph_X12ｻｲｸﾙ" hidden="1">[6]LA4TIME!$C$962:$C$1027</definedName>
    <definedName name="__123Graph_X13ｻｲｸﾙ" hidden="1">[6]LA4TIME!$C$1028:$C$1104</definedName>
    <definedName name="__123Graph_X14ｻｲｸﾙ" hidden="1">[6]LA4TIME!$C$1105:$C$1157</definedName>
    <definedName name="__123Graph_X15ｻｲｸﾙ" hidden="1">[6]LA4TIME!$C$1158:$C$1191</definedName>
    <definedName name="__123Graph_X16ｻｲｸﾙ" hidden="1">[6]LA4TIME!$C$1192:$C$1248</definedName>
    <definedName name="__123Graph_X17ｻｲｸﾙ" hidden="1">[6]LA4TIME!$C$1249:$C$1317</definedName>
    <definedName name="__123Graph_X18ｻｲｸﾙ" hidden="1">[6]LA4TIME!$C$1317:$C$1376</definedName>
    <definedName name="__123Graph_X1ｻｲｸﾙ" hidden="1">[6]LA4TIME!$C$5:$C$129</definedName>
    <definedName name="__123Graph_X2ｻｲｸﾙ" hidden="1">[6]LA4TIME!$C$130:$C$337</definedName>
    <definedName name="__123Graph_X3ｻｲｸﾙ" hidden="1">[6]LA4TIME!$C$338:$C$401</definedName>
    <definedName name="__123Graph_X4ｻｲｸﾙ" hidden="1">[6]LA4TIME!$C$402:$C$433</definedName>
    <definedName name="__123Graph_X5ｻｲｸﾙ" hidden="1">[6]LA4TIME!$C$434:$C$509</definedName>
    <definedName name="__123Graph_X6ｻｲｸﾙ" hidden="1">[6]LA4TIME!$C$510:$C$556</definedName>
    <definedName name="__123Graph_X7ｻｲｸﾙ" hidden="1">[6]LA4TIME!$C$557:$C$624</definedName>
    <definedName name="__123Graph_X8ｻｲｸﾙ" hidden="1">[6]LA4TIME!$C$625:$C$684</definedName>
    <definedName name="__123Graph_X9ｻｲｸﾙ" hidden="1">[6]LA4TIME!$C$685:$C$731</definedName>
    <definedName name="__123Graph_XB57" hidden="1">[7]班部番別!#REF!</definedName>
    <definedName name="__123Graph_XB57A" hidden="1">[7]班部番別!#REF!</definedName>
    <definedName name="__123Graph_XFULLｻｲｸﾙ" hidden="1">[6]LA4TIME!$C$5:$C$1376</definedName>
    <definedName name="__123Graph_XG00A" hidden="1">[7]班部番別!#REF!</definedName>
    <definedName name="__123Graph_XGOO" hidden="1">[7]班部番別!#REF!</definedName>
    <definedName name="__123Graph_XRR0" hidden="1">[7]班部番別!#REF!</definedName>
    <definedName name="__123Graph_XRR0A" hidden="1">[7]班部番別!#REF!</definedName>
    <definedName name="__123Graph_XRT2" hidden="1">[7]班部番別!#REF!</definedName>
    <definedName name="__123Graph_XRT2A" hidden="1">[7]班部番別!#REF!</definedName>
    <definedName name="__123Graph_XT23" hidden="1">[7]班部番別!#REF!</definedName>
    <definedName name="__123Graph_XT23A" hidden="1">[7]班部番別!#REF!</definedName>
    <definedName name="__123Graph_X高従比較" hidden="1">[6]VCCWT!#REF!</definedName>
    <definedName name="__123Graph_X状況" hidden="1">[8]ENG油洩れ!#REF!</definedName>
    <definedName name="__1A2_">#REF!</definedName>
    <definedName name="__2B1_">#REF!</definedName>
    <definedName name="__A2">#REF!</definedName>
    <definedName name="__A3">#REF!</definedName>
    <definedName name="__B1">#REF!</definedName>
    <definedName name="__B4">#REF!</definedName>
    <definedName name="__D315">[5]DataList!#REF!</definedName>
    <definedName name="__DEL1">[9]総合B!$G$10:$I$13,[9]総合B!$G$15:$I$18,[9]総合B!$G$20:$I$22,[9]総合B!$G$25:$I$28,[9]総合B!$G$31:$I$32,[9]総合B!$G$34:$I$36,[9]総合B!$G$39:$I$40,[9]総合B!$G$43:$I$43,[9]総合B!$K$10:$M$13,[9]総合B!$K$15:$M$18,[9]総合B!$K$20:$M$22,[9]総合B!$K$25:$M$28,[9]総合B!$K$31:$M$32,[9]総合B!$K$34:$M$36,[9]総合B!$K$39:$M$40,[9]総合B!$K$43:$M$43</definedName>
    <definedName name="__DEL2">[9]総合B!$O$10:$Q$13,[9]総合B!$O$15:$Q$18,[9]総合B!$O$20:$Q$22,[9]総合B!$O$25:$Q$28,[9]総合B!$O$31:$Q$32,[9]総合B!$O$34:$Q$36,[9]総合B!$O$39:$Q$40,[9]総合B!$O$43:$Q$43,[9]総合B!$S$10:$U$13,[9]総合B!$S$15:$U$18,[9]総合B!$S$20:$U$22,[9]総合B!$S$25:$U$28,[9]総合B!$S$31:$U$32,[9]総合B!$S$34:$U$36,[9]総合B!$S$39:$U$40,[9]総合B!$S$43:$U$43</definedName>
    <definedName name="__DEL3">[9]総合B!$W$10:$Y$13,[9]総合B!$W$15:$Y$18,[9]総合B!$W$20:$Y$22,[9]総合B!$W$25:$Y$28,[9]総合B!$W$31:$Y$32,[9]総合B!$W$34:$Y$36,[9]総合B!$W$39:$Y$40,[9]総合B!$W$43:$Y$43,[9]総合B!$AA$10:$AC$13,[9]総合B!$AA$15:$AC$18,[9]総合B!$AA$20:$AC$22,[9]総合B!$AA$25:$AC$28,[9]総合B!$AA$31:$AC$32,[9]総合B!$AA$34:$AC$36,[9]総合B!$AA$39:$AC$40,[9]総合B!$AA$43:$AC$43</definedName>
    <definedName name="__DEL4">[9]総合B!$AE$10:$AG$13,[9]総合B!$AE$15:$AG$18,[9]総合B!$AE$20:$AG$22,[9]総合B!$AE$25:$AG$28,[9]総合B!$AE$31:$AG$32,[9]総合B!$AE$34:$AG$36,[9]総合B!$AE$39:$AG$40,[9]総合B!$AE$43:$AG$43,[9]総合B!#REF!,[9]総合B!#REF!,[9]総合B!#REF!,[9]総合B!#REF!,[9]総合B!#REF!,[9]総合B!#REF!,[9]総合B!#REF!,[9]総合B!#REF!</definedName>
    <definedName name="__dne１">[1]result!#REF!</definedName>
    <definedName name="__inj1">[2]result!#REF!</definedName>
    <definedName name="__inj2">[2]result!#REF!</definedName>
    <definedName name="__inj3">[2]result!#REF!</definedName>
    <definedName name="__q1">#REF!</definedName>
    <definedName name="_1">#N/A</definedName>
    <definedName name="_1._Zeile">#REF!</definedName>
    <definedName name="_1._一般要件">#REF!</definedName>
    <definedName name="_1.4.ECU_Supplier_Controlled__ID620_62F">#REF!</definedName>
    <definedName name="_1_0PRINT_AREA">'[6]76極'!#REF!</definedName>
    <definedName name="_1_10tﾏｸﾛ__2__.truck10t登録実績">[10]P1_cover!_1_10tﾏｸﾛ__2__.truck10t登録実績</definedName>
    <definedName name="_1_5">#N/A</definedName>
    <definedName name="_10__123Graph_Aｸﾞﾗﾌ_1" localSheetId="10" hidden="1">#REF!</definedName>
    <definedName name="_10__123Graph_Aｸﾞﾗﾌ_1" hidden="1">#REF!</definedName>
    <definedName name="_10_10tﾏｸﾛ__2__.truck10t登録実績">#N/A</definedName>
    <definedName name="_10_123Graph_A高従" localSheetId="10" hidden="1">[6]VCCWT!#REF!</definedName>
    <definedName name="_10_123Graph_A高従" hidden="1">[6]VCCWT!#REF!</definedName>
    <definedName name="_100UBSﾏｸﾛ__.truckUBS登録実績">#N/A</definedName>
    <definedName name="_101UBSﾏｸﾛ__.truckUBS登録実績">#N/A</definedName>
    <definedName name="_102UBSﾏｸﾛ__.truckUBS登録実績">[10]P1_cover!_102UBSﾏｸﾛ__.truckUBS登録実績</definedName>
    <definedName name="_103UBSﾏｸﾛ__.truckUBS登録実績">#N/A</definedName>
    <definedName name="_104B1_">#REF!</definedName>
    <definedName name="_104UBSﾏｸﾛ__.truckUBS登録実績">[10]!_104UBSﾏｸﾛ__.truckUBS登録実績</definedName>
    <definedName name="_105UBSﾏｸﾛ__.truckUBS登録実績">#N/A</definedName>
    <definedName name="_106UBSﾏｸﾛ__.truckUBS登録実績">'[11]P2_Revision '!_106UBSﾏｸﾛ__.truckUBS登録実績</definedName>
    <definedName name="_107UBSﾏｸﾛ__.truckUBS登録実績">#N/A</definedName>
    <definedName name="_108UBSﾏｸﾛ__.truckUBS登録実績">#N/A</definedName>
    <definedName name="_109UBSﾏｸﾛ__.truckUBS登録実績">[10]P1_cover!_109UBSﾏｸﾛ__.truckUBS登録実績</definedName>
    <definedName name="_11__123Graph_Aｸﾞﾗﾌ_3" hidden="1">[12]A!$C$68:$C$75</definedName>
    <definedName name="_11_10tﾏｸﾛ__2__.truck10t登録実績">[10]P1_cover!_11_10tﾏｸﾛ__2__.truck10t登録実績</definedName>
    <definedName name="_11_123Graph_A電圧" localSheetId="10" hidden="1">[6]VCCWT!#REF!</definedName>
    <definedName name="_11_123Graph_A電圧" hidden="1">[6]VCCWT!#REF!</definedName>
    <definedName name="_110UBSﾏｸﾛ__.truckUBS登録実績">[10]P1_cover!_110UBSﾏｸﾛ__.truckUBS登録実績</definedName>
    <definedName name="_111UBSﾏｸﾛ__.truckUBS登録実績">[10]P1_cover!_111UBSﾏｸﾛ__.truckUBS登録実績</definedName>
    <definedName name="_112UBSﾏｸﾛ__.truckUBS登録実績">[10]P1_cover!_112UBSﾏｸﾛ__.truckUBS登録実績</definedName>
    <definedName name="_113UBSﾏｸﾛ_2__.truckUBS登録実績">[10]P1_cover!_113UBSﾏｸﾛ_2__.truckUBS登録実績</definedName>
    <definedName name="_114UBSﾏｸﾛ_2__.truckUBS登録実績">#N/A</definedName>
    <definedName name="_115UBSﾏｸﾛ_2__.truckUBS登録実績">#N/A</definedName>
    <definedName name="_116UBSﾏｸﾛ_2__.truckUBS登録実績">[10]P1_cover!_116UBSﾏｸﾛ_2__.truckUBS登録実績</definedName>
    <definedName name="_117UBSﾏｸﾛ_2__.truckUBS登録実績">#N/A</definedName>
    <definedName name="_118UBSﾏｸﾛ_2__.truckUBS登録実績">[10]!_118UBSﾏｸﾛ_2__.truckUBS登録実績</definedName>
    <definedName name="_119UBSﾏｸﾛ_2__.truckUBS登録実績">#N/A</definedName>
    <definedName name="_12_10tﾏｸﾛ__2__.truck10t登録実績">[10]P1_cover!_12_10tﾏｸﾛ__2__.truck10t登録実績</definedName>
    <definedName name="_12_123Graph_A高従" localSheetId="4" hidden="1">[6]VCCWT!#REF!</definedName>
    <definedName name="_12_123Graph_A高従" localSheetId="10" hidden="1">[6]VCCWT!#REF!</definedName>
    <definedName name="_12_123Graph_A高従" hidden="1">[6]VCCWT!#REF!</definedName>
    <definedName name="_12_123Graph_A入力電圧" localSheetId="4" hidden="1">[6]VCCWT!#REF!</definedName>
    <definedName name="_12_123Graph_A入力電圧" localSheetId="10" hidden="1">[6]VCCWT!#REF!</definedName>
    <definedName name="_12_123Graph_A入力電圧" hidden="1">[6]VCCWT!#REF!</definedName>
    <definedName name="_120UBSﾏｸﾛ_2__.truckUBS登録実績">'[11]P2_Revision '!_120UBSﾏｸﾛ_2__.truckUBS登録実績</definedName>
    <definedName name="_121UBSﾏｸﾛ_2__.truckUBS登録実績">#N/A</definedName>
    <definedName name="_122UBSﾏｸﾛ_2__.truckUBS登録実績">#N/A</definedName>
    <definedName name="_123UBSﾏｸﾛ_2__.truckUBS登録実績">[10]P1_cover!_123UBSﾏｸﾛ_2__.truckUBS登録実績</definedName>
    <definedName name="_124UBSﾏｸﾛ_2__.truckUBS登録実績">[10]P1_cover!_124UBSﾏｸﾛ_2__.truckUBS登録実績</definedName>
    <definedName name="_125UBSﾏｸﾛ_2__.truckUBS登録実績">[10]P1_cover!_125UBSﾏｸﾛ_2__.truckUBS登録実績</definedName>
    <definedName name="_126UBSﾏｸﾛ_2__.truckUBS登録実績">[10]P1_cover!_126UBSﾏｸﾛ_2__.truckUBS登録実績</definedName>
    <definedName name="_127UCSﾏｸﾛ_2__.truckUCS登録実績">[10]P1_cover!_127UCSﾏｸﾛ_2__.truckUCS登録実績</definedName>
    <definedName name="_128UCSﾏｸﾛ_2__.truckUCS登録実績">#N/A</definedName>
    <definedName name="_129UCSﾏｸﾛ_2__.truckUCS登録実績">#N/A</definedName>
    <definedName name="_13__123Graph_Bｸﾞﾗﾌ_1" localSheetId="10" hidden="1">#REF!</definedName>
    <definedName name="_13__123Graph_Bｸﾞﾗﾌ_1" hidden="1">#REF!</definedName>
    <definedName name="_13_10tﾏｸﾛ__2__.truck10t登録実績">[10]P1_cover!_13_10tﾏｸﾛ__2__.truck10t登録実績</definedName>
    <definedName name="_13_123Graph_A電圧" localSheetId="10" hidden="1">[6]VCCWT!#REF!</definedName>
    <definedName name="_13_123Graph_A電圧" hidden="1">[6]VCCWT!#REF!</definedName>
    <definedName name="_130UCSﾏｸﾛ_2__.truckUCS登録実績">[10]P1_cover!_130UCSﾏｸﾛ_2__.truckUCS登録実績</definedName>
    <definedName name="_131UCSﾏｸﾛ_2__.truckUCS登録実績">#N/A</definedName>
    <definedName name="_132UCSﾏｸﾛ_2__.truckUCS登録実績">[10]!_132UCSﾏｸﾛ_2__.truckUCS登録実績</definedName>
    <definedName name="_133UCSﾏｸﾛ_2__.truckUCS登録実績">#N/A</definedName>
    <definedName name="_134UCSﾏｸﾛ_2__.truckUCS登録実績">'[11]P2_Revision '!_134UCSﾏｸﾛ_2__.truckUCS登録実績</definedName>
    <definedName name="_135UCSﾏｸﾛ_2__.truckUCS登録実績">#N/A</definedName>
    <definedName name="_136UCSﾏｸﾛ_2__.truckUCS登録実績">#N/A</definedName>
    <definedName name="_137UCSﾏｸﾛ_2__.truckUCS登録実績">[10]P1_cover!_137UCSﾏｸﾛ_2__.truckUCS登録実績</definedName>
    <definedName name="_138UCSﾏｸﾛ_2__.truckUCS登録実績">[10]P1_cover!_138UCSﾏｸﾛ_2__.truckUCS登録実績</definedName>
    <definedName name="_139UCSﾏｸﾛ_2__.truckUCS登録実績">[10]P1_cover!_139UCSﾏｸﾛ_2__.truckUCS登録実績</definedName>
    <definedName name="_14__123Graph_Bｸﾞﾗﾌ_3" hidden="1">[12]A!$D$68:$D$75</definedName>
    <definedName name="_14_10tﾏｸﾛ__2__.truck10t登録実績">[10]P1_cover!_14_10tﾏｸﾛ__2__.truck10t登録実績</definedName>
    <definedName name="_14_123Graph_A入力電圧" localSheetId="10" hidden="1">[6]VCCWT!#REF!</definedName>
    <definedName name="_14_123Graph_A入力電圧" hidden="1">[6]VCCWT!#REF!</definedName>
    <definedName name="_140UCSﾏｸﾛ_2__.truckUCS登録実績">[10]P1_cover!_140UCSﾏｸﾛ_2__.truckUCS登録実績</definedName>
    <definedName name="_141ﾄﾗｸﾀﾏｸﾛ__2__.TRACTOR登録実績">[10]P1_cover!_141ﾄﾗｸﾀﾏｸﾛ__2__.TRACTOR登録実績</definedName>
    <definedName name="_142ﾄﾗｸﾀﾏｸﾛ__2__.TRACTOR登録実績">#N/A</definedName>
    <definedName name="_143ﾄﾗｸﾀﾏｸﾛ__2__.TRACTOR登録実績">#N/A</definedName>
    <definedName name="_144ﾄﾗｸﾀﾏｸﾛ__2__.TRACTOR登録実績">[10]P1_cover!_144ﾄﾗｸﾀﾏｸﾛ__2__.TRACTOR登録実績</definedName>
    <definedName name="_145ﾄﾗｸﾀﾏｸﾛ__2__.TRACTOR登録実績">#N/A</definedName>
    <definedName name="_146ﾄﾗｸﾀﾏｸﾛ__2__.TRACTOR登録実績">[10]!_146ﾄﾗｸﾀﾏｸﾛ__2__.TRACTOR登録実績</definedName>
    <definedName name="_147ﾄﾗｸﾀﾏｸﾛ__2__.TRACTOR登録実績">#N/A</definedName>
    <definedName name="_148ﾄﾗｸﾀﾏｸﾛ__2__.TRACTOR登録実績">'[11]P2_Revision '!_148ﾄﾗｸﾀﾏｸﾛ__2__.TRACTOR登録実績</definedName>
    <definedName name="_149ﾄﾗｸﾀﾏｸﾛ__2__.TRACTOR登録実績">#N/A</definedName>
    <definedName name="_14B1_">#REF!</definedName>
    <definedName name="_15__123Graph_Bｸﾞﾗﾌ_1" localSheetId="10" hidden="1">#REF!</definedName>
    <definedName name="_15__123Graph_Bｸﾞﾗﾌ_1" hidden="1">#REF!</definedName>
    <definedName name="_15_123Graph_B高従" localSheetId="10" hidden="1">[6]VCCWT!#REF!</definedName>
    <definedName name="_15_123Graph_B高従" hidden="1">[6]VCCWT!#REF!</definedName>
    <definedName name="_15_12tﾏｸﾛ__2__.truck12T登録実績">[10]P1_cover!_15_12tﾏｸﾛ__2__.truck12T登録実績</definedName>
    <definedName name="_150ﾄﾗｸﾀﾏｸﾛ__2__.TRACTOR登録実績">#N/A</definedName>
    <definedName name="_151ﾄﾗｸﾀﾏｸﾛ__2__.TRACTOR登録実績">[10]P1_cover!_151ﾄﾗｸﾀﾏｸﾛ__2__.TRACTOR登録実績</definedName>
    <definedName name="_152ﾄﾗｸﾀﾏｸﾛ__2__.TRACTOR登録実績">[10]P1_cover!_152ﾄﾗｸﾀﾏｸﾛ__2__.TRACTOR登録実績</definedName>
    <definedName name="_153ﾄﾗｸﾀﾏｸﾛ__2__.TRACTOR登録実績">[10]P1_cover!_153ﾄﾗｸﾀﾏｸﾛ__2__.TRACTOR登録実績</definedName>
    <definedName name="_154ﾄﾗｸﾀﾏｸﾛ__2__.TRACTOR登録実績">[10]P1_cover!_154ﾄﾗｸﾀﾏｸﾛ__2__.TRACTOR登録実績</definedName>
    <definedName name="_155__123Graph_A????_3" localSheetId="4" hidden="1">#REF!</definedName>
    <definedName name="_155__123Graph_A????_3" localSheetId="10" hidden="1">#REF!</definedName>
    <definedName name="_155__123Graph_A????_3" hidden="1">#REF!</definedName>
    <definedName name="_158__123Graph_AV_CRANK" localSheetId="4" hidden="1">#REF!</definedName>
    <definedName name="_158__123Graph_AV_CRANK" localSheetId="10" hidden="1">#REF!</definedName>
    <definedName name="_158__123Graph_AV_CRANK" hidden="1">#REF!</definedName>
    <definedName name="_16__123Graph_Bｸﾞﾗﾌ_3" hidden="1">[12]A!$D$68:$D$75</definedName>
    <definedName name="_16_123Graph_B電圧" hidden="1">[6]VCCWT!#REF!</definedName>
    <definedName name="_16_12tﾏｸﾛ__2__.truck12T登録実績">#N/A</definedName>
    <definedName name="_161__123Graph_Aｸﾞﾗﾌ_1" localSheetId="10" hidden="1">#REF!</definedName>
    <definedName name="_161__123Graph_Aｸﾞﾗﾌ_1" hidden="1">#REF!</definedName>
    <definedName name="_164__123Graph_Aｸﾞﾗﾌ_2" localSheetId="10" hidden="1">#REF!</definedName>
    <definedName name="_164__123Graph_Aｸﾞﾗﾌ_2" hidden="1">#REF!</definedName>
    <definedName name="_17_123Graph_B高従" localSheetId="4" hidden="1">[6]VCCWT!#REF!</definedName>
    <definedName name="_17_123Graph_B高従" localSheetId="10" hidden="1">[6]VCCWT!#REF!</definedName>
    <definedName name="_17_123Graph_B高従" hidden="1">[6]VCCWT!#REF!</definedName>
    <definedName name="_17_123Graph_B入力電圧" localSheetId="4" hidden="1">[6]VCCWT!#REF!</definedName>
    <definedName name="_17_123Graph_B入力電圧" localSheetId="10" hidden="1">[6]VCCWT!#REF!</definedName>
    <definedName name="_17_123Graph_B入力電圧" hidden="1">[6]VCCWT!#REF!</definedName>
    <definedName name="_17_12tﾏｸﾛ__2__.truck12T登録実績">#N/A</definedName>
    <definedName name="_170__123Graph_Aｸﾞﾗﾌ_3" localSheetId="4" hidden="1">#REF!</definedName>
    <definedName name="_170__123Graph_Aｸﾞﾗﾌ_3" localSheetId="10" hidden="1">#REF!</definedName>
    <definedName name="_170__123Graph_Aｸﾞﾗﾌ_3" hidden="1">#REF!</definedName>
    <definedName name="_171__123Graph_B????_3" localSheetId="4" hidden="1">#REF!</definedName>
    <definedName name="_171__123Graph_B????_3" localSheetId="10" hidden="1">#REF!</definedName>
    <definedName name="_171__123Graph_B????_3" hidden="1">#REF!</definedName>
    <definedName name="_174__123Graph_BV_CRANK" localSheetId="10" hidden="1">#REF!</definedName>
    <definedName name="_174__123Graph_BV_CRANK" hidden="1">#REF!</definedName>
    <definedName name="_177__123Graph_Bｸﾞﾗﾌ_1" localSheetId="10" hidden="1">#REF!</definedName>
    <definedName name="_177__123Graph_Bｸﾞﾗﾌ_1" hidden="1">#REF!</definedName>
    <definedName name="_18_123Graph_B電圧" localSheetId="10" hidden="1">[6]VCCWT!#REF!</definedName>
    <definedName name="_18_123Graph_B電圧" hidden="1">[6]VCCWT!#REF!</definedName>
    <definedName name="_18_123Graph_C電圧" localSheetId="10" hidden="1">[6]VCCWT!#REF!</definedName>
    <definedName name="_18_123Graph_C電圧" hidden="1">[6]VCCWT!#REF!</definedName>
    <definedName name="_18_12tﾏｸﾛ__2__.truck12T登録実績">[10]P1_cover!_18_12tﾏｸﾛ__2__.truck12T登録実績</definedName>
    <definedName name="_180__123Graph_Bｸﾞﾗﾌ_2" localSheetId="4" hidden="1">#REF!</definedName>
    <definedName name="_180__123Graph_Bｸﾞﾗﾌ_2" localSheetId="10" hidden="1">#REF!</definedName>
    <definedName name="_180__123Graph_Bｸﾞﾗﾌ_2" hidden="1">#REF!</definedName>
    <definedName name="_186__123Graph_Bｸﾞﾗﾌ_3" localSheetId="4" hidden="1">#REF!</definedName>
    <definedName name="_186__123Graph_Bｸﾞﾗﾌ_3" localSheetId="10" hidden="1">#REF!</definedName>
    <definedName name="_186__123Graph_Bｸﾞﾗﾌ_3" hidden="1">#REF!</definedName>
    <definedName name="_187__123Graph_C????_3" localSheetId="4" hidden="1">#REF!</definedName>
    <definedName name="_187__123Graph_C????_3" localSheetId="10" hidden="1">#REF!</definedName>
    <definedName name="_187__123Graph_C????_3" hidden="1">#REF!</definedName>
    <definedName name="_19_123Graph_B入力電圧" localSheetId="4" hidden="1">[6]VCCWT!#REF!</definedName>
    <definedName name="_19_123Graph_B入力電圧" localSheetId="10" hidden="1">[6]VCCWT!#REF!</definedName>
    <definedName name="_19_123Graph_B入力電圧" hidden="1">[6]VCCWT!#REF!</definedName>
    <definedName name="_19_123Graph_C入力電圧" localSheetId="4" hidden="1">[6]VCCWT!#REF!</definedName>
    <definedName name="_19_123Graph_C入力電圧" localSheetId="10" hidden="1">[6]VCCWT!#REF!</definedName>
    <definedName name="_19_123Graph_C入力電圧" hidden="1">[6]VCCWT!#REF!</definedName>
    <definedName name="_19_12tﾏｸﾛ__2__.truck12T登録実績">#N/A</definedName>
    <definedName name="_190__123Graph_Cｸﾞﾗﾌ_1" localSheetId="4" hidden="1">#REF!</definedName>
    <definedName name="_190__123Graph_Cｸﾞﾗﾌ_1" localSheetId="10" hidden="1">#REF!</definedName>
    <definedName name="_190__123Graph_Cｸﾞﾗﾌ_1" hidden="1">#REF!</definedName>
    <definedName name="_193__123Graph_Cｸﾞﾗﾌ_2" localSheetId="4" hidden="1">#REF!</definedName>
    <definedName name="_193__123Graph_Cｸﾞﾗﾌ_2" localSheetId="10" hidden="1">#REF!</definedName>
    <definedName name="_193__123Graph_Cｸﾞﾗﾌ_2" hidden="1">#REF!</definedName>
    <definedName name="_199__123Graph_Cｸﾞﾗﾌ_3" localSheetId="4" hidden="1">#REF!</definedName>
    <definedName name="_199__123Graph_Cｸﾞﾗﾌ_3" localSheetId="10" hidden="1">#REF!</definedName>
    <definedName name="_199__123Graph_Cｸﾞﾗﾌ_3" hidden="1">#REF!</definedName>
    <definedName name="_1A2_">#REF!</definedName>
    <definedName name="_1段階">#N/A</definedName>
    <definedName name="_2">'[13]#REF'!#REF!</definedName>
    <definedName name="_2._Zeile">#REF!</definedName>
    <definedName name="_2_0PRINT_AREA">'[6]76極'!#REF!</definedName>
    <definedName name="_2_10tﾏｸﾛ__2__.truck10t登録実績">#N/A</definedName>
    <definedName name="_20__123Graph_Xｸﾞﾗﾌ_1" localSheetId="4" hidden="1">#REF!</definedName>
    <definedName name="_20__123Graph_Xｸﾞﾗﾌ_1" localSheetId="10" hidden="1">#REF!</definedName>
    <definedName name="_20__123Graph_Xｸﾞﾗﾌ_1" hidden="1">#REF!</definedName>
    <definedName name="_20_123Graph_C電圧" localSheetId="4" hidden="1">[6]VCCWT!#REF!</definedName>
    <definedName name="_20_123Graph_C電圧" localSheetId="10" hidden="1">[6]VCCWT!#REF!</definedName>
    <definedName name="_20_123Graph_C電圧" hidden="1">[6]VCCWT!#REF!</definedName>
    <definedName name="_20_12tﾏｸﾛ__2__.truck12T登録実績">[10]!_20_12tﾏｸﾛ__2__.truck12T登録実績</definedName>
    <definedName name="_200__123Graph_D????_3" localSheetId="4" hidden="1">#REF!</definedName>
    <definedName name="_200__123Graph_D????_3" localSheetId="10" hidden="1">#REF!</definedName>
    <definedName name="_200__123Graph_D????_3" hidden="1">#REF!</definedName>
    <definedName name="_203__123Graph_Dｸﾞﾗﾌ_1" localSheetId="4" hidden="1">#REF!</definedName>
    <definedName name="_203__123Graph_Dｸﾞﾗﾌ_1" localSheetId="10" hidden="1">#REF!</definedName>
    <definedName name="_203__123Graph_Dｸﾞﾗﾌ_1" hidden="1">#REF!</definedName>
    <definedName name="_206__123Graph_Dｸﾞﾗﾌ_2" localSheetId="4" hidden="1">#REF!</definedName>
    <definedName name="_206__123Graph_Dｸﾞﾗﾌ_2" localSheetId="10" hidden="1">#REF!</definedName>
    <definedName name="_206__123Graph_Dｸﾞﾗﾌ_2" hidden="1">#REF!</definedName>
    <definedName name="_21__123Graph_Xｸﾞﾗﾌ_3" hidden="1">[12]A!$B$68:$B$75</definedName>
    <definedName name="_21_123Graph_C入力電圧" hidden="1">[6]VCCWT!#REF!</definedName>
    <definedName name="_21_12tﾏｸﾛ__2__.truck12T登録実績">#N/A</definedName>
    <definedName name="_212__123Graph_Dｸﾞﾗﾌ_3" localSheetId="10" hidden="1">#REF!</definedName>
    <definedName name="_212__123Graph_Dｸﾞﾗﾌ_3" hidden="1">#REF!</definedName>
    <definedName name="_213__123Graph_E????_3" localSheetId="10" hidden="1">#REF!</definedName>
    <definedName name="_213__123Graph_E????_3" hidden="1">#REF!</definedName>
    <definedName name="_216__123Graph_Eｸﾞﾗﾌ_1" localSheetId="10" hidden="1">#REF!</definedName>
    <definedName name="_216__123Graph_Eｸﾞﾗﾌ_1" hidden="1">#REF!</definedName>
    <definedName name="_219__123Graph_Eｸﾞﾗﾌ_2" localSheetId="10" hidden="1">#REF!</definedName>
    <definedName name="_219__123Graph_Eｸﾞﾗﾌ_2" hidden="1">#REF!</definedName>
    <definedName name="_22__123Graph_Xｸﾞﾗﾌ_1" localSheetId="10" hidden="1">#REF!</definedName>
    <definedName name="_22__123Graph_Xｸﾞﾗﾌ_1" hidden="1">#REF!</definedName>
    <definedName name="_22_0__123Grap" localSheetId="10" hidden="1">[6]VCCWT!#REF!</definedName>
    <definedName name="_22_0__123Grap" hidden="1">[6]VCCWT!#REF!</definedName>
    <definedName name="_22_12tﾏｸﾛ__2__.truck12T登録実績">'[11]P2_Revision '!_22_12tﾏｸﾛ__2__.truck12T登録実績</definedName>
    <definedName name="_225__123Graph_Eｸﾞﾗﾌ_3" localSheetId="4" hidden="1">#REF!</definedName>
    <definedName name="_225__123Graph_Eｸﾞﾗﾌ_3" localSheetId="10" hidden="1">#REF!</definedName>
    <definedName name="_225__123Graph_Eｸﾞﾗﾌ_3" hidden="1">#REF!</definedName>
    <definedName name="_226__123Graph_F????_3" localSheetId="4" hidden="1">#REF!</definedName>
    <definedName name="_226__123Graph_F????_3" localSheetId="10" hidden="1">#REF!</definedName>
    <definedName name="_226__123Graph_F????_3" hidden="1">#REF!</definedName>
    <definedName name="_229__123Graph_Fｸﾞﾗﾌ_1" localSheetId="4" hidden="1">#REF!</definedName>
    <definedName name="_229__123Graph_Fｸﾞﾗﾌ_1" localSheetId="10" hidden="1">#REF!</definedName>
    <definedName name="_229__123Graph_Fｸﾞﾗﾌ_1" hidden="1">#REF!</definedName>
    <definedName name="_23__123Graph_Xｸﾞﾗﾌ_3" hidden="1">[12]A!$B$68:$B$75</definedName>
    <definedName name="_23_0__123Grap" hidden="1">[6]VCCWT!#REF!</definedName>
    <definedName name="_23_12tﾏｸﾛ__2__.truck12T登録実績">#N/A</definedName>
    <definedName name="_232__123Graph_Fｸﾞﾗﾌ_2" localSheetId="10" hidden="1">#REF!</definedName>
    <definedName name="_232__123Graph_Fｸﾞﾗﾌ_2" hidden="1">#REF!</definedName>
    <definedName name="_238__123Graph_Fｸﾞﾗﾌ_3" localSheetId="10" hidden="1">#REF!</definedName>
    <definedName name="_238__123Graph_Fｸﾞﾗﾌ_3" hidden="1">#REF!</definedName>
    <definedName name="_24_0__123Grap" localSheetId="10" hidden="1">[6]VCCWT!#REF!</definedName>
    <definedName name="_24_0__123Grap" hidden="1">[6]VCCWT!#REF!</definedName>
    <definedName name="_24_12tﾏｸﾛ__2__.truck12T登録実績">#N/A</definedName>
    <definedName name="_241__123Graph_LBL_AV_CRANK" localSheetId="10" hidden="1">#REF!</definedName>
    <definedName name="_241__123Graph_LBL_AV_CRANK" hidden="1">#REF!</definedName>
    <definedName name="_244__123Graph_LBL_Aｸﾞﾗﾌ_1" localSheetId="10" hidden="1">#REF!</definedName>
    <definedName name="_244__123Graph_LBL_Aｸﾞﾗﾌ_1" hidden="1">#REF!</definedName>
    <definedName name="_247__123Graph_LBL_BV_CRANK" localSheetId="10" hidden="1">#REF!</definedName>
    <definedName name="_247__123Graph_LBL_BV_CRANK" hidden="1">#REF!</definedName>
    <definedName name="_25_0__123Grap" localSheetId="10" hidden="1">[6]VCCWT!#REF!</definedName>
    <definedName name="_25_0__123Grap" hidden="1">[6]VCCWT!#REF!</definedName>
    <definedName name="_25_0__123Graph_A高従" localSheetId="10" hidden="1">[6]VCCWT!#REF!</definedName>
    <definedName name="_25_0__123Graph_A高従" hidden="1">[6]VCCWT!#REF!</definedName>
    <definedName name="_25_12tﾏｸﾛ__2__.truck12T登録実績">[10]P1_cover!_25_12tﾏｸﾛ__2__.truck12T登録実績</definedName>
    <definedName name="_250__123Graph_LBL_Bｸﾞﾗﾌ_1" localSheetId="4" hidden="1">#REF!</definedName>
    <definedName name="_250__123Graph_LBL_Bｸﾞﾗﾌ_1" localSheetId="10" hidden="1">#REF!</definedName>
    <definedName name="_250__123Graph_LBL_Bｸﾞﾗﾌ_1" hidden="1">#REF!</definedName>
    <definedName name="_253__123Graph_LBL_Cｸﾞﾗﾌ_1" localSheetId="4" hidden="1">#REF!</definedName>
    <definedName name="_253__123Graph_LBL_Cｸﾞﾗﾌ_1" localSheetId="10" hidden="1">#REF!</definedName>
    <definedName name="_253__123Graph_LBL_Cｸﾞﾗﾌ_1" hidden="1">#REF!</definedName>
    <definedName name="_256__123Graph_LBL_Dｸﾞﾗﾌ_1" localSheetId="4" hidden="1">#REF!</definedName>
    <definedName name="_256__123Graph_LBL_Dｸﾞﾗﾌ_1" localSheetId="10" hidden="1">#REF!</definedName>
    <definedName name="_256__123Graph_LBL_Dｸﾞﾗﾌ_1" hidden="1">#REF!</definedName>
    <definedName name="_259__123Graph_LBL_Eｸﾞﾗﾌ_1" localSheetId="10" hidden="1">#REF!</definedName>
    <definedName name="_259__123Graph_LBL_Eｸﾞﾗﾌ_1" hidden="1">#REF!</definedName>
    <definedName name="_26_0__123Graph_A電圧" localSheetId="10" hidden="1">[6]VCCWT!#REF!</definedName>
    <definedName name="_26_0__123Graph_A電圧" hidden="1">[6]VCCWT!#REF!</definedName>
    <definedName name="_26_12tﾏｸﾛ__2__.truck12T登録実績">[10]P1_cover!_26_12tﾏｸﾛ__2__.truck12T登録実績</definedName>
    <definedName name="_262__123Graph_LBL_Fｸﾞﾗﾌ_1" localSheetId="4" hidden="1">#REF!</definedName>
    <definedName name="_262__123Graph_LBL_Fｸﾞﾗﾌ_1" localSheetId="10" hidden="1">#REF!</definedName>
    <definedName name="_262__123Graph_LBL_Fｸﾞﾗﾌ_1" hidden="1">#REF!</definedName>
    <definedName name="_265__123Graph_LBL_Fｸﾞﾗﾌ_2" localSheetId="4" hidden="1">#REF!</definedName>
    <definedName name="_265__123Graph_LBL_Fｸﾞﾗﾌ_2" localSheetId="10" hidden="1">#REF!</definedName>
    <definedName name="_265__123Graph_LBL_Fｸﾞﾗﾌ_2" hidden="1">#REF!</definedName>
    <definedName name="_268__123Graph_XV_CRANK" localSheetId="4" hidden="1">#REF!</definedName>
    <definedName name="_268__123Graph_XV_CRANK" localSheetId="10" hidden="1">#REF!</definedName>
    <definedName name="_268__123Graph_XV_CRANK" hidden="1">#REF!</definedName>
    <definedName name="_27_0__123Grap" localSheetId="4" hidden="1">[6]VCCWT!#REF!</definedName>
    <definedName name="_27_0__123Grap" localSheetId="10" hidden="1">[6]VCCWT!#REF!</definedName>
    <definedName name="_27_0__123Grap" hidden="1">[6]VCCWT!#REF!</definedName>
    <definedName name="_27_0__123Graph_A入力電圧" localSheetId="4" hidden="1">[6]VCCWT!#REF!</definedName>
    <definedName name="_27_0__123Graph_A入力電圧" localSheetId="10" hidden="1">[6]VCCWT!#REF!</definedName>
    <definedName name="_27_0__123Graph_A入力電圧" hidden="1">[6]VCCWT!#REF!</definedName>
    <definedName name="_27_12tﾏｸﾛ__2__.truck12T登録実績">[10]P1_cover!_27_12tﾏｸﾛ__2__.truck12T登録実績</definedName>
    <definedName name="_271__123Graph_Xｸﾞﾗﾌ_1" localSheetId="4" hidden="1">#REF!</definedName>
    <definedName name="_271__123Graph_Xｸﾞﾗﾌ_1" localSheetId="10" hidden="1">#REF!</definedName>
    <definedName name="_271__123Graph_Xｸﾞﾗﾌ_1" hidden="1">#REF!</definedName>
    <definedName name="_274__123Graph_Xｸﾞﾗﾌ_2" localSheetId="4" hidden="1">#REF!</definedName>
    <definedName name="_274__123Graph_Xｸﾞﾗﾌ_2" localSheetId="10" hidden="1">#REF!</definedName>
    <definedName name="_274__123Graph_Xｸﾞﾗﾌ_2" hidden="1">#REF!</definedName>
    <definedName name="_28_0__123Graph_B高従" localSheetId="4" hidden="1">[6]VCCWT!#REF!</definedName>
    <definedName name="_28_0__123Graph_B高従" localSheetId="10" hidden="1">[6]VCCWT!#REF!</definedName>
    <definedName name="_28_0__123Graph_B高従" hidden="1">[6]VCCWT!#REF!</definedName>
    <definedName name="_28_12tﾏｸﾛ__2__.truck12T登録実績">[10]P1_cover!_28_12tﾏｸﾛ__2__.truck12T登録実績</definedName>
    <definedName name="_29_0__123Grap" localSheetId="10" hidden="1">[6]VCCWT!#REF!</definedName>
    <definedName name="_29_0__123Grap" hidden="1">[6]VCCWT!#REF!</definedName>
    <definedName name="_29_0__123Graph_B電圧" localSheetId="10" hidden="1">[6]VCCWT!#REF!</definedName>
    <definedName name="_29_0__123Graph_B電圧" hidden="1">[6]VCCWT!#REF!</definedName>
    <definedName name="_29_4tﾏｸﾛ__2__.truck4t登録実績">[10]P1_cover!_29_4tﾏｸﾛ__2__.truck4t登録実績</definedName>
    <definedName name="_2A2_">#REF!</definedName>
    <definedName name="_2B1_">#REF!</definedName>
    <definedName name="_2PRINT_AREA">'[6]76極'!#REF!</definedName>
    <definedName name="_3">'[13]#REF'!#REF!</definedName>
    <definedName name="_3._Zeile">#REF!</definedName>
    <definedName name="_3_10tﾏｸﾛ__2__.truck10t登録実績">#N/A</definedName>
    <definedName name="_3_123Graph_X高従" localSheetId="4" hidden="1">[6]VCCWT!#REF!</definedName>
    <definedName name="_3_123Graph_X高従" localSheetId="10" hidden="1">[6]VCCWT!#REF!</definedName>
    <definedName name="_3_123Graph_X高従" hidden="1">[6]VCCWT!#REF!</definedName>
    <definedName name="_30_0__123Graph_B入力電圧" localSheetId="4" hidden="1">[6]VCCWT!#REF!</definedName>
    <definedName name="_30_0__123Graph_B入力電圧" localSheetId="10" hidden="1">[6]VCCWT!#REF!</definedName>
    <definedName name="_30_0__123Graph_B入力電圧" hidden="1">[6]VCCWT!#REF!</definedName>
    <definedName name="_30_4tﾏｸﾛ__2__.truck4t登録実績">#N/A</definedName>
    <definedName name="_31_0__123Graph_A高従" localSheetId="4" hidden="1">[6]VCCWT!#REF!</definedName>
    <definedName name="_31_0__123Graph_A高従" localSheetId="10" hidden="1">[6]VCCWT!#REF!</definedName>
    <definedName name="_31_0__123Graph_A高従" hidden="1">[6]VCCWT!#REF!</definedName>
    <definedName name="_31_0__123Graph_C電圧" localSheetId="4" hidden="1">[6]VCCWT!#REF!</definedName>
    <definedName name="_31_0__123Graph_C電圧" localSheetId="10" hidden="1">[6]VCCWT!#REF!</definedName>
    <definedName name="_31_0__123Graph_C電圧" hidden="1">[6]VCCWT!#REF!</definedName>
    <definedName name="_31_4tﾏｸﾛ__2__.truck4t登録実績">#N/A</definedName>
    <definedName name="_32_0__123Graph_C入力電圧" localSheetId="4" hidden="1">[6]VCCWT!#REF!</definedName>
    <definedName name="_32_0__123Graph_C入力電圧" localSheetId="10" hidden="1">[6]VCCWT!#REF!</definedName>
    <definedName name="_32_0__123Graph_C入力電圧" hidden="1">[6]VCCWT!#REF!</definedName>
    <definedName name="_32_4tﾏｸﾛ__2__.truck4t登録実績">[10]P1_cover!_32_4tﾏｸﾛ__2__.truck4t登録実績</definedName>
    <definedName name="_33_0__123Graph_A電圧" localSheetId="10" hidden="1">[6]VCCWT!#REF!</definedName>
    <definedName name="_33_0__123Graph_A電圧" hidden="1">[6]VCCWT!#REF!</definedName>
    <definedName name="_33_4tﾏｸﾛ__2__.truck4t登録実績">#N/A</definedName>
    <definedName name="_33A2_">#REF!</definedName>
    <definedName name="_33q1_">#REF!</definedName>
    <definedName name="_34_4tﾏｸﾛ__2__.truck4t登録実績">[10]!_34_4tﾏｸﾛ__2__.truck4t登録実績</definedName>
    <definedName name="_34A3_">#REF!</definedName>
    <definedName name="_35_0__123Graph_A入力電圧" localSheetId="4" hidden="1">[6]VCCWT!#REF!</definedName>
    <definedName name="_35_0__123Graph_A入力電圧" localSheetId="10" hidden="1">[6]VCCWT!#REF!</definedName>
    <definedName name="_35_0__123Graph_A入力電圧" hidden="1">[6]VCCWT!#REF!</definedName>
    <definedName name="_35_4tﾏｸﾛ__2__.truck4t登録実績">#N/A</definedName>
    <definedName name="_35B1_">#REF!</definedName>
    <definedName name="_36_4tﾏｸﾛ__2__.truck4t登録実績">'[11]P2_Revision '!_36_4tﾏｸﾛ__2__.truck4t登録実績</definedName>
    <definedName name="_36B4_">#REF!</definedName>
    <definedName name="_37_0__123Graph_B高従" localSheetId="4" hidden="1">[6]VCCWT!#REF!</definedName>
    <definedName name="_37_0__123Graph_B高従" localSheetId="10" hidden="1">[6]VCCWT!#REF!</definedName>
    <definedName name="_37_0__123Graph_B高従" hidden="1">[6]VCCWT!#REF!</definedName>
    <definedName name="_37_4tﾏｸﾛ__2__.truck4t登録実績">#N/A</definedName>
    <definedName name="_37q1_">#REF!</definedName>
    <definedName name="_38_4tﾏｸﾛ__2__.truck4t登録実績">#N/A</definedName>
    <definedName name="_39_0__123Graph_B電圧" localSheetId="4" hidden="1">[6]VCCWT!#REF!</definedName>
    <definedName name="_39_0__123Graph_B電圧" localSheetId="10" hidden="1">[6]VCCWT!#REF!</definedName>
    <definedName name="_39_0__123Graph_B電圧" hidden="1">[6]VCCWT!#REF!</definedName>
    <definedName name="_39_4tﾏｸﾛ__2__.truck4t登録実績">[10]P1_cover!_39_4tﾏｸﾛ__2__.truck4t登録実績</definedName>
    <definedName name="_3A2_">#REF!</definedName>
    <definedName name="_3ei1_" localSheetId="4" hidden="1">{#N/A,#N/A,TRUE,"RIDE";#N/A,#N/A,TRUE,"STEERING";#N/A,#N/A,TRUE,"HANDLING";#N/A,#N/A,TRUE,"BRAKING"}</definedName>
    <definedName name="_3ei1_" localSheetId="10" hidden="1">{#N/A,#N/A,TRUE,"RIDE";#N/A,#N/A,TRUE,"STEERING";#N/A,#N/A,TRUE,"HANDLING";#N/A,#N/A,TRUE,"BRAKING"}</definedName>
    <definedName name="_3ei1_" hidden="1">{#N/A,#N/A,TRUE,"RIDE";#N/A,#N/A,TRUE,"STEERING";#N/A,#N/A,TRUE,"HANDLING";#N/A,#N/A,TRUE,"BRAKING"}</definedName>
    <definedName name="_3PRINT_AREA">'[6]76極'!#REF!</definedName>
    <definedName name="_4">#N/A</definedName>
    <definedName name="_4_0__123Graph_X高従" hidden="1">[6]VCCWT!#REF!</definedName>
    <definedName name="_4_10tﾏｸﾛ__2__.truck10t登録実績">[10]P1_cover!_4_10tﾏｸﾛ__2__.truck10t登録実績</definedName>
    <definedName name="_4_123Graph_X高従" localSheetId="10" hidden="1">[6]VCCWT!#REF!</definedName>
    <definedName name="_4_123Graph_X高従" hidden="1">[6]VCCWT!#REF!</definedName>
    <definedName name="_40_4tﾏｸﾛ__2__.truck4t登録実績">[10]P1_cover!_40_4tﾏｸﾛ__2__.truck4t登録実績</definedName>
    <definedName name="_41_0__123Graph_B入力電圧" localSheetId="10" hidden="1">[6]VCCWT!#REF!</definedName>
    <definedName name="_41_0__123Graph_B入力電圧" hidden="1">[6]VCCWT!#REF!</definedName>
    <definedName name="_41_4tﾏｸﾛ__2__.truck4t登録実績">[10]P1_cover!_41_4tﾏｸﾛ__2__.truck4t登録実績</definedName>
    <definedName name="_42_4tﾏｸﾛ__2__.truck4t登録実績">[10]P1_cover!_42_4tﾏｸﾛ__2__.truck4t登録実績</definedName>
    <definedName name="_43_0__123Graph_C電圧" localSheetId="10" hidden="1">[6]VCCWT!#REF!</definedName>
    <definedName name="_43_0__123Graph_C電圧" hidden="1">[6]VCCWT!#REF!</definedName>
    <definedName name="_43_6tﾏｸﾛ__2__.truck6t登録実績">[10]P1_cover!_43_6tﾏｸﾛ__2__.truck6t登録実績</definedName>
    <definedName name="_44_6tﾏｸﾛ__2__.truck6t登録実績">#N/A</definedName>
    <definedName name="_45_0__123Graph_C入力電圧" localSheetId="10" hidden="1">[6]VCCWT!#REF!</definedName>
    <definedName name="_45_0__123Graph_C入力電圧" hidden="1">[6]VCCWT!#REF!</definedName>
    <definedName name="_45_6tﾏｸﾛ__2__.truck6t登録実績">#N/A</definedName>
    <definedName name="_46_6tﾏｸﾛ__2__.truck6t登録実績">[10]P1_cover!_46_6tﾏｸﾛ__2__.truck6t登録実績</definedName>
    <definedName name="_46q1_">#REF!</definedName>
    <definedName name="_47_6tﾏｸﾛ__2__.truck6t登録実績">#N/A</definedName>
    <definedName name="_48_6tﾏｸﾛ__2__.truck6t登録実績">[10]!_48_6tﾏｸﾛ__2__.truck6t登録実績</definedName>
    <definedName name="_49_6tﾏｸﾛ__2__.truck6t登録実績">#N/A</definedName>
    <definedName name="_4B1_">#REF!</definedName>
    <definedName name="_5">#N/A</definedName>
    <definedName name="_5_10tﾏｸﾛ__2__.truck10t登録実績">#N/A</definedName>
    <definedName name="_5_123Grap" localSheetId="10" hidden="1">[6]VCCWT!#REF!</definedName>
    <definedName name="_5_123Grap" hidden="1">[6]VCCWT!#REF!</definedName>
    <definedName name="_50_6tﾏｸﾛ__2__.truck6t登録実績">'[11]P2_Revision '!_50_6tﾏｸﾛ__2__.truck6t登録実績</definedName>
    <definedName name="_51_6tﾏｸﾛ__2__.truck6t登録実績">#N/A</definedName>
    <definedName name="_52_6tﾏｸﾛ__2__.truck6t登録実績">#N/A</definedName>
    <definedName name="_52A2_">#REF!</definedName>
    <definedName name="_53_6tﾏｸﾛ__2__.truck6t登録実績">[10]P1_cover!_53_6tﾏｸﾛ__2__.truck6t登録実績</definedName>
    <definedName name="_54_6tﾏｸﾛ__2__.truck6t登録実績">[10]P1_cover!_54_6tﾏｸﾛ__2__.truck6t登録実績</definedName>
    <definedName name="_55_6tﾏｸﾛ__2__.truck6t登録実績">[10]P1_cover!_55_6tﾏｸﾛ__2__.truck6t登録実績</definedName>
    <definedName name="_56_6tﾏｸﾛ__2__.truck6t登録実績">[10]P1_cover!_56_6tﾏｸﾛ__2__.truck6t登録実績</definedName>
    <definedName name="_57DUMPﾏｸﾛ__2__.truckDUMP登録実績">[10]P1_cover!_57DUMPﾏｸﾛ__2__.truckDUMP登録実績</definedName>
    <definedName name="_58DUMPﾏｸﾛ__2__.truckDUMP登録実績">#N/A</definedName>
    <definedName name="_59DUMPﾏｸﾛ__2__.truckDUMP登録実績">#N/A</definedName>
    <definedName name="_6">#N/A</definedName>
    <definedName name="_6_0__123Graph_X高従" localSheetId="10" hidden="1">[6]VCCWT!#REF!</definedName>
    <definedName name="_6_0__123Graph_X高従" hidden="1">[6]VCCWT!#REF!</definedName>
    <definedName name="_6_10tﾏｸﾛ__2__.truck10t登録実績">[10]!_6_10tﾏｸﾛ__2__.truck10t登録実績</definedName>
    <definedName name="_6_123Grap" localSheetId="10" hidden="1">[6]VCCWT!#REF!</definedName>
    <definedName name="_6_123Grap" hidden="1">[6]VCCWT!#REF!</definedName>
    <definedName name="_60DUMPﾏｸﾛ__2__.truckDUMP登録実績">[10]P1_cover!_60DUMPﾏｸﾛ__2__.truckDUMP登録実績</definedName>
    <definedName name="_61DUMPﾏｸﾛ__2__.truckDUMP登録実績">#N/A</definedName>
    <definedName name="_62DUMPﾏｸﾛ__2__.truckDUMP登録実績">[10]!_62DUMPﾏｸﾛ__2__.truckDUMP登録実績</definedName>
    <definedName name="_63DUMPﾏｸﾛ__2__.truckDUMP登録実績">#N/A</definedName>
    <definedName name="_64DUMPﾏｸﾛ__2__.truckDUMP登録実績">'[11]P2_Revision '!_64DUMPﾏｸﾛ__2__.truckDUMP登録実績</definedName>
    <definedName name="_65DUMPﾏｸﾛ__2__.truckDUMP登録実績">#N/A</definedName>
    <definedName name="_66DUMPﾏｸﾛ__2__.truckDUMP登録実績">#N/A</definedName>
    <definedName name="_67DUMPﾏｸﾛ__2__.truckDUMP登録実績">[10]P1_cover!_67DUMPﾏｸﾛ__2__.truckDUMP登録実績</definedName>
    <definedName name="_68DUMPﾏｸﾛ__2__.truckDUMP登録実績">[10]P1_cover!_68DUMPﾏｸﾛ__2__.truckDUMP登録実績</definedName>
    <definedName name="_69DUMPﾏｸﾛ__2__.truckDUMP登録実績">[10]P1_cover!_69DUMPﾏｸﾛ__2__.truckDUMP登録実績</definedName>
    <definedName name="_6B1_">#REF!</definedName>
    <definedName name="_7_10tﾏｸﾛ__2__.truck10t登録実績">#N/A</definedName>
    <definedName name="_7_123Grap" localSheetId="4" hidden="1">[6]VCCWT!#REF!</definedName>
    <definedName name="_7_123Grap" localSheetId="10" hidden="1">[6]VCCWT!#REF!</definedName>
    <definedName name="_7_123Grap" hidden="1">[6]VCCWT!#REF!</definedName>
    <definedName name="_70DUMPﾏｸﾛ__2__.truckDUMP登録実績">[10]P1_cover!_70DUMPﾏｸﾛ__2__.truckDUMP登録実績</definedName>
    <definedName name="_71ELFﾏｸﾛ_2__.truckELF登録実績">[10]P1_cover!_71ELFﾏｸﾛ_2__.truckELF登録実績</definedName>
    <definedName name="_72ELFﾏｸﾛ_2__.truckELF登録実績">#N/A</definedName>
    <definedName name="_73ELFﾏｸﾛ_2__.truckELF登録実績">#N/A</definedName>
    <definedName name="_74ELFﾏｸﾛ_2__.truckELF登録実績">[10]P1_cover!_74ELFﾏｸﾛ_2__.truckELF登録実績</definedName>
    <definedName name="_75ELFﾏｸﾛ_2__.truckELF登録実績">#N/A</definedName>
    <definedName name="_76ELFﾏｸﾛ_2__.truckELF登録実績">[10]!_76ELFﾏｸﾛ_2__.truckELF登録実績</definedName>
    <definedName name="_77ELFﾏｸﾛ_2__.truckELF登録実績">#N/A</definedName>
    <definedName name="_78ELFﾏｸﾛ_2__.truckELF登録実績">'[11]P2_Revision '!_78ELFﾏｸﾛ_2__.truckELF登録実績</definedName>
    <definedName name="_79ELFﾏｸﾛ_2__.truckELF登録実績">#N/A</definedName>
    <definedName name="_7A2_">#REF!</definedName>
    <definedName name="_8__123Graph_Aｸﾞﾗﾌ_1" localSheetId="10" hidden="1">#REF!</definedName>
    <definedName name="_8__123Graph_Aｸﾞﾗﾌ_1" hidden="1">#REF!</definedName>
    <definedName name="_8_10tﾏｸﾛ__2__.truck10t登録実績">'[11]P2_Revision '!_8_10tﾏｸﾛ__2__.truck10t登録実績</definedName>
    <definedName name="_8_123Grap" localSheetId="10" hidden="1">[6]VCCWT!#REF!</definedName>
    <definedName name="_8_123Grap" hidden="1">[6]VCCWT!#REF!</definedName>
    <definedName name="_80ELFﾏｸﾛ_2__.truckELF登録実績">#N/A</definedName>
    <definedName name="_81ELFﾏｸﾛ_2__.truckELF登録実績">[10]P1_cover!_81ELFﾏｸﾛ_2__.truckELF登録実績</definedName>
    <definedName name="_82ELFﾏｸﾛ_2__.truckELF登録実績">[10]P1_cover!_82ELFﾏｸﾛ_2__.truckELF登録実績</definedName>
    <definedName name="_83ELFﾏｸﾛ_2__.truckELF登録実績">[10]P1_cover!_83ELFﾏｸﾛ_2__.truckELF登録実績</definedName>
    <definedName name="_84ELFﾏｸﾛ_2__.truckELF登録実績">[10]P1_cover!_84ELFﾏｸﾛ_2__.truckELF登録実績</definedName>
    <definedName name="_85HDVﾏｸﾛ__2__.HDV登録実績">[10]P1_cover!_85HDVﾏｸﾛ__2__.HDV登録実績</definedName>
    <definedName name="_86HDVﾏｸﾛ__2__.HDV登録実績">#N/A</definedName>
    <definedName name="_87HDVﾏｸﾛ__2__.HDV登録実績">#N/A</definedName>
    <definedName name="_88HDVﾏｸﾛ__2__.HDV登録実績">[10]P1_cover!_88HDVﾏｸﾛ__2__.HDV登録実績</definedName>
    <definedName name="_89HDVﾏｸﾛ__2__.HDV登録実績">#N/A</definedName>
    <definedName name="_9__123Graph_Aｸﾞﾗﾌ_3" hidden="1">[12]A!$C$68:$C$75</definedName>
    <definedName name="_9_10tﾏｸﾛ__2__.truck10t登録実績">#N/A</definedName>
    <definedName name="_9_123Grap" hidden="1">[6]VCCWT!#REF!</definedName>
    <definedName name="_90HDVﾏｸﾛ__2__.HDV登録実績">[10]!_90HDVﾏｸﾛ__2__.HDV登録実績</definedName>
    <definedName name="_91HDVﾏｸﾛ__2__.HDV登録実績">#N/A</definedName>
    <definedName name="_92HDVﾏｸﾛ__2__.HDV登録実績">'[11]P2_Revision '!_92HDVﾏｸﾛ__2__.HDV登録実績</definedName>
    <definedName name="_93HDVﾏｸﾛ__2__.HDV登録実績">#N/A</definedName>
    <definedName name="_94HDVﾏｸﾛ__2__.HDV登録実績">#N/A</definedName>
    <definedName name="_95HDVﾏｸﾛ__2__.HDV登録実績">[10]P1_cover!_95HDVﾏｸﾛ__2__.HDV登録実績</definedName>
    <definedName name="_96HDVﾏｸﾛ__2__.HDV登録実績">[10]P1_cover!_96HDVﾏｸﾛ__2__.HDV登録実績</definedName>
    <definedName name="_97HDVﾏｸﾛ__2__.HDV登録実績">[10]P1_cover!_97HDVﾏｸﾛ__2__.HDV登録実績</definedName>
    <definedName name="_98HDVﾏｸﾛ__2__.HDV登録実績">[10]P1_cover!_98HDVﾏｸﾛ__2__.HDV登録実績</definedName>
    <definedName name="_99UBSﾏｸﾛ__.truckUBS登録実績">[10]P1_cover!_99UBSﾏｸﾛ__.truckUBS登録実績</definedName>
    <definedName name="_A2">#REF!</definedName>
    <definedName name="_B1">#REF!</definedName>
    <definedName name="_D315">[5]DataList!#REF!</definedName>
    <definedName name="_DEL1">[14]総合B!$G$10:$I$13,[14]総合B!$G$15:$I$18,[14]総合B!$G$20:$I$22,[14]総合B!$G$25:$I$28,[14]総合B!$G$31:$I$32,[14]総合B!$G$34:$I$36,[14]総合B!$G$39:$I$40,[14]総合B!$G$43:$I$43,[14]総合B!$K$10:$M$13,[14]総合B!$K$15:$M$18,[14]総合B!$K$20:$M$22,[14]総合B!$K$25:$M$28,[14]総合B!$K$31:$M$32,[14]総合B!$K$34:$M$36,[14]総合B!$K$39:$M$40,[14]総合B!$K$43:$M$43</definedName>
    <definedName name="_DEL2">[14]総合B!$O$10:$Q$13,[14]総合B!$O$15:$Q$18,[14]総合B!$O$20:$Q$22,[14]総合B!$O$25:$Q$28,[14]総合B!$O$31:$Q$32,[14]総合B!$O$34:$Q$36,[14]総合B!$O$39:$Q$40,[14]総合B!$O$43:$Q$43,[14]総合B!$S$10:$U$13,[14]総合B!$S$15:$U$18,[14]総合B!$S$20:$U$22,[14]総合B!$S$25:$U$28,[14]総合B!$S$31:$U$32,[14]総合B!$S$34:$U$36,[14]総合B!$S$39:$U$40,[14]総合B!$S$43:$U$43</definedName>
    <definedName name="_DEL3">[14]総合B!$W$10:$Y$13,[14]総合B!$W$15:$Y$18,[14]総合B!$W$20:$Y$22,[14]総合B!$W$25:$Y$28,[14]総合B!$W$31:$Y$32,[14]総合B!$W$34:$Y$36,[14]総合B!$W$39:$Y$40,[14]総合B!$W$43:$Y$43,[14]総合B!$AA$10:$AC$13,[14]総合B!$AA$15:$AC$18,[14]総合B!$AA$20:$AC$22,[14]総合B!$AA$25:$AC$28,[14]総合B!$AA$31:$AC$32,[14]総合B!$AA$34:$AC$36,[14]総合B!$AA$39:$AC$40,[14]総合B!$AA$43:$AC$43</definedName>
    <definedName name="_DEL4">[14]総合B!$AE$10:$AG$13,[14]総合B!$AE$15:$AG$18,[14]総合B!$AE$20:$AG$22,[14]総合B!$AE$25:$AG$28,[14]総合B!$AE$31:$AG$32,[14]総合B!$AE$34:$AG$36,[14]総合B!$AE$39:$AG$40,[14]総合B!$AE$43:$AG$43,[14]総合B!#REF!,[14]総合B!#REF!,[14]総合B!#REF!,[14]総合B!#REF!,[14]総合B!#REF!,[14]総合B!#REF!,[14]総合B!#REF!,[14]総合B!#REF!</definedName>
    <definedName name="_Dist_Bin" localSheetId="4" hidden="1">[8]ENG油洩れ!#REF!</definedName>
    <definedName name="_Dist_Bin" localSheetId="10" hidden="1">[8]ENG油洩れ!#REF!</definedName>
    <definedName name="_Dist_Bin" hidden="1">[8]ENG油洩れ!#REF!</definedName>
    <definedName name="_dne１">[1]result!#REF!</definedName>
    <definedName name="_Fill" localSheetId="4" hidden="1">#REF!</definedName>
    <definedName name="_Fill" localSheetId="10" hidden="1">#REF!</definedName>
    <definedName name="_Fill" hidden="1">#REF!</definedName>
    <definedName name="_Fill2" localSheetId="4" hidden="1">#REF!</definedName>
    <definedName name="_Fill2" localSheetId="10" hidden="1">#REF!</definedName>
    <definedName name="_Fill2" hidden="1">#REF!</definedName>
    <definedName name="_xlnm._FilterDatabase" localSheetId="4" hidden="1">'DID(CPS)'!$B$8:$AD$31</definedName>
    <definedName name="_xlnm._FilterDatabase" localSheetId="6" hidden="1">'DID(IOCBI)'!$A$6:$AR$57</definedName>
    <definedName name="_xlnm._FilterDatabase" localSheetId="2" hidden="1">'DID(RDBI)'!$B$6:$AW$391</definedName>
    <definedName name="_xlnm._FilterDatabase" localSheetId="3" hidden="1">'DID(WDBI)'!$B$7:$T$24</definedName>
    <definedName name="_xlnm._FilterDatabase" localSheetId="5" hidden="1">RID!$B$7:$O$16</definedName>
    <definedName name="_xlnm._FilterDatabase" hidden="1">[15]MessageList!$A$3:$BG$762</definedName>
    <definedName name="_ftnref5">[16]TTM11_Menu!#REF!</definedName>
    <definedName name="_ftnref7">[16]TTM11_Menu!#REF!</definedName>
    <definedName name="_GOTO_A01_">[17]yh5特装!$V$1</definedName>
    <definedName name="_Hlt24522200_9">[18]DID!#REF!</definedName>
    <definedName name="_Hlt24522257_9">[18]DID!#REF!</definedName>
    <definedName name="_Hlt24522463_9">[18]DID!#REF!</definedName>
    <definedName name="_Hlt24522628_9">[18]DID!#REF!</definedName>
    <definedName name="_Hlt24785160_9">[18]DID!#REF!</definedName>
    <definedName name="_Hlt24786068_9">[18]DID!#REF!</definedName>
    <definedName name="_Hlt24786298_9">[18]DID!#REF!</definedName>
    <definedName name="_Hlt24786349_9">[18]DID!#REF!</definedName>
    <definedName name="_Hlt25470316_9">[18]DID!#REF!</definedName>
    <definedName name="_Hlt25470320_9">[18]DID!#REF!</definedName>
    <definedName name="_Hlt25470341_9">[18]DID!#REF!</definedName>
    <definedName name="_Hlt25470776_9">[18]DID!#REF!</definedName>
    <definedName name="_Hlt25471075_9">[18]DID!#REF!</definedName>
    <definedName name="_Hlt25471384_9">[18]DID!#REF!</definedName>
    <definedName name="_Hlt25988474_9">[18]DID!#REF!</definedName>
    <definedName name="_Hlt25998240_9">[18]DID!#REF!</definedName>
    <definedName name="_Hlt35143858_9">[18]DID!#REF!</definedName>
    <definedName name="_Hlt35147568_9">[18]DID!#REF!</definedName>
    <definedName name="_Hlt35147841_9">[18]DID!#REF!</definedName>
    <definedName name="_Hlt35147982_9">[18]DID!#REF!</definedName>
    <definedName name="_Hlt35148040_9">[18]DID!#REF!</definedName>
    <definedName name="_Hlt35152715_9">[18]DID!#REF!</definedName>
    <definedName name="_Hlt35153746_9">[18]DID!#REF!</definedName>
    <definedName name="_Hlt35155136_9">[18]DID!#REF!</definedName>
    <definedName name="_Hlt35155220_9">[18]DID!#REF!</definedName>
    <definedName name="_Hlt35155318_9">[18]DID!#REF!</definedName>
    <definedName name="_Hlt35155368_9">[18]DID!#REF!</definedName>
    <definedName name="_Hlt35332169_9">[18]DID!#REF!</definedName>
    <definedName name="_Hlt35332178_9">[18]DID!#REF!</definedName>
    <definedName name="_Hlt35332187_9">[18]DID!#REF!</definedName>
    <definedName name="_Hlt35332656_9">[18]DID!#REF!</definedName>
    <definedName name="_Hlt35333920_9">[18]DID!#REF!</definedName>
    <definedName name="_Hlt35334205_9">[18]DID!#REF!</definedName>
    <definedName name="_Hlt35334417_9">[18]DID!#REF!</definedName>
    <definedName name="_Hlt35338418_9">#REF!</definedName>
    <definedName name="_Hlt35341135_9">[18]DID!#REF!</definedName>
    <definedName name="_Hlt35341141_9">[18]DID!#REF!</definedName>
    <definedName name="_Hlt35341189_9">[18]DID!#REF!</definedName>
    <definedName name="_Hlt35341219_9">[18]DID!#REF!</definedName>
    <definedName name="_Hlt35341223_9">[18]DID!#REF!</definedName>
    <definedName name="_Hlt36633658_9">[18]DID!#REF!</definedName>
    <definedName name="_Hlt38262143_9">[18]DID!#REF!</definedName>
    <definedName name="_Hlt38262291_9">#REF!</definedName>
    <definedName name="_Hlt38262536_9">[18]DID!#REF!</definedName>
    <definedName name="_Hlt38263440_9">[18]DID!#REF!</definedName>
    <definedName name="_Hlt38266292_9">[18]DID!#REF!</definedName>
    <definedName name="_Hlt38271025_9">[18]DID!#REF!</definedName>
    <definedName name="_Hlt38337237_9">[18]DID!#REF!</definedName>
    <definedName name="_Hlt50273513_9">#REF!</definedName>
    <definedName name="_Hlt72048621_9">[18]DID!#REF!</definedName>
    <definedName name="_Hlt77489986_9">#REF!</definedName>
    <definedName name="_Hlt77489989_9">#REF!</definedName>
    <definedName name="_inj1">[2]result!#REF!</definedName>
    <definedName name="_inj2">[2]result!#REF!</definedName>
    <definedName name="_inj3">[2]result!#REF!</definedName>
    <definedName name="_Key1" localSheetId="4" hidden="1">#REF!</definedName>
    <definedName name="_Key1" localSheetId="10" hidden="1">#REF!</definedName>
    <definedName name="_Key1" hidden="1">#REF!</definedName>
    <definedName name="_Key2" localSheetId="4" hidden="1">#REF!</definedName>
    <definedName name="_Key2" localSheetId="10" hidden="1">#REF!</definedName>
    <definedName name="_Key2" hidden="1">#REF!</definedName>
    <definedName name="_Order1" hidden="1">255</definedName>
    <definedName name="_Order2" hidden="1">255</definedName>
    <definedName name="_q1">#REF!</definedName>
    <definedName name="_Regression_Out" localSheetId="4" hidden="1">#REF!</definedName>
    <definedName name="_Regression_Out" localSheetId="10" hidden="1">#REF!</definedName>
    <definedName name="_Regression_Out" hidden="1">#REF!</definedName>
    <definedName name="_Regression_X" localSheetId="4" hidden="1">#REF!</definedName>
    <definedName name="_Regression_X" localSheetId="10" hidden="1">#REF!</definedName>
    <definedName name="_Regression_X" hidden="1">#REF!</definedName>
    <definedName name="_Regression_Y" localSheetId="10" hidden="1">#REF!</definedName>
    <definedName name="_Regression_Y" hidden="1">#REF!</definedName>
    <definedName name="_SEV1">#REF!</definedName>
    <definedName name="_SEV10">'[19]SEV Sets'!#REF!</definedName>
    <definedName name="_SEV11">'[19]SEV Sets'!#REF!</definedName>
    <definedName name="_SEV12">'[19]SEV Sets'!#REF!</definedName>
    <definedName name="_SEV13">'[19]SEV Sets'!#REF!</definedName>
    <definedName name="_SEV14">'[19]SEV Sets'!#REF!</definedName>
    <definedName name="_SEV15">'[19]SEV Sets'!#REF!</definedName>
    <definedName name="_SEV16">'[19]SEV Sets'!#REF!</definedName>
    <definedName name="_SEV17">'[19]SEV Sets'!#REF!</definedName>
    <definedName name="_SEV18">'[19]SEV Sets'!#REF!</definedName>
    <definedName name="_SEV19">'[19]SEV Sets'!#REF!</definedName>
    <definedName name="_SEV2">'[19]SEV Sets'!#REF!</definedName>
    <definedName name="_SEV20">'[19]SEV Sets'!#REF!</definedName>
    <definedName name="_SEV21">'[19]SEV Sets'!#REF!</definedName>
    <definedName name="_SEV22">'[19]SEV Sets'!#REF!</definedName>
    <definedName name="_SEV23">'[19]SEV Sets'!#REF!</definedName>
    <definedName name="_SEV24">'[19]SEV Sets'!#REF!</definedName>
    <definedName name="_SEV25">'[19]SEV Sets'!#REF!</definedName>
    <definedName name="_SEV3">'[19]SEV Sets'!#REF!</definedName>
    <definedName name="_SEV4">'[19]SEV Sets'!#REF!</definedName>
    <definedName name="_SEV5">'[19]SEV Sets'!#REF!</definedName>
    <definedName name="_SEV6">'[19]SEV Sets'!#REF!</definedName>
    <definedName name="_SEV7">'[19]SEV Sets'!#REF!</definedName>
    <definedName name="_SEV8">'[19]SEV Sets'!#REF!</definedName>
    <definedName name="_SEV9">'[19]SEV Sets'!#REF!</definedName>
    <definedName name="_Sort" localSheetId="4" hidden="1">#REF!</definedName>
    <definedName name="_Sort" localSheetId="10" hidden="1">#REF!</definedName>
    <definedName name="_Sort" hidden="1">#REF!</definedName>
    <definedName name="_Sort2" localSheetId="4" hidden="1">#REF!</definedName>
    <definedName name="_Sort2" localSheetId="10" hidden="1">#REF!</definedName>
    <definedName name="_Sort2" hidden="1">#REF!</definedName>
    <definedName name="_SUB01">#REF!</definedName>
    <definedName name="_SUB02">#REF!</definedName>
    <definedName name="_SUB03">#REF!</definedName>
    <definedName name="_SUB04">#REF!</definedName>
    <definedName name="_TMP1">[20]駆動系1!$J$110:$BD$169</definedName>
    <definedName name="_Toc130691147_2">'[18]General ECU Information'!#REF!</definedName>
    <definedName name="_Toc130691148_2">'[18]General ECU Information'!#REF!</definedName>
    <definedName name="_Toc132613404_11">[18]CPID!#REF!</definedName>
    <definedName name="_Toc134518478_9">#REF!</definedName>
    <definedName name="_Toc134518479_9">#REF!</definedName>
    <definedName name="_Toc134518480_9">#REF!</definedName>
    <definedName name="_Toc25120236_2">'[18]General ECU Information'!#REF!</definedName>
    <definedName name="_TQ1" localSheetId="4" hidden="1">{#N/A,#N/A,TRUE,"smooth ride";#N/A,#N/A,TRUE,"rough ride";#N/A,#N/A,TRUE,"parking";#N/A,#N/A,TRUE,"straight Control";#N/A,#N/A,TRUE,"corn control";#N/A,#N/A,TRUE,"Steer disturbance";#N/A,#N/A,TRUE,"Straight stab.";#N/A,#N/A,TRUE,"cornering stab.";#N/A,#N/A,TRUE,"braking";#N/A,#N/A,TRUE,"braking dist"}</definedName>
    <definedName name="_TQ1" localSheetId="10" hidden="1">{#N/A,#N/A,TRUE,"smooth ride";#N/A,#N/A,TRUE,"rough ride";#N/A,#N/A,TRUE,"parking";#N/A,#N/A,TRUE,"straight Control";#N/A,#N/A,TRUE,"corn control";#N/A,#N/A,TRUE,"Steer disturbance";#N/A,#N/A,TRUE,"Straight stab.";#N/A,#N/A,TRUE,"cornering stab.";#N/A,#N/A,TRUE,"braking";#N/A,#N/A,TRUE,"braking dist"}</definedName>
    <definedName name="_TQ1" hidden="1">{#N/A,#N/A,TRUE,"smooth ride";#N/A,#N/A,TRUE,"rough ride";#N/A,#N/A,TRUE,"parking";#N/A,#N/A,TRUE,"straight Control";#N/A,#N/A,TRUE,"corn control";#N/A,#N/A,TRUE,"Steer disturbance";#N/A,#N/A,TRUE,"Straight stab.";#N/A,#N/A,TRUE,"cornering stab.";#N/A,#N/A,TRUE,"braking";#N/A,#N/A,TRUE,"braking dist"}</definedName>
    <definedName name="_WR1" localSheetId="4" hidden="1">{#N/A,#N/A,TRUE,"smooth ride";#N/A,#N/A,TRUE,"rough ride";#N/A,#N/A,TRUE,"parking";#N/A,#N/A,TRUE,"straight Control";#N/A,#N/A,TRUE,"corn control";#N/A,#N/A,TRUE,"Steer disturbance";#N/A,#N/A,TRUE,"Straight stab.";#N/A,#N/A,TRUE,"cornering stab.";#N/A,#N/A,TRUE,"braking";#N/A,#N/A,TRUE,"braking dist"}</definedName>
    <definedName name="_WR1" localSheetId="10" hidden="1">{#N/A,#N/A,TRUE,"smooth ride";#N/A,#N/A,TRUE,"rough ride";#N/A,#N/A,TRUE,"parking";#N/A,#N/A,TRUE,"straight Control";#N/A,#N/A,TRUE,"corn control";#N/A,#N/A,TRUE,"Steer disturbance";#N/A,#N/A,TRUE,"Straight stab.";#N/A,#N/A,TRUE,"cornering stab.";#N/A,#N/A,TRUE,"braking";#N/A,#N/A,TRUE,"braking dist"}</definedName>
    <definedName name="_WR1" hidden="1">{#N/A,#N/A,TRUE,"smooth ride";#N/A,#N/A,TRUE,"rough ride";#N/A,#N/A,TRUE,"parking";#N/A,#N/A,TRUE,"straight Control";#N/A,#N/A,TRUE,"corn control";#N/A,#N/A,TRUE,"Steer disturbance";#N/A,#N/A,TRUE,"Straight stab.";#N/A,#N/A,TRUE,"cornering stab.";#N/A,#N/A,TRUE,"braking";#N/A,#N/A,TRUE,"braking dist"}</definedName>
    <definedName name="_WRT1" localSheetId="4" hidden="1">{#N/A,#N/A,TRUE,"RIDE";#N/A,#N/A,TRUE,"STEERING";#N/A,#N/A,TRUE,"HANDLING";#N/A,#N/A,TRUE,"BRAKING"}</definedName>
    <definedName name="_WRT1" localSheetId="10" hidden="1">{#N/A,#N/A,TRUE,"RIDE";#N/A,#N/A,TRUE,"STEERING";#N/A,#N/A,TRUE,"HANDLING";#N/A,#N/A,TRUE,"BRAKING"}</definedName>
    <definedName name="_WRT1" hidden="1">{#N/A,#N/A,TRUE,"RIDE";#N/A,#N/A,TRUE,"STEERING";#N/A,#N/A,TRUE,"HANDLING";#N/A,#N/A,TRUE,"BRAKING"}</definedName>
    <definedName name="\0">[17]yh5特装!$N$1</definedName>
    <definedName name="\A">[21]計算表!#REF!</definedName>
    <definedName name="\B">[21]計算表!#REF!</definedName>
    <definedName name="\C">[21]計算表!#REF!</definedName>
    <definedName name="\D">[21]計算表!#REF!</definedName>
    <definedName name="\E">[21]計算表!#REF!</definedName>
    <definedName name="\f">#N/A</definedName>
    <definedName name="\H">[21]計算表!#REF!</definedName>
    <definedName name="\j">'[22]002(4)'!#REF!</definedName>
    <definedName name="\k">'[22]002(4)'!#REF!</definedName>
    <definedName name="\l">'[22]002(4)'!#REF!</definedName>
    <definedName name="\m">'[22]002(4)'!#REF!</definedName>
    <definedName name="\n">'[22]002(4)'!#REF!</definedName>
    <definedName name="\o">#N/A</definedName>
    <definedName name="\p">#REF!</definedName>
    <definedName name="\q">'[22]002(4)'!#REF!</definedName>
    <definedName name="\r">#N/A</definedName>
    <definedName name="\s">#REF!</definedName>
    <definedName name="\t">#N/A</definedName>
    <definedName name="\U">[21]計算表!#REF!</definedName>
    <definedName name="\w">#N/A</definedName>
    <definedName name="\x">'[22]002(4)'!#REF!</definedName>
    <definedName name="\y">'[22]002(4)'!#REF!</definedName>
    <definedName name="\Y0">[17]yh5特装!$U$1</definedName>
    <definedName name="\z">'[22]002(4)'!#REF!</definedName>
    <definedName name="｣">'[6]76極'!#REF!</definedName>
    <definedName name="A" hidden="1">#REF!</definedName>
    <definedName name="A.11.">#REF!</definedName>
    <definedName name="A1.">#REF!</definedName>
    <definedName name="AA" hidden="1">#REF!</definedName>
    <definedName name="aaa">#REF!</definedName>
    <definedName name="AAAA" hidden="1">#REF!</definedName>
    <definedName name="aaaaa">[0]!aaaaa</definedName>
    <definedName name="aaaaas">[5]DataList!#REF!</definedName>
    <definedName name="abc" localSheetId="4" hidden="1">{#N/A,#N/A,TRUE,"RIDE";#N/A,#N/A,TRUE,"STEERING";#N/A,#N/A,TRUE,"HANDLING";#N/A,#N/A,TRUE,"BRAKING"}</definedName>
    <definedName name="abc" localSheetId="10" hidden="1">{#N/A,#N/A,TRUE,"RIDE";#N/A,#N/A,TRUE,"STEERING";#N/A,#N/A,TRUE,"HANDLING";#N/A,#N/A,TRUE,"BRAKING"}</definedName>
    <definedName name="abc" hidden="1">{#N/A,#N/A,TRUE,"RIDE";#N/A,#N/A,TRUE,"STEERING";#N/A,#N/A,TRUE,"HANDLING";#N/A,#N/A,TRUE,"BRAKING"}</definedName>
    <definedName name="ABS">[0]!ABS</definedName>
    <definedName name="acs">[2]result!#REF!</definedName>
    <definedName name="ALL">[23]OPL!#REF!</definedName>
    <definedName name="AnzahlBlattZeilen">#REF!</definedName>
    <definedName name="APPLICATIONS">#REF!</definedName>
    <definedName name="AS" hidden="1">#REF!</definedName>
    <definedName name="ASAASSA">[5]DataList!#REF!</definedName>
    <definedName name="AW" hidden="1">#REF!</definedName>
    <definedName name="AX" hidden="1">#REF!</definedName>
    <definedName name="b">[24]ヨⅥ!$B$1</definedName>
    <definedName name="B10000000">#REF!</definedName>
    <definedName name="B1000000000">#REF!</definedName>
    <definedName name="Back_to_Menu_R14_3">'[18]Special ECU Information'!#REF!</definedName>
    <definedName name="Back_to_Menu_R16_3">'[18]Special ECU Information'!#REF!</definedName>
    <definedName name="Back_to_Menu_R2_4">'[18]Tech 2 Menu'!#REF!</definedName>
    <definedName name="BAP_Anzeige">#REF!</definedName>
    <definedName name="BB">'[25]3.5 Srv$09'!#REF!</definedName>
    <definedName name="bbb">[0]!bbb</definedName>
    <definedName name="BBBB" hidden="1">#REF!</definedName>
    <definedName name="ＢＣＥＡＭＵＱＩＺＡＫＺＢＩＧＹＥＲＲＩＯＣＭＢＯＫＸＤＡＪＡＭＥＪＭＫＱＹＧＫＫＰＢ" localSheetId="4" hidden="1">#REF!</definedName>
    <definedName name="ＢＣＥＡＭＵＱＩＺＡＫＺＢＩＧＹＥＲＲＩＯＣＭＢＯＫＸＤＡＪＡＭＥＪＭＫＱＹＧＫＫＰＢ" localSheetId="10" hidden="1">#REF!</definedName>
    <definedName name="ＢＣＥＡＭＵＱＩＺＡＫＺＢＩＧＹＥＲＲＩＯＣＭＢＯＫＸＤＡＪＡＭＥＪＭＫＱＹＧＫＫＰＢ" hidden="1">#REF!</definedName>
    <definedName name="ＢＣＹＬＺＰＨＥＺＪＢＩＮＦＥＹＲＦＱＷＤＵＤＷＰＪＩＦＯＭＹＪＶＹＷＣＤＬＶＷＢＧＤＳＡＢＫＨＣＳＷＸＷＹＲＮＲＧＮＭＵＷＸＴＧＩＡＲＴＤＲＴＡＧＱＸＱＫＸＩＩＷＮＶＯＱＹＤＡＪＩＴＥＱＮＬＱＺＧＲＬＱＢＺＯＯＨＫＯＩＹＤＤＣＦＱＵＸＴＴＢＤＥＡＮＵＲＪＳＣＱＴＡＹＰＷＪＪＭＳＧＱＦＵＨＵＡＷＧＸＪＡＱＯＵＣＫＯＯＴＦＣＲＳＩＬＶＺＵＫＨＩＨＪＣＩＱＤＤＬＧＨＵＩＸＷＮＩＳＮＩＰＶＭＮＮＡＦＡＫＺＭＵＢＵＲＡＹＫＣＨＫＩＯＷＸＩＩＮＺＰＥＭＣＦＫＦＶＳＳＳＵＮＪＮＣＰＩＱＳＴＰＷＬＤＢＳＮＪＱＶＭＭＧＺ">[10]P1_cover!ＢＣＹＬＺＰＨＥＺＪＢＩＮＦＥＹＲＦＱＷＤＵＤＷＰＪＩＦＯＭＹＪＶＹＷＣＤＬＶＷＢＧＤＳＡＢＫＨＣＳＷＸＷＹＲＮＲＧＮＭＵＷＸＴＧＩＡＲＴＤＲＴＡＧＱＸＱＫＸＩＩＷＮＶＯＱＹＤＡＪＩＴＥＱＮＬＱＺＧＲＬＱＢＺＯＯＨＫＯＩＹＤＤＣＦＱＵＸＴＴＢＤＥＡＮＵＲＪＳＣＱＴＡＹＰＷＪＪＭＳＧＱＦＵＨＵＡＷＧＸＪＡＱＯＵＣＫＯＯＴＦＣＲＳＩＬＶＺＵＫＨＩＨＪＣＩＱＤＤＬＧＨＵＩＸＷＮＩＳＮＩＰＶＭＮＮＡＦＡＫＺＭＵＢＵＲＡＹＫＣＨＫＩＯＷＸＩＩＮＺＰＥＭＣＦＫＦＶＳＳＳＵＮＪＮＣＰＩＱＳＴＰＷＬＤＢＳＮＪＱＶＭＭＧＺ</definedName>
    <definedName name="BEANall">#REF!</definedName>
    <definedName name="binDec">[26]PID!$A$305:$A$312</definedName>
    <definedName name="binDec_wo1">'[27]&lt;sample&gt; DID_base_Sheet'!$A$301:$A$307</definedName>
    <definedName name="ＢＩＶＶＪＮＴＨＲＨＴＣＰＣＨＥＮＶＮＴＶＵＺＩＰＴＵＺＫＩＸＸＯＲＡＦＺＰＮＮＰＩＬＰＸＫＫＳＮＯＫＸＬＡＺ" localSheetId="4" hidden="1">#REF!</definedName>
    <definedName name="ＢＩＶＶＪＮＴＨＲＨＴＣＰＣＨＥＮＶＮＴＶＵＺＩＰＴＵＺＫＩＸＸＯＲＡＦＺＰＮＮＰＩＬＰＸＫＫＳＮＯＫＸＬＡＺ" localSheetId="10" hidden="1">#REF!</definedName>
    <definedName name="ＢＩＶＶＪＮＴＨＲＨＴＣＰＣＨＥＮＶＮＴＶＵＺＩＰＴＵＺＫＩＸＸＯＲＡＦＺＰＮＮＰＩＬＰＸＫＫＳＮＯＫＸＬＡＺ" hidden="1">#REF!</definedName>
    <definedName name="ＢＮＣＲＶＱＡＶＱＸＤＵＵＮＨＵＦＭＯＸＱＳＦＺＯＸＷＨＳＳＱＷＹＢＣＧＬＪＸＦＰＺＩＦＡＱＶＶＵＷＰＬＰＥＥＭＯＰＬＹＦＢＴＴＤＳＵＢＧＲＸＲＫＹＪＩＷＮＷＰＲＥＲＷＴＴＥＰＣＹＷＣＫＲＣＷＢＮＫＫＡＫＮＫＡＦＦＥＨＳＷＺＸＷＦＧＩＵＣＹＱＨＩＳＨＪＱＯＧＲＲＦＪＰＤＮＤＰＹＬＹＤＡＫＢＭＲＵＳＹＧＯＳＳＸＪＧＶＷＭＰＺＤＹＯＬＰＲＫＮＲＺＭＭＵＰＱＭＺＮＤＣＳＮＸＳＯＶＳＳＬＬＺＤＪＸＨＸＪＳＹＳＲＣＡＭＤＪＭＫＱＹＺＪＫＰＬＺＨＹＢＫＯＪＺＥＤＧＹＶＳＦＹＧＩＪＦＲＧＶＮＬＦＱＬＧＮＳＫＫＤＷＣＪＱ">[10]P1_cover!ＢＮＣＲＶＱＡＶＱＸＤＵＵＮＨＵＦＭＯＸＱＳＦＺＯＸＷＨＳＳＱＷＹＢＣＧＬＪＸＦＰＺＩＦＡＱＶＶＵＷＰＬＰＥＥＭＯＰＬＹＦＢＴＴＤＳＵＢＧＲＸＲＫＹＪＩＷＮＷＰＲＥＲＷＴＴＥＰＣＹＷＣＫＲＣＷＢＮＫＫＡＫＮＫＡＦＦＥＨＳＷＺＸＷＦＧＩＵＣＹＱＨＩＳＨＪＱＯＧＲＲＦＪＰＤＮＤＰＹＬＹＤＡＫＢＭＲＵＳＹＧＯＳＳＸＪＧＶＷＭＰＺＤＹＯＬＰＲＫＮＲＺＭＭＵＰＱＭＺＮＤＣＳＮＸＳＯＶＳＳＬＬＺＤＪＸＨＸＪＳＹＳＲＣＡＭＤＪＭＫＱＹＺＪＫＰＬＺＨＹＢＫＯＪＺＥＤＧＹＶＳＦＹＧＩＪＦＲＧＶＮＬＦＱＬＧＮＳＫＫＤＷＣＪＱ</definedName>
    <definedName name="BOX">#REF!</definedName>
    <definedName name="ＢＲＱＪＵＰＫＲＷＯＯＨＨＶＺＧＵＭＹＨＮＩＧＤＭＬＷＯＴＷＶＡＪＪＵＲＤＵＩＱＨＫＦＺＰＮＧＩＢＸＢＱＤＷＥＬＨＵＩＹＱＯＩＳＮＪＱＶＭＭＧＺＭＹＥＬＳＬＮＡＵＴＰＺＸＪＴＧＪＨＮＯＷＴＹＣＡＰＷＧＱＺＸＲＱＱＰＳＫＥＴＡＺＨＳＯＡＩＥＷＮＵＩＬＳＸＨＯＩＢＯＡＵＬＵＮＰＣＰＵＮＭＸＩＵＱＯＵＤＫＮＲＤＢＩＹＩＬＰＫＡＥＥＥＧＳＶＺＯＵＵＣＥＦＢＯＡＴＪＬＶＪＬＳＲＩＰＣＣＰＴＡＯＹＮＺＩＶＩＰＹＱＢＴＺＣＡＦＯＶＺＡＦＱＯＤＩＬＶＺＵＪＨＥＧＺＣＧＯＢＢＪＥＦＢＯＣＲＱＨＳＮＩＰＵＭＬＦＦＴＸＸＨＷＪ">[10]P1_cover!ＢＲＱＪＵＰＫＲＷＯＯＨＨＶＺＧＵＭＹＨＮＩＧＤＭＬＷＯＴＷＶＡＪＪＵＲＤＵＩＱＨＫＦＺＰＮＧＩＢＸＢＱＤＷＥＬＨＵＩＹＱＯＩＳＮＪＱＶＭＭＧＺＭＹＥＬＳＬＮＡＵＴＰＺＸＪＴＧＪＨＮＯＷＴＹＣＡＰＷＧＱＺＸＲＱＱＰＳＫＥＴＡＺＨＳＯＡＩＥＷＮＵＩＬＳＸＨＯＩＢＯＡＵＬＵＮＰＣＰＵＮＭＸＩＵＱＯＵＤＫＮＲＤＢＩＹＩＬＰＫＡＥＥＥＧＳＶＺＯＵＵＣＥＦＢＯＡＴＪＬＶＪＬＳＲＩＰＣＣＰＴＡＯＹＮＺＩＶＩＰＹＱＢＴＺＣＡＦＯＶＺＡＦＱＯＤＩＬＶＺＵＪＨＥＧＺＣＧＯＢＢＪＥＦＢＯＣＲＱＨＳＮＩＰＵＭＬＦＦＴＸＸＨＷＪ</definedName>
    <definedName name="BUNSEKI">#REF!</definedName>
    <definedName name="CAN１_A">#REF!</definedName>
    <definedName name="CAN1閉じ分">#REF!</definedName>
    <definedName name="CANall">#REF!</definedName>
    <definedName name="CANT1">[0]!CANT1</definedName>
    <definedName name="CANtoBEANｹﾞｰﾄｳｪｲ">#REF!</definedName>
    <definedName name="CANtoBEAN元">#REF!</definedName>
    <definedName name="CANtoECTｹﾞｰﾄｳｪｲ">#REF!</definedName>
    <definedName name="CANtoECT元">#REF!</definedName>
    <definedName name="CAN内車間toXtoX">#REF!</definedName>
    <definedName name="Category">#REF!</definedName>
    <definedName name="CCCC" hidden="1">#REF!</definedName>
    <definedName name="CHECK0">[28]計算結果!#REF!</definedName>
    <definedName name="Check1">[29]ECU_requirement_review_checklis!$C$93:$C$96</definedName>
    <definedName name="CHECK2">[28]計算結果!#REF!</definedName>
    <definedName name="ＣＭＰＴＯＬＬＫＮＹＣＦＵＢＢＪＫＭＩＵＣＹＱＪＴＨＫＱＰＧＮＡＥＪＰＤＮＣＯＸＲＸＴＤＵＧＸＤＧＥＫＳＡＤＥＪＶＳＨＩＹＢＷＲＨＥＦＥＧＺＣＧＯＢＢＪＥＦＢＯＣＳＲＵＥＺＵＢＨＹＪＪＸＢＩＷＦＶＨＱＷＱＰＭＶＵＦＸＣＦＤＪＲＷＸＣＮＥＴＡＲＵＥＩＣＳＱＱＰＳＫＨＫＺＮＧＪＫＧＴＨＸＰＭＪＥＡＨＭＤＤＸＱＤＯＷＭＶＯＱＤＸＷＴＣＡＭＸＪＭＫＱＲＺＫＫＰＳＧＯＹＩＲＯＪＺＤＥＤＦＹＵＹＮＵＴＢＷＲＥＭＩＡＲＳＣＲＴＭＸＥＸＱＥＳＨＸＧＺＢＯＢＨＥＮＬＸＩＵＱＯＵＣＫＵＴＦＤＲＳＪＴＶＺＵＫＰＰＯＱＣＦＪＹＦ">[10]P1_cover!ＣＭＰＴＯＬＬＫＮＹＣＦＵＢＢＪＫＭＩＵＣＹＱＪＴＨＫＱＰＧＮＡＥＪＰＤＮＣＯＸＲＸＴＤＵＧＸＤＧＥＫＳＡＤＥＪＶＳＨＩＹＢＷＲＨＥＦＥＧＺＣＧＯＢＢＪＥＦＢＯＣＳＲＵＥＺＵＢＨＹＪＪＸＢＩＷＦＶＨＱＷＱＰＭＶＵＦＸＣＦＤＪＲＷＸＣＮＥＴＡＲＵＥＩＣＳＱＱＰＳＫＨＫＺＮＧＪＫＧＴＨＸＰＭＪＥＡＨＭＤＤＸＱＤＯＷＭＶＯＱＤＸＷＴＣＡＭＸＪＭＫＱＲＺＫＫＰＳＧＯＹＩＲＯＪＺＤＥＤＦＹＵＹＮＵＴＢＷＲＥＭＩＡＲＳＣＲＴＭＸＥＸＱＥＳＨＸＧＺＢＯＢＨＥＮＬＸＩＵＱＯＵＣＫＵＴＦＤＲＳＪＴＶＺＵＫＰＰＯＱＣＦＪＹＦ</definedName>
    <definedName name="com">[0]!com</definedName>
    <definedName name="COMPL">#REF!</definedName>
    <definedName name="COMPONENT">#REF!</definedName>
    <definedName name="CONCURRENCE">#REF!</definedName>
    <definedName name="CONT">[0]!CONT</definedName>
    <definedName name="Contents">[0]!Contents</definedName>
    <definedName name="Cover">[0]!Cover</definedName>
    <definedName name="_xlnm.Criteria">#REF!</definedName>
    <definedName name="ＣＸＭ" hidden="1">#REF!</definedName>
    <definedName name="d" localSheetId="4" hidden="1">{"'11.6.2'!$R$10","'11.6.2'!$C$23:$L$26"}</definedName>
    <definedName name="d" localSheetId="10" hidden="1">{"'11.6.2'!$R$10","'11.6.2'!$C$23:$L$26"}</definedName>
    <definedName name="d" hidden="1">{"'11.6.2'!$R$10","'11.6.2'!$C$23:$L$26"}</definedName>
    <definedName name="D_112">[30]DataList!#REF!</definedName>
    <definedName name="D_113">[30]DataList!#REF!</definedName>
    <definedName name="D_114">[31]DataList!#REF!</definedName>
    <definedName name="D_115">[31]DataList!#REF!</definedName>
    <definedName name="D_116">[32]DataList!#REF!</definedName>
    <definedName name="D_117">[32]DataList!#REF!</definedName>
    <definedName name="D_118">[30]DataList!#REF!</definedName>
    <definedName name="D_11C">#REF!</definedName>
    <definedName name="D_120">[30]DataList!#REF!</definedName>
    <definedName name="D_122">[32]DataList!#REF!</definedName>
    <definedName name="D_124">[32]DataList!#REF!</definedName>
    <definedName name="D_125">[30]DataList!#REF!</definedName>
    <definedName name="D_126">[31]DataList!#REF!</definedName>
    <definedName name="D_127">[31]DataList!#REF!</definedName>
    <definedName name="D_130">[32]DataList!#REF!</definedName>
    <definedName name="D_131">[32]DataList!#REF!</definedName>
    <definedName name="D_132">[32]DataList!#REF!</definedName>
    <definedName name="D_133">[31]DataList!#REF!</definedName>
    <definedName name="D_136">[31]DataList!#REF!</definedName>
    <definedName name="D_13C">#REF!</definedName>
    <definedName name="D_13D">#REF!</definedName>
    <definedName name="D_13E">#REF!</definedName>
    <definedName name="D_13F">[32]DataList!#REF!</definedName>
    <definedName name="D_170">[33]DataList!#REF!</definedName>
    <definedName name="D_171">[33]DataList!#REF!</definedName>
    <definedName name="D_180">[32]DataList!#REF!</definedName>
    <definedName name="D_18C">[32]DataList!#REF!</definedName>
    <definedName name="D_18D">[32]DataList!#REF!</definedName>
    <definedName name="D_18E">[31]DataList!#REF!</definedName>
    <definedName name="D_18F">[30]DataList!#REF!</definedName>
    <definedName name="D_1AD">[30]DataList!#REF!</definedName>
    <definedName name="D_1AE">[33]DataList!#REF!</definedName>
    <definedName name="D_1AF">[30]DataList!#REF!</definedName>
    <definedName name="D_1B0">[31]DataList!#REF!</definedName>
    <definedName name="D_1B4">[30]DataList!#REF!</definedName>
    <definedName name="D_1B8">[30]DataList!#REF!</definedName>
    <definedName name="D_1D0">[31]DataList!#REF!</definedName>
    <definedName name="D_1EF">[30]DataList!#REF!</definedName>
    <definedName name="D_280">[30]DataList!#REF!</definedName>
    <definedName name="D_2A0">[32]DataList!#REF!</definedName>
    <definedName name="D_2A1">[32]DataList!#REF!</definedName>
    <definedName name="D_310">[32]DataList!#REF!</definedName>
    <definedName name="D_311">[30]DataList!#REF!</definedName>
    <definedName name="D_312">[31]DataList!#REF!</definedName>
    <definedName name="D_314">[32]DataList!#REF!</definedName>
    <definedName name="D_318">[32]DataList!#REF!</definedName>
    <definedName name="D_31C">#REF!</definedName>
    <definedName name="D_32C">#REF!</definedName>
    <definedName name="D_338">#REF!</definedName>
    <definedName name="D_340">#REF!</definedName>
    <definedName name="D_380">[32]DataList!#REF!</definedName>
    <definedName name="D_381">[30]DataList!#REF!</definedName>
    <definedName name="D_390">#REF!</definedName>
    <definedName name="D_3A0">[32]DataList!#REF!</definedName>
    <definedName name="D_3A1">#REF!</definedName>
    <definedName name="D_3A5">[30]DataList!#REF!</definedName>
    <definedName name="D_3A6">[30]DataList!#REF!</definedName>
    <definedName name="D_3A8">[30]DataList!#REF!</definedName>
    <definedName name="D_3B0">[31]DataList!#REF!</definedName>
    <definedName name="D_3B8">[30]DataList!#REF!</definedName>
    <definedName name="D_3B9">[30]DataList!#REF!</definedName>
    <definedName name="D_3BF">[30]DataList!#REF!</definedName>
    <definedName name="D_3C0">[30]DataList!#REF!</definedName>
    <definedName name="D_3D0">[32]DataList!#REF!</definedName>
    <definedName name="D_3D1">[32]DataList!#REF!</definedName>
    <definedName name="D_3D2">[31]DataList!#REF!</definedName>
    <definedName name="D_3D4">[32]DataList!#REF!</definedName>
    <definedName name="D_3D5">[30]DataList!#REF!</definedName>
    <definedName name="D_3D6">[31]DataList!#REF!</definedName>
    <definedName name="D_3D7">[30]DataList!#REF!</definedName>
    <definedName name="D_3D8">[31]DataList!#REF!</definedName>
    <definedName name="D_3D9">[30]DataList!#REF!</definedName>
    <definedName name="D_3E8">[31]DataList!#REF!</definedName>
    <definedName name="D_3F4">[32]DataList!#REF!</definedName>
    <definedName name="D_3F5">[32]DataList!#REF!</definedName>
    <definedName name="D_3F6">[32]DataList!#REF!</definedName>
    <definedName name="D_3Fx">[31]DataList!#REF!</definedName>
    <definedName name="D_4Fx">[32]DataList!#REF!</definedName>
    <definedName name="D_61E">#REF!</definedName>
    <definedName name="D_61F">#REF!</definedName>
    <definedName name="D_63x">[32]DataList!#REF!</definedName>
    <definedName name="DAISU">#REF!</definedName>
    <definedName name="dasdg">[5]DataList!#REF!</definedName>
    <definedName name="data">#REF!</definedName>
    <definedName name="data2">#REF!</definedName>
    <definedName name="_xlnm.Database">#REF!</definedName>
    <definedName name="DataList">#REF!</definedName>
    <definedName name="datanew">#REF!</definedName>
    <definedName name="datanew2">#REF!</definedName>
    <definedName name="ＤＢＢＡＣＶＹＲＦＦＮＩＪＦＲＧＶＵＬＦＱＬＧＮＳＫＪＤＤＲＦＴＤＴＦＯＵＯＢＬＪＶＭＳＶＴＺＨＩＳＴＹＫＩＱＧＫＴＸＳＩＦＧＦＨＡＷＡＩＢＪＬＭＩＶＪＺＲＰＪＴＯＫＲＷＮＮＧＴＥＬＳＷＰＲＥＹＸＵＤＢＮＹＧＥＫＭＴＥＦＪＯＭＡＩＳＣＬＪＤＴＸＷＹＲＮＲＧＮＭＵＹＵＧＯＫＣＴＵＦＴＶＳＤＪＤＷＫＶＵＩＺＩＢＤＱＤＪＧＰＮＺＫＷＱＷＦＭＸＳＥＣＱＲＩＳＵＹＴＪＯＯＮＰＢＥＩＸＩＱＳＴＰＣＪＧＹＰＱＡＯＲＹＷＮＵＨＨＵＮＢＫＡＭＶＩＶＢＹＨＹＶＢＥＣＨＱＸＢＣＨＳＱＧＷＺＪＮＩＹＶＶＶＸＱＴＸＦＳＥＺＡＷＪＸ" localSheetId="10" hidden="1">#REF!</definedName>
    <definedName name="ＤＢＢＡＣＶＹＲＦＦＮＩＪＦＲＧＶＵＬＦＱＬＧＮＳＫＪＤＤＲＦＴＤＴＦＯＵＯＢＬＪＶＭＳＶＴＺＨＩＳＴＹＫＩＱＧＫＴＸＳＩＦＧＦＨＡＷＡＩＢＪＬＭＩＶＪＺＲＰＪＴＯＫＲＷＮＮＧＴＥＬＳＷＰＲＥＹＸＵＤＢＮＹＧＥＫＭＴＥＦＪＯＭＡＩＳＣＬＪＤＴＸＷＹＲＮＲＧＮＭＵＹＵＧＯＫＣＴＵＦＴＶＳＤＪＤＷＫＶＵＩＺＩＢＤＱＤＪＧＰＮＺＫＷＱＷＦＭＸＳＥＣＱＲＩＳＵＹＴＪＯＯＮＰＢＥＩＸＩＱＳＴＰＣＪＧＹＰＱＡＯＲＹＷＮＵＨＨＵＮＢＫＡＭＶＩＶＢＹＨＹＶＢＥＣＨＱＸＢＣＨＳＱＧＷＺＪＮＩＹＶＶＶＸＱＴＸＦＳＥＺＡＷＪＸ" hidden="1">#REF!</definedName>
    <definedName name="DDDD">[34]DATA01!$C$2:$E$23</definedName>
    <definedName name="DDI_FZM_9">#REF!</definedName>
    <definedName name="ＤＥＡＭＵＱＩＺＢＬ" localSheetId="10" hidden="1">#REF!</definedName>
    <definedName name="ＤＥＡＭＵＱＩＺＢＬ" hidden="1">#REF!</definedName>
    <definedName name="DEPT_">#REF!</definedName>
    <definedName name="DESCRIPTION">#REF!</definedName>
    <definedName name="ＤＨＴＲＦＧＸＡＪＯＩＹＷＷＶＹＱＵＸＦＴＳＡＵＱＣＲＧＦＷＱＢＳＹＥＶＶＯＰＣＧＮＢＬＡＭＶＢＶＵＲＡＺＵＺＣＡＧＰＰＡＢＦＲＩＷＥＶＹＨＬ" localSheetId="10" hidden="1">#REF!</definedName>
    <definedName name="ＤＨＴＲＦＧＸＡＪＯＩＹＷＷＶＹＱＵＸＦＴＳＡＵＱＣＲＧＦＷＱＢＳＹＥＶＶＯＰＣＧＮＢＬＡＭＶＢＶＵＲＡＺＵＺＣＡＧＰＰＡＢＦＲＩＷＥＶＹＨＬ" hidden="1">#REF!</definedName>
    <definedName name="DID__DE01">#REF!</definedName>
    <definedName name="DID_0440">#REF!</definedName>
    <definedName name="DID_5678">#REF!</definedName>
    <definedName name="DID_ABCD">#REF!</definedName>
    <definedName name="DID_CC_9">#REF!</definedName>
    <definedName name="DID_D100">#REF!</definedName>
    <definedName name="DID_D900">#REF!</definedName>
    <definedName name="DID_DAD9">#REF!</definedName>
    <definedName name="DID_DADA">#REF!</definedName>
    <definedName name="DID_DADB">#REF!</definedName>
    <definedName name="DID_DADC">#REF!</definedName>
    <definedName name="DID_DADD">#REF!</definedName>
    <definedName name="DID_DADE">#REF!</definedName>
    <definedName name="DID_DADF">#REF!</definedName>
    <definedName name="DID_DAE0">#REF!</definedName>
    <definedName name="DID_DAE1">#REF!</definedName>
    <definedName name="DID_DAE2">#REF!</definedName>
    <definedName name="DID_DAE3">#REF!</definedName>
    <definedName name="DID_DAE4">#REF!</definedName>
    <definedName name="DID_DAE5">#REF!</definedName>
    <definedName name="DID_DAE6">#REF!</definedName>
    <definedName name="DID_DAE7">#REF!</definedName>
    <definedName name="DID_DAE8">#REF!</definedName>
    <definedName name="DID_DAE9">#REF!</definedName>
    <definedName name="DID_DD00">#REF!</definedName>
    <definedName name="DID_DE00">#REF!</definedName>
    <definedName name="DID_DE01">#REF!</definedName>
    <definedName name="DID_F4XX">#REF!</definedName>
    <definedName name="DID_F6xx">#REF!</definedName>
    <definedName name="DID_F8XX">#REF!</definedName>
    <definedName name="ＤＬＵＥＯＬＧＷＡＡＡＣＢＦＵＡＡＩＫＬＨＵＢＹＱＰＺＯＱＸＣＮＴＮＧＵＦＥＳＪＳＬＮＲＷＴＤＢＭＸＫＧＥＫＳＺＫＥＪＶＳＰＦＰＳＷＬＰＰＰＲＤＧＫＺＦＦＮＰＱＭＺＧＣＶＬＮＸＬＣＡＲＹＬＬＺＤＪＸＨＸＪＳＦＳＸＵＤＶＧＹＥＪＯＸＥＩＪＯＺＴＵＫＮＸＢＷＭＪＪＪＬＥＨＬＴＧＧＯＪＫＫＹＯＭＤＹＩＤＺＦＬＣＣＶＷＪＮＵＩＰＢＫＱＫＪＧＰＮＺＱＷＺＸＤＱＡＢＧＳＩＸＦＶＹＩＭＨＷＵＵＵＷＰＬＬＹＲＺＢＣＰＤＴＬＪＤＮＬＳＸＰＯＩＢＰＡＧＮＥＮＧＩＶＳＰＹＷＩＴＦＩＧＭＮＶＦＧＬＱＮＣＫＴＵＲＭＣＧＨＧＩＢＸＢ">[10]P1_cover!ＤＬＵＥＯＬＧＷＡＡＡＣＢＦＵＡＡＩＫＬＨＵＢＹＱＰＺＯＱＸＣＮＴＮＧＵＦＥＳＪＳＬＮＲＷＴＤＢＭＸＫＧＥＫＳＺＫＥＪＶＳＰＦＰＳＷＬＰＰＰＲＤＧＫＺＦＦＮＰＱＭＺＧＣＶＬＮＸＬＣＡＲＹＬＬＺＤＪＸＨＸＪＳＦＳＸＵＤＶＧＹＥＪＯＸＥＩＪＯＺＴＵＫＮＸＢＷＭＪＪＪＬＥＨＬＴＧＧＯＪＫＫＹＯＭＤＹＩＤＺＦＬＣＣＶＷＪＮＵＩＰＢＫＱＫＪＧＰＮＺＱＷＺＸＤＱＡＢＧＳＩＸＦＶＹＩＭＨＷＵＵＵＷＰＬＬＹＲＺＢＣＰＤＴＬＪＤＮＬＳＸＰＯＩＢＰＡＧＮＥＮＧＩＶＳＰＹＷＩＴＦＩＧＭＮＶＦＧＬＱＮＣＫＴＵＲＭＣＧＨＧＩＢＸＢ</definedName>
    <definedName name="dns">[2]result!#REF!</definedName>
    <definedName name="DTR1・">[35]選酋表!#REF!</definedName>
    <definedName name="DVPNUMBER">#REF!</definedName>
    <definedName name="EE">[34]DATA01!$I$4:$P$18</definedName>
    <definedName name="ＥＦＱＥＧＮＬＤＪＷＷＫＯＵＩＳＩＰＣＰＵＲ" localSheetId="4" hidden="1">#REF!</definedName>
    <definedName name="ＥＦＱＥＧＮＬＤＪＷＷＫＯＵＩＳＩＰＣＰＵＲ" localSheetId="10" hidden="1">#REF!</definedName>
    <definedName name="ＥＦＱＥＧＮＬＤＪＷＷＫＯＵＩＳＩＰＣＰＵＲ" hidden="1">#REF!</definedName>
    <definedName name="ei" localSheetId="4" hidden="1">{#N/A,#N/A,TRUE,"RIDE";#N/A,#N/A,TRUE,"STEERING";#N/A,#N/A,TRUE,"HANDLING";#N/A,#N/A,TRUE,"BRAKING"}</definedName>
    <definedName name="ei" localSheetId="10" hidden="1">{#N/A,#N/A,TRUE,"RIDE";#N/A,#N/A,TRUE,"STEERING";#N/A,#N/A,TRUE,"HANDLING";#N/A,#N/A,TRUE,"BRAKING"}</definedName>
    <definedName name="ei" hidden="1">{#N/A,#N/A,TRUE,"RIDE";#N/A,#N/A,TRUE,"STEERING";#N/A,#N/A,TRUE,"HANDLING";#N/A,#N/A,TRUE,"BRAKING"}</definedName>
    <definedName name="Einleitung_Testspezifikation_URT_DE">#REF!</definedName>
    <definedName name="Einleitung_URT_Testspezifikation_DE">#REF!</definedName>
    <definedName name="el">[2]result!#REF!</definedName>
    <definedName name="END">'[22]002(4)'!#REF!</definedName>
    <definedName name="ENG">#REF!</definedName>
    <definedName name="ＥＰＪＯＪＹＺＰＺＣＧＢＲＶＡＣＯＲＶＫＱＱＹＡＢＤＬＨＺＱＲＢＱＳＺＸＰＶＩＩＷＡＧＵＢＮＷＪＷＣＺＩＺＬＤＩＬＪＰＸＡＢＧＳＰＥＦＶＹＩＭＨＷＵＵＴＷＯＳＷＬＬＴＯＰＬＸＭＢＡＲＬＷＲＭＴＹＮＧＧＵＹＥＴＣＬＵＡＵＴＱＺＹＪＢＧＪＨＮＷＷＨＥＱＨＶＤＴＸＧＫＨＦＦＥＨＺＷＺＰＣＶＤＦＧＣＯＱＩＧＡＬＧＢＩＮＦＦＹＲＦＱＷＥＵＤＷＹＸＷＴＣＭＸＪＭＫＱＳＺＫＫＯＬＡＩＲＢＡＶＫＰＰＯＲＮＲＧＮＭＡＢＸＫＲＯＧＸＹＩＷＺＧＬＶＣＷＰＣＯＮＢＳＹＡＮＡＧＤＭＯＺＬＨＦＬＵＢＭＧＫＷＴＩＪＺＪＭＱＬＢＦＧＱＣ">[10]P1_cover!ＥＰＪＯＪＹＺＰＺＣＧＢＲＶＡＣＯＲＶＫＱＱＹＡＢＤＬＨＺＱＲＢＱＳＺＸＰＶＩＩＷＡＧＵＢＮＷＪＷＣＺＩＺＬＤＩＬＪＰＸＡＢＧＳＰＥＦＶＹＩＭＨＷＵＵＴＷＯＳＷＬＬＴＯＰＬＸＭＢＡＲＬＷＲＭＴＹＮＧＧＵＹＥＴＣＬＵＡＵＴＱＺＹＪＢＧＪＨＮＷＷＨＥＱＨＶＤＴＸＧＫＨＦＦＥＨＺＷＺＰＣＶＤＦＧＣＯＱＩＧＡＬＧＢＩＮＦＦＹＲＦＱＷＥＵＤＷＹＸＷＴＣＭＸＪＭＫＱＳＺＫＫＯＬＡＩＲＢＡＶＫＰＰＯＲＮＲＧＮＭＡＢＸＫＲＯＧＸＹＩＷＺＧＬＶＣＷＰＣＯＮＢＳＹＡＮＡＧＤＭＯＺＬＨＦＬＵＢＭＧＫＷＴＩＪＺＪＭＱＬＢＦＧＱＣ</definedName>
    <definedName name="EQ_CV_VEIRC_L1_CD_3">'[18]Special ECU Information'!#REF!</definedName>
    <definedName name="EQ_CV_VEIRC_L1_IDC_3">'[18]Special ECU Information'!#REF!</definedName>
    <definedName name="EQ_CV_VEIRC_L2_3">'[18]Special ECU Information'!#REF!</definedName>
    <definedName name="EQ_CV_VEIRC_L3_3">'[18]Special ECU Information'!#REF!</definedName>
    <definedName name="EQ_CV_VEIRC_L3_NAV_3">'[18]Special ECU Information'!#REF!</definedName>
    <definedName name="EQ_CV_VEIRC_L4_3">'[18]Special ECU Information'!#REF!</definedName>
    <definedName name="EQ_CV_VEIRC_L4_NAV_3">'[18]Special ECU Information'!#REF!</definedName>
    <definedName name="EQ_CV_VEIRC_L5_3">'[18]Special ECU Information'!#REF!</definedName>
    <definedName name="EQ_CV_VEIRC_L5_NAV_3">'[18]Special ECU Information'!#REF!</definedName>
    <definedName name="er">[0]!er</definedName>
    <definedName name="evp">[2]result!#REF!</definedName>
    <definedName name="ewr">[0]!ewr</definedName>
    <definedName name="eww">[0]!eww</definedName>
    <definedName name="Excel_BuiltIn__FilterDatabase_9">[18]DID!#REF!</definedName>
    <definedName name="_xlnm.Extract">#REF!</definedName>
    <definedName name="ｆ">'[22]002(4)'!#REF!</definedName>
    <definedName name="F4XX">#REF!</definedName>
    <definedName name="F8XX">#REF!</definedName>
    <definedName name="ＦＩＭ">[0]!ＦＩＭ</definedName>
    <definedName name="FIMOD">[0]!FIMOD</definedName>
    <definedName name="FIMOD_temp">[0]!FIMOD_temp</definedName>
    <definedName name="FIRSTHOME">#REF!</definedName>
    <definedName name="FORMDATA">#REF!</definedName>
    <definedName name="fp">[2]result!#REF!</definedName>
    <definedName name="ft">[2]result!#REF!</definedName>
    <definedName name="FUSE2">#REF!</definedName>
    <definedName name="Fußzeile_links">#REF!</definedName>
    <definedName name="Fußzeile_mitte">#REF!</definedName>
    <definedName name="ＦＷＸＩＷＹＦＫＶＢＮＢＭＬＺＱＺＳＵＨＵＡＸＧＥＱＢＮＱＷＥＭＷＱＶＷＬＭＣＭＰＴＮＤＩＩＨＫＶＺＣＳＹＹＧＣＹＬＳＰＨＹＺＪＸＡＨＦＷＤＱＱＤＩＧＱＦＳＡＮＢＧＤＭＥＰＨＮＰＢＪＲＵＶＡＭＪＹＺＰＳＣＧＢＱＯＯＮＹＢＦＮＢＡＩＤＦＡＮＢＲＱＫＵＰＬＳＸＯＯＩＩＶＡＧＵＲＤＭＳＭＫＨＱＰＡＳＹＢＺＥＮＮＹＺＥＰＣＫＡＤＮＲＭＣＺＲＴＭＩＭＢＯＨＰＲＳＯＢＰＦＸＨＲＭＨＯＴＬＬＲＦＱＷＤＵＤＷＹＬＦＤＡＪＩＴＤＧＥＫＭＷＸＣＨＥＴＢＫＵＥＢＷＬＱＱＰＳＫＰＥＫＫＳＵＶＲＤＬＡＲＳＣＱＴＡＦＨＢＵＨＴＳＧＸ" localSheetId="10" hidden="1">#REF!</definedName>
    <definedName name="ＦＷＸＩＷＹＦＫＶＢＮＢＭＬＺＱＺＳＵＨＵＡＸＧＥＱＢＮＱＷＥＭＷＱＶＷＬＭＣＭＰＴＮＤＩＩＨＫＶＺＣＳＹＹＧＣＹＬＳＰＨＹＺＪＸＡＨＦＷＤＱＱＤＩＧＱＦＳＡＮＢＧＤＭＥＰＨＮＰＢＪＲＵＶＡＭＪＹＺＰＳＣＧＢＱＯＯＮＹＢＦＮＢＡＩＤＦＡＮＢＲＱＫＵＰＬＳＸＯＯＩＩＶＡＧＵＲＤＭＳＭＫＨＱＰＡＳＹＢＺＥＮＮＹＺＥＰＣＫＡＤＮＲＭＣＺＲＴＭＩＭＢＯＨＰＲＳＯＢＰＦＸＨＲＭＨＯＴＬＬＲＦＱＷＤＵＤＷＹＬＦＤＡＪＩＴＤＧＥＫＭＷＸＣＨＥＴＢＫＵＥＢＷＬＱＱＰＳＫＰＥＫＫＳＵＶＲＤＬＡＲＳＣＱＴＡＦＨＢＵＨＴＳＧＸ" hidden="1">#REF!</definedName>
    <definedName name="ＦＺＳＦＤＫＡＪＪＷＱＰＭＶＴＦＱＣＦＤＪＫＳＸＣＧＥＴＡＫＵＤＢＶＬＱＱＰＲＯＲＨＮＮＶＸＭＹＧＣＵＬＭＸＬＮＵＺＣＶＯＣＮＮＢＲＣＥＲＥＫＨＱＯＡＬＸＴＲＸＲＣＶＡＭＪＹＺＰＪＮＩＹＤＤＣＦＱＵＸＭＴＳＡＣＥＱＹＵＭＤＥＯＤＦＭＫＣＩＴＨＬＲＦＰＦＲＡＮＸＵＤＶＧＹＥＨＦＫＴＡＥＦＫＶＴＩＩＺＣＹＴＪＨＨＧＪＢＨＰＤＣＫＦＨＣＰＤＴＳＪＤＮＢＩＮＦＦＹＹＭＱＷＫＵＫＷＦＬＦＥＢＱＢＴＹＢＺＦＯＯＺＡＥＱＨＶＤＴＸＧＫＦＶＳＬＯＧＤＧＷＪＣＫＭＮＷＫＡＳＰＫＵＰＬＳＸＳＭＦＳＥＫＲＩＱＪＬＹＳＲＯＸＷＨ" localSheetId="10" hidden="1">#REF!</definedName>
    <definedName name="ＦＺＳＦＤＫＡＪＪＷＱＰＭＶＴＦＱＣＦＤＪＫＳＸＣＧＥＴＡＫＵＤＢＶＬＱＱＰＲＯＲＨＮＮＶＸＭＹＧＣＵＬＭＸＬＮＵＺＣＶＯＣＮＮＢＲＣＥＲＥＫＨＱＯＡＬＸＴＲＸＲＣＶＡＭＪＹＺＰＪＮＩＹＤＤＣＦＱＵＸＭＴＳＡＣＥＱＹＵＭＤＥＯＤＦＭＫＣＩＴＨＬＲＦＰＦＲＡＮＸＵＤＶＧＹＥＨＦＫＴＡＥＦＫＶＴＩＩＺＣＹＴＪＨＨＧＪＢＨＰＤＣＫＦＨＣＰＤＴＳＪＤＮＢＩＮＦＦＹＹＭＱＷＫＵＫＷＦＬＦＥＢＱＢＴＹＢＺＦＯＯＺＡＥＱＨＶＤＴＸＧＫＦＶＳＬＯＧＤＧＷＪＣＫＭＮＷＫＡＳＰＫＵＰＬＳＸＳＭＦＳＥＫＲＩＱＪＬＹＳＲＯＸＷＨ" hidden="1">#REF!</definedName>
    <definedName name="F開発日程">#REF!</definedName>
    <definedName name="G">[36]data!#REF!</definedName>
    <definedName name="ＧＣＡＧＯＷＧＡＦＲＯＤＥＵＥＨＬＨＬＬＬＮＪＮＣＪＩＱＳＵＰＣＫＧＹＩＳＧＪＱＯＦＭＺＺＭＱＥＯＥＱＺＭＺＦＣＬＣＯＧＬＯＭＳＡＤＤＩＵＲＧＨＸＡＫＯＪＺＷＷＷＹＲＵＮＢＡＩＤＦＡＮＢＲＱＨＢＲＮＵＺＱＱＫＫＸＫＹＩＹＫＴＺＴＰＹＸＩＡＦＩＧＭＶＶＧＨＬＸＯＣＫＢＥＮＲＬＪＪＩＬＤＡＤＳＧＺＨＩＫＧＳＨＺＸＲＢＸＳＺＥＷＶＰＩＷＨＮＣＬＥＧＴＮＭＩＸＪＵＧＪＨＮＯＷＨＨＭＲＶＤＭＷＧＤＹＯＳＳＳＵＷＺＯＶＵＤＥＧＣＯＷＳＫＢＣＭＢＤＫＰＡＨＡＯＺＺＮＤＭＦＨＵＨＮＬＪＶＧＳＯＭＳＡＩＳＭＲＤＡＰＱＧＱＴ" localSheetId="4" hidden="1">#REF!</definedName>
    <definedName name="ＧＣＡＧＯＷＧＡＦＲＯＤＥＵＥＨＬＨＬＬＬＮＪＮＣＪＩＱＳＵＰＣＫＧＹＩＳＧＪＱＯＦＭＺＺＭＱＥＯＥＱＺＭＺＦＣＬＣＯＧＬＯＭＳＡＤＤＩＵＲＧＨＸＡＫＯＪＺＷＷＷＹＲＵＮＢＡＩＤＦＡＮＢＲＱＨＢＲＮＵＺＱＱＫＫＸＫＹＩＹＫＴＺＴＰＹＸＩＡＦＩＧＭＶＶＧＨＬＸＯＣＫＢＥＮＲＬＪＪＩＬＤＡＤＳＧＺＨＩＫＧＳＨＺＸＲＢＸＳＺＥＷＶＰＩＷＨＮＣＬＥＧＴＮＭＩＸＪＵＧＪＨＮＯＷＨＨＭＲＶＤＭＷＧＤＹＯＳＳＳＵＷＺＯＶＵＤＥＧＣＯＷＳＫＢＣＭＢＤＫＰＡＨＡＯＺＺＮＤＭＦＨＵＨＮＬＪＶＧＳＯＭＳＡＩＳＭＲＤＡＰＱＧＱＴ" localSheetId="10" hidden="1">#REF!</definedName>
    <definedName name="ＧＣＡＧＯＷＧＡＦＲＯＤＥＵＥＨＬＨＬＬＬＮＪＮＣＪＩＱＳＵＰＣＫＧＹＩＳＧＪＱＯＦＭＺＺＭＱＥＯＥＱＺＭＺＦＣＬＣＯＧＬＯＭＳＡＤＤＩＵＲＧＨＸＡＫＯＪＺＷＷＷＹＲＵＮＢＡＩＤＦＡＮＢＲＱＨＢＲＮＵＺＱＱＫＫＸＫＹＩＹＫＴＺＴＰＹＸＩＡＦＩＧＭＶＶＧＨＬＸＯＣＫＢＥＮＲＬＪＪＩＬＤＡＤＳＧＺＨＩＫＧＳＨＺＸＲＢＸＳＺＥＷＶＰＩＷＨＮＣＬＥＧＴＮＭＩＸＪＵＧＪＨＮＯＷＨＨＭＲＶＤＭＷＧＤＹＯＳＳＳＵＷＺＯＶＵＤＥＧＣＯＷＳＫＢＣＭＢＤＫＰＡＨＡＯＺＺＮＤＭＦＨＵＨＮＬＪＶＧＳＯＭＳＡＩＳＭＲＤＡＰＱＧＱＴ" hidden="1">#REF!</definedName>
    <definedName name="General_E">#REF!</definedName>
    <definedName name="General_J">#REF!</definedName>
    <definedName name="ＧＪＴＸＳＨＦＫＮＦＩＭＵＩＨＰＫＭＩＵＪＹＸＯＪＦＡＨＭＤＤＸＸＬＰＶＪＴＪＶＥＫＫＨＱＯＡＳＸＡＹＥＭＮＹＹＤＰＦＵＣＲＡＦＺＰＮＮＭＰＨＥＨＷＫＣＬＭＯＫＷＵＭＪＥＯＪＦＬＲＩＩＢＶＩＴＯＦＯＧＪＶＱＷＦＥＰＡＭＰＮＴＶＣＮＯＳＸＴＢＫＵＥＢＶＬＱＱＰＳＫＨＫＡＧＧＯＣＹＫＳＯＧＸＹＪＱＸＣＮＵＯＢＭＭＡＲＺＳＵＨＵＡＸＧＦＱＢＮＪＨＮＷＺＴＸＪＨＶＷＭＸＺＤＹＯＳＴＳＵＧＪＣＪＪＲＳＵＱＣＫＧＹＰＱＡＰＲＹＷＯＵＨＮＲＸＬＶＬＸＧＲＷＴＣＵＦＸＤＧＥＫＳＺＤＥＪＶＳＨＲＶＥＩＤＴＱＲＱＳＬＯＳＡＮ" localSheetId="10" hidden="1">#REF!</definedName>
    <definedName name="ＧＪＴＸＳＨＦＫＮＦＩＭＵＩＨＰＫＭＩＵＪＹＸＯＪＦＡＨＭＤＤＸＸＬＰＶＪＴＪＶＥＫＫＨＱＯＡＳＸＡＹＥＭＮＹＹＤＰＦＵＣＲＡＦＺＰＮＮＭＰＨＥＨＷＫＣＬＭＯＫＷＵＭＪＥＯＪＦＬＲＩＩＢＶＩＴＯＦＯＧＪＶＱＷＦＥＰＡＭＰＮＴＶＣＮＯＳＸＴＢＫＵＥＢＶＬＱＱＰＳＫＨＫＡＧＧＯＣＹＫＳＯＧＸＹＪＱＸＣＮＵＯＢＭＭＡＲＺＳＵＨＵＡＸＧＦＱＢＮＪＨＮＷＺＴＸＪＨＶＷＭＸＺＤＹＯＳＴＳＵＧＪＣＪＪＲＳＵＱＣＫＧＹＰＱＡＰＲＹＷＯＵＨＮＲＸＬＶＬＸＧＲＷＴＣＵＦＸＤＧＥＫＳＺＤＥＪＶＳＨＲＶＥＩＤＴＱＲＱＳＬＯＳＡＮ" hidden="1">#REF!</definedName>
    <definedName name="ＧＲＭＨＯＴＬＬＥＥＳＷＣＲＡＱＣＬＢＺＷＦＥＰＨＭＰＮＣＤＮＯＴＦＶＫＳＩＬＶＺＵＪＨＨＧＪＣＧＶＩＢＪＬＭＩＶＪＺＲＰＪＧＣＪＯＦＦＺＲＣＪＱＧＰＲＥＹＸＵＨＴＥＱＴＲＸＹＧＲＲＷＢＹＣＭＷＦＣＸＮＲＳＲＴＭＩＭＢＩＨＰＲＴＦＮＪＢＳＴＳＵＢＧＲＹＲＫＹＪＪＸＮＷＰＲＥＲＸＵＴＦＱＣＹＷＣＫＳＣＷＢＮＫＺＵＦＨＬＧＷＡＢＡＣＯＣＲＹＹＧＨＪＦＲＺＶＮＥＦＰＥＧＮＷＤＱＱＤＨＯＣＭＢＮＷＪＨＥＮＦＱＩＮＱＯＵＣＫＯＯＴＦＣＲＪＭＷＡＵＫＩＩＭＦＩＭＵＨＨＰＫＬＨＵＩＸＷＮＩＳＮＸＣＴＴＮＮＡＦＬＺＪＹＬ" localSheetId="10" hidden="1">#REF!</definedName>
    <definedName name="ＧＲＭＨＯＴＬＬＥＥＳＷＣＲＡＱＣＬＢＺＷＦＥＰＨＭＰＮＣＤＮＯＴＦＶＫＳＩＬＶＺＵＪＨＨＧＪＣＧＶＩＢＪＬＭＩＶＪＺＲＰＪＧＣＪＯＦＦＺＲＣＪＱＧＰＲＥＹＸＵＨＴＥＱＴＲＸＹＧＲＲＷＢＹＣＭＷＦＣＸＮＲＳＲＴＭＩＭＢＩＨＰＲＴＦＮＪＢＳＴＳＵＢＧＲＹＲＫＹＪＪＸＮＷＰＲＥＲＸＵＴＦＱＣＹＷＣＫＳＣＷＢＮＫＺＵＦＨＬＧＷＡＢＡＣＯＣＲＹＹＧＨＪＦＲＺＶＮＥＦＰＥＧＮＷＤＱＱＤＨＯＣＭＢＮＷＪＨＥＮＦＱＩＮＱＯＵＣＫＯＯＴＦＣＲＪＭＷＡＵＫＩＩＭＦＩＭＵＨＨＰＫＬＨＵＩＸＷＮＩＳＮＸＣＴＴＮＮＡＦＬＺＪＹＬ" hidden="1">#REF!</definedName>
    <definedName name="ＧＷＩＲＸＲＱＮＷＵＧＸＤＧＥＫＪＵＵＺＬＢＱＹＯＲＢＦＡＱＨＧＪＢＹＢＱＥＸＦＧＩＥＲＨＺＸＲＢＷＳＺＥＶＶＰＩＶＳＺＱＹＲＴＧＡＺＷＦＥＰＡＷＶＡＣＪＵＶＡＥＣＲＹＩＳＱＬＢＧＧＦＨＡＷＡＰＷＶＤＦＨＣＱＭＥＶＸＨＶＸＥＪＵＢＵＮＢＭＭＡＱＺＳＺＭＳＰＹＸＭＺＶＴＺＨＰＳＸＩＧＶＶＭＷＺＤＸＮＳＳＮＺＣＧＶＢＢＪＬＭＩＶＣＹＲＡＫＹＢＨＧＸＥＲＲＥＪＰＤＮＣＯＸＫＸＤＤＵＧＸＤＧＥＫＳＡＤＥＪＶＳＨＩＹＢＬＰＨＥＦＥＲＵＹＧＬＴＯＰＬＸＭＢＱＬＶＱＬＳＸＰＰＩＩＷＡＡＫＡＭＶＢＶＵＲＡＹＫＢＨＫＩＱＱ">[10]P1_cover!ＧＷＩＲＸＲＱＮＷＵＧＸＤＧＥＫＪＵＵＺＬＢＱＹＯＲＢＦＡＱＨＧＪＢＹＢＱＥＸＦＧＩＥＲＨＺＸＲＢＷＳＺＥＶＶＰＩＶＳＺＱＹＲＴＧＡＺＷＦＥＰＡＷＶＡＣＪＵＶＡＥＣＲＹＩＳＱＬＢＧＧＦＨＡＷＡＰＷＶＤＦＨＣＱＭＥＶＸＨＶＸＥＪＵＢＵＮＢＭＭＡＱＺＳＺＭＳＰＹＸＭＺＶＴＺＨＰＳＸＩＧＶＶＭＷＺＤＸＮＳＳＮＺＣＧＶＢＢＪＬＭＩＶＣＹＲＡＫＹＢＨＧＸＥＲＲＥＪＰＤＮＣＯＸＫＸＤＤＵＧＸＤＧＥＫＳＡＤＥＪＶＳＨＩＹＢＬＰＨＥＦＥＲＵＹＧＬＴＯＰＬＸＭＢＱＬＶＱＬＳＸＰＰＩＩＷＡＡＫＡＭＶＢＶＵＲＡＹＫＢＨＫＩＱＱ</definedName>
    <definedName name="Hardware_Number_9">#REF!</definedName>
    <definedName name="hh" localSheetId="4" hidden="1">{#N/A,#N/A,TRUE,"RIDE";#N/A,#N/A,TRUE,"STEERING";#N/A,#N/A,TRUE,"HANDLING";#N/A,#N/A,TRUE,"BRAKING"}</definedName>
    <definedName name="hh" localSheetId="10" hidden="1">{#N/A,#N/A,TRUE,"RIDE";#N/A,#N/A,TRUE,"STEERING";#N/A,#N/A,TRUE,"HANDLING";#N/A,#N/A,TRUE,"BRAKING"}</definedName>
    <definedName name="hh" hidden="1">{#N/A,#N/A,TRUE,"RIDE";#N/A,#N/A,TRUE,"STEERING";#N/A,#N/A,TRUE,"HANDLING";#N/A,#N/A,TRUE,"BRAKING"}</definedName>
    <definedName name="ＨＯＴＫＫＥＥＳＷＣＱＡＱＹＥＺＸＵＤＣＮＦＫＮＬＲＡＡＬＲＤＴＩＱＧＡＥＺＰＭＮＭＯＨＤＨＮＧＯＱＲＮＡＯＥＷＵＯＹＴＰＷＢＳＳＭＦＳＲＹＰＹＲＴＧＡＺＶＦＤＰＺＭＥＫＬＴＤＵＺＷＬＴＣＭＷＴＯＥＩＩＩＫＤＺＤＳＹＹＧＤＺＬＴＰＨＹＺＪＹＡＥＯＶＰＩＷＨＧＵＬＵＮＰＣＯＬＵＳＥＰＢＸＶＢＫＲＣＶＡＭＪＹＺＰＺＣＧＰＵＵＴＷＩＬＰＥＫＫＳＩＥＱＹＵＭＤＥＯＤＦＭＫＣＩＶＢＧＭＡＫＺＬＵＨＵＡＡＲＤＵＡＤＢＨＰＸＡＢＧＳＰＥＦＶＹＩＭＨＹＹＹＡＴＷＡＩＶＶＤＹＺＩＸＭＬＣＯＪＥＬＲＩＩＢＢＰＴＡＯＸＮＺＩＯ">[10]P1_cover!ＨＯＴＫＫＥＥＳＷＣＱＡＱＹＥＺＸＵＤＣＮＦＫＮＬＲＡＡＬＲＤＴＩＱＧＡＥＺＰＭＮＭＯＨＤＨＮＧＯＱＲＮＡＯＥＷＵＯＹＴＰＷＢＳＳＭＦＳＲＹＰＹＲＴＧＡＺＶＦＤＰＺＭＥＫＬＴＤＵＺＷＬＴＣＭＷＴＯＥＩＩＩＫＤＺＤＳＹＹＧＤＺＬＴＰＨＹＺＪＹＡＥＯＶＰＩＷＨＧＵＬＵＮＰＣＯＬＵＳＥＰＢＸＶＢＫＲＣＶＡＭＪＹＺＰＺＣＧＰＵＵＴＷＩＬＰＥＫＫＳＩＥＱＹＵＭＤＥＯＤＦＭＫＣＩＶＢＧＭＡＫＺＬＵＨＵＡＡＲＤＵＡＤＢＨＰＸＡＢＧＳＰＥＦＶＹＩＭＨＹＹＹＡＴＷＡＩＶＶＤＹＺＩＸＭＬＣＯＪＥＬＲＩＩＢＢＰＴＡＯＸＮＺＩＯ</definedName>
    <definedName name="HTML_CodePage" hidden="1">932</definedName>
    <definedName name="HTML_Control" localSheetId="4" hidden="1">{"'11.6.2'!$R$10","'11.6.2'!$C$23:$L$26"}</definedName>
    <definedName name="HTML_Control" localSheetId="10" hidden="1">{"'11.6.2'!$R$10","'11.6.2'!$C$23:$L$26"}</definedName>
    <definedName name="HTML_Control" hidden="1">{"'11.6.2'!$R$10","'11.6.2'!$C$23:$L$26"}</definedName>
    <definedName name="HTML_Description" hidden="1">""</definedName>
    <definedName name="HTML_Email" hidden="1">""</definedName>
    <definedName name="HTML_Header" hidden="1">"11.6.2"</definedName>
    <definedName name="HTML_LastUpdate" hidden="1">"99/07/22"</definedName>
    <definedName name="HTML_LineAfter" hidden="1">FALSE</definedName>
    <definedName name="HTML_LineBefore" hidden="1">FALSE</definedName>
    <definedName name="HTML_Name" hidden="1">"M.SONODA"</definedName>
    <definedName name="HTML_OBDlg2" hidden="1">TRUE</definedName>
    <definedName name="HTML_OBDlg4" hidden="1">TRUE</definedName>
    <definedName name="HTML_OS" hidden="1">0</definedName>
    <definedName name="HTML_PathFile" hidden="1">"C:\WINDOWS\ﾃﾞｽｸﾄｯﾌﾟ\MyHTML.htm"</definedName>
    <definedName name="HTML_Title" hidden="1">"コピー ～ モジュール仕様書11章new"</definedName>
    <definedName name="iad">[2]result!#REF!</definedName>
    <definedName name="ID_020">#REF!</definedName>
    <definedName name="ID_3E8">#REF!</definedName>
    <definedName name="ID_4F0">[37]IDMatrix!#REF!</definedName>
    <definedName name="Identification_DID_9A_9">#REF!</definedName>
    <definedName name="IDMatrix">#REF!</definedName>
    <definedName name="ＩＥＬＱＨＨＢＢＰＥＳＣＲＤＭＳＮＬＩＲＱＢＴＹＢＺＦＯＯＺＡＥＡＰＸＮＱＡＥＺＰＭＭＭＯＨＤＨＷＪＣＴＶＱＤＲＨＺＸＲＢＷＳＺＥＶＴＭＡＬＲＹＦＹＡＮＫＨＱＯＡＬＸＡＹＥＦＮＸＹＤＩＦＵＣＬＦＤＸＮＳＳＲＵＭＪＭＢＩＩＱＲＴＴＢＸＰＢＬＺＢＩＯＭＧＺＭＶＪＡＩＢＤＱＥＪＧＰＯＺＯＫＩＯＸＥＰＪＮＺＸＬＭＣＮＰＴＯＥＩＪＥＰＴＷＭＳＳＡＣＤＺＬＴＰＨＫＶＪＬＳＱＩＯＢＢＰＴＺＮＸＮＺＩＶＩＯＮＦＱＩＯＱＰＵＤＰＱＶＧＥＴＴＫＮＸＢＶＬＪＪＩＬＤＨＫＳＧＪＥＦＢＮＣＲＱＴＤＺＵＢＧＹＸＲＲＯＵＩＳＩＵＤＪＤ">[10]P1_cover!ＩＥＬＱＨＨＢＢＰＥＳＣＲＤＭＳＮＬＩＲＱＢＴＹＢＺＦＯＯＺＡＥＡＰＸＮＱＡＥＺＰＭＭＭＯＨＤＨＷＪＣＴＶＱＤＲＨＺＸＲＢＷＳＺＥＶＴＭＡＬＲＹＦＹＡＮＫＨＱＯＡＬＸＡＹＥＦＮＸＹＤＩＦＵＣＬＦＤＸＮＳＳＲＵＭＪＭＢＩＩＱＲＴＴＢＸＰＢＬＺＢＩＯＭＧＺＭＶＪＡＩＢＤＱＥＪＧＰＯＺＯＫＩＯＸＥＰＪＮＺＸＬＭＣＮＰＴＯＥＩＪＥＰＴＷＭＳＳＡＣＤＺＬＴＰＨＫＶＪＬＳＱＩＯＢＢＰＴＺＮＸＮＺＩＶＩＯＮＦＱＩＯＱＰＵＤＰＱＶＧＥＴＴＫＮＸＢＶＬＪＪＩＬＤＨＫＳＧＪＥＦＢＮＣＲＱＴＤＺＵＢＧＹＸＲＲＯＵＩＳＩＵＤＪＤ</definedName>
    <definedName name="ＩＥＬＱＨＨＢＵＯＵＢＳＢＵＷＪＤＢＹＨＧＲＲＵＳＹＺＨＲＳＸＣＺＯＮＸＧＤＹＯＳＴＳＵＮＪＮＣＪＩＭＮＪＷＤＡＳＪＫＵＩＬＲＸＨＯＨＢＯＺＺＣＫＤＦＳＦＬＩＲＱＢＭＹＵＳＹＨＯＺＴＸＪＨＸＮＸＡＥＹＯＴＴＳＶＧＫＮＤＪＪＭＮＪＷＤＡＳＪＫＵＩＬＳＱＨＯＢＢＯＴＦＰＥＱＺＭＺＦＣＬＤＯＧＬＯＭＳＢＩＭＮＲＤＡＢＲＶＶＱＦＤＤＣＦＸＢＥＮＡＡＩＤＥＡＭＹＸＮＩＳＮＪＱＶＭＭＫＸＣＩＷＧＶＨＱＣＢＹＨＧＲＪＯＲＰＶＤＥＰＰＵＧＷＬＴＪＳＷＲＨＦＦＥＧＺＶＺＯＣＵＣＥＧＢＯＣＢＺＴＤＺＵＧＹＹＲＫＹＪＶＭＶＯＱ">[10]P1_cover!ＩＥＬＱＨＨＢＵＯＵＢＳＢＵＷＪＤＢＹＨＧＲＲＵＳＹＺＨＲＳＸＣＺＯＮＸＧＤＹＯＳＴＳＵＮＪＮＣＪＩＭＮＪＷＤＡＳＪＫＵＩＬＲＸＨＯＨＢＯＺＺＣＫＤＦＳＦＬＩＲＱＢＭＹＵＳＹＨＯＺＴＸＪＨＸＮＸＡＥＹＯＴＴＳＶＧＫＮＤＪＪＭＮＪＷＤＡＳＪＫＵＩＬＳＱＨＯＢＢＯＴＦＰＥＱＺＭＺＦＣＬＤＯＧＬＯＭＳＢＩＭＮＲＤＡＢＲＶＶＱＦＤＤＣＦＸＢＥＮＡＡＩＤＥＡＭＹＸＮＩＳＮＪＱＶＭＭＫＸＣＩＷＧＶＨＱＣＢＹＨＧＲＪＯＲＰＶＤＥＰＰＵＧＷＬＴＪＳＷＲＨＦＦＥＧＺＶＺＯＣＵＣＥＧＢＯＣＢＺＴＤＺＵＧＹＹＲＫＹＪＶＭＶＯＱ</definedName>
    <definedName name="ImplementList">#REF!</definedName>
    <definedName name="InjMain">[0]!InjMain</definedName>
    <definedName name="InputOutputControlParameter">[38]dict!$A$1:$A$4</definedName>
    <definedName name="io">[0]!io</definedName>
    <definedName name="ＩＳＴＹＫＡＰＸＮＱＡＥＹＯＭＭＬＯＧＤＧＥＸＦＨＩＥＲＦＶＮＬＦＰＫＧＮＳＪＪＢＯＺＧＮＥＭＦＨＵＯＮＮＬＸＩＵＸＶＢＣＫＵＶＡＦＣＲＺＺＪＧＢＲＶＷＶＸＱＭＱＦＬＬＴＡＷＪＱＮＤＥＯＤＦＭＲＣＩＣＶＪＵＴＨＹＨＡＣＰＣＨＥＭＹＪＶＲＰＶＤＬＷＰＡＸＭＮＤＮＱＵＰＥＪＪＩＬＸＶＬＲＲＺＢＣＹＫＳＯＧＸＹＪＸＺＧＥＷＤＰＰＬＲＧＰＦＲＮＢＧＤＭＥＰＨＭＰＮＴＣＪＭＱＣＡＯＰＧＪＳＷＲＨＦＦＥＨＺＣＧＯＣＩＤＥＡＯＤＣＴＮＹＴＯＶＡＳＳＬＬＸＤＲＢＫＴＺＴＳＯＹＷＩＺＦＩＧＭＵＶＹＤＰＦＵＣＳＶＦＴＪＧＨＧ">[10]P1_cover!ＩＳＴＹＫＡＰＸＮＱＡＥＹＯＭＭＬＯＧＤＧＥＸＦＨＩＥＲＦＶＮＬＦＰＫＧＮＳＪＪＢＯＺＧＮＥＭＦＨＵＯＮＮＬＸＩＵＸＶＢＣＫＵＶＡＦＣＲＺＺＪＧＢＲＶＷＶＸＱＭＱＦＬＬＴＡＷＪＱＮＤＥＯＤＦＭＲＣＩＣＶＪＵＴＨＹＨＡＣＰＣＨＥＭＹＪＶＲＰＶＤＬＷＰＡＸＭＮＤＮＱＵＰＥＪＪＩＬＸＶＬＲＲＺＢＣＹＫＳＯＧＸＹＪＸＺＧＥＷＤＰＰＬＲＧＰＦＲＮＢＧＤＭＥＰＨＭＰＮＴＣＪＭＱＣＡＯＰＧＪＳＷＲＨＦＦＥＨＺＣＧＯＣＩＤＥＡＯＤＣＴＮＹＴＯＶＡＳＳＬＬＸＤＲＢＫＴＺＴＳＯＹＷＩＺＦＩＧＭＵＶＹＤＰＦＵＣＳＶＦＴＪＧＨＧ</definedName>
    <definedName name="ITEM">#REF!</definedName>
    <definedName name="ＩＸＹＯＲＢＦＡＱＨＧＪＢＦＩＱＥＤＭＧＩＥＱＦＵＴＭＷＲＭＴＺＱＱＪＪＸＢＩＷＬＸＧＭＧＥＢＫＪＵＭＳＶＴＹＨＨＳＴＹＪＡＰＷＺＪＮＨＮＮＭＰＨＥＱＤＷＥＧＨＤＱＥＵＵＰＺＵＱＸＣＴＴＮＧＴＥＷＮＶＯＱＤＸＷＴＣＢＭＸＪＭＫＱＳＺＫＵＺＸＬＴＣＮＷＴＨＬＬＬＮＧＣＧＳＳＡＣＡＭＵＱＩＺＡＫＺＢＩＮＹＥＹＸＩＨＶＭＶＯＱＤＱＷＴＣＡＺＬＨＦＬＵＢＭＧＫＷＵＩＪＡＧＫＦＵＺＺＹＢＭＱＴＪＰＰＸＺＡＷＸＵＭＤＥＯＣＦＭＫＢＩＶＶＩＮＴＤＴＦＯＢＯＵＲＡＲＤＶＡＤＢＨＰＸＡＢＧＳＥＦＷＺＩＭＨＸＶＬＯＧＪＮＶＪ">[10]P1_cover!ＩＸＹＯＲＢＦＡＱＨＧＪＢＦＩＱＥＤＭＧＩＥＱＦＵＴＭＷＲＭＴＺＱＱＪＪＸＢＩＷＬＸＧＭＧＥＢＫＪＵＭＳＶＴＹＨＨＳＴＹＪＡＰＷＺＪＮＨＮＮＭＰＨＥＱＤＷＥＧＨＤＱＥＵＵＰＺＵＱＸＣＴＴＮＧＴＥＷＮＶＯＱＤＸＷＴＣＢＭＸＪＭＫＱＳＺＫＵＺＸＬＴＣＮＷＴＨＬＬＬＮＧＣＧＳＳＡＣＡＭＵＱＩＺＡＫＺＢＩＮＹＥＹＸＩＨＶＭＶＯＱＤＱＷＴＣＡＺＬＨＦＬＵＢＭＧＫＷＵＩＪＡＧＫＦＵＺＺＹＢＭＱＴＪＰＰＸＺＡＷＸＵＭＤＥＯＣＦＭＫＢＩＶＶＩＮＴＤＴＦＯＢＯＵＲＡＲＤＶＡＤＢＨＰＸＡＢＧＳＥＦＷＺＩＭＨＸＶＬＯＧＪＮＶＪ</definedName>
    <definedName name="j">[39]MessageSignalList!#REF!</definedName>
    <definedName name="ＪＨＮＶＤＮＨＭＹＶＪＺＪＭＱＫＡＦ" localSheetId="4" hidden="1">#REF!</definedName>
    <definedName name="ＪＨＮＶＤＮＨＭＹＶＪＺＪＭＱＫＡＦ" localSheetId="10" hidden="1">#REF!</definedName>
    <definedName name="ＪＨＮＶＤＮＨＭＹＶＪＺＪＭＱＫＡＦ" hidden="1">#REF!</definedName>
    <definedName name="JIKUBUNSEKI">#REF!</definedName>
    <definedName name="ＪＯＬＵＭＸＰＶＸＷＢＫＲＶＷＢＭＫＹＺＱＮＳＭＣＡＸＡＳＶＺＨＶＤＹＺＶＨＷＬＫＢＶＧＢＷＤＩＡＡＴＴＨＷＫＴＪＶＥＫＪＦＰＮＺＱＷＺＸＤＬＭＷＸＣＯＥＴＢＲＵＥＷＭＪＫＪＬＥＡＥＴＨＺＨＪＬＧＴＨＸＰＮＨＲＶＣＨＹＹＳＬＹＫＱＸＯＨＪＷＱＰＭＶＵＦＱＣＦＤＪＬＳＤＥＩＰＥＭＶＦＰＭＨＸＢＣＥＷＴＷＬＳＲＡＢＤＺＬＴＰＨＹＺＣＥＬＱＢＨＢＵＩＴＳＧＸＧＺＢＯＢＨＤＮＥＰＢＸＶＢＪＲＣＶＡＭＪＹＺＰＮＲＭＣＧＧＧＢＥＩＸＥＤＬＮＰＫＸＥＢＴＫＬＶＪＭＴＲＩＶＶＪＮＵＩＲＨＴＣＰＣＩＦＯＧＣＩＬＪＰＸＦＩＪ" localSheetId="4" hidden="1">#REF!</definedName>
    <definedName name="ＪＯＬＵＭＸＰＶＸＷＢＫＲＶＷＢＭＫＹＺＱＮＳＭＣＡＸＡＳＶＺＨＶＤＹＺＶＨＷＬＫＢＶＧＢＷＤＩＡＡＴＴＨＷＫＴＪＶＥＫＪＦＰＮＺＱＷＺＸＤＬＭＷＸＣＯＥＴＢＲＵＥＷＭＪＫＪＬＥＡＥＴＨＺＨＪＬＧＴＨＸＰＮＨＲＶＣＨＹＹＳＬＹＫＱＸＯＨＪＷＱＰＭＶＵＦＱＣＦＤＪＬＳＤＥＩＰＥＭＶＦＰＭＨＸＢＣＥＷＴＷＬＳＲＡＢＤＺＬＴＰＨＹＺＣＥＬＱＢＨＢＵＩＴＳＧＸＧＺＢＯＢＨＤＮＥＰＢＸＶＢＪＲＣＶＡＭＪＹＺＰＮＲＭＣＧＧＧＢＥＩＸＥＤＬＮＰＫＸＥＢＴＫＬＶＪＭＴＲＩＶＶＪＮＵＩＲＨＴＣＰＣＩＦＯＧＣＩＬＪＰＸＦＩＪ" localSheetId="10" hidden="1">#REF!</definedName>
    <definedName name="ＪＯＬＵＭＸＰＶＸＷＢＫＲＶＷＢＭＫＹＺＱＮＳＭＣＡＸＡＳＶＺＨＶＤＹＺＶＨＷＬＫＢＶＧＢＷＤＩＡＡＴＴＨＷＫＴＪＶＥＫＪＦＰＮＺＱＷＺＸＤＬＭＷＸＣＯＥＴＢＲＵＥＷＭＪＫＪＬＥＡＥＴＨＺＨＪＬＧＴＨＸＰＮＨＲＶＣＨＹＹＳＬＹＫＱＸＯＨＪＷＱＰＭＶＵＦＱＣＦＤＪＬＳＤＥＩＰＥＭＶＦＰＭＨＸＢＣＥＷＴＷＬＳＲＡＢＤＺＬＴＰＨＹＺＣＥＬＱＢＨＢＵＩＴＳＧＸＧＺＢＯＢＨＤＮＥＰＢＸＶＢＪＲＣＶＡＭＪＹＺＰＮＲＭＣＧＧＧＢＥＩＸＥＤＬＮＰＫＸＥＢＴＫＬＶＪＭＴＲＩＶＶＪＮＵＩＲＨＴＣＰＣＩＦＯＧＣＩＬＪＰＸＦＩＪ" hidden="1">#REF!</definedName>
    <definedName name="ＪＺＤＥＤＦＹＱＦＭＬＴＶＷＳＹＵＮＤＦＰＤＦＭＳＣＪＣＷＪＵＵＩＺＨＡＣＰＯＬＵＳＥＰＢＪＰＸＦＱＪＯＡＸＭＮＤＮＱＵＰＦＪＪＪＬＸＡＱＸＷＥＧＨＤＱＸＵＭＤＥＯＣＦＲＪＰＣＣＱＵＡＯＹＯＡＪＷＪＯＬＶＭＢＧＪＨＮＶＤＨＨＲＰＥＥＶＰＴＯＤＢＢＡＤＶＺＣＱＱＹＴＵＱＣＲＧＦＺＪＥＡＨＭＤＤＸＴＸＥＳＣＲＤＭＳＭＭＶＵＦＤＧＥＫＳＴＤＥＪＶＬＹＯＲＢＦＡＱＮＮＮＰＩＥＩＸＫＤＬＮＭＺＮＤＶＴＮＸＳＯＶＡＲＲＬＪＶＢＩＺＨＵＧＢＺＷＦＥＰＡＭＰＮＴＶＣＮＯＳＸＶＫＲＥＯＬＧＷＡＡＡＣＶＲＶＫＱＱＹＡＢＸＫＲ">[10]P1_cover!ＪＺＤＥＤＦＹＱＦＭＬＴＶＷＳＹＵＮＤＦＰＤＦＭＳＣＪＣＷＪＵＵＩＺＨＡＣＰＯＬＵＳＥＰＢＪＰＸＦＱＪＯＡＸＭＮＤＮＱＵＰＦＪＪＪＬＸＡＱＸＷＥＧＨＤＱＸＵＭＤＥＯＣＦＲＪＰＣＣＱＵＡＯＹＯＡＪＷＪＯＬＶＭＢＧＪＨＮＶＤＨＨＲＰＥＥＶＰＴＯＤＢＢＡＤＶＺＣＱＱＹＴＵＱＣＲＧＦＺＪＥＡＨＭＤＤＸＴＸＥＳＣＲＤＭＳＭＭＶＵＦＤＧＥＫＳＴＤＥＪＶＬＹＯＲＢＦＡＱＮＮＮＰＩＥＩＸＫＤＬＮＭＺＮＤＶＴＮＸＳＯＶＡＲＲＬＪＶＢＩＺＨＵＧＢＺＷＦＥＰＡＭＰＮＴＶＣＮＯＳＸＶＫＲＥＯＬＧＷＡＡＡＣＶＲＶＫＱＱＹＡＢＸＫＲ</definedName>
    <definedName name="ＪＺＸＸＷＺＲＶＹＧＵＵＣＷＹＵＧＶＫＪＭＷＳＮＵＺＲＱＫＫＹＣＩＷＧＷＩＵＯＮＫＴＳＤＶＡＤＢＨＰＱＢＢＸＮＣＫＡＤＮＲＭＣＺＺＺＢＵＱＵＪＷＬＮＰＫＸＬＢＴＲＢＷＲＹＤＶＶＯＨＶＧＮＳＡＴＶＩＣＢＹＨＣＮＺＣＡＧＩＰＡＢＦＫＩＷＥＯＬＪＤＴＹＹＸＡＳＰＺＧＦＮＰＲＭＺＧＤＶＭＮＸＬＯＶＥＬＥＸＬＷＷＫＡＪＣＥＲＥＫＨＱＯＡＬＸＺＥＮＵＦＺＥＰＧＨＹＩＫＰＪＺＥＥＤＧＲＶＹＮＵＯＱＲＮＡＨＥＷＮＯＹＭＰＶＵＬＳＦＦＳＤＲＢＲＤＭＺＭＲＯＸＳＫＱＴＲＷＦＭＱＲＷＨＦＵＵＬＯＹＣＷＭＫＫＭＦＩＭＵＨＨＰＫＤ" localSheetId="4" hidden="1">#REF!</definedName>
    <definedName name="ＪＺＸＸＷＺＲＶＹＧＵＵＣＷＹＵＧＶＫＪＭＷＳＮＵＺＲＱＫＫＹＣＩＷＧＷＩＵＯＮＫＴＳＤＶＡＤＢＨＰＱＢＢＸＮＣＫＡＤＮＲＭＣＺＺＺＢＵＱＵＪＷＬＮＰＫＸＬＢＴＲＢＷＲＹＤＶＶＯＨＶＧＮＳＡＴＶＩＣＢＹＨＣＮＺＣＡＧＩＰＡＢＦＫＩＷＥＯＬＪＤＴＹＹＸＡＳＰＺＧＦＮＰＲＭＺＧＤＶＭＮＸＬＯＶＥＬＥＸＬＷＷＫＡＪＣＥＲＥＫＨＱＯＡＬＸＺＥＮＵＦＺＥＰＧＨＹＩＫＰＪＺＥＥＤＧＲＶＹＮＵＯＱＲＮＡＨＥＷＮＯＹＭＰＶＵＬＳＦＦＳＤＲＢＲＤＭＺＭＲＯＸＳＫＱＴＲＷＦＭＱＲＷＨＦＵＵＬＯＹＣＷＭＫＫＭＦＩＭＵＨＨＰＫＤ" localSheetId="10" hidden="1">#REF!</definedName>
    <definedName name="ＪＺＸＸＷＺＲＶＹＧＵＵＣＷＹＵＧＶＫＪＭＷＳＮＵＺＲＱＫＫＹＣＩＷＧＷＩＵＯＮＫＴＳＤＶＡＤＢＨＰＱＢＢＸＮＣＫＡＤＮＲＭＣＺＺＺＢＵＱＵＪＷＬＮＰＫＸＬＢＴＲＢＷＲＹＤＶＶＯＨＶＧＮＳＡＴＶＩＣＢＹＨＣＮＺＣＡＧＩＰＡＢＦＫＩＷＥＯＬＪＤＴＹＹＸＡＳＰＺＧＦＮＰＲＭＺＧＤＶＭＮＸＬＯＶＥＬＥＸＬＷＷＫＡＪＣＥＲＥＫＨＱＯＡＬＸＺＥＮＵＦＺＥＰＧＨＹＩＫＰＪＺＥＥＤＧＲＶＹＮＵＯＱＲＮＡＨＥＷＮＯＹＭＰＶＵＬＳＦＦＳＤＲＢＲＤＭＺＭＲＯＸＳＫＱＴＲＷＦＭＱＲＷＨＦＵＵＬＯＹＣＷＭＫＫＭＦＩＭＵＨＨＰＫＤ" hidden="1">#REF!</definedName>
    <definedName name="k">[39]MessageSignalList!#REF!</definedName>
    <definedName name="KASOU">[34]DATA01!$C$2:$E$23</definedName>
    <definedName name="KDG">[20]駆動系1!$J$110:$BD$169</definedName>
    <definedName name="ki">[0]!ki</definedName>
    <definedName name="kkk">'[13]#REF'!#REF!</definedName>
    <definedName name="KMAnsicht">#REF!</definedName>
    <definedName name="KMWorksheetName">#REF!</definedName>
    <definedName name="l">[3]総合B!$AE$10:$AG$13,[3]総合B!$AE$15:$AG$18,[3]総合B!$AE$20:$AG$22,[3]総合B!$AE$25:$AG$28,[3]総合B!$AE$31:$AG$32,[3]総合B!$AE$34:$AG$36,[3]総合B!$AE$39:$AG$40,[3]総合B!$AE$43:$AG$43,[3]総合B!#REF!,[3]総合B!#REF!,[3]総合B!#REF!,[3]総合B!#REF!,[3]総合B!#REF!,[3]総合B!#REF!,[3]総合B!#REF!,[3]総合B!#REF!</definedName>
    <definedName name="L_MY00">#REF!</definedName>
    <definedName name="ＬＦＱＬＧＮＳＫＫＤＷＫＶＢＪＺＩＢＧＡＺＷＦＥＰＡＭＰＮＴＶＣＮＮＳＸ">[10]P1_cover!ＬＦＱＬＧＮＳＫＫＤＷＫＶＢＪＺＩＢＧＡＺＷＦＥＰＡＭＰＮＴＶＣＮＮＳＸ</definedName>
    <definedName name="ｌｌ">'[40]76極'!#REF!</definedName>
    <definedName name="LS">#REF!</definedName>
    <definedName name="M_114">[31]SignalMatrix!#REF!</definedName>
    <definedName name="M_115">[31]SignalMatrix!#REF!</definedName>
    <definedName name="M_116">[32]SignalMatrix!#REF!</definedName>
    <definedName name="M_117">[32]SignalMatrix!#REF!</definedName>
    <definedName name="M_11C">#REF!</definedName>
    <definedName name="M_120">#REF!</definedName>
    <definedName name="M_122">#REF!</definedName>
    <definedName name="M_124">#REF!</definedName>
    <definedName name="M_126">[31]SignalMatrix!#REF!</definedName>
    <definedName name="M_127">[31]SignalMatrix!#REF!</definedName>
    <definedName name="M_130">#REF!</definedName>
    <definedName name="M_131">#REF!</definedName>
    <definedName name="M_132">#REF!</definedName>
    <definedName name="M_133">[31]SignalMatrix!#REF!</definedName>
    <definedName name="M_136">[31]SignalMatrix!#REF!</definedName>
    <definedName name="M_13C">#REF!</definedName>
    <definedName name="M_13D">#REF!</definedName>
    <definedName name="M_13E">#REF!</definedName>
    <definedName name="M_13F">#REF!</definedName>
    <definedName name="M_180">#REF!</definedName>
    <definedName name="M_18C">[32]SignalMatrix!#REF!</definedName>
    <definedName name="M_18D">#REF!</definedName>
    <definedName name="M_18E">[31]SignalMatrix!#REF!</definedName>
    <definedName name="M_1B0">[31]SignalMatrix!#REF!</definedName>
    <definedName name="M_1D0">[31]SignalMatrix!#REF!</definedName>
    <definedName name="M_1EF">#REF!</definedName>
    <definedName name="M_280">#REF!</definedName>
    <definedName name="M_2A0">#REF!</definedName>
    <definedName name="M_2A1">#REF!</definedName>
    <definedName name="M_310">#REF!</definedName>
    <definedName name="M_312">[31]SignalMatrix!#REF!</definedName>
    <definedName name="M_314">#REF!</definedName>
    <definedName name="M_318">#REF!</definedName>
    <definedName name="M_31C">#REF!</definedName>
    <definedName name="M_32C">#REF!</definedName>
    <definedName name="M_338">#REF!</definedName>
    <definedName name="M_340">#REF!</definedName>
    <definedName name="M_380">#REF!</definedName>
    <definedName name="M_390">#REF!</definedName>
    <definedName name="M_3A0">#REF!</definedName>
    <definedName name="M_3A5">#REF!</definedName>
    <definedName name="M_3A6">#REF!</definedName>
    <definedName name="M_3A8">#REF!</definedName>
    <definedName name="M_3B0">[31]SignalMatrix!#REF!</definedName>
    <definedName name="M_3B9">#REF!</definedName>
    <definedName name="M_3BF">#REF!</definedName>
    <definedName name="M_3C0">[41]SignalMatrix!#REF!</definedName>
    <definedName name="M_3D0">#REF!</definedName>
    <definedName name="M_3D1">#REF!</definedName>
    <definedName name="M_3D2">[31]SignalMatrix!#REF!</definedName>
    <definedName name="M_3D4">#REF!</definedName>
    <definedName name="M_3D6">#REF!</definedName>
    <definedName name="M_3D8">#REF!</definedName>
    <definedName name="M_3E8">[31]SignalMatrix!#REF!</definedName>
    <definedName name="M_3F0">[31]SignalMatrix!#REF!</definedName>
    <definedName name="M_3F1">#REF!</definedName>
    <definedName name="M_3F2">#REF!</definedName>
    <definedName name="M_3F3">#REF!</definedName>
    <definedName name="M_3F4">#REF!</definedName>
    <definedName name="M_3F5">#REF!</definedName>
    <definedName name="M_3F6">#REF!</definedName>
    <definedName name="M_3FA">#REF!</definedName>
    <definedName name="M_3FE">#REF!</definedName>
    <definedName name="M_4F0_4F1_4F2">#REF!</definedName>
    <definedName name="M_61E">#REF!</definedName>
    <definedName name="M_61F">#REF!</definedName>
    <definedName name="M_631_638">#REF!</definedName>
    <definedName name="m_Ausgabe">#REF!</definedName>
    <definedName name="m_Ausgabe_Config">#REF!</definedName>
    <definedName name="m_Ausgabe_ZTs">#REF!</definedName>
    <definedName name="M3FE">#REF!</definedName>
    <definedName name="MANAGERAPPVL">#REF!</definedName>
    <definedName name="ＭＡＺＳＵＨＵＡＸＧＥＱＢＮＪＨＩＰＡＵＺＫＩＸＸＯＹＪＤＴＹＹＸＡＬＡＰＶＶＤＦＧＣＯＷＶＭＮＹＭＯＶＴＬＳＥＥＳＷＤＲＡＱＣＬＹＷＴＣＴＦＸＣＦＤＪＶＹＺＥＱＮＣＤＴＷＧＫＦＵＳＳＬＥＨＬＴＧＧＯＪＫＧＺＯＮＥＹＪＥＺＧＬＤＤＷＷＫＯＵＪＳＩＵＤＪＪＧＰＯＺＲＸＡＹＤＭＭＸＹＤＯＦＵＢＧＱＵＯＥＣＣＢＥＷＴＷＬＺＳＡＢＤＺＥＴＬＪＤＯＪＥＬＱＩＨＢＵＩＴＺＲＺＳＵＨＢＡＬＫＶＧＳＶＴＺＢＩＴＴＹＩＷＥＯＹＨＦＺＰＮＮＰＩＥＩＸＤＤＬＮＯＫＸＢＴＫＬＶＫＭＴＹＩＰＥＳＤＤＲＨＱＪＬＹＬＲＯＸＶＨＳＥＡＹ" localSheetId="10" hidden="1">#REF!</definedName>
    <definedName name="ＭＡＺＳＵＨＵＡＸＧＥＱＢＮＪＨＩＰＡＵＺＫＩＸＸＯＹＪＤＴＹＹＸＡＬＡＰＶＶＤＦＧＣＯＷＶＭＮＹＭＯＶＴＬＳＥＥＳＷＤＲＡＱＣＬＹＷＴＣＴＦＸＣＦＤＪＶＹＺＥＱＮＣＤＴＷＧＫＦＵＳＳＬＥＨＬＴＧＧＯＪＫＧＺＯＮＥＹＪＥＺＧＬＤＤＷＷＫＯＵＪＳＩＵＤＪＪＧＰＯＺＲＸＡＹＤＭＭＸＹＤＯＦＵＢＧＱＵＯＥＣＣＢＥＷＴＷＬＺＳＡＢＤＺＥＴＬＪＤＯＪＥＬＱＩＨＢＵＩＴＺＲＺＳＵＨＢＡＬＫＶＧＳＶＴＺＢＩＴＴＹＩＷＥＯＹＨＦＺＰＮＮＰＩＥＩＸＤＤＬＮＯＫＸＢＴＫＬＶＫＭＴＹＩＰＥＳＤＤＲＨＱＪＬＹＬＲＯＸＶＨＳＥＡＹ" hidden="1">#REF!</definedName>
    <definedName name="mDiagReq_TSG_HL">'[42]PQ25 Komfort'!#REF!</definedName>
    <definedName name="Menu_R1_3">'[18]Special ECU Information'!#REF!</definedName>
    <definedName name="mk">[0]!mk</definedName>
    <definedName name="mNM_DVE">'[42]PQ25 Komfort'!#REF!</definedName>
    <definedName name="mNM_GSM_Pager">'[42]PQ25 Komfort'!#REF!</definedName>
    <definedName name="mNM_Kompass">'[42]PQ25 Komfort'!#REF!</definedName>
    <definedName name="mNM_Memory_BF">'[42]PQ25 Komfort'!#REF!</definedName>
    <definedName name="mNM_Offroad">'[42]PQ25 Komfort'!#REF!</definedName>
    <definedName name="MODELYEAR">#REF!</definedName>
    <definedName name="Motor_Hybrid_03_PAG">[43]VW526_CAN_Antrieb!#REF!</definedName>
    <definedName name="mTP_Dyn_RSE_1">'[42]PQ25 Komfort'!#REF!</definedName>
    <definedName name="NAME">'[22]002(4)'!#REF!</definedName>
    <definedName name="ＮＢＫＡＭＶＩＶＢＹＤＯＧＬＯＭＳＢＩＭＭＲＳＨＩＹＢＬＰＫＡＸＹＸＺＳＶＺＦＦＮＩＪＬＡＰＯＧＲＭＨＯＴＪＣＣＱＵＡＯＹＯＡＪＰＰＭＶＵＦＸＣＸＤＬＭＸＸＣＯＥＴＢＲＵＥＩＥＢＢＢＤＷＳＷＬＱＹＡＢＸＪＹＮＦＤＸＩＤＹＦＫＣＣＳＧＲＹＦＶＥＸＺＭＧＦＣＬＪＶＧＯＮＳＵＢＭＮＲＷＵＪＱＡＫＴＲＬＢＧＧＦＨＥＩＸＤＤＬＮＯＫＷＹＱＨＩＴＨＩＮＹＥＸＬＷＶＳＢＵＷＪＷＢＹＩＧＲＣＰＬＪＰＸＥＰＪＯＮＣＤＴＤＧＫＥＵＺＺＹＢＨＬＡＨＧＯＱＳＮＡＩＥＷＮＯＹＮＰＷＵＬＪＪＸＢＨＶＦＶＨＤＱＷＴＣＴＦＸＣＦＤＪＲＩ">[10]P1_cover!ＮＢＫＡＭＶＩＶＢＹＤＯＧＬＯＭＳＢＩＭＭＲＳＨＩＹＢＬＰＫＡＸＹＸＺＳＶＺＦＦＮＩＪＬＡＰＯＧＲＭＨＯＴＪＣＣＱＵＡＯＹＯＡＪＰＰＭＶＵＦＸＣＸＤＬＭＸＸＣＯＥＴＢＲＵＥＩＥＢＢＢＤＷＳＷＬＱＹＡＢＸＪＹＮＦＤＸＩＤＹＦＫＣＣＳＧＲＹＦＶＥＸＺＭＧＦＣＬＪＶＧＯＮＳＵＢＭＮＲＷＵＪＱＡＫＴＲＬＢＧＧＦＨＥＩＸＤＤＬＮＯＫＷＹＱＨＩＴＨＩＮＹＥＸＬＷＶＳＢＵＷＪＷＢＹＩＧＲＣＰＬＪＰＸＥＰＪＯＮＣＤＴＤＧＫＥＵＺＺＹＢＨＬＡＨＧＯＱＳＮＡＩＥＷＮＯＹＮＰＷＵＬＪＪＸＢＨＶＦＶＨＤＱＷＴＣＴＦＸＣＦＤＪＲＩ</definedName>
    <definedName name="ne">[2]result!#REF!</definedName>
    <definedName name="ＮＧＡＮＹＦＭＣＬＥＧＴＮＭＪＳＪＵＧＪＨＮＰＷＨＩＭＲＰＥＬＪＳＱＫＡＦ" localSheetId="4" hidden="1">#REF!</definedName>
    <definedName name="ＮＧＡＮＹＦＭＣＬＥＧＴＮＭＪＳＪＵＧＪＨＮＰＷＨＩＭＲＰＥＬＪＳＱＫＡＦ" localSheetId="10" hidden="1">#REF!</definedName>
    <definedName name="ＮＧＡＮＹＦＭＣＬＥＧＴＮＭＪＳＪＵＧＪＨＮＰＷＨＩＭＲＰＥＬＪＳＱＫＡＦ" hidden="1">#REF!</definedName>
    <definedName name="No">#REF!</definedName>
    <definedName name="NOTES">#REF!</definedName>
    <definedName name="ＯＥＱＺＭＺＦＣＬＤＯＧＬＯＭＳＡＤＥＪＶＳＨ" localSheetId="10" hidden="1">#REF!</definedName>
    <definedName name="ＯＥＱＺＭＺＦＣＬＤＯＧＬＯＭＳＡＤＥＪＶＳＨ" hidden="1">#REF!</definedName>
    <definedName name="ＯＫＣＴＵＦＴＶＣＡＳＺＬＬＺＯＣＭＢＮＷＪＷＣＺＩＡＬＤＩＬＪＰＱＵＵＺＬＩＸＹＯＲＢＨＸＶＶＵＸＰＳＷＥＶＤＹＡＷＩＸＭＬＣＷＧＣＸＥＪＴＮＮＡＦＬＺＪＱＺＦＺＹＶＥＣＯＧＬＯＭＳＡＢＭＭＫＢＱＹＯＲＢＦＯＭＭＬＯＧＤＧＶＪＢＪＬＣＯＤＳＫＩＤＮＩＧＬＣＣＷＰＤＷＤＵＤＷＹＬＦＤＡＫＩＴＥＲＵＳＸＺＧＲＳＪＧＶＤＭＷＧＤＹＯＳＳＳＵＮＪＮＣＩＩＱＳＴＧＮＪＣＳＵＥＺＧＬＷＤＷＰＩＨＶＭＶＸＫＸＶＦＤＯＺＭＩＧＭＵＣＭＧＬＸＵＪＫＡＫＮＦＶＺＡＺＢＮＱＵＪＱＰＸＺＡＷＪＵＭＤＥＯＤＦＭＫＣＩＶＶＪＮＴＨ">[10]P1_cover!ＯＫＣＴＵＦＴＶＣＡＳＺＬＬＺＯＣＭＢＮＷＪＷＣＺＩＡＬＤＩＬＪＰＱＵＵＺＬＩＸＹＯＲＢＨＸＶＶＵＸＰＳＷＥＶＤＹＡＷＩＸＭＬＣＷＧＣＸＥＪＴＮＮＡＦＬＺＪＱＺＦＺＹＶＥＣＯＧＬＯＭＳＡＢＭＭＫＢＱＹＯＲＢＦＯＭＭＬＯＧＤＧＶＪＢＪＬＣＯＤＳＫＩＤＮＩＧＬＣＣＷＰＤＷＤＵＤＷＹＬＦＤＡＫＩＴＥＲＵＳＸＺＧＲＳＪＧＶＤＭＷＧＤＹＯＳＳＳＵＮＪＮＣＩＩＱＳＴＧＮＪＣＳＵＥＺＧＬＷＤＷＰＩＨＶＭＶＸＫＸＶＦＤＯＺＭＩＧＭＵＣＭＧＬＸＵＪＫＡＫＮＦＶＺＡＺＢＮＱＵＪＱＰＸＺＡＷＪＵＭＤＥＯＤＦＭＫＣＩＶＶＪＮＴＨ</definedName>
    <definedName name="OPENITEM">#REF!</definedName>
    <definedName name="Order_type">#REF!</definedName>
    <definedName name="Order_type_2">#REF!</definedName>
    <definedName name="ox">[2]result!#REF!</definedName>
    <definedName name="ＯＹＩＲＰＪＺＥＥＤＧＹＶＹＮＵＴＣＤＦＢＮＶＨＹＺＪＹＡＨＭＸＤＸＱＥＰＯＣＴＶＸＫＸＤＡＪＨＴＥＱＭＫＱＹＧＲＫＴＱＦＧＡＣＧＢＲＶＷＶＭＰＴＩＯＯＷＹＺＶＨＰＥＶＷＧＵＸＥＣＴＡＮＮＡＦＬＺＪＹＫＴＧＵＺＺＱＣＵＺＣＧＰＷＡＢＧＲＰＥＦＶＹＩＭＧＪＫＪＬＥＨＬＴＧＧＯＪＫＧＴＭＬＣＸＨＣＸＥＫＢＢＵＵＩＭＴＨＱＷＦＬＦＥＢＫＪＵＭＭＫＱＹＺＫＫＵＬＡＨＴＣＧＢＲＰＰＯＲＪＧＪＹＭＥＭＯＱＭＹＮＮＬＧＱＬＧＮＳＫＫＤＷＫＶＣＡＪＢＥＱＬＸＧＦＱＢＹＷＣＥＬＷＷＢＧＤＳＡＪＴＤＡＤＨＨＨＪＣＹＣＲＸＸＦ" localSheetId="4" hidden="1">#REF!</definedName>
    <definedName name="ＯＹＩＲＰＪＺＥＥＤＧＹＶＹＮＵＴＣＤＦＢＮＶＨＹＺＪＹＡＨＭＸＤＸＱＥＰＯＣＴＶＸＫＸＤＡＪＨＴＥＱＭＫＱＹＧＲＫＴＱＦＧＡＣＧＢＲＶＷＶＭＰＴＩＯＯＷＹＺＶＨＰＥＶＷＧＵＸＥＣＴＡＮＮＡＦＬＺＪＹＫＴＧＵＺＺＱＣＵＺＣＧＰＷＡＢＧＲＰＥＦＶＹＩＭＧＪＫＪＬＥＨＬＴＧＧＯＪＫＧＴＭＬＣＸＨＣＸＥＫＢＢＵＵＩＭＴＨＱＷＦＬＦＥＢＫＪＵＭＭＫＱＹＺＫＫＵＬＡＨＴＣＧＢＲＰＰＯＲＪＧＪＹＭＥＭＯＱＭＹＮＮＬＧＱＬＧＮＳＫＫＤＷＫＶＣＡＪＢＥＱＬＸＧＦＱＢＹＷＣＥＬＷＷＢＧＤＳＡＪＴＤＡＤＨＨＨＪＣＹＣＲＸＸＦ" localSheetId="10" hidden="1">#REF!</definedName>
    <definedName name="ＯＹＩＲＰＪＺＥＥＤＧＹＶＹＮＵＴＣＤＦＢＮＶＨＹＺＪＹＡＨＭＸＤＸＱＥＰＯＣＴＶＸＫＸＤＡＪＨＴＥＱＭＫＱＹＧＲＫＴＱＦＧＡＣＧＢＲＶＷＶＭＰＴＩＯＯＷＹＺＶＨＰＥＶＷＧＵＸＥＣＴＡＮＮＡＦＬＺＪＹＫＴＧＵＺＺＱＣＵＺＣＧＰＷＡＢＧＲＰＥＦＶＹＩＭＧＪＫＪＬＥＨＬＴＧＧＯＪＫＧＴＭＬＣＸＨＣＸＥＫＢＢＵＵＩＭＴＨＱＷＦＬＦＥＢＫＪＵＭＭＫＱＹＺＫＫＵＬＡＨＴＣＧＢＲＰＰＯＲＪＧＪＹＭＥＭＯＱＭＹＮＮＬＧＱＬＧＮＳＫＫＤＷＫＶＣＡＪＢＥＱＬＸＧＦＱＢＹＷＣＥＬＷＷＢＧＤＳＡＪＴＤＡＤＨＨＨＪＣＹＣＲＸＸＦ" hidden="1">#REF!</definedName>
    <definedName name="p">[2]result!#REF!</definedName>
    <definedName name="P_N">#REF!</definedName>
    <definedName name="PARALIST">[0]!PARALIST</definedName>
    <definedName name="ＰＢＥＩＸＥＤＬＮＯＫＸＥＢＴＰＺＮＱＸＶＭＴＧＧＷＤＲＢＱＱＤＱＷＴＰＢＴＹＢＺＦＮＶＺＺＥＱＮＣＤＴＷＧＫＦＭＭＬＯＧＫＮＷＪＪＲＭＮＡＰＥＤＵＯＹＵＰＷＢＳＳＧＴＹＥＳＪＶＥＫＥＤＡＪＩＴＬＱＴＲＸＫＶＷＡＭＤＲＺＱＴＣＩＹＷＷＶＹＱＮＱＧＴＭＵＷＸＴＦＵＪＢＺＴＥＡＨＭＤＤＸＱＥＰＶＣＴＣＶＸＫＥＣＺＺＫＶＨＫＩＯＱＸＩＪＱＯＣＫＵＥＮＬＦＶＡＡＺＣＵＲＵＪＱＰＸＺＢＦＮＪＢＳＴＤＳＵＢＶＣＷＰＣＯＮＢＳＡＵＨＶＡＸＧＦＱＢＮＪＩＮＷＤＯＩＮＢＱＲＨＭＱＬＢＦＦＦＨＴＷＡＰＶＶＤＦＧＩＱＭＥＣＭＡ">[10]P1_cover!ＰＢＥＩＸＥＤＬＮＯＫＸＥＢＴＰＺＮＱＸＶＭＴＧＧＷＤＲＢＱＱＤＱＷＴＰＢＴＹＢＺＦＮＶＺＺＥＱＮＣＤＴＷＧＫＦＭＭＬＯＧＫＮＷＪＪＲＭＮＡＰＥＤＵＯＹＵＰＷＢＳＳＧＴＹＥＳＪＶＥＫＥＤＡＪＩＴＬＱＴＲＸＫＶＷＡＭＤＲＺＱＴＣＩＹＷＷＶＹＱＮＱＧＴＭＵＷＸＴＦＵＪＢＺＴＥＡＨＭＤＤＸＱＥＰＶＣＴＣＶＸＫＥＣＺＺＫＶＨＫＩＯＱＸＩＪＱＯＣＫＵＥＮＬＦＶＡＡＺＣＵＲＵＪＱＰＸＺＢＦＮＪＢＳＴＤＳＵＢＶＣＷＰＣＯＮＢＳＡＵＨＶＡＸＧＦＱＢＮＪＩＮＷＤＯＩＮＢＱＲＨＭＱＬＢＦＦＦＨＴＷＡＰＶＶＤＦＧＩＱＭＥＣＭＡ</definedName>
    <definedName name="ＰＧＳＡＷＯＦＧＱＦＨＯＭＥＫＸＸＬＰＶＷＬＸＧＴＧＭＪＳＫＶＮＳＶＴＱＹＣＣＳＰＥＦＶＹＩＭＨＷＵＵＵＷＰＳＷＥＲＲＺＢＸＪＹＮＭＤＸＩＤＹＦＫＣＢＶＶＳＹＭＷＷＦＬＧＤＮＬＸＯＵＸＶＢＢＭＮＳＮＣＫＡＤＮＲＭＣＥＤＦＹＵＹＬＥＭＯＴＦＵＪＥＹＩＤＺＧＵＵＯＨＵＦＭＴＫＳＬＮＡＵＴＱＺＤＯＡＤＢＨＩＱＡＢＧＬＩＸＦＯＹＩＦＱＶＶＵＸＰＭＰＥＬＫＴＵＷＳＥＭＩＶＷＨＶＸＥＪＵＡＵＮＴＴＨＸＧＺＢＯＢＨＥＮＬＸＩＵＱＯＵＣＫＶＸＪＧＶＷＭＷＺＤＹＯＳＴＳＵＧＪＮＣＪＩＱＳＱＣＫＧＹＣＭＡＤＫＩＺＧＴＴＧＬＲ" localSheetId="4" hidden="1">#REF!</definedName>
    <definedName name="ＰＧＳＡＷＯＦＧＱＦＨＯＭＥＫＸＸＬＰＶＷＬＸＧＴＧＭＪＳＫＶＮＳＶＴＱＹＣＣＳＰＥＦＶＹＩＭＨＷＵＵＵＷＰＳＷＥＲＲＺＢＸＪＹＮＭＤＸＩＤＹＦＫＣＢＶＶＳＹＭＷＷＦＬＧＤＮＬＸＯＵＸＶＢＢＭＮＳＮＣＫＡＤＮＲＭＣＥＤＦＹＵＹＬＥＭＯＴＦＵＪＥＹＩＤＺＧＵＵＯＨＵＦＭＴＫＳＬＮＡＵＴＱＺＤＯＡＤＢＨＩＱＡＢＧＬＩＸＦＯＹＩＦＱＶＶＵＸＰＭＰＥＬＫＴＵＷＳＥＭＩＶＷＨＶＸＥＪＵＡＵＮＴＴＨＸＧＺＢＯＢＨＥＮＬＸＩＵＱＯＵＣＫＶＸＪＧＶＷＭＷＺＤＹＯＳＴＳＵＧＪＮＣＪＩＱＳＱＣＫＧＹＣＭＡＤＫＩＺＧＴＴＧＬＲ" localSheetId="10" hidden="1">#REF!</definedName>
    <definedName name="ＰＧＳＡＷＯＦＧＱＦＨＯＭＥＫＸＸＬＰＶＷＬＸＧＴＧＭＪＳＫＶＮＳＶＴＱＹＣＣＳＰＥＦＶＹＩＭＨＷＵＵＵＷＰＳＷＥＲＲＺＢＸＪＹＮＭＤＸＩＤＹＦＫＣＢＶＶＳＹＭＷＷＦＬＧＤＮＬＸＯＵＸＶＢＢＭＮＳＮＣＫＡＤＮＲＭＣＥＤＦＹＵＹＬＥＭＯＴＦＵＪＥＹＩＤＺＧＵＵＯＨＵＦＭＴＫＳＬＮＡＵＴＱＺＤＯＡＤＢＨＩＱＡＢＧＬＩＸＦＯＹＩＦＱＶＶＵＸＰＭＰＥＬＫＴＵＷＳＥＭＩＶＷＨＶＸＥＪＵＡＵＮＴＴＨＸＧＺＢＯＢＨＥＮＬＸＩＵＱＯＵＣＫＶＸＪＧＶＷＭＷＺＤＹＯＳＴＳＵＧＪＮＣＪＩＱＳＱＣＫＧＹＣＭＡＤＫＩＺＧＴＴＧＬＲ" hidden="1">#REF!</definedName>
    <definedName name="PHASE">#REF!</definedName>
    <definedName name="PLANDATE">#REF!</definedName>
    <definedName name="PlannedDelivery">#REF!</definedName>
    <definedName name="PLANORIGINATOR">#REF!</definedName>
    <definedName name="ＰＬＸＦＢＱＲＢＰＳＺＸＯＶＴＧＬＲＦＰＦＲＡＯＴＱＡＲＣＵＡＤＢＨＰＷＡＢＧＳＰＥＦＶＢＦＡＱＮＯＮＰＩＬＩＷＶＤＹＩＶＪＺＹＯＪＴＯＫＲＷＮＮＨＨＵＹＦＴＤＳＥＢＶＴＱＺＹＴＹＢＺＦＯＯＺＡＥＱＨＶＤＵＸＥＺＯＭＭＭＯＨＤＨＴＭＵＷＸＴＧＵＫＣＺＤＹＴＡＦＸＸＱＪＸＩＰＷＭＶＯＱＤＸＦＯＮＹＪＷＺＸＣＥＬＷＸＣＨＡＩＲＢＬＩＤＴＸＸＸＢＹＢＱＸＸＦＧＩＥＱＹＧＸＹＩＷＺＦＬＶＣＷＰＡＺＮＥＮＧＩＶＩＯＬＵＳＥＰＢＣＩＲＹＵＹＫＩＷＸＦＨＭＧＷＢＢＡＤＯＳＶＫＲＱＺＵＰＣＫＧＹＰＱＡＰＲＹＷＮＬＬＺＤＪ" localSheetId="10" hidden="1">#REF!</definedName>
    <definedName name="ＰＬＸＦＢＱＲＢＰＳＺＸＯＶＴＧＬＲＦＰＦＲＡＯＴＱＡＲＣＵＡＤＢＨＰＷＡＢＧＳＰＥＦＶＢＦＡＱＮＯＮＰＩＬＩＷＶＤＹＩＶＪＺＹＯＪＴＯＫＲＷＮＮＨＨＵＹＦＴＤＳＥＢＶＴＱＺＹＴＹＢＺＦＯＯＺＡＥＱＨＶＤＵＸＥＺＯＭＭＭＯＨＤＨＴＭＵＷＸＴＧＵＫＣＺＤＹＴＡＦＸＸＱＪＸＩＰＷＭＶＯＱＤＸＦＯＮＹＪＷＺＸＣＥＬＷＸＣＨＡＩＲＢＬＩＤＴＸＸＸＢＹＢＱＸＸＦＧＩＥＱＹＧＸＹＩＷＺＦＬＶＣＷＰＡＺＮＥＮＧＩＶＩＯＬＵＳＥＰＢＣＩＲＹＵＹＫＩＷＸＦＨＭＧＷＢＢＡＤＯＳＶＫＲＱＺＵＰＣＫＧＹＰＱＡＰＲＹＷＮＬＬＺＤＪ" hidden="1">#REF!</definedName>
    <definedName name="pm">[2]result!#REF!</definedName>
    <definedName name="PP">[34]DATA01!$I$4:$P$18</definedName>
    <definedName name="ＰＰＵＺＸＬＴＣＮＳＮＤＨＨＨＪＣＹＣＲＸＸＦＨＩＥＲＹＺＱＲＢＱＳＺＥＰＶＩＷＨＨＶＬＵＮＰＢＨＥＮＬＸＩＵＱＯＤＫＶＰＴＦＤＲＳＪＴＶＺＵＫＯＰＥＰＴＷＬＳＴＶＷＳＦＭＪＢＳＴＤＲＷＵＭＳＦＦＴＸＤＫＡＭＶＩＶＢＸＨＹＫＢＨＫＩＯＣＧＨＭＸＶＫＫＢＥＯＳＭＣＡＡＺＣＵＹＢＪＱＹＴＵＱＤＲＨＧＷＲＢＷＳＺＥＶＧＧＴＹＥＳＣＲＤＭＳＭＬＩＲＱＬＱＴＲＺＡＫＬＱＣＳＨＰＦＩＷＲＨＦＦＥＧＺＶＧＵＭＵＷＹＴＧＵＫＲＭＷＲＮＵＺＱＱＫＤＱＢＩＰＧＯＨＪＷＶＳＢＺＬＷＳＱＷＹＦＱＲＶＡＹＭＵＥＯＸＵＰＦＪＫＪＣＹ" localSheetId="4" hidden="1">#REF!</definedName>
    <definedName name="ＰＰＵＺＸＬＴＣＮＳＮＤＨＨＨＪＣＹＣＲＸＸＦＨＩＥＲＹＺＱＲＢＱＳＺＥＰＶＩＷＨＨＶＬＵＮＰＢＨＥＮＬＸＩＵＱＯＤＫＶＰＴＦＤＲＳＪＴＶＺＵＫＯＰＥＰＴＷＬＳＴＶＷＳＦＭＪＢＳＴＤＲＷＵＭＳＦＦＴＸＤＫＡＭＶＩＶＢＸＨＹＫＢＨＫＩＯＣＧＨＭＸＶＫＫＢＥＯＳＭＣＡＡＺＣＵＹＢＪＱＹＴＵＱＤＲＨＧＷＲＢＷＳＺＥＶＧＧＴＹＥＳＣＲＤＭＳＭＬＩＲＱＬＱＴＲＺＡＫＬＱＣＳＨＰＦＩＷＲＨＦＦＥＧＺＶＧＵＭＵＷＹＴＧＵＫＲＭＷＲＮＵＺＱＱＫＤＱＢＩＰＧＯＨＪＷＶＳＢＺＬＷＳＱＷＹＦＱＲＶＡＹＭＵＥＯＸＵＰＦＪＫＪＣＹ" localSheetId="10" hidden="1">#REF!</definedName>
    <definedName name="ＰＰＵＺＸＬＴＣＮＳＮＤＨＨＨＪＣＹＣＲＸＸＦＨＩＥＲＹＺＱＲＢＱＳＺＥＰＶＩＷＨＨＶＬＵＮＰＢＨＥＮＬＸＩＵＱＯＤＫＶＰＴＦＤＲＳＪＴＶＺＵＫＯＰＥＰＴＷＬＳＴＶＷＳＦＭＪＢＳＴＤＲＷＵＭＳＦＦＴＸＤＫＡＭＶＩＶＢＸＨＹＫＢＨＫＩＯＣＧＨＭＸＶＫＫＢＥＯＳＭＣＡＡＺＣＵＹＢＪＱＹＴＵＱＤＲＨＧＷＲＢＷＳＺＥＶＧＧＴＹＥＳＣＲＤＭＳＭＬＩＲＱＬＱＴＲＺＡＫＬＱＣＳＨＰＦＩＷＲＨＦＦＥＧＺＶＧＵＭＵＷＹＴＧＵＫＲＭＷＲＮＵＺＱＱＫＤＱＢＩＰＧＯＨＪＷＶＳＢＺＬＷＳＱＷＹＦＱＲＶＡＹＭＵＥＯＸＵＰＦＪＫＪＣＹ" hidden="1">#REF!</definedName>
    <definedName name="PRINT">[21]計算表!#REF!</definedName>
    <definedName name="_xlnm.Print_Area">[20]駆動系1!$J$110:$BD$169</definedName>
    <definedName name="PRINT_AREA_MI">[20]駆動系1!$J$110:$BD$169</definedName>
    <definedName name="PRINT_AREA_MI1">#REF!</definedName>
    <definedName name="Print_Area2">#REF!</definedName>
    <definedName name="_xlnm.Print_Titles">'[44]96期(川崎)'!#REF!</definedName>
    <definedName name="PRINT_TITLES_MI">'[44]96期(川崎)'!#REF!</definedName>
    <definedName name="PRINT_TITLES_MI1">#REF!</definedName>
    <definedName name="Print_Titles1">#REF!</definedName>
    <definedName name="Print_Titles2">#REF!</definedName>
    <definedName name="printMI">#REF!</definedName>
    <definedName name="PROCEDURE">#REF!</definedName>
    <definedName name="projectMonth">[45]Tabelle1!#REF!</definedName>
    <definedName name="Properties">[46]Reference!$A$1:$A$7</definedName>
    <definedName name="ｑ">'[22]002(4)'!#REF!</definedName>
    <definedName name="q_何でも">#REF!</definedName>
    <definedName name="ＱＩＦＩＹＥＥＭＯＰＬＸＦＬＣＤＮＣＰＵＦＭＦＹＭＸＸＬＢＫＤＦＳＦＬＰＮＺＫＷＳＱＷＦＱＫＰＡＹＮＯＥＯＲＶＰＦＫＫＪＭＸＢＥＧＦＮＰＱＭＺＧＤＶＧＲＦＨＯＩＰＢＢＰＴＺＯＸＮＺＩＶＶＳＢＴＥＷＢＥＣＶＣＧＨＬＸＶＪＫＢＥＮＲＭＣＡＡＣＵＹＢＫＸＸＦＡＢＸＪＹＮＭＤＸＩＤＹＦＫＪＤＤＱＧＵＥＴＦＯＵＯＮＫＴＳＤＶＡＤＢＨＱＱＯＴＦＶＫＳＩＬＶＺＯＬＭＬＮＧＣＧＶＩＢＪＬＭＩＶＪＺＲＯＪＣＹＦＫＢＢＶＯＣＮＴＡＲＫＭＺＴＳＰＹＸＩＴＦＩＧＭＯＶＧＨＬＱＯＣＫＩＲＰＪＸＸＷＺＲＯＳＨＮＮＶＸＹＵＧＯＫＭＮＸ">[10]P1_cover!ＱＩＦＩＹＥＥＭＯＰＬＸＦＬＣＤＮＣＰＵＦＭＦＹＭＸＸＬＢＫＤＦＳＦＬＰＮＺＫＷＳＱＷＦＱＫＰＡＹＮＯＥＯＲＶＰＦＫＫＪＭＸＢＥＧＦＮＰＱＭＺＧＤＶＧＲＦＨＯＩＰＢＢＰＴＺＯＸＮＺＩＶＶＳＢＴＥＷＢＥＣＶＣＧＨＬＸＶＪＫＢＥＮＲＭＣＡＡＣＵＹＢＫＸＸＦＡＢＸＪＹＮＭＤＸＩＤＹＦＫＪＤＤＱＧＵＥＴＦＯＵＯＮＫＴＳＤＶＡＤＢＨＱＱＯＴＦＶＫＳＩＬＶＺＯＬＭＬＮＧＣＧＶＩＢＪＬＭＩＶＪＺＲＯＪＣＹＦＫＢＢＶＯＣＮＴＡＲＫＭＺＴＳＰＹＸＩＴＦＩＧＭＯＶＧＨＬＱＯＣＫＩＲＰＪＸＸＷＺＲＯＳＨＮＮＶＸＹＵＧＯＫＭＮＸ</definedName>
    <definedName name="ＱＭＴＹＰＰＪＣＰＢＧＸＦＹＡＮＨＧＤＭＬＷＨＴ" localSheetId="4" hidden="1">#REF!</definedName>
    <definedName name="ＱＭＴＹＰＰＪＣＰＢＧＸＦＹＡＮＨＧＤＭＬＷＨＴ" localSheetId="10" hidden="1">#REF!</definedName>
    <definedName name="ＱＭＴＹＰＰＪＣＰＢＧＸＦＹＡＮＨＧＤＭＬＷＨＴ" hidden="1">#REF!</definedName>
    <definedName name="QQ" localSheetId="6">[6]!subGraph</definedName>
    <definedName name="QQ" localSheetId="3">[6]!subGraph</definedName>
    <definedName name="QQ" localSheetId="10">[6]!subGraph</definedName>
    <definedName name="QQ">[6]!subGraph</definedName>
    <definedName name="ｑｑｑｑｑ" localSheetId="4" hidden="1">{#N/A,#N/A,TRUE,"RIDE";#N/A,#N/A,TRUE,"STEERING";#N/A,#N/A,TRUE,"HANDLING";#N/A,#N/A,TRUE,"BRAKING"}</definedName>
    <definedName name="ｑｑｑｑｑ" localSheetId="10" hidden="1">{#N/A,#N/A,TRUE,"RIDE";#N/A,#N/A,TRUE,"STEERING";#N/A,#N/A,TRUE,"HANDLING";#N/A,#N/A,TRUE,"BRAKING"}</definedName>
    <definedName name="ｑｑｑｑｑ" hidden="1">{#N/A,#N/A,TRUE,"RIDE";#N/A,#N/A,TRUE,"STEERING";#N/A,#N/A,TRUE,"HANDLING";#N/A,#N/A,TRUE,"BRAKING"}</definedName>
    <definedName name="ＱＷＴＣＡＭＸＪＦＤＪＲＺＪＤＩＵＲＧＨＸＨＧＢＱＶＶＵＸＩＳＨＮＮＶＸＺＭＴＰＩＹＡＫＹＡＨＧＸＥＲＹＣＩＷＧＷＦＳＦＬＩＲＩＵＭＹＷＣＫＳＷＷＢＮＫＺＡＱＴＤＨＣＳＰＰＰＤＨＫＳＧＦＮＩＫＧＳＨＷＶＭＲＭＨＯＵＬＬＦＴＸＤＲＢＲＤＭＳＭＬＩＲＰＢＳＹＢＺＦＮＱＲＷＩＹＮＶＬＯＹＣＷＭＫＫＪＭＥＮＣＱＩＱＪＥＲＦＶＮＬＦＰＫＧＮＳＪＪＤＷＪＵＢＲＡＴＶＩＣＢＹＺＫＶＩＬＪＯＱＸＩＪＯＴＱＦＭＷＧＱＮＲＶＷＶＸＱＭＱＦＬＬＴＶＷＳＱＮＦＷＸＨＶＹＦＫＭＧＺＭＸＳＪＳＬＮＡＮＴＱＢＮＹＫＧＥＫＳＡＬＥＪＶＳ" hidden="1">#REF!</definedName>
    <definedName name="qwww">[0]!qwww</definedName>
    <definedName name="RDBI_D900">#REF!</definedName>
    <definedName name="refCovR1">#REF!</definedName>
    <definedName name="refCovR10">#REF!</definedName>
    <definedName name="refCovR11">#REF!</definedName>
    <definedName name="refCovR12">#REF!</definedName>
    <definedName name="refCovR13">#REF!</definedName>
    <definedName name="refCovR14">#REF!</definedName>
    <definedName name="refCovR15">#REF!</definedName>
    <definedName name="refCovR16">#REF!</definedName>
    <definedName name="refCovR17">#REF!</definedName>
    <definedName name="refCovR18">#REF!</definedName>
    <definedName name="refCovR19">#REF!</definedName>
    <definedName name="refCovR2">#REF!</definedName>
    <definedName name="refCovR3">#REF!</definedName>
    <definedName name="refCovR4">#REF!</definedName>
    <definedName name="refCovR5">#REF!</definedName>
    <definedName name="refCovR6">#REF!</definedName>
    <definedName name="refCovR7">#REF!</definedName>
    <definedName name="refCovR8">#REF!</definedName>
    <definedName name="refCovR9">#REF!</definedName>
    <definedName name="refR1">#REF!</definedName>
    <definedName name="refR10">#REF!</definedName>
    <definedName name="refR11">#REF!</definedName>
    <definedName name="refR12">#REF!</definedName>
    <definedName name="refR13">#REF!</definedName>
    <definedName name="refR14">#REF!</definedName>
    <definedName name="refR15">#REF!</definedName>
    <definedName name="refR16">#REF!</definedName>
    <definedName name="refR17">#REF!</definedName>
    <definedName name="refR18">#REF!</definedName>
    <definedName name="refR19">#REF!</definedName>
    <definedName name="refR2">#REF!</definedName>
    <definedName name="refR3">#REF!</definedName>
    <definedName name="refR4">#REF!</definedName>
    <definedName name="refR5">#REF!</definedName>
    <definedName name="refR6">#REF!</definedName>
    <definedName name="refR7">#REF!</definedName>
    <definedName name="refR8">#REF!</definedName>
    <definedName name="refR9">#REF!</definedName>
    <definedName name="REPORTDATE">#REF!</definedName>
    <definedName name="REPORTINGENGR">#REF!</definedName>
    <definedName name="REQ">#REF!</definedName>
    <definedName name="REQMTQTY">#REF!</definedName>
    <definedName name="REQMTTYPE">#REF!</definedName>
    <definedName name="Reset_Learned_Values">#REF!</definedName>
    <definedName name="RESPONSIBILITY">#REF!</definedName>
    <definedName name="RESULTS">#REF!</definedName>
    <definedName name="RF0">#REF!</definedName>
    <definedName name="RITU">#REF!</definedName>
    <definedName name="RJ0">#REF!</definedName>
    <definedName name="RLI_3E">'[13]#REF'!#REF!</definedName>
    <definedName name="ROOP1">#REF!</definedName>
    <definedName name="rr">[0]!rr</definedName>
    <definedName name="Ｓ" hidden="1">#REF!</definedName>
    <definedName name="S_119">[39]MessageSignalList!#REF!</definedName>
    <definedName name="S_120">#REF!</definedName>
    <definedName name="S_127">[39]MessageSignalList!#REF!</definedName>
    <definedName name="S_130">[39]MessageSignalList!#REF!</definedName>
    <definedName name="S_131">[39]MessageSignalList!#REF!</definedName>
    <definedName name="S_136">[39]MessageSignalList!#REF!</definedName>
    <definedName name="S_18D">[39]MessageSignalList!#REF!</definedName>
    <definedName name="S_18E">[39]MessageSignalList!#REF!</definedName>
    <definedName name="S_18F">[39]MessageSignalList!#REF!</definedName>
    <definedName name="S_1AD">[39]MessageSignalList!#REF!</definedName>
    <definedName name="S_1AE">[33]SignalMatrix!#REF!</definedName>
    <definedName name="S_1AF">[39]MessageSignalList!#REF!</definedName>
    <definedName name="S_1B8">[39]MessageSignalList!#REF!</definedName>
    <definedName name="S_1D0">[39]MessageSignalList!#REF!</definedName>
    <definedName name="S_1EF">[39]MessageSignalList!#REF!</definedName>
    <definedName name="S_280">[39]MessageSignalList!#REF!</definedName>
    <definedName name="S_2A1">[33]SignalMatrix!#REF!</definedName>
    <definedName name="S_318">[39]MessageSignalList!#REF!</definedName>
    <definedName name="S_340">[39]MessageSignalList!#REF!</definedName>
    <definedName name="S_380">[39]MessageSignalList!#REF!</definedName>
    <definedName name="S_381">[39]MessageSignalList!#REF!</definedName>
    <definedName name="S_3A1">[39]MessageSignalList!#REF!</definedName>
    <definedName name="S_3A2">[39]MessageSignalList!#REF!</definedName>
    <definedName name="S_3B8">[39]MessageSignalList!#REF!</definedName>
    <definedName name="S_3B9">[39]MessageSignalList!#REF!</definedName>
    <definedName name="S_3BF">[39]MessageSignalList!#REF!</definedName>
    <definedName name="S_3C2">[39]MessageSignalList!#REF!</definedName>
    <definedName name="S_3C3">[39]MessageSignalList!#REF!</definedName>
    <definedName name="S_3D0">[39]MessageSignalList!#REF!</definedName>
    <definedName name="S_3D1">[39]MessageSignalList!#REF!</definedName>
    <definedName name="S_3D4">[39]MessageSignalList!#REF!</definedName>
    <definedName name="S_3D5">[39]MessageSignalList!#REF!</definedName>
    <definedName name="S_3D6">[39]MessageSignalList!#REF!</definedName>
    <definedName name="S_3D8">[39]MessageSignalList!#REF!</definedName>
    <definedName name="S_3D9">[39]MessageSignalList!#REF!</definedName>
    <definedName name="S_3E7">[39]MessageSignalList!#REF!</definedName>
    <definedName name="S_3E8">[39]MessageSignalList!#REF!</definedName>
    <definedName name="S_3FC">[41]SignalMatrix!#REF!</definedName>
    <definedName name="S_47F">[39]MessageSignalList!#REF!</definedName>
    <definedName name="S_501">[39]MessageSignalList!#REF!</definedName>
    <definedName name="S_63x_68x">[39]MessageSignalList!#REF!</definedName>
    <definedName name="sasasa">[5]DataList!#REF!</definedName>
    <definedName name="SAVE">#N/A</definedName>
    <definedName name="Scope_E">#REF!</definedName>
    <definedName name="Scope_J">#REF!</definedName>
    <definedName name="SDA" hidden="1">#REF!</definedName>
    <definedName name="SeitenUmbruch">#REF!</definedName>
    <definedName name="SES">#REF!</definedName>
    <definedName name="session">#REF!</definedName>
    <definedName name="session1">#REF!</definedName>
    <definedName name="SEV_1363">#REF!</definedName>
    <definedName name="SEV_1408">#REF!</definedName>
    <definedName name="SEV_141">#REF!</definedName>
    <definedName name="SEV_143">#REF!</definedName>
    <definedName name="SEV_1655">#REF!</definedName>
    <definedName name="SEV_1772">#REF!</definedName>
    <definedName name="SEV_1773">#REF!</definedName>
    <definedName name="SEV_1779">#REF!</definedName>
    <definedName name="SEV_1799">#REF!</definedName>
    <definedName name="SEV_1800">#REF!</definedName>
    <definedName name="SEV_1801">#REF!</definedName>
    <definedName name="SEV_1802">#REF!</definedName>
    <definedName name="SEV_1803">#REF!</definedName>
    <definedName name="SEV_182">#REF!</definedName>
    <definedName name="SEV_1869">#REF!</definedName>
    <definedName name="SEV_1870">#REF!</definedName>
    <definedName name="SEV_196">#REF!</definedName>
    <definedName name="SEV_197">#REF!</definedName>
    <definedName name="SEV_198">#REF!</definedName>
    <definedName name="SEV_2">#REF!</definedName>
    <definedName name="SEV_212">#REF!</definedName>
    <definedName name="SEV_22">#REF!</definedName>
    <definedName name="SEV_384">#REF!</definedName>
    <definedName name="SEV_420">#REF!</definedName>
    <definedName name="SEV_5">#REF!</definedName>
    <definedName name="SEV_504">#REF!</definedName>
    <definedName name="SEV_509">#REF!</definedName>
    <definedName name="SEV_638">#REF!</definedName>
    <definedName name="SEV_673">#REF!</definedName>
    <definedName name="SEV_734">#REF!</definedName>
    <definedName name="SEV_863">#REF!</definedName>
    <definedName name="SEV1265_7">#REF!</definedName>
    <definedName name="SEV13_7">#REF!</definedName>
    <definedName name="SEV141_7">#REF!</definedName>
    <definedName name="SEV143_7">#REF!</definedName>
    <definedName name="SEV1685_7">#REF!</definedName>
    <definedName name="SEV1687_7">#REF!</definedName>
    <definedName name="SEV1688_7">#REF!</definedName>
    <definedName name="SEV1691_7">#REF!</definedName>
    <definedName name="SEV1692_7">#REF!</definedName>
    <definedName name="SEV1694_7">#REF!</definedName>
    <definedName name="SEV1696_7">#REF!</definedName>
    <definedName name="SEV1697_7">#REF!</definedName>
    <definedName name="SEV1698_7">#REF!</definedName>
    <definedName name="SEV1699_7">#REF!</definedName>
    <definedName name="SEV1700_7">#REF!</definedName>
    <definedName name="SEV1701_7">#REF!</definedName>
    <definedName name="SEV1702_7">#REF!</definedName>
    <definedName name="SEV1703_7">#REF!</definedName>
    <definedName name="SEV1704_7">#REF!</definedName>
    <definedName name="SEV1705_7">#REF!</definedName>
    <definedName name="SEV1706_7">#REF!</definedName>
    <definedName name="SEV1707_7">#REF!</definedName>
    <definedName name="SEV1708_7">#REF!</definedName>
    <definedName name="SEV1709_7">#REF!</definedName>
    <definedName name="SEV1710_7">#REF!</definedName>
    <definedName name="SEV1712_7">#REF!</definedName>
    <definedName name="SEV1751_7">#REF!</definedName>
    <definedName name="SEV1752_7">#REF!</definedName>
    <definedName name="SEV1753_7">#REF!</definedName>
    <definedName name="SEV1756_7">#REF!</definedName>
    <definedName name="SEV1757_7">#REF!</definedName>
    <definedName name="SEV1758_7">#REF!</definedName>
    <definedName name="SEV1759_7">#REF!</definedName>
    <definedName name="SEV1761_7">#REF!</definedName>
    <definedName name="SEV1762_7">#REF!</definedName>
    <definedName name="SEV1764_7">#REF!</definedName>
    <definedName name="SEV1768_7">#REF!</definedName>
    <definedName name="SEV184_7">#REF!</definedName>
    <definedName name="SEV196_7">#REF!</definedName>
    <definedName name="SEV197_7">#REF!</definedName>
    <definedName name="SEV671_7">#REF!</definedName>
    <definedName name="SEV863_7">#REF!</definedName>
    <definedName name="SEV868_7">#REF!</definedName>
    <definedName name="SEV869_7">#REF!</definedName>
    <definedName name="SEV988_7">#REF!</definedName>
    <definedName name="SEVENTHHOME">#REF!</definedName>
    <definedName name="SGSpaltenAnfang">#REF!</definedName>
    <definedName name="SGSpaltenEnde">#REF!</definedName>
    <definedName name="SignalMatrix">[39]MessageSignalList!#REF!</definedName>
    <definedName name="SIXTHHOME">#REF!</definedName>
    <definedName name="SIZE">#REF!</definedName>
    <definedName name="soft品番">#REF!</definedName>
    <definedName name="SOURCE">#REF!</definedName>
    <definedName name="spd">[2]result!#REF!</definedName>
    <definedName name="ＳＳ" hidden="1">#REF!</definedName>
    <definedName name="sss" localSheetId="4" hidden="1">{#N/A,#N/A,TRUE,"RIDE";#N/A,#N/A,TRUE,"STEERING";#N/A,#N/A,TRUE,"HANDLING";#N/A,#N/A,TRUE,"BRAKING"}</definedName>
    <definedName name="sss" localSheetId="10" hidden="1">{#N/A,#N/A,TRUE,"RIDE";#N/A,#N/A,TRUE,"STEERING";#N/A,#N/A,TRUE,"HANDLING";#N/A,#N/A,TRUE,"BRAKING"}</definedName>
    <definedName name="sss" hidden="1">{#N/A,#N/A,TRUE,"RIDE";#N/A,#N/A,TRUE,"STEERING";#N/A,#N/A,TRUE,"HANDLING";#N/A,#N/A,TRUE,"BRAKING"}</definedName>
    <definedName name="STAGE">#REF!</definedName>
    <definedName name="START">#REF!</definedName>
    <definedName name="State">#REF!</definedName>
    <definedName name="stateList">#REF!</definedName>
    <definedName name="SUB">#REF!</definedName>
    <definedName name="SUB00">#REF!</definedName>
    <definedName name="subGraph" localSheetId="6">[47]!subGraph</definedName>
    <definedName name="subGraph" localSheetId="3">[47]!subGraph</definedName>
    <definedName name="subGraph" localSheetId="10">[47]!subGraph</definedName>
    <definedName name="subGraph">[47]!subGraph</definedName>
    <definedName name="subMap" localSheetId="6">[47]!subMap</definedName>
    <definedName name="subMap" localSheetId="3">[47]!subMap</definedName>
    <definedName name="subMap" localSheetId="10">[47]!subMap</definedName>
    <definedName name="subMap">[47]!subMap</definedName>
    <definedName name="SW品番">#REF!</definedName>
    <definedName name="SYSTEM">[34]DATA01!$I$4:$P$18</definedName>
    <definedName name="ｔ">'[22]002(4)'!#REF!</definedName>
    <definedName name="T_製造原価明細印刷ワーク_KOKUMAI">'[13]#REF'!$A$1:$AZ$79</definedName>
    <definedName name="TARGETREQMT">#REF!</definedName>
    <definedName name="Tc">#REF!</definedName>
    <definedName name="TENTHHOME">#REF!</definedName>
    <definedName name="TEST">[20]駆動系1!$J$110:$BD$169</definedName>
    <definedName name="TESTEDQTY">#REF!</definedName>
    <definedName name="TESTEDTYPE">#REF!</definedName>
    <definedName name="ＴＦＩＧＭＯＶＧＧＬＱＮＣＫＴＥＮＴＪＮＮＮＰＩＥＩＸＤＤＬＮＶＨＰＬＤＵＶＦＵＷＤＩＴＺＴＭＡＬＫＹＰＪＬＹＬＲＯＸＷＨＳＥＡＹＥＮＵＦＺＪＧＶＷＭＷＺＤＹＮＳＳＲＵＦＪＭＣＩＩＬＮＩＶＣＺＲＩＪＴＨＫＲＰＧＮＡＡＮＳＹＡＱＣＬＵＡＸＧＸＪＰＳＱＷＥＭＰＱＶＨＥＴＯＲＢＦＡＱＮＮＮＰＩＷＥＳＲＺＵＷＳＥＴＩＨＹＳＣＹＴＡＯＮＨＨＶＬＺＪＹＫＴＺＦＣＬＪＶＮＳＶＴＺＨＩＴＴＹＩＷＥＶＹＨＬＧＷＵＵＴＶＯＫＯＤＲＪＲＴＶＨＶＬＤＢＶＦＡＷＩＡＡＴＭＡＬＲＺＰＹＲＴＧＡＡＪＨＴＥＱＴＲＸＹＧＲＲＷＢＹＯＸＨＲ">[10]P1_cover!ＴＦＩＧＭＯＶＧＧＬＱＮＣＫＴＥＮＴＪＮＮＮＰＩＥＩＸＤＤＬＮＶＨＰＬＤＵＶＦＵＷＤＩＴＺＴＭＡＬＫＹＰＪＬＹＬＲＯＸＷＨＳＥＡＹＥＮＵＦＺＪＧＶＷＭＷＺＤＹＮＳＳＲＵＦＪＭＣＩＩＬＮＩＶＣＺＲＩＪＴＨＫＲＰＧＮＡＡＮＳＹＡＱＣＬＵＡＸＧＸＪＰＳＱＷＥＭＰＱＶＨＥＴＯＲＢＦＡＱＮＮＮＰＩＷＥＳＲＺＵＷＳＥＴＩＨＹＳＣＹＴＡＯＮＨＨＶＬＺＪＹＫＴＺＦＣＬＪＶＮＳＶＴＺＨＩＴＴＹＩＷＥＶＹＨＬＧＷＵＵＴＶＯＫＯＤＲＪＲＴＶＨＶＬＤＢＶＦＡＷＩＡＡＴＭＡＬＲＺＰＹＲＴＧＡＡＪＨＴＥＱＴＲＸＹＧＲＲＷＢＹＯＸＨＲ</definedName>
    <definedName name="THARF">[0]!THARF</definedName>
    <definedName name="THIRDHOME">#REF!</definedName>
    <definedName name="thw">[2]result!#REF!</definedName>
    <definedName name="TM">#REF!</definedName>
    <definedName name="TMlist">#REF!</definedName>
    <definedName name="ＴＭＰ">[48]駆動系1!$J$110:$BD$169</definedName>
    <definedName name="ＴＭＰ２">[48]駆動系1!$J$110:$BD$169</definedName>
    <definedName name="TQ" localSheetId="4" hidden="1">{#N/A,#N/A,TRUE,"smooth ride";#N/A,#N/A,TRUE,"rough ride";#N/A,#N/A,TRUE,"parking";#N/A,#N/A,TRUE,"straight Control";#N/A,#N/A,TRUE,"corn control";#N/A,#N/A,TRUE,"Steer disturbance";#N/A,#N/A,TRUE,"Straight stab.";#N/A,#N/A,TRUE,"cornering stab.";#N/A,#N/A,TRUE,"braking";#N/A,#N/A,TRUE,"braking dist"}</definedName>
    <definedName name="TQ" localSheetId="10" hidden="1">{#N/A,#N/A,TRUE,"smooth ride";#N/A,#N/A,TRUE,"rough ride";#N/A,#N/A,TRUE,"parking";#N/A,#N/A,TRUE,"straight Control";#N/A,#N/A,TRUE,"corn control";#N/A,#N/A,TRUE,"Steer disturbance";#N/A,#N/A,TRUE,"Straight stab.";#N/A,#N/A,TRUE,"cornering stab.";#N/A,#N/A,TRUE,"braking";#N/A,#N/A,TRUE,"braking dist"}</definedName>
    <definedName name="TQ" hidden="1">{#N/A,#N/A,TRUE,"smooth ride";#N/A,#N/A,TRUE,"rough ride";#N/A,#N/A,TRUE,"parking";#N/A,#N/A,TRUE,"straight Control";#N/A,#N/A,TRUE,"corn control";#N/A,#N/A,TRUE,"Steer disturbance";#N/A,#N/A,TRUE,"Straight stab.";#N/A,#N/A,TRUE,"cornering stab.";#N/A,#N/A,TRUE,"braking";#N/A,#N/A,TRUE,"braking dist"}</definedName>
    <definedName name="ＴＱＩＺＡＫＹＢＨＮＴＮＧＵＦＥＳＪＳＬＰＣＨＥＯＭＸＩＶＲＰＶＤＬＶＰＵＧＤＳＡＫＮＲＭＢＧＬＯＺＤＧＶＣＢＪＬＮＧＯＫＣＴＵＥＴＶＣＡＲＹＬＬＷＤＲＢＱＣＬＹＬＲＯＸＰＡＳＸＡＹＥＮＵＹＹＪＧＶＷＭＰＺＤＹＯＴＳＵＮＱＵＣＱＰＸＳＵＰＣＱＧＦＷＱＡＶＲＹＲＲＬＬＺＤＱＡＰＢＢＶＵＲＢＭＥＪＭＫＱＺＺＫＯＡＱＦＮＴＤＨＢＲＰＰＯＮＫＮＤＱＪＲＴＵＱＣＲＧＹＷＱＤＺＧＬＣＣＷＰＣＯＵＢＳＢＴＡＵＴＱＺＹＪＵＧＪＨＮＰＷＨＩＭＲＰＤＬＷＦＤＸＮＳＳＲＵＭＪＭＢＩＨＰＡＷＩＱＭＥＶＷＨＶＸＥＪＵＡＵＮＢＭＬＲ" hidden="1">#REF!</definedName>
    <definedName name="TQ要望Graf" localSheetId="4" hidden="1">{#N/A,#N/A,TRUE,"smooth ride";#N/A,#N/A,TRUE,"rough ride";#N/A,#N/A,TRUE,"parking";#N/A,#N/A,TRUE,"straight Control";#N/A,#N/A,TRUE,"corn control";#N/A,#N/A,TRUE,"Steer disturbance";#N/A,#N/A,TRUE,"Straight stab.";#N/A,#N/A,TRUE,"cornering stab.";#N/A,#N/A,TRUE,"braking";#N/A,#N/A,TRUE,"braking dist"}</definedName>
    <definedName name="TQ要望Graf" localSheetId="10" hidden="1">{#N/A,#N/A,TRUE,"smooth ride";#N/A,#N/A,TRUE,"rough ride";#N/A,#N/A,TRUE,"parking";#N/A,#N/A,TRUE,"straight Control";#N/A,#N/A,TRUE,"corn control";#N/A,#N/A,TRUE,"Steer disturbance";#N/A,#N/A,TRUE,"Straight stab.";#N/A,#N/A,TRUE,"cornering stab.";#N/A,#N/A,TRUE,"braking";#N/A,#N/A,TRUE,"braking dist"}</definedName>
    <definedName name="TQ要望Graf" hidden="1">{#N/A,#N/A,TRUE,"smooth ride";#N/A,#N/A,TRUE,"rough ride";#N/A,#N/A,TRUE,"parking";#N/A,#N/A,TRUE,"straight Control";#N/A,#N/A,TRUE,"corn control";#N/A,#N/A,TRUE,"Steer disturbance";#N/A,#N/A,TRUE,"Straight stab.";#N/A,#N/A,TRUE,"cornering stab.";#N/A,#N/A,TRUE,"braking";#N/A,#N/A,TRUE,"braking dist"}</definedName>
    <definedName name="tr">[0]!tr</definedName>
    <definedName name="ts">[2]result!#REF!</definedName>
    <definedName name="ｔｔｔ" localSheetId="4" hidden="1">{#N/A,#N/A,TRUE,"smooth ride";#N/A,#N/A,TRUE,"rough ride";#N/A,#N/A,TRUE,"parking";#N/A,#N/A,TRUE,"straight Control";#N/A,#N/A,TRUE,"corn control";#N/A,#N/A,TRUE,"Steer disturbance";#N/A,#N/A,TRUE,"Straight stab.";#N/A,#N/A,TRUE,"cornering stab.";#N/A,#N/A,TRUE,"braking";#N/A,#N/A,TRUE,"braking dist"}</definedName>
    <definedName name="ｔｔｔ" localSheetId="10" hidden="1">{#N/A,#N/A,TRUE,"smooth ride";#N/A,#N/A,TRUE,"rough ride";#N/A,#N/A,TRUE,"parking";#N/A,#N/A,TRUE,"straight Control";#N/A,#N/A,TRUE,"corn control";#N/A,#N/A,TRUE,"Steer disturbance";#N/A,#N/A,TRUE,"Straight stab.";#N/A,#N/A,TRUE,"cornering stab.";#N/A,#N/A,TRUE,"braking";#N/A,#N/A,TRUE,"braking dist"}</definedName>
    <definedName name="ｔｔｔ" hidden="1">{#N/A,#N/A,TRUE,"smooth ride";#N/A,#N/A,TRUE,"rough ride";#N/A,#N/A,TRUE,"parking";#N/A,#N/A,TRUE,"straight Control";#N/A,#N/A,TRUE,"corn control";#N/A,#N/A,TRUE,"Steer disturbance";#N/A,#N/A,TRUE,"Straight stab.";#N/A,#N/A,TRUE,"cornering stab.";#N/A,#N/A,TRUE,"braking";#N/A,#N/A,TRUE,"braking dist"}</definedName>
    <definedName name="ＴＵＱＣＲＧＹＷＱＢＷＲＹＤＶＶＯＨＶＧ" hidden="1">#REF!</definedName>
    <definedName name="tv0">[2]result!#REF!</definedName>
    <definedName name="tvo">[2]result!#REF!</definedName>
    <definedName name="Tw">#REF!</definedName>
    <definedName name="txtChargeTel">#REF!</definedName>
    <definedName name="txtNumSheets">#REF!</definedName>
    <definedName name="txtReceDate">#REF!</definedName>
    <definedName name="txtSameProtoNo">#REF!</definedName>
    <definedName name="tyr">[0]!tyr</definedName>
    <definedName name="u">[0]!u</definedName>
    <definedName name="ＵＬＬＦＦＳＸＤＲＢＱＣＬＲＬＫＨＦＱＩＯＲＰＸＸＩＪＮＺＱＦＭＤＧＰＴＯＥＣＭＰＨＥＨＷＫＣＫＭＯＰＤＴＬＪＤＮＩＥＬＨＨＢＵＩＴＫＢＫＤＦＳＭＬＫＪＵＦＲＵＹＡＨＳＴＹＤＡＰＸＧＱＡＸＲＨＭＭＬＯＧＤＡＧＧＯＱＲＮＺＨＤＴＶＦＴＶＣＩＳＺＳＭＷＶＪＡＩＢＤＱＥＪＧＰＯＺＫＷＳＲＷＫＶＰＴＦＤＲＳＪＴＶＺＵＫＰＮＰＢＥＩＸＥＤＬＮＯＧＮＫＣＴＵＥＳＺＸＯＶＡＮＳＹＭＷＬＸＧＴＧＭＪＳＤＵＡＤＢＨＰＷＡＢＧＳＰＥＦＶＹＩＭＧＷＵＵＰＩＬＰＬＫＴＮＰＬＸＭＢＡＲＬＷＲＭＴＹＵＮＮＢＦＭＡＪＺＬＵＡＵＴＱＺＨ" localSheetId="4" hidden="1">#REF!</definedName>
    <definedName name="ＵＬＬＦＦＳＸＤＲＢＱＣＬＲＬＫＨＦＱＩＯＲＰＸＸＩＪＮＺＱＦＭＤＧＰＴＯＥＣＭＰＨＥＨＷＫＣＫＭＯＰＤＴＬＪＤＮＩＥＬＨＨＢＵＩＴＫＢＫＤＦＳＭＬＫＪＵＦＲＵＹＡＨＳＴＹＤＡＰＸＧＱＡＸＲＨＭＭＬＯＧＤＡＧＧＯＱＲＮＺＨＤＴＶＦＴＶＣＩＳＺＳＭＷＶＪＡＩＢＤＱＥＪＧＰＯＺＫＷＳＲＷＫＶＰＴＦＤＲＳＪＴＶＺＵＫＰＮＰＢＥＩＸＥＤＬＮＯＧＮＫＣＴＵＥＳＺＸＯＶＡＮＳＹＭＷＬＸＧＴＧＭＪＳＤＵＡＤＢＨＰＷＡＢＧＳＰＥＦＶＹＩＭＧＷＵＵＰＩＬＰＬＫＴＮＰＬＸＭＢＡＲＬＷＲＭＴＹＵＮＮＢＦＭＡＪＺＬＵＡＵＴＱＺＨ" localSheetId="10" hidden="1">#REF!</definedName>
    <definedName name="ＵＬＬＦＦＳＸＤＲＢＱＣＬＲＬＫＨＦＱＩＯＲＰＸＸＩＪＮＺＱＦＭＤＧＰＴＯＥＣＭＰＨＥＨＷＫＣＫＭＯＰＤＴＬＪＤＮＩＥＬＨＨＢＵＩＴＫＢＫＤＦＳＭＬＫＪＵＦＲＵＹＡＨＳＴＹＤＡＰＸＧＱＡＸＲＨＭＭＬＯＧＤＡＧＧＯＱＲＮＺＨＤＴＶＦＴＶＣＩＳＺＳＭＷＶＪＡＩＢＤＱＥＪＧＰＯＺＫＷＳＲＷＫＶＰＴＦＤＲＳＪＴＶＺＵＫＰＮＰＢＥＩＸＥＤＬＮＯＧＮＫＣＴＵＥＳＺＸＯＶＡＮＳＹＭＷＬＸＧＴＧＭＪＳＤＵＡＤＢＨＰＷＡＢＧＳＰＥＦＶＹＩＭＧＷＵＵＰＩＬＰＬＫＴＮＰＬＸＭＢＡＲＬＷＲＭＴＹＵＮＮＢＦＭＡＪＺＬＵＡＵＴＱＺＨ" hidden="1">#REF!</definedName>
    <definedName name="un">#REF!</definedName>
    <definedName name="UPGNO">#REF!</definedName>
    <definedName name="uyu">[0]!uyu</definedName>
    <definedName name="ＶＡＤＢＨＱＸＢＣＧＳＱＥＦＺＪＮＩＸＶＶＵＸＰＴＷＦＳＳＡＶＺＭＡＱＰＧＡＫＦＢＩＮＥＥＹＹＬＱＷＭＢＮＷＣＷＶＳＢＡＬＤＩＬＪＰＹＹＪＬＸＯＣＩＬＶＺＴＪＨＨＧＪＢＹＶＪＣＫＬＮＪＶＫＣＡＵＥＡＬＱＨＨＢＵＩＴＺＧＸＧＺＢＯＩＧＤＨＳＤＰＳＱＷ">[10]P1_cover!ＶＡＤＢＨＱＸＢＣＧＳＱＥＦＺＪＮＩＸＶＶＵＸＰＴＷＦＳＳＡＶＺＭＡＱＰＧＡＫＦＢＩＮＥＥＹＹＬＱＷＭＢＮＷＣＷＶＳＢＡＬＤＩＬＪＰＹＹＪＬＸＯＣＩＬＶＺＴＪＨＨＧＪＢＹＶＪＣＫＬＮＪＶＫＣＡＵＥＡＬＱＨＨＢＵＩＴＺＧＸＧＺＢＯＩＧＤＨＳＤＰＳＱＷ</definedName>
    <definedName name="valid">#REF!</definedName>
    <definedName name="ＶＢＰＺＰＢＫＱＫＪＧＰＮＺＲＷＺＸＤＬＭＷＣＯＦＴＢＲＶＥＩＤＴＱＲＱＳＬＨＬＡＯＧＯＪＦＳＧＷＯＭＧＱＬＨＯＴＫＫＥＸＫＷＣＪＴＭＯＢＶＵＲＡＺＫＶＨＫＸＺＧＲＳＴＱＦＮＷＧＱＮＩＹＣＤＣＥＸＴＸＭＳＬＮＯＫＸＥＢＴＫＬＶＪＭＴＹＩＰＪＣＩＨＶＭＶＯＱＤＱＷＴＣＡＭＸＪＦＤＪＲＺＪＮＺＷＬＭＣＭＰＴＯＤＩＩＨＫＶＺＣＳＹＹＧＩＬＸＦＢＴＫＬＶＫＭＴＲＪＰＣＣＱＵＡＯＹＨＱＤＱＷＴＣＴＦＸＣＦＤＪＲＺＤＤＩＵＲＧＨＷＧＫＥＵＳＳＲＵＭＱＴＩＩＱＬＭＩＶＪＺＸＯＪＴＯＦＫＢＢＶＶＩＮＴＨＲＧＳＢＧＥＢＫＪ" localSheetId="4" hidden="1">#REF!</definedName>
    <definedName name="ＶＢＰＺＰＢＫＱＫＪＧＰＮＺＲＷＺＸＤＬＭＷＣＯＦＴＢＲＶＥＩＤＴＱＲＱＳＬＨＬＡＯＧＯＪＦＳＧＷＯＭＧＱＬＨＯＴＫＫＥＸＫＷＣＪＴＭＯＢＶＵＲＡＺＫＶＨＫＸＺＧＲＳＴＱＦＮＷＧＱＮＩＹＣＤＣＥＸＴＸＭＳＬＮＯＫＸＥＢＴＫＬＶＪＭＴＹＩＰＪＣＩＨＶＭＶＯＱＤＱＷＴＣＡＭＸＪＦＤＪＲＺＪＮＺＷＬＭＣＭＰＴＯＤＩＩＨＫＶＺＣＳＹＹＧＩＬＸＦＢＴＫＬＶＫＭＴＲＪＰＣＣＱＵＡＯＹＨＱＤＱＷＴＣＴＦＸＣＦＤＪＲＺＤＤＩＵＲＧＨＷＧＫＥＵＳＳＲＵＭＱＴＩＩＱＬＭＩＶＪＺＸＯＪＴＯＦＫＢＢＶＶＩＮＴＨＲＧＳＢＧＥＢＫＪ" localSheetId="10" hidden="1">#REF!</definedName>
    <definedName name="ＶＢＰＺＰＢＫＱＫＪＧＰＮＺＲＷＺＸＤＬＭＷＣＯＦＴＢＲＶＥＩＤＴＱＲＱＳＬＨＬＡＯＧＯＪＦＳＧＷＯＭＧＱＬＨＯＴＫＫＥＸＫＷＣＪＴＭＯＢＶＵＲＡＺＫＶＨＫＸＺＧＲＳＴＱＦＮＷＧＱＮＩＹＣＤＣＥＸＴＸＭＳＬＮＯＫＸＥＢＴＫＬＶＪＭＴＹＩＰＪＣＩＨＶＭＶＯＱＤＱＷＴＣＡＭＸＪＦＤＪＲＺＪＮＺＷＬＭＣＭＰＴＯＤＩＩＨＫＶＺＣＳＹＹＧＩＬＸＦＢＴＫＬＶＫＭＴＲＪＰＣＣＱＵＡＯＹＨＱＤＱＷＴＣＴＦＸＣＦＤＪＲＺＤＤＩＵＲＧＨＷＧＫＥＵＳＳＲＵＭＱＴＩＩＱＬＭＩＶＪＺＸＯＪＴＯＦＫＢＢＶＶＩＮＴＨＲＧＳＢＧＥＢＫＪ" hidden="1">#REF!</definedName>
    <definedName name="ＶＣＱＡＰＢＫＱＫＪＧＰＯＺＲＷＺＸＵＶＧＧＬＸＮＯＥＩＲＶＱＧＤＥＤＦＹＵＹＮＡＴＢＤＥＡＮＹＱＯＩＳＯＩＮＦＥＹＲＦＱＷＳＢＵＷＪＤＣＺＩＧＳＤＯＭＳＴＢＬＭＲＷＴＩＱＡＫＨＣＲＯＮＱＩＦＩＹＥＥＭＯＰＬＸＩＡＲＴＤＲＴＡＧＱＸＱＫＸＩＩＷＭＶＩＶＩＯＬＵＳＥＰＢＸＶＢＶＧＺＥＷＬＭＣＭＰＴＯＥＩＩＩＫＰＳＨＯＮＶＸＺＶＨＰＬＤ" localSheetId="4" hidden="1">#REF!</definedName>
    <definedName name="ＶＣＱＡＰＢＫＱＫＪＧＰＯＺＲＷＺＸＵＶＧＧＬＸＮＯＥＩＲＶＱＧＤＥＤＦＹＵＹＮＡＴＢＤＥＡＮＹＱＯＩＳＯＩＮＦＥＹＲＦＱＷＳＢＵＷＪＤＣＺＩＧＳＤＯＭＳＴＢＬＭＲＷＴＩＱＡＫＨＣＲＯＮＱＩＦＩＹＥＥＭＯＰＬＸＩＡＲＴＤＲＴＡＧＱＸＱＫＸＩＩＷＭＶＩＶＩＯＬＵＳＥＰＢＸＶＢＶＧＺＥＷＬＭＣＭＰＴＯＥＩＩＩＫＰＳＨＯＮＶＸＺＶＨＰＬＤ" localSheetId="10" hidden="1">#REF!</definedName>
    <definedName name="ＶＣＱＡＰＢＫＱＫＪＧＰＯＺＲＷＺＸＵＶＧＧＬＸＮＯＥＩＲＶＱＧＤＥＤＦＹＵＹＮＡＴＢＤＥＡＮＹＱＯＩＳＯＩＮＦＥＹＲＦＱＷＳＢＵＷＪＤＣＺＩＧＳＤＯＭＳＴＢＬＭＲＷＴＩＱＡＫＨＣＲＯＮＱＩＦＩＹＥＥＭＯＰＬＸＩＡＲＴＤＲＴＡＧＱＸＱＫＸＩＩＷＭＶＩＶＩＯＬＵＳＥＰＢＸＶＢＶＧＺＥＷＬＭＣＭＰＴＯＥＩＩＩＫＰＳＨＯＮＶＸＺＶＨＰＬＤ" hidden="1">#REF!</definedName>
    <definedName name="VIN_Table">#REF!</definedName>
    <definedName name="ＶＬＯＹＣＸＮＫＬＫＭＦＢＦＭＥＭＯＱＭＹＮＣＫＥＯＪＦＭＲＩＩＣＶＪＵＡＨＡＴＶＩＣＢＹＨＦＲＣＹＷＣＥＬＷＸＢＧＥＳＢＬＵＲＭＣＨＨＧＰＭＰＥＬＬＴＵＷＳＥＭＩＡＲＳＣＲＴＪＵＡＵＮＢＭＬＺＱＺＳＵＨＵＡＸＧＥＱＢＮＪＮＷＤＯＩＭＹＷＫＬＢＭＯＳＮＤＨＩＨＪＣＧＶＣＢＪＬＮＩＶＣＺＩＫＵＩＫＲＱＨＯＧＵＹＥＳＣＳＥＮＡＮＴＱＷＨＺＦＩＧＬＵＢＦＧＬＷＵＪＪＡＤＮＲＬＢＺＺＢＵＸＯＢＢＪＥＦＢＮＣＲＱＨＣＭＨＣＪＯＧＧＺＺＶＣＱＺＰＢＫＱＫＪＧＰＮＺＲＷＺＸＤＬＭＸＷＨＹＮＶＬＯＹＣＷＭＲＱＴＬＩＭＢＯ">[10]P1_cover!ＶＬＯＹＣＸＮＫＬＫＭＦＢＦＭＥＭＯＱＭＹＮＣＫＥＯＪＦＭＲＩＩＣＶＪＵＡＨＡＴＶＩＣＢＹＨＦＲＣＹＷＣＥＬＷＸＢＧＥＳＢＬＵＲＭＣＨＨＧＰＭＰＥＬＬＴＵＷＳＥＭＩＡＲＳＣＲＴＪＵＡＵＮＢＭＬＺＱＺＳＵＨＵＡＸＧＥＱＢＮＪＮＷＤＯＩＭＹＷＫＬＢＭＯＳＮＤＨＩＨＪＣＧＶＣＢＪＬＮＩＶＣＺＩＫＵＩＫＲＱＨＯＧＵＹＥＳＣＳＥＮＡＮＴＱＷＨＺＦＩＧＬＵＢＦＧＬＷＵＪＪＡＤＮＲＬＢＺＺＢＵＸＯＢＢＪＥＦＢＮＣＲＱＨＣＭＨＣＪＯＧＧＺＺＶＣＱＺＰＢＫＱＫＪＧＰＮＺＲＷＺＸＤＬＭＸＷＨＹＮＶＬＯＹＣＷＭＲＱＴＬＩＭＢＯ</definedName>
    <definedName name="ＶＸＺＵＨＶＬＤＢＶＦＡＨＭＥＤＸＱＥＰＶＣＴＣＶＸＫＥＲＢＺＬＩＬＪＰＲＹＪＳＸＶＪＲＡＢＺＴＪＯＡＣＶＲＶＫＱＱＹＡＢＸＺＶＮＥＦＰＥＧＮＳＣＪＤＷＫＶＵＩＺＩＢＯＢＧＤＭＬＷＨＵＱＯＴＣＪＵＯＴＥＣＲＳＩＳＺＵＫＯＯＯＱＣＦＪＹＥＥＲＳＯＡＩＦＷＸＩＷＸＶＮＴＧＧＵＹＥＳＣＳＥＮＡＮＳＰＫＶＮＳＶＴＺＩＰＴＵＹＫＨＰＦＩＳＷＲＨＥＦＥＧＺＣＧＯＢＢＸＺＶＨＷＬＫＢＶＧＢＷＤＩＡＺＴＴＨＩＷＧＷＩＲＸＲＱＮＷＵＧＸＤＧＥＫＴＥＥＪＶＭＡＩＹＣＴＯＥＢＣＢＤＷＳＲＦＸＦＨＪＥＲＦＶＮＬＦＰＳＺＥＷＷＰＩ">[10]P1_cover!ＶＸＺＵＨＶＬＤＢＶＦＡＨＭＥＤＸＱＥＰＶＣＴＣＶＸＫＥＲＢＺＬＩＬＪＰＲＹＪＳＸＶＪＲＡＢＺＴＪＯＡＣＶＲＶＫＱＱＹＡＢＸＺＶＮＥＦＰＥＧＮＳＣＪＤＷＫＶＵＩＺＩＢＯＢＧＤＭＬＷＨＵＱＯＴＣＪＵＯＴＥＣＲＳＩＳＺＵＫＯＯＯＱＣＦＪＹＥＥＲＳＯＡＩＦＷＸＩＷＸＶＮＴＧＧＵＹＥＳＣＳＥＮＡＮＳＰＫＶＮＳＶＴＺＩＰＴＵＹＫＨＰＦＩＳＷＲＨＥＦＥＧＺＣＧＯＢＢＸＺＶＨＷＬＫＢＶＧＢＷＤＩＡＺＴＴＨＩＷＧＷＩＲＸＲＱＮＷＵＧＸＤＧＥＫＴＥＥＪＶＭＡＩＹＣＴＯＥＢＣＢＤＷＳＲＦＸＦＨＪＥＲＦＶＮＬＦＰＳＺＥＷＷＰＩ</definedName>
    <definedName name="ｗ">'[22]002(4)'!#REF!</definedName>
    <definedName name="we">[0]!we</definedName>
    <definedName name="weer">[0]!weer</definedName>
    <definedName name="ＷＮＷＰＲＥＹＸＵＤＢＮＹＫＮＬＲＳＢＣＨＭ" localSheetId="4" hidden="1">#REF!</definedName>
    <definedName name="ＷＮＷＰＲＥＹＸＵＤＢＮＹＫＮＬＲＳＢＣＨＭ" localSheetId="10" hidden="1">#REF!</definedName>
    <definedName name="ＷＮＷＰＲＥＹＸＵＤＢＮＹＫＮＬＲＳＢＣＨＭ" hidden="1">#REF!</definedName>
    <definedName name="ＷＰＬＰＥＬＫＳＵＶＲＥＬＳＪＫＵＩＬＳＸＨＯＩＢＯＡＺＮＥＮＦＩＵＲＯＸＷＨＳＦＢＺＦＮＵＦＺＥＱＮＨＹＩＫＰＮＳＳＲＵＦＪＭＢＩＩＱＲＴＰＣＺＲＩＪＴＨＫＲＰＧＮＡＡＷＣＱＡＪＳＦＳＸＵＥＶＱＷＺＸＣＬＳＷＸＣＮＬＡＡＲＵＥＩＣＳＱＱＰＱＴＸＦＴＳＡＶＸＳＦＴＪＩＺＴＤＹＵＢＡＡＴＵＨＬＳＧＱＦＲＡＧＡＺＷＦＥＰＨＭＦＬＴＵＦＦＫＷＭＢＪＺＣＭＱＳＰＱＰＲＫＧＫＺＭＦＮＰＱＭＺＮＮＫＦＰＫＦＭＳＪＪＣＷＪＵＢＩＺＨＡＣＰＪＳＢＺＬＷＩＬＪＰＱＹＩＪＯＴＱＦＮＷＧＱＮＭＱＱＱＳＬＨＬＡＧＧＩＪＦＳＺＶＮ" localSheetId="4" hidden="1">#REF!</definedName>
    <definedName name="ＷＰＬＰＥＬＫＳＵＶＲＥＬＳＪＫＵＩＬＳＸＨＯＩＢＯＡＺＮＥＮＦＩＵＲＯＸＷＨＳＦＢＺＦＮＵＦＺＥＱＮＨＹＩＫＰＮＳＳＲＵＦＪＭＢＩＩＱＲＴＰＣＺＲＩＪＴＨＫＲＰＧＮＡＡＷＣＱＡＪＳＦＳＸＵＥＶＱＷＺＸＣＬＳＷＸＣＮＬＡＡＲＵＥＩＣＳＱＱＰＱＴＸＦＴＳＡＶＸＳＦＴＪＩＺＴＤＹＵＢＡＡＴＵＨＬＳＧＱＦＲＡＧＡＺＷＦＥＰＨＭＦＬＴＵＦＦＫＷＭＢＪＺＣＭＱＳＰＱＰＲＫＧＫＺＭＦＮＰＱＭＺＮＮＫＦＰＫＦＭＳＪＪＣＷＪＵＢＩＺＨＡＣＰＪＳＢＺＬＷＩＬＪＰＱＹＩＪＯＴＱＦＮＷＧＱＮＭＱＱＱＳＬＨＬＡＧＧＩＪＦＳＺＶＮ" localSheetId="10" hidden="1">#REF!</definedName>
    <definedName name="ＷＰＬＰＥＬＫＳＵＶＲＥＬＳＪＫＵＩＬＳＸＨＯＩＢＯＡＺＮＥＮＦＩＵＲＯＸＷＨＳＦＢＺＦＮＵＦＺＥＱＮＨＹＩＫＰＮＳＳＲＵＦＪＭＢＩＩＱＲＴＰＣＺＲＩＪＴＨＫＲＰＧＮＡＡＷＣＱＡＪＳＦＳＸＵＥＶＱＷＺＸＣＬＳＷＸＣＮＬＡＡＲＵＥＩＣＳＱＱＰＱＴＸＦＴＳＡＶＸＳＦＴＪＩＺＴＤＹＵＢＡＡＴＵＨＬＳＧＱＦＲＡＧＡＺＷＦＥＰＨＭＦＬＴＵＦＦＫＷＭＢＪＺＣＭＱＳＰＱＰＲＫＧＫＺＭＦＮＰＱＭＺＮＮＫＦＰＫＦＭＳＪＪＣＷＪＵＢＩＺＨＡＣＰＪＳＢＺＬＷＩＬＪＰＱＹＩＪＯＴＱＦＮＷＧＱＮＭＱＱＱＳＬＨＬＡＧＧＩＪＦＳＺＶＮ" hidden="1">#REF!</definedName>
    <definedName name="WR" localSheetId="4" hidden="1">{#N/A,#N/A,TRUE,"smooth ride";#N/A,#N/A,TRUE,"rough ride";#N/A,#N/A,TRUE,"parking";#N/A,#N/A,TRUE,"straight Control";#N/A,#N/A,TRUE,"corn control";#N/A,#N/A,TRUE,"Steer disturbance";#N/A,#N/A,TRUE,"Straight stab.";#N/A,#N/A,TRUE,"cornering stab.";#N/A,#N/A,TRUE,"braking";#N/A,#N/A,TRUE,"braking dist"}</definedName>
    <definedName name="WR" localSheetId="10" hidden="1">{#N/A,#N/A,TRUE,"smooth ride";#N/A,#N/A,TRUE,"rough ride";#N/A,#N/A,TRUE,"parking";#N/A,#N/A,TRUE,"straight Control";#N/A,#N/A,TRUE,"corn control";#N/A,#N/A,TRUE,"Steer disturbance";#N/A,#N/A,TRUE,"Straight stab.";#N/A,#N/A,TRUE,"cornering stab.";#N/A,#N/A,TRUE,"braking";#N/A,#N/A,TRUE,"braking dist"}</definedName>
    <definedName name="WR" hidden="1">{#N/A,#N/A,TRUE,"smooth ride";#N/A,#N/A,TRUE,"rough ride";#N/A,#N/A,TRUE,"parking";#N/A,#N/A,TRUE,"straight Control";#N/A,#N/A,TRUE,"corn control";#N/A,#N/A,TRUE,"Steer disturbance";#N/A,#N/A,TRUE,"Straight stab.";#N/A,#N/A,TRUE,"cornering stab.";#N/A,#N/A,TRUE,"braking";#N/A,#N/A,TRUE,"braking dist"}</definedName>
    <definedName name="wrn.r202total." localSheetId="4" hidden="1">{#N/A,#N/A,TRUE,"smooth ride";#N/A,#N/A,TRUE,"rough ride";#N/A,#N/A,TRUE,"parking";#N/A,#N/A,TRUE,"straight Control";#N/A,#N/A,TRUE,"corn control";#N/A,#N/A,TRUE,"Steer disturbance";#N/A,#N/A,TRUE,"Straight stab.";#N/A,#N/A,TRUE,"cornering stab.";#N/A,#N/A,TRUE,"braking";#N/A,#N/A,TRUE,"braking dist"}</definedName>
    <definedName name="wrn.r202total." localSheetId="10" hidden="1">{#N/A,#N/A,TRUE,"smooth ride";#N/A,#N/A,TRUE,"rough ride";#N/A,#N/A,TRUE,"parking";#N/A,#N/A,TRUE,"straight Control";#N/A,#N/A,TRUE,"corn control";#N/A,#N/A,TRUE,"Steer disturbance";#N/A,#N/A,TRUE,"Straight stab.";#N/A,#N/A,TRUE,"cornering stab.";#N/A,#N/A,TRUE,"braking";#N/A,#N/A,TRUE,"braking dist"}</definedName>
    <definedName name="wrn.r202total." hidden="1">{#N/A,#N/A,TRUE,"smooth ride";#N/A,#N/A,TRUE,"rough ride";#N/A,#N/A,TRUE,"parking";#N/A,#N/A,TRUE,"straight Control";#N/A,#N/A,TRUE,"corn control";#N/A,#N/A,TRUE,"Steer disturbance";#N/A,#N/A,TRUE,"Straight stab.";#N/A,#N/A,TRUE,"cornering stab.";#N/A,#N/A,TRUE,"braking";#N/A,#N/A,TRUE,"braking dist"}</definedName>
    <definedName name="wrn.target." localSheetId="4" hidden="1">{#N/A,#N/A,TRUE,"RIDE";#N/A,#N/A,TRUE,"STEERING";#N/A,#N/A,TRUE,"HANDLING";#N/A,#N/A,TRUE,"BRAKING"}</definedName>
    <definedName name="wrn.target." localSheetId="10" hidden="1">{#N/A,#N/A,TRUE,"RIDE";#N/A,#N/A,TRUE,"STEERING";#N/A,#N/A,TRUE,"HANDLING";#N/A,#N/A,TRUE,"BRAKING"}</definedName>
    <definedName name="wrn.target." hidden="1">{#N/A,#N/A,TRUE,"RIDE";#N/A,#N/A,TRUE,"STEERING";#N/A,#N/A,TRUE,"HANDLING";#N/A,#N/A,TRUE,"BRAKING"}</definedName>
    <definedName name="WRT" localSheetId="4" hidden="1">{#N/A,#N/A,TRUE,"RIDE";#N/A,#N/A,TRUE,"STEERING";#N/A,#N/A,TRUE,"HANDLING";#N/A,#N/A,TRUE,"BRAKING"}</definedName>
    <definedName name="WRT" localSheetId="10" hidden="1">{#N/A,#N/A,TRUE,"RIDE";#N/A,#N/A,TRUE,"STEERING";#N/A,#N/A,TRUE,"HANDLING";#N/A,#N/A,TRUE,"BRAKING"}</definedName>
    <definedName name="WRT" hidden="1">{#N/A,#N/A,TRUE,"RIDE";#N/A,#N/A,TRUE,"STEERING";#N/A,#N/A,TRUE,"HANDLING";#N/A,#N/A,TRUE,"BRAKING"}</definedName>
    <definedName name="WTR" localSheetId="4" hidden="1">{#N/A,#N/A,TRUE,"RIDE";#N/A,#N/A,TRUE,"STEERING";#N/A,#N/A,TRUE,"HANDLING";#N/A,#N/A,TRUE,"BRAKING"}</definedName>
    <definedName name="WTR" localSheetId="10" hidden="1">{#N/A,#N/A,TRUE,"RIDE";#N/A,#N/A,TRUE,"STEERING";#N/A,#N/A,TRUE,"HANDLING";#N/A,#N/A,TRUE,"BRAKING"}</definedName>
    <definedName name="WTR" hidden="1">{#N/A,#N/A,TRUE,"RIDE";#N/A,#N/A,TRUE,"STEERING";#N/A,#N/A,TRUE,"HANDLING";#N/A,#N/A,TRUE,"BRAKING"}</definedName>
    <definedName name="ww">[0]!ww</definedName>
    <definedName name="ｘ">[0]!ｘ</definedName>
    <definedName name="ＸＡＳＷＺＩＶＶＤＹＺＶ" localSheetId="4" hidden="1">#REF!</definedName>
    <definedName name="ＸＡＳＷＺＩＶＶＤＹＺＶ" localSheetId="10" hidden="1">#REF!</definedName>
    <definedName name="ＸＡＳＷＺＩＶＶＤＹＺＶ" hidden="1">#REF!</definedName>
    <definedName name="ＸＪＰＷＮＶＯＱＤＸＷＴＣＴＥＲＵＳＹＺＨＲＳＸＣＺＯＷＦＰＡＶＫＰＰＯＲＪＧＪＮＭＵＷＹＴＧＯＫＣＴＵＥＴＶＣＨＲＹＳＬＺＡＯＦＯＨＪＷＪＯＬＵＴＥＰＣＹＷＣＫＲＷＢＮＫＺＡＱＡＤＨＣＳＷＷＷＹＫＮＲＧＭＹＡＢＸＫＲＯＧＸＹＩＷＸＷＮＵＧＨＵＹＦＴＤＳＥＮＡＮＴＱＺＲＵＡＤＢＧＰＷＡＢＧＲＰＥＦＶＮＲＭＣＺＡＺＢＵＸＢＪＸＷＥＺＣＰＤＳＪＤＮＩＥＬＱＨＨＢＢＯＴＺＣＲＤＭＳＮＬＩＲＱＸＤＧＥＫＳＴＤＥＪＶＬＡＩＹＢＬＰＡＸＹＸＺＰＳＨＶＯＷＸＺＶＨＷＬＤＢＫＦＡＨＭＥＤＸＱＥＰＶＣＴＣＶＸＫＩＦＯＮＹＪ" localSheetId="4" hidden="1">#REF!</definedName>
    <definedName name="ＸＪＰＷＮＶＯＱＤＸＷＴＣＴＥＲＵＳＹＺＨＲＳＸＣＺＯＷＦＰＡＶＫＰＰＯＲＪＧＪＮＭＵＷＹＴＧＯＫＣＴＵＥＴＶＣＨＲＹＳＬＺＡＯＦＯＨＪＷＪＯＬＵＴＥＰＣＹＷＣＫＲＷＢＮＫＺＡＱＡＤＨＣＳＷＷＷＹＫＮＲＧＭＹＡＢＸＫＲＯＧＸＹＩＷＸＷＮＵＧＨＵＹＦＴＤＳＥＮＡＮＴＱＺＲＵＡＤＢＧＰＷＡＢＧＲＰＥＦＶＮＲＭＣＺＡＺＢＵＸＢＪＸＷＥＺＣＰＤＳＪＤＮＩＥＬＱＨＨＢＢＯＴＺＣＲＤＭＳＮＬＩＲＱＸＤＧＥＫＳＴＤＥＪＶＬＡＩＹＢＬＰＡＸＹＸＺＰＳＨＶＯＷＸＺＶＨＷＬＤＢＫＦＡＨＭＥＤＸＱＥＰＶＣＴＣＶＸＫＩＦＯＮＹＪ" localSheetId="10" hidden="1">#REF!</definedName>
    <definedName name="ＸＪＰＷＮＶＯＱＤＸＷＴＣＴＥＲＵＳＹＺＨＲＳＸＣＺＯＷＦＰＡＶＫＰＰＯＲＪＧＪＮＭＵＷＹＴＧＯＫＣＴＵＥＴＶＣＨＲＹＳＬＺＡＯＦＯＨＪＷＪＯＬＵＴＥＰＣＹＷＣＫＲＷＢＮＫＺＡＱＡＤＨＣＳＷＷＷＹＫＮＲＧＭＹＡＢＸＫＲＯＧＸＹＩＷＸＷＮＵＧＨＵＹＦＴＤＳＥＮＡＮＴＱＺＲＵＡＤＢＧＰＷＡＢＧＲＰＥＦＶＮＲＭＣＺＡＺＢＵＸＢＪＸＷＥＺＣＰＤＳＪＤＮＩＥＬＱＨＨＢＢＯＴＺＣＲＤＭＳＮＬＩＲＱＸＤＧＥＫＳＴＤＥＪＶＬＡＩＹＢＬＰＡＸＹＸＺＰＳＨＶＯＷＸＺＶＨＷＬＤＢＫＦＡＨＭＥＤＸＱＥＰＶＣＴＣＶＸＫＩＦＯＮＹＪ" hidden="1">#REF!</definedName>
    <definedName name="ＸＪＹＮＭＤＸＩＤＹＦＫＣＣＶＶＪＮＲＢＱＣＬＲＬＫＨＱＰＡＳＸＳＹＧＨＭＱＣＴＨＰＦＪＳＩＹＶＷＶＸＱＭＵＨＡＩＯＪＷＫＡＳＱＫＵＰＬＳＸＯＵＮＢＭＳＡＱＺＳＵＨＢＡＸＧＥＱＢＮＱＯＤＫＶＷＡＦＤＲＺＪＴＣＺＵＫＯＰＯＱＱＵＪＱＰＸＺＢＷＪＱＮＦＱＢＰＲＹＤＯＶＯＨＶＧＧＵＡＴＶＩＶＢＹＫＷＨＴＰＮＴＣＪＵＮＳＥＢＱＲＨＹＣＸＮＲＳＲＴＦＩＭＢＩＨＰＲＢＯＶＳＫＢＣＭＡＤＪＩＺＧＴＴＧＬＲＦＭＹＨＵＨＭＪＳＫＶＮＴＷＵＡＩＸＹＤＰＭＢＣＳＶＦＪＤＴＲＲＱＴＬＰＳＣＣＫＦＧＣＰＤＳＲＩＤＮＩＤＫＱＨＨＡＡ" localSheetId="4" hidden="1">#REF!</definedName>
    <definedName name="ＸＪＹＮＭＤＸＩＤＹＦＫＣＣＶＶＪＮＲＢＱＣＬＲＬＫＨＱＰＡＳＸＳＹＧＨＭＱＣＴＨＰＦＪＳＩＹＶＷＶＸＱＭＵＨＡＩＯＪＷＫＡＳＱＫＵＰＬＳＸＯＵＮＢＭＳＡＱＺＳＵＨＢＡＸＧＥＱＢＮＱＯＤＫＶＷＡＦＤＲＺＪＴＣＺＵＫＯＰＯＱＱＵＪＱＰＸＺＢＷＪＱＮＦＱＢＰＲＹＤＯＶＯＨＶＧＧＵＡＴＶＩＶＢＹＫＷＨＴＰＮＴＣＪＵＮＳＥＢＱＲＨＹＣＸＮＲＳＲＴＦＩＭＢＩＨＰＲＢＯＶＳＫＢＣＭＡＤＪＩＺＧＴＴＧＬＲＦＭＹＨＵＨＭＪＳＫＶＮＴＷＵＡＩＸＹＤＰＭＢＣＳＶＦＪＤＴＲＲＱＴＬＰＳＣＣＫＦＧＣＰＤＳＲＩＤＮＩＤＫＱＨＨＡＡ" localSheetId="10" hidden="1">#REF!</definedName>
    <definedName name="ＸＪＹＮＭＤＸＩＤＹＦＫＣＣＶＶＪＮＲＢＱＣＬＲＬＫＨＱＰＡＳＸＳＹＧＨＭＱＣＴＨＰＦＪＳＩＹＶＷＶＸＱＭＵＨＡＩＯＪＷＫＡＳＱＫＵＰＬＳＸＯＵＮＢＭＳＡＱＺＳＵＨＢＡＸＧＥＱＢＮＱＯＤＫＶＷＡＦＤＲＺＪＴＣＺＵＫＯＰＯＱＱＵＪＱＰＸＺＢＷＪＱＮＦＱＢＰＲＹＤＯＶＯＨＶＧＧＵＡＴＶＩＶＢＹＫＷＨＴＰＮＴＣＪＵＮＳＥＢＱＲＨＹＣＸＮＲＳＲＴＦＩＭＢＩＨＰＲＢＯＶＳＫＢＣＭＡＤＪＩＺＧＴＴＧＬＲＦＭＹＨＵＨＭＪＳＫＶＮＴＷＵＡＩＸＹＤＰＭＢＣＳＶＦＪＤＴＲＲＱＴＬＰＳＣＣＫＦＧＣＰＤＳＲＩＤＮＩＤＫＱＨＨＡＡ" hidden="1">#REF!</definedName>
    <definedName name="ＸＵＭＤＥＯＣＦＭＲＢＩＣＶＩ" localSheetId="10" hidden="1">#REF!</definedName>
    <definedName name="ＸＵＭＤＥＯＣＦＭＲＢＩＣＶＩ" hidden="1">#REF!</definedName>
    <definedName name="ＸＶＮＴＧＧＵＹＥＳＣＳＥＮＡＮＴＰＺＱＣＳＵＴＹＨＯＳＴＹＪＨＶＷＮＱＺＥＹＯＭＭＳＫＯＲＡＮＮＶＱＲＲＧＶＵＧＱＬＨＯＴＫＫＥＥＲＷＣＴＪＶＥＫＶＲＢＺＬＣＱＯＴＣＣＮＯＴＥＶＫＲＡＫＯＩＹＷＷＶＹＱＮＱＦＴＭＴＶＲＤＳＨＺＸＲＣＸＳＺＥＷＶＰＩＷＨＮＵＬＵＷＪＤＣＺＩＧＳＤＰＳＱＷＸＳＴＹＣＡＰＷＧＱＺＸＲＨＭＭＬＯＧＡＰＷＶＭＯＫＷＥＡＳＪＫＶＪＬＳＸＩＯＩＢＰＷＬＢＫＤＦＳＦＬＩＲＰＢＦＢＺＦＯＶＲＶＨＦＴＵＬＶＸＢＷＭＱＩＫＷＺＤＳＺＹＧＩＪＦＨＤＶＭＮＸＭＯＶＴＬＲＥＥＳＷＣＵＪＶＥＦＫＨＱ" localSheetId="10" hidden="1">#REF!</definedName>
    <definedName name="ＸＶＮＴＧＧＵＹＥＳＣＳＥＮＡＮＴＰＺＱＣＳＵＴＹＨＯＳＴＹＪＨＶＷＮＱＺＥＹＯＭＭＳＫＯＲＡＮＮＶＱＲＲＧＶＵＧＱＬＨＯＴＫＫＥＥＲＷＣＴＪＶＥＫＶＲＢＺＬＣＱＯＴＣＣＮＯＴＥＶＫＲＡＫＯＩＹＷＷＶＹＱＮＱＦＴＭＴＶＲＤＳＨＺＸＲＣＸＳＺＥＷＶＰＩＷＨＮＵＬＵＷＪＤＣＺＩＧＳＤＰＳＱＷＸＳＴＹＣＡＰＷＧＱＺＸＲＨＭＭＬＯＧＡＰＷＶＭＯＫＷＥＡＳＪＫＶＪＬＳＸＩＯＩＢＰＷＬＢＫＤＦＳＦＬＩＲＰＢＦＢＺＦＯＶＲＶＨＦＴＵＬＶＸＢＷＭＱＩＫＷＺＤＳＺＹＧＩＪＦＨＤＶＭＮＸＭＯＶＴＬＲＥＥＳＷＣＵＪＶＥＦＫＨＱ" hidden="1">#REF!</definedName>
    <definedName name="xxx">'[13]#REF'!#REF!</definedName>
    <definedName name="Xｺｰﾄﾞ">'[13]#REF'!$A$4:$D$45</definedName>
    <definedName name="ｙ">'[22]002(4)'!#REF!</definedName>
    <definedName name="yt">[0]!yt</definedName>
    <definedName name="yuu">[0]!yuu</definedName>
    <definedName name="yy">[0]!yy</definedName>
    <definedName name="Z">#REF!</definedName>
    <definedName name="ＺＡＷＩＱＭＥＶＷＨＶＸＵＭＳＦＦＴＸＤＲＢＲＤＭＺＭＲＯＹＰＢＳＹＰＵＤＫＯＬＸＶＪＫＢＨＬＧＷＴＴＴＶＯＲＡＮＮＶＱＲＦＴＩＨＹＴＤＹＴＡＧＸＸＱＱＡＨＶＥＵＧＰＶＰＯＬＵＳＥＷＢＥＣＩＱＬＭＱＣＬＴＪＮＷＡＶＬＩＪＩＫＤＺＤＳＧＹＧＲＮＺＯＮＬＦＰＹＦＫＢＢＶＯＣＮＴＡＲＡＴＶＶＵＲＡＹＫＶＨＫＩＯＯＺＺＥＪＧＶＤＭＷＧＤＹＯＳＴＳＢＸＢＱＸＷＥＧＩＤＱＸＵＭＤＥＯＣＦＭＲＢＯＨＶＧＧＵＫＴＭＯＢＯＵＲＡＹＫＶＨＤＢＨＱＲＬＱＣＺＯＰＦＵＹＴＩＮＮＭＰＡＥＨＨＨＰＲＳＯＡＩＥＷＮＯＺＮＰＪＡＨＵＵＨ" localSheetId="4" hidden="1">#REF!</definedName>
    <definedName name="ＺＡＷＩＱＭＥＶＷＨＶＸＵＭＳＦＦＴＸＤＲＢＲＤＭＺＭＲＯＹＰＢＳＹＰＵＤＫＯＬＸＶＪＫＢＨＬＧＷＴＴＴＶＯＲＡＮＮＶＱＲＦＴＩＨＹＴＤＹＴＡＧＸＸＱＱＡＨＶＥＵＧＰＶＰＯＬＵＳＥＷＢＥＣＩＱＬＭＱＣＬＴＪＮＷＡＶＬＩＪＩＫＤＺＤＳＧＹＧＲＮＺＯＮＬＦＰＹＦＫＢＢＶＯＣＮＴＡＲＡＴＶＶＵＲＡＹＫＶＨＫＩＯＯＺＺＥＪＧＶＤＭＷＧＤＹＯＳＴＳＢＸＢＱＸＷＥＧＩＤＱＸＵＭＤＥＯＣＦＭＲＢＯＨＶＧＧＵＫＴＭＯＢＯＵＲＡＹＫＶＨＤＢＨＱＲＬＱＣＺＯＰＦＵＹＴＩＮＮＭＰＡＥＨＨＨＰＲＳＯＡＩＥＷＮＯＺＮＰＪＡＨＵＵＨ" localSheetId="10" hidden="1">#REF!</definedName>
    <definedName name="ＺＡＷＩＱＭＥＶＷＨＶＸＵＭＳＦＦＴＸＤＲＢＲＤＭＺＭＲＯＹＰＢＳＹＰＵＤＫＯＬＸＶＪＫＢＨＬＧＷＴＴＴＶＯＲＡＮＮＶＱＲＦＴＩＨＹＴＤＹＴＡＧＸＸＱＱＡＨＶＥＵＧＰＶＰＯＬＵＳＥＷＢＥＣＩＱＬＭＱＣＬＴＪＮＷＡＶＬＩＪＩＫＤＺＤＳＧＹＧＲＮＺＯＮＬＦＰＹＦＫＢＢＶＯＣＮＴＡＲＡＴＶＶＵＲＡＹＫＶＨＫＩＯＯＺＺＥＪＧＶＤＭＷＧＤＹＯＳＴＳＢＸＢＱＸＷＥＧＩＤＱＸＵＭＤＥＯＣＦＭＲＢＯＨＶＧＧＵＫＴＭＯＢＯＵＲＡＹＫＶＨＤＢＨＱＲＬＱＣＺＯＰＦＵＹＴＩＮＮＭＰＡＥＨＨＨＰＲＳＯＡＩＥＷＮＯＺＮＰＪＡＨＵＵＨ" hidden="1">#REF!</definedName>
    <definedName name="ＺＧＬＤＣＷＷＫＯＵＩＳＩＫＱＫＪＧＰＮＺＲＷＺＸＤＬＭＸＷＩＹＮＶＬＯＹＣＸＭＫＫＪＭ" localSheetId="4" hidden="1">#REF!</definedName>
    <definedName name="ＺＧＬＤＣＷＷＫＯＵＩＳＩＫＱＫＪＧＰＮＺＲＷＺＸＤＬＭＸＷＩＹＮＶＬＯＹＣＸＭＫＫＪＭ" localSheetId="10" hidden="1">#REF!</definedName>
    <definedName name="ＺＧＬＤＣＷＷＫＯＵＩＳＩＫＱＫＪＧＰＮＺＲＷＺＸＤＬＭＸＷＩＹＮＶＬＯＹＣＸＭＫＫＪＭ" hidden="1">#REF!</definedName>
    <definedName name="Zoomfaktor">#REF!</definedName>
    <definedName name="ＺＵＷＳＥＴＩＨＹＳＣＹＴＡＦＸＫＫＸＣＩＷＧＶＨＱＷＲＰＭＶＵＦＸＣＶＡＪＪＵＶＡＬＣＲＹＰＳＢＧＡＱＶＵＸＰＭＱＷＰＸＺＡＷＩＸＭＥＥＯＪＦＭＲＩＩＣＶＩＵＡＷＦＹＡＮＨＧＤＭＬＷＨＴＷＵＡＣＪＵＵＺＯＤＬＵＥＯＬＧＶＡＡＺＣＵＲＵＫＱＱＹＡＢＮＶＲＪＣＭＡＤＫＰＺＧＡＴＷＷＫＢＪＣＥＲＥＫＨＱＰＡＬＸＴＲＸＧＮＹＥＱＮＣＤＴＤＧＫＦＶＺＺＹＢＪＮＣＪＩＱＳＵＰＣＫＧＹＰＱＡＰＲＹＷＮＵＬＺＤＪＸＨＸＪＳＦＳＸＵＤＹＱＷＺＸＣＬＸＸＣＯＬＡＢＲＵＥＩＤＴＱＱＱＳＬＯＳＡＮＮＱＳＮＡＴＳＪＤＯＪＥＬＱＩ" localSheetId="10" hidden="1">#REF!</definedName>
    <definedName name="ＺＵＷＳＥＴＩＨＹＳＣＹＴＡＦＸＫＫＸＣＩＷＧＶＨＱＷＲＰＭＶＵＦＸＣＶＡＪＪＵＶＡＬＣＲＹＰＳＢＧＡＱＶＵＸＰＭＱＷＰＸＺＡＷＩＸＭＥＥＯＪＦＭＲＩＩＣＶＩＵＡＷＦＹＡＮＨＧＤＭＬＷＨＴＷＵＡＣＪＵＵＺＯＤＬＵＥＯＬＧＶＡＡＺＣＵＲＵＫＱＱＹＡＢＮＶＲＪＣＭＡＤＫＰＺＧＡＴＷＷＫＢＪＣＥＲＥＫＨＱＰＡＬＸＴＲＸＧＮＹＥＱＮＣＤＴＤＧＫＦＶＺＺＹＢＪＮＣＪＩＱＳＵＰＣＫＧＹＰＱＡＰＲＹＷＮＵＬＺＤＪＸＨＸＪＳＦＳＸＵＤＹＱＷＺＸＣＬＸＸＣＯＬＡＢＲＵＥＩＤＴＱＱＱＳＬＯＳＡＮＮＱＳＮＡＴＳＪＤＯＪＥＬＱＩ" hidden="1">#REF!</definedName>
    <definedName name="zz">[0]!zz</definedName>
    <definedName name="zzz">[0]!zzz</definedName>
    <definedName name="あ" hidden="1">#REF!</definedName>
    <definedName name="あ１">#REF!</definedName>
    <definedName name="あＳ">[34]DATA01!$C$2:$E$23</definedName>
    <definedName name="ああああ">[0]!ああああ</definedName>
    <definedName name="あああああ">[0]!あああああ</definedName>
    <definedName name="ああああああ">[0]!ああああああ</definedName>
    <definedName name="い">'[22]002(4)'!#REF!</definedName>
    <definedName name="う">'[22]002(4)'!#REF!</definedName>
    <definedName name="え">'[22]002(4)'!#REF!</definedName>
    <definedName name="キャブ">#REF!</definedName>
    <definedName name="ｺｰﾄﾞ">'[13]#REF'!$A$1:$E$41</definedName>
    <definedName name="コメント">#REF!</definedName>
    <definedName name="ｻｲｽﾞ">'[22]002(4)'!#REF!</definedName>
    <definedName name="ｼｰﾄＸ">'[13]#REF'!#REF!</definedName>
    <definedName name="ﾃｽﾄ要否">'[22]002(4)'!#REF!</definedName>
    <definedName name="なんの事？">#REF!</definedName>
    <definedName name="ﾋﾞｯﾄｱｻｲﾝ">#REF!</definedName>
    <definedName name="ﾌﾟﾘﾝﾄ">'[22]002(4)'!#REF!</definedName>
    <definedName name="ﾌﾟﾘﾝﾄA">#N/A</definedName>
    <definedName name="ﾌﾟﾘﾝﾄB">#N/A</definedName>
    <definedName name="ﾌﾟﾘﾝﾄC">#N/A</definedName>
    <definedName name="ﾌﾛｰﾘﾐｯﾀ作動。">[0]!ﾌﾛｰﾘﾐｯﾀ作動。</definedName>
    <definedName name="ﾒﾆｭｰ">'[22]002(4)'!#REF!</definedName>
    <definedName name="ﾒﾆｭｰ1">'[22]002(4)'!#REF!</definedName>
    <definedName name="ﾒﾆｭｰFILE">'[22]002(4)'!#REF!</definedName>
    <definedName name="ﾒﾆｭｰSAVE">'[22]002(4)'!#REF!</definedName>
    <definedName name="ﾒﾆｭｰ置換え">'[22]002(4)'!#REF!</definedName>
    <definedName name="ヨⅡ1">#REF!</definedName>
    <definedName name="印刷">'[22]002(4)'!#REF!</definedName>
    <definedName name="印刷1">#N/A</definedName>
    <definedName name="英" localSheetId="4" hidden="1">{#N/A,#N/A,TRUE,"RIDE";#N/A,#N/A,TRUE,"STEERING";#N/A,#N/A,TRUE,"HANDLING";#N/A,#N/A,TRUE,"BRAKING"}</definedName>
    <definedName name="英" localSheetId="10" hidden="1">{#N/A,#N/A,TRUE,"RIDE";#N/A,#N/A,TRUE,"STEERING";#N/A,#N/A,TRUE,"HANDLING";#N/A,#N/A,TRUE,"BRAKING"}</definedName>
    <definedName name="英" hidden="1">{#N/A,#N/A,TRUE,"RIDE";#N/A,#N/A,TRUE,"STEERING";#N/A,#N/A,TRUE,"HANDLING";#N/A,#N/A,TRUE,"BRAKING"}</definedName>
    <definedName name="横集計">#N/A</definedName>
    <definedName name="課リスト">#REF!</definedName>
    <definedName name="開発日程">#REF!</definedName>
    <definedName name="外字">'[22]002(4)'!#REF!</definedName>
    <definedName name="機種一覧">[49]一覧!$AB$43:$AM$47</definedName>
    <definedName name="規定値">'[22]002(4)'!#REF!</definedName>
    <definedName name="規定値YN">'[22]002(4)'!#REF!</definedName>
    <definedName name="記号">'[22]002(4)'!#REF!</definedName>
    <definedName name="記号YN">'[22]002(4)'!#REF!</definedName>
    <definedName name="緊急度">#REF!</definedName>
    <definedName name="計算1">#N/A</definedName>
    <definedName name="計算2">#N/A</definedName>
    <definedName name="計算3">#N/A</definedName>
    <definedName name="計算4">#N/A</definedName>
    <definedName name="月">[36]data!#REF!</definedName>
    <definedName name="工数">[36]data!$F$8:$F$17</definedName>
    <definedName name="構成部品表">#REF!</definedName>
    <definedName name="室">[36]data!#REF!</definedName>
    <definedName name="車両通信設定値仕様書">'[50]Bit assign'!#REF!</definedName>
    <definedName name="縦集計">#N/A</definedName>
    <definedName name="重要度">#REF!</definedName>
    <definedName name="諸元">'[22]002(4)'!#REF!</definedName>
    <definedName name="諸元YN">'[22]002(4)'!#REF!</definedName>
    <definedName name="省略記号">#REF!</definedName>
    <definedName name="上書">'[22]002(4)'!#REF!</definedName>
    <definedName name="場所">[36]data!$H$8:$H$23</definedName>
    <definedName name="新エレキ部品" localSheetId="4" hidden="1">[51]ENG油洩れ!#REF!</definedName>
    <definedName name="新エレキ部品" localSheetId="10" hidden="1">[51]ENG油洩れ!#REF!</definedName>
    <definedName name="新エレキ部品" hidden="1">[51]ENG油洩れ!#REF!</definedName>
    <definedName name="新規">'[22]002(4)'!#REF!</definedName>
    <definedName name="性能">#REF!</definedName>
    <definedName name="性能線図">#REF!</definedName>
    <definedName name="選択">#N/A</definedName>
    <definedName name="組">#REF!</definedName>
    <definedName name="送り先">[36]data!$H$8:$H$10</definedName>
    <definedName name="対応">#REF!</definedName>
    <definedName name="対照表２" hidden="1">#REF!</definedName>
    <definedName name="対象部品">'[22]002(4)'!#REF!</definedName>
    <definedName name="担当">[36]data!$C$8:$C$21</definedName>
    <definedName name="担当リスト">#REF!</definedName>
    <definedName name="端子">#REF!</definedName>
    <definedName name="添付書類">#REF!</definedName>
    <definedName name="頭">#N/A</definedName>
    <definedName name="日">[36]data!#REF!</definedName>
    <definedName name="認証">#REF!</definedName>
    <definedName name="年">[36]data!#REF!</definedName>
    <definedName name="範囲">#N/A</definedName>
    <definedName name="不具合">[1]result!#REF!</definedName>
    <definedName name="不具合現象又は依頼項目">#REF!</definedName>
    <definedName name="負担区分リスト">#REF!</definedName>
    <definedName name="部">[36]data!#REF!</definedName>
    <definedName name="部品リスト">#REF!</definedName>
    <definedName name="部品番号">"テキスト 8"</definedName>
    <definedName name="部品履歴">'[22]002(4)'!#REF!</definedName>
    <definedName name="複写">#N/A</definedName>
    <definedName name="変更概要書" localSheetId="4" hidden="1">[52]ENG油洩れ!#REF!</definedName>
    <definedName name="変更概要書" localSheetId="10" hidden="1">[52]ENG油洩れ!#REF!</definedName>
    <definedName name="変更概要書" hidden="1">[52]ENG油洩れ!#REF!</definedName>
    <definedName name="変数">'[22]002(4)'!#REF!</definedName>
    <definedName name="変数1">'[22]002(4)'!#REF!</definedName>
    <definedName name="変数2">'[22]002(4)'!#REF!</definedName>
    <definedName name="目的リスト">#REF!</definedName>
    <definedName name="目品比較" localSheetId="4" hidden="1">#REF!</definedName>
    <definedName name="目品比較" localSheetId="10" hidden="1">#REF!</definedName>
    <definedName name="目品比較" hidden="1">#REF!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L223" i="86" l="1"/>
  <c r="AK223" i="86"/>
  <c r="AL218" i="86"/>
  <c r="AK218" i="86"/>
  <c r="AL213" i="86"/>
  <c r="AK213" i="86"/>
  <c r="AL208" i="86"/>
  <c r="AK208" i="86"/>
  <c r="AL203" i="86"/>
  <c r="AK203" i="86"/>
  <c r="AL198" i="86"/>
  <c r="AK198" i="86"/>
  <c r="AL193" i="86"/>
  <c r="AK193" i="86"/>
  <c r="AL188" i="86"/>
  <c r="AK188" i="86"/>
  <c r="AL183" i="86"/>
  <c r="AK183" i="86"/>
  <c r="AL363" i="86"/>
  <c r="AK363" i="86"/>
  <c r="AL128" i="86"/>
  <c r="AK128" i="86"/>
  <c r="AL127" i="86"/>
  <c r="AK127" i="86"/>
  <c r="AL126" i="86"/>
  <c r="AK126" i="86"/>
  <c r="AL121" i="86"/>
  <c r="AK121" i="86"/>
  <c r="AL116" i="86"/>
  <c r="AK116" i="86"/>
  <c r="AL111" i="86"/>
  <c r="AK111" i="86"/>
  <c r="AL96" i="86"/>
  <c r="AK96" i="86"/>
  <c r="AL95" i="86"/>
  <c r="AK95" i="86"/>
  <c r="AL83" i="86"/>
  <c r="AK83" i="86"/>
  <c r="AL74" i="86"/>
  <c r="AK74" i="86"/>
  <c r="AL73" i="86"/>
  <c r="AK73" i="86"/>
  <c r="AL72" i="86"/>
  <c r="AK72" i="86"/>
  <c r="AL71" i="86"/>
  <c r="AK71" i="86"/>
  <c r="AL352" i="86"/>
  <c r="AK352" i="86"/>
  <c r="AL351" i="86"/>
  <c r="AK351" i="86"/>
  <c r="AL350" i="86"/>
  <c r="AK350" i="86"/>
  <c r="AL349" i="86"/>
  <c r="AK349" i="86"/>
  <c r="AL348" i="86"/>
  <c r="AK348" i="86"/>
  <c r="AL347" i="86"/>
  <c r="AK347" i="86"/>
  <c r="AL346" i="86"/>
  <c r="AK346" i="86"/>
  <c r="AL345" i="86"/>
  <c r="AK345" i="86"/>
  <c r="AL344" i="86"/>
  <c r="AK344" i="86"/>
  <c r="AL343" i="86"/>
  <c r="AK343" i="86"/>
  <c r="AL342" i="86"/>
  <c r="AK342" i="86"/>
  <c r="AL341" i="86"/>
  <c r="AK341" i="86"/>
  <c r="AL340" i="86"/>
  <c r="AK340" i="86"/>
  <c r="AL339" i="86"/>
  <c r="AK339" i="86"/>
  <c r="AL338" i="86"/>
  <c r="AK338" i="86"/>
  <c r="AL337" i="86"/>
  <c r="AK337" i="86"/>
  <c r="AL336" i="86"/>
  <c r="AK336" i="86"/>
  <c r="AL335" i="86"/>
  <c r="AK335" i="86"/>
  <c r="AL334" i="86"/>
  <c r="AK334" i="86"/>
  <c r="AL333" i="86"/>
  <c r="AK333" i="86"/>
  <c r="AL332" i="86"/>
  <c r="AK332" i="86"/>
  <c r="AL331" i="86"/>
  <c r="AK331" i="86"/>
  <c r="AL330" i="86"/>
  <c r="AK330" i="86"/>
  <c r="AL329" i="86"/>
  <c r="AK329" i="86"/>
  <c r="AL328" i="86"/>
  <c r="AK328" i="86"/>
  <c r="AL327" i="86"/>
  <c r="AK327" i="86"/>
  <c r="AL326" i="86"/>
  <c r="AK326" i="86"/>
  <c r="AL325" i="86"/>
  <c r="AK325" i="86"/>
  <c r="AL324" i="86"/>
  <c r="AK324" i="86"/>
  <c r="AL323" i="86"/>
  <c r="AK323" i="86"/>
  <c r="AL322" i="86"/>
  <c r="AK322" i="86"/>
  <c r="AL321" i="86"/>
  <c r="AK321" i="86"/>
  <c r="AL320" i="86"/>
  <c r="AK320" i="86"/>
  <c r="AL319" i="86"/>
  <c r="AK319" i="86"/>
  <c r="AL318" i="86"/>
  <c r="AK318" i="86"/>
  <c r="AL317" i="86"/>
  <c r="AK317" i="86"/>
  <c r="AL304" i="86"/>
  <c r="AK304" i="86"/>
  <c r="AL303" i="86"/>
  <c r="AK303" i="86"/>
  <c r="AL302" i="86"/>
  <c r="AK302" i="86"/>
  <c r="AL282" i="86"/>
  <c r="AK282" i="86"/>
  <c r="AL281" i="86"/>
  <c r="AK281" i="86"/>
  <c r="AL280" i="86"/>
  <c r="AK280" i="86"/>
  <c r="AL279" i="86"/>
  <c r="AK279" i="86"/>
  <c r="AL278" i="86"/>
  <c r="AK278" i="86"/>
  <c r="AL277" i="86"/>
  <c r="AK277" i="86"/>
  <c r="AL276" i="86"/>
  <c r="AK276" i="86"/>
  <c r="AL275" i="86"/>
  <c r="AK275" i="86"/>
  <c r="AL135" i="86"/>
  <c r="X62" i="94" l="1"/>
  <c r="O62" i="94"/>
  <c r="X61" i="94"/>
  <c r="O61" i="94"/>
  <c r="X60" i="94"/>
  <c r="O60" i="94"/>
  <c r="X59" i="94"/>
  <c r="O59" i="94"/>
  <c r="X58" i="94"/>
  <c r="O58" i="94"/>
  <c r="X57" i="94"/>
  <c r="O57" i="94"/>
  <c r="X56" i="94"/>
  <c r="O56" i="94"/>
  <c r="X55" i="94"/>
  <c r="O55" i="94"/>
  <c r="X54" i="94"/>
  <c r="O54" i="94"/>
  <c r="X52" i="94"/>
  <c r="O52" i="94"/>
  <c r="X51" i="94"/>
  <c r="O51" i="94"/>
  <c r="X50" i="94"/>
  <c r="O50" i="94"/>
  <c r="X49" i="94"/>
  <c r="O49" i="94"/>
  <c r="X48" i="94"/>
  <c r="O48" i="94"/>
  <c r="X47" i="94"/>
  <c r="O47" i="94"/>
  <c r="X46" i="94"/>
  <c r="O46" i="94"/>
  <c r="X45" i="94"/>
  <c r="O45" i="94"/>
  <c r="X44" i="94"/>
  <c r="O44" i="94"/>
  <c r="AL382" i="86"/>
  <c r="AK382" i="86"/>
  <c r="AE382" i="86" l="1"/>
  <c r="AT8" i="91"/>
  <c r="AT7" i="91"/>
  <c r="AT57" i="91"/>
  <c r="AT50" i="91"/>
  <c r="AT49" i="91"/>
  <c r="AT44" i="91"/>
  <c r="AT43" i="91"/>
  <c r="AT42" i="91"/>
  <c r="AT41" i="91"/>
  <c r="AT38" i="91"/>
  <c r="AT37" i="91"/>
  <c r="AT36" i="91"/>
  <c r="AT35" i="91"/>
  <c r="AT32" i="91"/>
  <c r="AT31" i="91"/>
  <c r="AT30" i="91"/>
  <c r="AT27" i="91"/>
  <c r="AT26" i="91"/>
  <c r="AT25" i="91"/>
  <c r="AT24" i="91"/>
  <c r="AT23" i="91"/>
  <c r="AT22" i="91"/>
  <c r="AT21" i="91"/>
  <c r="AT20" i="91"/>
  <c r="AT19" i="91"/>
  <c r="AT18" i="91"/>
  <c r="AT16" i="91"/>
  <c r="AT14" i="91"/>
  <c r="AT13" i="91"/>
  <c r="AT12" i="91"/>
  <c r="AT11" i="91"/>
  <c r="AT10" i="91"/>
  <c r="AT9" i="91"/>
  <c r="AE380" i="86"/>
  <c r="AL386" i="86"/>
  <c r="AK386" i="86"/>
  <c r="AL385" i="86"/>
  <c r="AK385" i="86"/>
  <c r="AL384" i="86"/>
  <c r="AK384" i="86"/>
  <c r="AL383" i="86"/>
  <c r="AK383" i="86"/>
  <c r="AL381" i="86"/>
  <c r="AK381" i="86"/>
  <c r="AL380" i="86"/>
  <c r="AK380" i="86"/>
  <c r="AL377" i="86"/>
  <c r="AK377" i="86"/>
  <c r="AL376" i="86"/>
  <c r="AK376" i="86"/>
  <c r="AL375" i="86"/>
  <c r="AK375" i="86"/>
  <c r="AE15" i="86"/>
  <c r="AE14" i="86"/>
  <c r="AE11" i="86"/>
  <c r="AE10" i="86"/>
  <c r="AE9" i="86"/>
  <c r="AE384" i="86" l="1"/>
  <c r="AE385" i="86"/>
  <c r="AE383" i="86"/>
  <c r="AE386" i="86"/>
  <c r="AE381" i="86"/>
  <c r="AE376" i="86"/>
  <c r="AE377" i="86"/>
  <c r="AE375" i="86"/>
  <c r="AE16" i="86"/>
  <c r="X112" i="94"/>
  <c r="O112" i="94"/>
  <c r="X111" i="94"/>
  <c r="O111" i="94"/>
  <c r="X110" i="94"/>
  <c r="O110" i="94"/>
  <c r="X109" i="94"/>
  <c r="O109" i="94"/>
  <c r="X108" i="94"/>
  <c r="O108" i="94"/>
  <c r="X107" i="94"/>
  <c r="O107" i="94"/>
  <c r="X106" i="94"/>
  <c r="O106" i="94"/>
  <c r="X105" i="94"/>
  <c r="O105" i="94"/>
  <c r="X104" i="94"/>
  <c r="O104" i="94"/>
  <c r="X102" i="94"/>
  <c r="O102" i="94"/>
  <c r="X101" i="94"/>
  <c r="O101" i="94"/>
  <c r="X100" i="94"/>
  <c r="O100" i="94"/>
  <c r="X99" i="94"/>
  <c r="O99" i="94"/>
  <c r="X98" i="94"/>
  <c r="O98" i="94"/>
  <c r="X97" i="94"/>
  <c r="O97" i="94"/>
  <c r="X96" i="94"/>
  <c r="O96" i="94"/>
  <c r="X95" i="94"/>
  <c r="O95" i="94"/>
  <c r="X94" i="94"/>
  <c r="O94" i="94"/>
  <c r="X92" i="94"/>
  <c r="O92" i="94"/>
  <c r="X91" i="94"/>
  <c r="O91" i="94"/>
  <c r="X89" i="94"/>
  <c r="O89" i="94"/>
  <c r="X88" i="94"/>
  <c r="O88" i="94"/>
  <c r="X86" i="94"/>
  <c r="O86" i="94"/>
  <c r="X85" i="94"/>
  <c r="O85" i="94"/>
  <c r="X83" i="94"/>
  <c r="O83" i="94"/>
  <c r="X82" i="94"/>
  <c r="O82" i="94"/>
  <c r="X80" i="94"/>
  <c r="O80" i="94"/>
  <c r="X79" i="94"/>
  <c r="O79" i="94"/>
  <c r="X42" i="94"/>
  <c r="X41" i="94"/>
  <c r="X40" i="94"/>
  <c r="X39" i="94"/>
  <c r="X38" i="94"/>
  <c r="X37" i="94"/>
  <c r="X36" i="94"/>
  <c r="X35" i="94"/>
  <c r="X34" i="94"/>
  <c r="O42" i="94"/>
  <c r="O41" i="94"/>
  <c r="O40" i="94"/>
  <c r="O39" i="94"/>
  <c r="O38" i="94"/>
  <c r="O37" i="94"/>
  <c r="O36" i="94"/>
  <c r="O35" i="94"/>
  <c r="O34" i="94"/>
  <c r="O25" i="94"/>
  <c r="X25" i="94"/>
  <c r="O26" i="94"/>
  <c r="X26" i="94"/>
  <c r="O27" i="94"/>
  <c r="X27" i="94"/>
  <c r="O28" i="94"/>
  <c r="X28" i="94"/>
  <c r="O29" i="94"/>
  <c r="X29" i="94"/>
  <c r="O30" i="94"/>
  <c r="X30" i="94"/>
  <c r="O31" i="94"/>
  <c r="X31" i="94"/>
  <c r="O32" i="94"/>
  <c r="X32" i="94"/>
  <c r="X24" i="94"/>
  <c r="O24" i="94"/>
  <c r="X22" i="94"/>
  <c r="O22" i="94"/>
  <c r="X21" i="94"/>
  <c r="O21" i="94"/>
  <c r="X16" i="94"/>
  <c r="O16" i="94"/>
  <c r="X15" i="94"/>
  <c r="O15" i="94"/>
  <c r="X19" i="94"/>
  <c r="O19" i="94"/>
  <c r="X13" i="94"/>
  <c r="O13" i="94"/>
  <c r="X18" i="94"/>
  <c r="O18" i="94"/>
  <c r="X12" i="94"/>
  <c r="X10" i="94"/>
  <c r="X9" i="94"/>
  <c r="O12" i="94"/>
  <c r="O10" i="94"/>
  <c r="O9" i="94"/>
  <c r="C4" i="86"/>
  <c r="U27" i="91"/>
  <c r="U13" i="91"/>
  <c r="AA14" i="91"/>
  <c r="AA15" i="91"/>
  <c r="V22" i="92" l="1"/>
  <c r="V16" i="92"/>
  <c r="V15" i="92"/>
  <c r="AE129" i="86" l="1"/>
  <c r="AB29" i="91" l="1"/>
  <c r="AA29" i="91"/>
  <c r="U29" i="91"/>
  <c r="AB27" i="91"/>
  <c r="AA27" i="91"/>
  <c r="AB24" i="91"/>
  <c r="AA24" i="91"/>
  <c r="U24" i="91"/>
  <c r="AB21" i="91"/>
  <c r="AA21" i="91"/>
  <c r="U21" i="91"/>
  <c r="AB14" i="91"/>
  <c r="U14" i="91"/>
  <c r="AC22" i="92"/>
  <c r="AB22" i="92"/>
  <c r="AC21" i="92"/>
  <c r="AB21" i="92"/>
  <c r="AC19" i="92"/>
  <c r="AB19" i="92"/>
  <c r="AC18" i="92"/>
  <c r="AB18" i="92"/>
  <c r="AC17" i="92"/>
  <c r="AB17" i="92"/>
  <c r="AC16" i="92"/>
  <c r="AB16" i="92"/>
  <c r="AC15" i="92"/>
  <c r="AB15" i="92"/>
  <c r="C5" i="92"/>
  <c r="B5" i="92"/>
  <c r="V18" i="92" l="1"/>
  <c r="V17" i="92"/>
  <c r="V19" i="92"/>
  <c r="V21" i="92"/>
  <c r="AB56" i="91"/>
  <c r="AA56" i="91"/>
  <c r="AB55" i="91"/>
  <c r="AA55" i="91"/>
  <c r="AB54" i="91"/>
  <c r="AA54" i="91"/>
  <c r="AB53" i="91"/>
  <c r="AA53" i="91"/>
  <c r="AB52" i="91"/>
  <c r="AA52" i="91"/>
  <c r="AB51" i="91"/>
  <c r="AA51" i="91"/>
  <c r="AB50" i="91"/>
  <c r="AA50" i="91"/>
  <c r="AB49" i="91"/>
  <c r="AA49" i="91"/>
  <c r="AB48" i="91"/>
  <c r="AA48" i="91"/>
  <c r="AB47" i="91"/>
  <c r="AA47" i="91"/>
  <c r="AB46" i="91"/>
  <c r="AA46" i="91"/>
  <c r="AB45" i="91"/>
  <c r="AA45" i="91"/>
  <c r="AB44" i="91"/>
  <c r="AA44" i="91"/>
  <c r="AB43" i="91"/>
  <c r="AA43" i="91"/>
  <c r="AB42" i="91"/>
  <c r="AA42" i="91"/>
  <c r="AB41" i="91"/>
  <c r="AA41" i="91"/>
  <c r="AB40" i="91"/>
  <c r="AA40" i="91"/>
  <c r="AB39" i="91"/>
  <c r="AA39" i="91"/>
  <c r="AB38" i="91"/>
  <c r="AA38" i="91"/>
  <c r="AB37" i="91"/>
  <c r="AA37" i="91"/>
  <c r="AB36" i="91"/>
  <c r="AA36" i="91"/>
  <c r="AB35" i="91"/>
  <c r="AA35" i="91"/>
  <c r="AB34" i="91"/>
  <c r="AA34" i="91"/>
  <c r="AB33" i="91"/>
  <c r="AA33" i="91"/>
  <c r="AB32" i="91"/>
  <c r="AA32" i="91"/>
  <c r="AB31" i="91"/>
  <c r="AA31" i="91"/>
  <c r="AB28" i="91"/>
  <c r="AA28" i="91"/>
  <c r="U28" i="91"/>
  <c r="AB26" i="91"/>
  <c r="AA26" i="91"/>
  <c r="U26" i="91"/>
  <c r="AB25" i="91"/>
  <c r="AA25" i="91"/>
  <c r="U25" i="91"/>
  <c r="AB23" i="91"/>
  <c r="AA23" i="91"/>
  <c r="U23" i="91"/>
  <c r="AB22" i="91"/>
  <c r="AA22" i="91"/>
  <c r="U22" i="91"/>
  <c r="AB20" i="91"/>
  <c r="AA20" i="91"/>
  <c r="U20" i="91"/>
  <c r="AB19" i="91"/>
  <c r="AA19" i="91"/>
  <c r="U19" i="91"/>
  <c r="AB18" i="91"/>
  <c r="AA18" i="91"/>
  <c r="U18" i="91"/>
  <c r="AB17" i="91"/>
  <c r="AA17" i="91"/>
  <c r="U17" i="91"/>
  <c r="AB16" i="91"/>
  <c r="AA16" i="91"/>
  <c r="U16" i="91"/>
  <c r="AB15" i="91"/>
  <c r="U15" i="91"/>
  <c r="AB13" i="91"/>
  <c r="AA13" i="91"/>
  <c r="AB12" i="91"/>
  <c r="AA12" i="91"/>
  <c r="U12" i="91"/>
  <c r="AB11" i="91"/>
  <c r="AA11" i="91"/>
  <c r="U11" i="91"/>
  <c r="AB10" i="91"/>
  <c r="AA10" i="91"/>
  <c r="U10" i="91"/>
  <c r="AB9" i="91"/>
  <c r="AA9" i="91"/>
  <c r="U9" i="91"/>
  <c r="AB8" i="91"/>
  <c r="AA8" i="91"/>
  <c r="U8" i="91"/>
  <c r="D4" i="86"/>
  <c r="AE363" i="86"/>
  <c r="AE352" i="86"/>
  <c r="AE351" i="86"/>
  <c r="AE350" i="86"/>
  <c r="AE349" i="86"/>
  <c r="AE348" i="86"/>
  <c r="AE347" i="86"/>
  <c r="AE346" i="86"/>
  <c r="AE345" i="86"/>
  <c r="AE344" i="86"/>
  <c r="AE343" i="86"/>
  <c r="AE342" i="86"/>
  <c r="AE341" i="86"/>
  <c r="AE340" i="86"/>
  <c r="AE339" i="86"/>
  <c r="AE338" i="86"/>
  <c r="AE337" i="86"/>
  <c r="AE336" i="86"/>
  <c r="AE335" i="86"/>
  <c r="AE334" i="86"/>
  <c r="AE333" i="86"/>
  <c r="AE332" i="86"/>
  <c r="AE331" i="86"/>
  <c r="AE330" i="86"/>
  <c r="AE329" i="86"/>
  <c r="AE328" i="86"/>
  <c r="AE327" i="86"/>
  <c r="AE326" i="86"/>
  <c r="AE325" i="86"/>
  <c r="AE324" i="86"/>
  <c r="AE323" i="86"/>
  <c r="AE322" i="86"/>
  <c r="AE321" i="86"/>
  <c r="AE320" i="86"/>
  <c r="AE319" i="86"/>
  <c r="AE318" i="86"/>
  <c r="AE317" i="86"/>
  <c r="AE282" i="86"/>
  <c r="AE281" i="86"/>
  <c r="AE280" i="86"/>
  <c r="AE279" i="86"/>
  <c r="AE278" i="86"/>
  <c r="AE277" i="86"/>
  <c r="AE276" i="86"/>
  <c r="AE275" i="86"/>
  <c r="AE130" i="86"/>
  <c r="AE128" i="86"/>
  <c r="AE127" i="86"/>
  <c r="AE126" i="86"/>
  <c r="AE124" i="86"/>
  <c r="AE123" i="86"/>
  <c r="AE121" i="86"/>
  <c r="AE118" i="86"/>
  <c r="AE116" i="86"/>
  <c r="AE115" i="86"/>
  <c r="AE112" i="86"/>
  <c r="AE111" i="86"/>
  <c r="AE102" i="86"/>
  <c r="AE101" i="86"/>
  <c r="AE100" i="86"/>
  <c r="AE99" i="86"/>
  <c r="AE98" i="86"/>
  <c r="AE97" i="86"/>
  <c r="AE96" i="86"/>
  <c r="AE95" i="86"/>
  <c r="AE93" i="86"/>
  <c r="AE87" i="86"/>
  <c r="AE85" i="86"/>
  <c r="AL369" i="86"/>
  <c r="AK369" i="86"/>
  <c r="AL368" i="86"/>
  <c r="AK368" i="86"/>
  <c r="AL367" i="86"/>
  <c r="AK367" i="86"/>
  <c r="AL366" i="86"/>
  <c r="AK366" i="86"/>
  <c r="AL365" i="86"/>
  <c r="AK365" i="86"/>
  <c r="AL362" i="86"/>
  <c r="AK362" i="86"/>
  <c r="AL361" i="86"/>
  <c r="AK361" i="86"/>
  <c r="AL360" i="86"/>
  <c r="AK360" i="86"/>
  <c r="AL359" i="86"/>
  <c r="AK359" i="86"/>
  <c r="AL358" i="86"/>
  <c r="AK358" i="86"/>
  <c r="AL356" i="86"/>
  <c r="AK356" i="86"/>
  <c r="AL355" i="86"/>
  <c r="AK355" i="86"/>
  <c r="AL354" i="86"/>
  <c r="AK354" i="86"/>
  <c r="AL316" i="86"/>
  <c r="AK316" i="86"/>
  <c r="AL315" i="86"/>
  <c r="AK315" i="86"/>
  <c r="AL314" i="86"/>
  <c r="AK314" i="86"/>
  <c r="AL313" i="86"/>
  <c r="AK313" i="86"/>
  <c r="AL312" i="86"/>
  <c r="AK312" i="86"/>
  <c r="AL311" i="86"/>
  <c r="AK311" i="86"/>
  <c r="AL310" i="86"/>
  <c r="AK310" i="86"/>
  <c r="AL309" i="86"/>
  <c r="AK309" i="86"/>
  <c r="AL308" i="86"/>
  <c r="AK308" i="86"/>
  <c r="AL307" i="86"/>
  <c r="AK307" i="86"/>
  <c r="AL306" i="86"/>
  <c r="AK306" i="86"/>
  <c r="AL305" i="86"/>
  <c r="AK305" i="86"/>
  <c r="AL301" i="86"/>
  <c r="AK301" i="86"/>
  <c r="AL300" i="86"/>
  <c r="AK300" i="86"/>
  <c r="AL299" i="86"/>
  <c r="AK299" i="86"/>
  <c r="AL298" i="86"/>
  <c r="AK298" i="86"/>
  <c r="AL297" i="86"/>
  <c r="AK297" i="86"/>
  <c r="AL296" i="86"/>
  <c r="AK296" i="86"/>
  <c r="AL295" i="86"/>
  <c r="AK295" i="86"/>
  <c r="AL294" i="86"/>
  <c r="AK294" i="86"/>
  <c r="AL293" i="86"/>
  <c r="AK293" i="86"/>
  <c r="AL292" i="86"/>
  <c r="AK292" i="86"/>
  <c r="AL291" i="86"/>
  <c r="AK291" i="86"/>
  <c r="AL290" i="86"/>
  <c r="AK290" i="86"/>
  <c r="AL289" i="86"/>
  <c r="AK289" i="86"/>
  <c r="AL288" i="86"/>
  <c r="AK288" i="86"/>
  <c r="AL287" i="86"/>
  <c r="AK287" i="86"/>
  <c r="AL286" i="86"/>
  <c r="AK286" i="86"/>
  <c r="AL285" i="86"/>
  <c r="AK285" i="86"/>
  <c r="AL284" i="86"/>
  <c r="AK284" i="86"/>
  <c r="AL274" i="86"/>
  <c r="AK274" i="86"/>
  <c r="AL273" i="86"/>
  <c r="AK273" i="86"/>
  <c r="AL272" i="86"/>
  <c r="AK272" i="86"/>
  <c r="AL271" i="86"/>
  <c r="AK271" i="86"/>
  <c r="AL270" i="86"/>
  <c r="AK270" i="86"/>
  <c r="AL269" i="86"/>
  <c r="AK269" i="86"/>
  <c r="AL268" i="86"/>
  <c r="AK268" i="86"/>
  <c r="AL267" i="86"/>
  <c r="AK267" i="86"/>
  <c r="AL266" i="86"/>
  <c r="AK266" i="86"/>
  <c r="AL265" i="86"/>
  <c r="AK265" i="86"/>
  <c r="AL264" i="86"/>
  <c r="AK264" i="86"/>
  <c r="AL263" i="86"/>
  <c r="AK263" i="86"/>
  <c r="AL262" i="86"/>
  <c r="AK262" i="86"/>
  <c r="AL261" i="86"/>
  <c r="AK261" i="86"/>
  <c r="AL260" i="86"/>
  <c r="AK260" i="86"/>
  <c r="AL259" i="86"/>
  <c r="AK259" i="86"/>
  <c r="AL258" i="86"/>
  <c r="AK258" i="86"/>
  <c r="AL257" i="86"/>
  <c r="AK257" i="86"/>
  <c r="AL256" i="86"/>
  <c r="AK256" i="86"/>
  <c r="AL255" i="86"/>
  <c r="AK255" i="86"/>
  <c r="AL254" i="86"/>
  <c r="AK254" i="86"/>
  <c r="AL253" i="86"/>
  <c r="AK253" i="86"/>
  <c r="AL252" i="86"/>
  <c r="AK252" i="86"/>
  <c r="AL251" i="86"/>
  <c r="AK251" i="86"/>
  <c r="AL250" i="86"/>
  <c r="AK250" i="86"/>
  <c r="AL249" i="86"/>
  <c r="AK249" i="86"/>
  <c r="AL248" i="86"/>
  <c r="AK248" i="86"/>
  <c r="AL247" i="86"/>
  <c r="AK247" i="86"/>
  <c r="AL246" i="86"/>
  <c r="AK246" i="86"/>
  <c r="AL245" i="86"/>
  <c r="AK245" i="86"/>
  <c r="AL244" i="86"/>
  <c r="AK244" i="86"/>
  <c r="AL243" i="86"/>
  <c r="AK243" i="86"/>
  <c r="AL242" i="86"/>
  <c r="AK242" i="86"/>
  <c r="AL241" i="86"/>
  <c r="AK241" i="86"/>
  <c r="AL240" i="86"/>
  <c r="AK240" i="86"/>
  <c r="AL239" i="86"/>
  <c r="AK239" i="86"/>
  <c r="AL238" i="86"/>
  <c r="AK238" i="86"/>
  <c r="AL237" i="86"/>
  <c r="AK237" i="86"/>
  <c r="AL235" i="86"/>
  <c r="AK235" i="86"/>
  <c r="AL234" i="86"/>
  <c r="AK234" i="86"/>
  <c r="AL232" i="86"/>
  <c r="AK232" i="86"/>
  <c r="AL231" i="86"/>
  <c r="AK231" i="86"/>
  <c r="AL230" i="86"/>
  <c r="AK230" i="86"/>
  <c r="AL229" i="86"/>
  <c r="AK229" i="86"/>
  <c r="AL228" i="86"/>
  <c r="AK228" i="86"/>
  <c r="AL227" i="86"/>
  <c r="AK227" i="86"/>
  <c r="AL226" i="86"/>
  <c r="AK226" i="86"/>
  <c r="AL225" i="86"/>
  <c r="AK225" i="86"/>
  <c r="AL224" i="86"/>
  <c r="AK224" i="86"/>
  <c r="AL222" i="86"/>
  <c r="AK222" i="86"/>
  <c r="AL221" i="86"/>
  <c r="AK221" i="86"/>
  <c r="AL220" i="86"/>
  <c r="AK220" i="86"/>
  <c r="AL219" i="86"/>
  <c r="AK219" i="86"/>
  <c r="AL217" i="86"/>
  <c r="AK217" i="86"/>
  <c r="AL216" i="86"/>
  <c r="AK216" i="86"/>
  <c r="AL215" i="86"/>
  <c r="AK215" i="86"/>
  <c r="AL214" i="86"/>
  <c r="AK214" i="86"/>
  <c r="AL212" i="86"/>
  <c r="AK212" i="86"/>
  <c r="AL211" i="86"/>
  <c r="AK211" i="86"/>
  <c r="AL210" i="86"/>
  <c r="AK210" i="86"/>
  <c r="AL209" i="86"/>
  <c r="AK209" i="86"/>
  <c r="AL207" i="86"/>
  <c r="AK207" i="86"/>
  <c r="AL206" i="86"/>
  <c r="AK206" i="86"/>
  <c r="AL205" i="86"/>
  <c r="AK205" i="86"/>
  <c r="AL204" i="86"/>
  <c r="AK204" i="86"/>
  <c r="AL202" i="86"/>
  <c r="AK202" i="86"/>
  <c r="AL201" i="86"/>
  <c r="AK201" i="86"/>
  <c r="AL200" i="86"/>
  <c r="AK200" i="86"/>
  <c r="AL199" i="86"/>
  <c r="AK199" i="86"/>
  <c r="AL197" i="86"/>
  <c r="AK197" i="86"/>
  <c r="AL196" i="86"/>
  <c r="AK196" i="86"/>
  <c r="AL195" i="86"/>
  <c r="AK195" i="86"/>
  <c r="AL194" i="86"/>
  <c r="AK194" i="86"/>
  <c r="AL192" i="86"/>
  <c r="AK192" i="86"/>
  <c r="AL191" i="86"/>
  <c r="AK191" i="86"/>
  <c r="AL190" i="86"/>
  <c r="AK190" i="86"/>
  <c r="AL189" i="86"/>
  <c r="AK189" i="86"/>
  <c r="AL187" i="86"/>
  <c r="AK187" i="86"/>
  <c r="AL186" i="86"/>
  <c r="AK186" i="86"/>
  <c r="AL185" i="86"/>
  <c r="AK185" i="86"/>
  <c r="AL184" i="86"/>
  <c r="AK184" i="86"/>
  <c r="AL182" i="86"/>
  <c r="AK182" i="86"/>
  <c r="AL181" i="86"/>
  <c r="AK181" i="86"/>
  <c r="AL180" i="86"/>
  <c r="AK180" i="86"/>
  <c r="AL179" i="86"/>
  <c r="AK179" i="86"/>
  <c r="AL178" i="86"/>
  <c r="AK178" i="86"/>
  <c r="AL177" i="86"/>
  <c r="AK177" i="86"/>
  <c r="AL176" i="86"/>
  <c r="AK176" i="86"/>
  <c r="AL175" i="86"/>
  <c r="AK175" i="86"/>
  <c r="AL174" i="86"/>
  <c r="AK174" i="86"/>
  <c r="AL173" i="86"/>
  <c r="AK173" i="86"/>
  <c r="AL172" i="86"/>
  <c r="AK172" i="86"/>
  <c r="AL171" i="86"/>
  <c r="AK171" i="86"/>
  <c r="AL170" i="86"/>
  <c r="AK170" i="86"/>
  <c r="AL169" i="86"/>
  <c r="AK169" i="86"/>
  <c r="AL168" i="86"/>
  <c r="AK168" i="86"/>
  <c r="AL167" i="86"/>
  <c r="AK167" i="86"/>
  <c r="AL166" i="86"/>
  <c r="AK166" i="86"/>
  <c r="AL165" i="86"/>
  <c r="AK165" i="86"/>
  <c r="AL164" i="86"/>
  <c r="AK164" i="86"/>
  <c r="AL163" i="86"/>
  <c r="AK163" i="86"/>
  <c r="AL162" i="86"/>
  <c r="AK162" i="86"/>
  <c r="AL161" i="86"/>
  <c r="AK161" i="86"/>
  <c r="AL160" i="86"/>
  <c r="AK160" i="86"/>
  <c r="AL159" i="86"/>
  <c r="AK159" i="86"/>
  <c r="AL158" i="86"/>
  <c r="AK158" i="86"/>
  <c r="AL157" i="86"/>
  <c r="AK157" i="86"/>
  <c r="AL156" i="86"/>
  <c r="AK156" i="86"/>
  <c r="AL155" i="86"/>
  <c r="AK155" i="86"/>
  <c r="AL154" i="86"/>
  <c r="AK154" i="86"/>
  <c r="AL153" i="86"/>
  <c r="AK153" i="86"/>
  <c r="AL152" i="86"/>
  <c r="AK152" i="86"/>
  <c r="AL151" i="86"/>
  <c r="AK151" i="86"/>
  <c r="AL150" i="86"/>
  <c r="AK150" i="86"/>
  <c r="AL149" i="86"/>
  <c r="AK149" i="86"/>
  <c r="AL148" i="86"/>
  <c r="AK148" i="86"/>
  <c r="AL146" i="86"/>
  <c r="AK146" i="86"/>
  <c r="AL145" i="86"/>
  <c r="AK145" i="86"/>
  <c r="AL144" i="86"/>
  <c r="AK144" i="86"/>
  <c r="AL143" i="86"/>
  <c r="AK143" i="86"/>
  <c r="AL141" i="86"/>
  <c r="AK141" i="86"/>
  <c r="AL140" i="86"/>
  <c r="AK140" i="86"/>
  <c r="AL139" i="86"/>
  <c r="AK139" i="86"/>
  <c r="AL138" i="86"/>
  <c r="AK138" i="86"/>
  <c r="AL136" i="86"/>
  <c r="AK136" i="86"/>
  <c r="AK135" i="86"/>
  <c r="AE135" i="86" s="1"/>
  <c r="AL134" i="86"/>
  <c r="AK134" i="86"/>
  <c r="AL133" i="86"/>
  <c r="AK133" i="86"/>
  <c r="AL132" i="86"/>
  <c r="AK132" i="86"/>
  <c r="AL130" i="86"/>
  <c r="AK130" i="86"/>
  <c r="AL129" i="86"/>
  <c r="AK129" i="86"/>
  <c r="AL125" i="86"/>
  <c r="AK125" i="86"/>
  <c r="AL124" i="86"/>
  <c r="AK124" i="86"/>
  <c r="AL123" i="86"/>
  <c r="AK123" i="86"/>
  <c r="AL122" i="86"/>
  <c r="AK122" i="86"/>
  <c r="AL120" i="86"/>
  <c r="AK120" i="86"/>
  <c r="AL119" i="86"/>
  <c r="AK119" i="86"/>
  <c r="AL118" i="86"/>
  <c r="AK118" i="86"/>
  <c r="AH117" i="86"/>
  <c r="AL117" i="86" s="1"/>
  <c r="AL115" i="86"/>
  <c r="AK115" i="86"/>
  <c r="AL113" i="86"/>
  <c r="AK113" i="86"/>
  <c r="AL112" i="86"/>
  <c r="AK112" i="86"/>
  <c r="AL110" i="86"/>
  <c r="AK110" i="86"/>
  <c r="AL109" i="86"/>
  <c r="AK109" i="86"/>
  <c r="AL108" i="86"/>
  <c r="AK108" i="86"/>
  <c r="AL107" i="86"/>
  <c r="AK107" i="86"/>
  <c r="AL106" i="86"/>
  <c r="AK106" i="86"/>
  <c r="AL105" i="86"/>
  <c r="AK105" i="86"/>
  <c r="AL104" i="86"/>
  <c r="AK104" i="86"/>
  <c r="AL102" i="86"/>
  <c r="AK102" i="86"/>
  <c r="AL101" i="86"/>
  <c r="AK101" i="86"/>
  <c r="AL100" i="86"/>
  <c r="AK100" i="86"/>
  <c r="AL99" i="86"/>
  <c r="AK99" i="86"/>
  <c r="AL98" i="86"/>
  <c r="AK98" i="86"/>
  <c r="AL97" i="86"/>
  <c r="AK97" i="86"/>
  <c r="AL94" i="86"/>
  <c r="AK94" i="86"/>
  <c r="AL93" i="86"/>
  <c r="AK93" i="86"/>
  <c r="AL92" i="86"/>
  <c r="AK92" i="86"/>
  <c r="AL91" i="86"/>
  <c r="AK91" i="86"/>
  <c r="AL90" i="86"/>
  <c r="AK90" i="86"/>
  <c r="AL89" i="86"/>
  <c r="AK89" i="86"/>
  <c r="AL87" i="86"/>
  <c r="AK87" i="86"/>
  <c r="AL86" i="86"/>
  <c r="AK86" i="86"/>
  <c r="AL85" i="86"/>
  <c r="AK85" i="86"/>
  <c r="AL84" i="86"/>
  <c r="AK84" i="86"/>
  <c r="AL82" i="86"/>
  <c r="AK82" i="86"/>
  <c r="AL81" i="86"/>
  <c r="AK81" i="86"/>
  <c r="AL80" i="86"/>
  <c r="AK80" i="86"/>
  <c r="AL79" i="86"/>
  <c r="AK79" i="86"/>
  <c r="AL78" i="86"/>
  <c r="AK78" i="86"/>
  <c r="AL77" i="86"/>
  <c r="AK77" i="86"/>
  <c r="AL76" i="86"/>
  <c r="AK76" i="86"/>
  <c r="AL75" i="86"/>
  <c r="AK75" i="86"/>
  <c r="AL70" i="86"/>
  <c r="AK70" i="86"/>
  <c r="AL69" i="86"/>
  <c r="AK69" i="86"/>
  <c r="AL68" i="86"/>
  <c r="AK68" i="86"/>
  <c r="AL67" i="86"/>
  <c r="AK67" i="86"/>
  <c r="AL66" i="86"/>
  <c r="AK66" i="86"/>
  <c r="AL64" i="86"/>
  <c r="AK64" i="86"/>
  <c r="AL63" i="86"/>
  <c r="AK63" i="86"/>
  <c r="AL62" i="86"/>
  <c r="AK62" i="86"/>
  <c r="AL61" i="86"/>
  <c r="AK61" i="86"/>
  <c r="AL60" i="86"/>
  <c r="AK60" i="86"/>
  <c r="AL59" i="86"/>
  <c r="AK59" i="86"/>
  <c r="AL58" i="86"/>
  <c r="AK58" i="86"/>
  <c r="AL57" i="86"/>
  <c r="AK57" i="86"/>
  <c r="AL56" i="86"/>
  <c r="AK56" i="86"/>
  <c r="AL55" i="86"/>
  <c r="AK55" i="86"/>
  <c r="AL54" i="86"/>
  <c r="AK54" i="86"/>
  <c r="AL53" i="86"/>
  <c r="AK53" i="86"/>
  <c r="AL52" i="86"/>
  <c r="AK52" i="86"/>
  <c r="AL51" i="86"/>
  <c r="AK51" i="86"/>
  <c r="AL50" i="86"/>
  <c r="AK50" i="86"/>
  <c r="AL49" i="86"/>
  <c r="AK49" i="86"/>
  <c r="AL48" i="86"/>
  <c r="AK48" i="86"/>
  <c r="AL47" i="86"/>
  <c r="AK47" i="86"/>
  <c r="AL46" i="86"/>
  <c r="AK46" i="86"/>
  <c r="AL44" i="86"/>
  <c r="AK44" i="86"/>
  <c r="AL43" i="86"/>
  <c r="AK43" i="86"/>
  <c r="AL42" i="86"/>
  <c r="AK42" i="86"/>
  <c r="AL41" i="86"/>
  <c r="AK41" i="86"/>
  <c r="AL40" i="86"/>
  <c r="AK40" i="86"/>
  <c r="AL39" i="86"/>
  <c r="AK39" i="86"/>
  <c r="AL38" i="86"/>
  <c r="AK38" i="86"/>
  <c r="AL37" i="86"/>
  <c r="AK37" i="86"/>
  <c r="AL36" i="86"/>
  <c r="AK36" i="86"/>
  <c r="AL35" i="86"/>
  <c r="AK35" i="86"/>
  <c r="AL34" i="86"/>
  <c r="AK34" i="86"/>
  <c r="AL33" i="86"/>
  <c r="AK33" i="86"/>
  <c r="AL32" i="86"/>
  <c r="AK32" i="86"/>
  <c r="AL31" i="86"/>
  <c r="AK31" i="86"/>
  <c r="AL30" i="86"/>
  <c r="AK30" i="86"/>
  <c r="AL29" i="86"/>
  <c r="AK29" i="86"/>
  <c r="AL28" i="86"/>
  <c r="AK28" i="86"/>
  <c r="AL27" i="86"/>
  <c r="AK27" i="86"/>
  <c r="AL26" i="86"/>
  <c r="AK26" i="86"/>
  <c r="AL25" i="86"/>
  <c r="AK25" i="86"/>
  <c r="AL24" i="86"/>
  <c r="AK24" i="86"/>
  <c r="AL22" i="86"/>
  <c r="AK22" i="86"/>
  <c r="AL21" i="86"/>
  <c r="AK21" i="86"/>
  <c r="AL20" i="86"/>
  <c r="AK20" i="86"/>
  <c r="AL18" i="86"/>
  <c r="AK18" i="86"/>
  <c r="AE244" i="86" l="1"/>
  <c r="AE80" i="86"/>
  <c r="AE90" i="86"/>
  <c r="AE94" i="86"/>
  <c r="AE139" i="86"/>
  <c r="AE144" i="86"/>
  <c r="AE173" i="86"/>
  <c r="AE177" i="86"/>
  <c r="AE181" i="86"/>
  <c r="AE185" i="86"/>
  <c r="AE189" i="86"/>
  <c r="AE193" i="86"/>
  <c r="AE197" i="86"/>
  <c r="AE201" i="86"/>
  <c r="AE205" i="86"/>
  <c r="AE209" i="86"/>
  <c r="AE255" i="86"/>
  <c r="AE263" i="86"/>
  <c r="AE81" i="86"/>
  <c r="AE91" i="86"/>
  <c r="AE140" i="86"/>
  <c r="AE174" i="86"/>
  <c r="AE178" i="86"/>
  <c r="AE182" i="86"/>
  <c r="AE186" i="86"/>
  <c r="AE190" i="86"/>
  <c r="AE194" i="86"/>
  <c r="AE198" i="86"/>
  <c r="AE202" i="86"/>
  <c r="AE206" i="86"/>
  <c r="AE210" i="86"/>
  <c r="AE214" i="86"/>
  <c r="AE218" i="86"/>
  <c r="AE222" i="86"/>
  <c r="AE226" i="86"/>
  <c r="AE79" i="86"/>
  <c r="AE89" i="86"/>
  <c r="AE138" i="86"/>
  <c r="AE143" i="86"/>
  <c r="AE148" i="86"/>
  <c r="AE152" i="86"/>
  <c r="AE176" i="86"/>
  <c r="AE180" i="86"/>
  <c r="AE184" i="86"/>
  <c r="AE188" i="86"/>
  <c r="AE192" i="86"/>
  <c r="AE196" i="86"/>
  <c r="AE200" i="86"/>
  <c r="AE204" i="86"/>
  <c r="AE208" i="86"/>
  <c r="AE212" i="86"/>
  <c r="AE216" i="86"/>
  <c r="AE220" i="86"/>
  <c r="AE224" i="86"/>
  <c r="AE228" i="86"/>
  <c r="AE232" i="86"/>
  <c r="AE242" i="86"/>
  <c r="AE246" i="86"/>
  <c r="AE258" i="86"/>
  <c r="AE262" i="86"/>
  <c r="AE266" i="86"/>
  <c r="AE270" i="86"/>
  <c r="AE274" i="86"/>
  <c r="AE291" i="86"/>
  <c r="AE295" i="86"/>
  <c r="AE314" i="86"/>
  <c r="AE355" i="86"/>
  <c r="AE271" i="86"/>
  <c r="AE230" i="86"/>
  <c r="AE235" i="86"/>
  <c r="AE256" i="86"/>
  <c r="AE260" i="86"/>
  <c r="AE264" i="86"/>
  <c r="AE268" i="86"/>
  <c r="AE272" i="86"/>
  <c r="AE293" i="86"/>
  <c r="AE297" i="86"/>
  <c r="AE312" i="86"/>
  <c r="AE316" i="86"/>
  <c r="AE362" i="86"/>
  <c r="AE368" i="86"/>
  <c r="AE78" i="86"/>
  <c r="AE92" i="86"/>
  <c r="AE141" i="86"/>
  <c r="AE175" i="86"/>
  <c r="AE183" i="86"/>
  <c r="AE191" i="86"/>
  <c r="AE199" i="86"/>
  <c r="AE207" i="86"/>
  <c r="AE215" i="86"/>
  <c r="AE223" i="86"/>
  <c r="AE231" i="86"/>
  <c r="AE241" i="86"/>
  <c r="AE257" i="86"/>
  <c r="AE265" i="86"/>
  <c r="AE273" i="86"/>
  <c r="AE294" i="86"/>
  <c r="AE313" i="86"/>
  <c r="AE120" i="86"/>
  <c r="AE133" i="86"/>
  <c r="AE213" i="86"/>
  <c r="AE217" i="86"/>
  <c r="AE221" i="86"/>
  <c r="AE225" i="86"/>
  <c r="AE229" i="86"/>
  <c r="AE243" i="86"/>
  <c r="AE259" i="86"/>
  <c r="AE267" i="86"/>
  <c r="AE292" i="86"/>
  <c r="AE296" i="86"/>
  <c r="AE311" i="86"/>
  <c r="AE315" i="86"/>
  <c r="AE367" i="86"/>
  <c r="AE122" i="86"/>
  <c r="AE132" i="86"/>
  <c r="AE150" i="86"/>
  <c r="AE119" i="86"/>
  <c r="AE136" i="86"/>
  <c r="AE179" i="86"/>
  <c r="AE187" i="86"/>
  <c r="AE195" i="86"/>
  <c r="AE203" i="86"/>
  <c r="AE211" i="86"/>
  <c r="AE219" i="86"/>
  <c r="AE227" i="86"/>
  <c r="AE245" i="86"/>
  <c r="AE261" i="86"/>
  <c r="AE269" i="86"/>
  <c r="AE290" i="86"/>
  <c r="AE298" i="86"/>
  <c r="AE354" i="86"/>
  <c r="AE365" i="86"/>
  <c r="AE86" i="86"/>
  <c r="AE149" i="86"/>
  <c r="AE151" i="86"/>
  <c r="U55" i="91"/>
  <c r="AE156" i="86"/>
  <c r="AE153" i="86"/>
  <c r="AE157" i="86"/>
  <c r="AE154" i="86"/>
  <c r="AE155" i="86"/>
  <c r="U53" i="91"/>
  <c r="U33" i="91"/>
  <c r="U49" i="91"/>
  <c r="U34" i="91"/>
  <c r="U38" i="91"/>
  <c r="U42" i="91"/>
  <c r="U54" i="91"/>
  <c r="U36" i="91"/>
  <c r="U44" i="91"/>
  <c r="U52" i="91"/>
  <c r="U45" i="91"/>
  <c r="U35" i="91"/>
  <c r="U39" i="91"/>
  <c r="U43" i="91"/>
  <c r="U51" i="91"/>
  <c r="U31" i="91"/>
  <c r="U46" i="91"/>
  <c r="U50" i="91"/>
  <c r="U37" i="91"/>
  <c r="U41" i="91"/>
  <c r="U32" i="91"/>
  <c r="U48" i="91"/>
  <c r="U40" i="91"/>
  <c r="U56" i="91"/>
  <c r="U47" i="91"/>
  <c r="AE20" i="86"/>
  <c r="AE25" i="86"/>
  <c r="AE29" i="86"/>
  <c r="AE33" i="86"/>
  <c r="AE37" i="86"/>
  <c r="AE41" i="86"/>
  <c r="AE46" i="86"/>
  <c r="AE50" i="86"/>
  <c r="AE54" i="86"/>
  <c r="AE58" i="86"/>
  <c r="AE62" i="86"/>
  <c r="AE67" i="86"/>
  <c r="AE71" i="86"/>
  <c r="AE75" i="86"/>
  <c r="AE83" i="86"/>
  <c r="AE105" i="86"/>
  <c r="AE109" i="86"/>
  <c r="AE113" i="86"/>
  <c r="AE125" i="86"/>
  <c r="AE134" i="86"/>
  <c r="AE161" i="86"/>
  <c r="AE165" i="86"/>
  <c r="AE169" i="86"/>
  <c r="AE234" i="86"/>
  <c r="AE239" i="86"/>
  <c r="AE247" i="86"/>
  <c r="AE251" i="86"/>
  <c r="AE284" i="86"/>
  <c r="AE288" i="86"/>
  <c r="AE300" i="86"/>
  <c r="AE304" i="86"/>
  <c r="AE308" i="86"/>
  <c r="AE358" i="86"/>
  <c r="AE145" i="86"/>
  <c r="AE158" i="86"/>
  <c r="AE162" i="86"/>
  <c r="AE166" i="86"/>
  <c r="AE170" i="86"/>
  <c r="AE240" i="86"/>
  <c r="AE248" i="86"/>
  <c r="AE252" i="86"/>
  <c r="AE285" i="86"/>
  <c r="AE289" i="86"/>
  <c r="AE301" i="86"/>
  <c r="AE305" i="86"/>
  <c r="AE309" i="86"/>
  <c r="AE359" i="86"/>
  <c r="AE160" i="86"/>
  <c r="AE164" i="86"/>
  <c r="AE168" i="86"/>
  <c r="AE172" i="86"/>
  <c r="AE238" i="86"/>
  <c r="AE250" i="86"/>
  <c r="AE254" i="86"/>
  <c r="AE287" i="86"/>
  <c r="AE299" i="86"/>
  <c r="AE18" i="86"/>
  <c r="AE28" i="86"/>
  <c r="AE36" i="86"/>
  <c r="AE44" i="86"/>
  <c r="AE53" i="86"/>
  <c r="AE61" i="86"/>
  <c r="AE70" i="86"/>
  <c r="AE104" i="86"/>
  <c r="AE146" i="86"/>
  <c r="AE159" i="86"/>
  <c r="AE163" i="86"/>
  <c r="AE167" i="86"/>
  <c r="AE171" i="86"/>
  <c r="AE237" i="86"/>
  <c r="AE249" i="86"/>
  <c r="AE253" i="86"/>
  <c r="AE286" i="86"/>
  <c r="AE302" i="86"/>
  <c r="AE306" i="86"/>
  <c r="AE310" i="86"/>
  <c r="AE360" i="86"/>
  <c r="AE369" i="86"/>
  <c r="AE21" i="86"/>
  <c r="AE26" i="86"/>
  <c r="AE30" i="86"/>
  <c r="AE34" i="86"/>
  <c r="AE38" i="86"/>
  <c r="AE42" i="86"/>
  <c r="AE47" i="86"/>
  <c r="AE51" i="86"/>
  <c r="AE55" i="86"/>
  <c r="AE59" i="86"/>
  <c r="AE63" i="86"/>
  <c r="AE68" i="86"/>
  <c r="AE72" i="86"/>
  <c r="AE76" i="86"/>
  <c r="AE84" i="86"/>
  <c r="AE106" i="86"/>
  <c r="AE110" i="86"/>
  <c r="AE303" i="86"/>
  <c r="AE307" i="86"/>
  <c r="AE356" i="86"/>
  <c r="AE361" i="86"/>
  <c r="AE366" i="86"/>
  <c r="AE22" i="86"/>
  <c r="AE27" i="86"/>
  <c r="AE31" i="86"/>
  <c r="AE35" i="86"/>
  <c r="AE39" i="86"/>
  <c r="AE43" i="86"/>
  <c r="AE48" i="86"/>
  <c r="AE52" i="86"/>
  <c r="AE56" i="86"/>
  <c r="AE60" i="86"/>
  <c r="AE64" i="86"/>
  <c r="AE69" i="86"/>
  <c r="AE73" i="86"/>
  <c r="AE77" i="86"/>
  <c r="AE107" i="86"/>
  <c r="AE24" i="86"/>
  <c r="AE32" i="86"/>
  <c r="AE40" i="86"/>
  <c r="AE49" i="86"/>
  <c r="AE57" i="86"/>
  <c r="AE66" i="86"/>
  <c r="AE74" i="86"/>
  <c r="AE82" i="86"/>
  <c r="AE108" i="86"/>
  <c r="AK117" i="86"/>
  <c r="AE117" i="86"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tc={FA9E6E31-BBA7-4CA9-A363-984732EC57BA}</author>
    <author>tc={C1F8EAD5-B945-4D60-9F07-4609F51B32EE}</author>
  </authors>
  <commentList>
    <comment ref="AU37" authorId="0" shapeId="0" xr:uid="{FA9E6E31-BBA7-4CA9-A363-984732EC57BA}">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 OPL +++
Probably this mapping is wrong, since RAM is stXXX but requirement is voltage.</t>
      </text>
    </comment>
    <comment ref="AQ104" authorId="1" shapeId="0" xr:uid="{C1F8EAD5-B945-4D60-9F07-4609F51B32EE}">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DID$3880, 3881と同じIOだが、誤記では無いか？また、本Posはfrequencyとratioのどちらを出力すべきか？それとも、Dutyを計算して出すべきか？</t>
      </text>
    </comment>
  </commentList>
</comments>
</file>

<file path=xl/sharedStrings.xml><?xml version="1.0" encoding="utf-8"?>
<sst xmlns="http://schemas.openxmlformats.org/spreadsheetml/2006/main" count="12238" uniqueCount="2564">
  <si>
    <t>&lt;Basic Policy&gt;</t>
    <phoneticPr fontId="13"/>
  </si>
  <si>
    <t>Service ID</t>
    <phoneticPr fontId="13"/>
  </si>
  <si>
    <t>Sub Function</t>
    <phoneticPr fontId="13"/>
  </si>
  <si>
    <t>$01</t>
    <phoneticPr fontId="13"/>
  </si>
  <si>
    <t>$03</t>
    <phoneticPr fontId="13"/>
  </si>
  <si>
    <t>$02</t>
    <phoneticPr fontId="13"/>
  </si>
  <si>
    <t>$21</t>
    <phoneticPr fontId="13"/>
  </si>
  <si>
    <t>$7F</t>
    <phoneticPr fontId="13"/>
  </si>
  <si>
    <t>$13</t>
    <phoneticPr fontId="13"/>
  </si>
  <si>
    <t>$7E</t>
    <phoneticPr fontId="13"/>
  </si>
  <si>
    <t>$24</t>
    <phoneticPr fontId="13"/>
  </si>
  <si>
    <t>$14</t>
    <phoneticPr fontId="13"/>
  </si>
  <si>
    <t>$25</t>
    <phoneticPr fontId="13"/>
  </si>
  <si>
    <t>$26</t>
    <phoneticPr fontId="13"/>
  </si>
  <si>
    <t>$70</t>
    <phoneticPr fontId="13"/>
  </si>
  <si>
    <t>$71</t>
    <phoneticPr fontId="13"/>
  </si>
  <si>
    <t>$73</t>
    <phoneticPr fontId="13"/>
  </si>
  <si>
    <t>$92</t>
    <phoneticPr fontId="13"/>
  </si>
  <si>
    <t>$93</t>
    <phoneticPr fontId="13"/>
  </si>
  <si>
    <t>ID</t>
    <phoneticPr fontId="13"/>
  </si>
  <si>
    <t>Description</t>
    <phoneticPr fontId="13"/>
  </si>
  <si>
    <t>SuppressPosRspMsgIndication-bit (ID+$80)</t>
    <phoneticPr fontId="13"/>
  </si>
  <si>
    <t>Physical addressing</t>
    <phoneticPr fontId="13"/>
  </si>
  <si>
    <t>Functional addressing</t>
    <phoneticPr fontId="13"/>
  </si>
  <si>
    <t>defaultSession</t>
    <phoneticPr fontId="13"/>
  </si>
  <si>
    <t>extendedDiagnosticSession</t>
    <phoneticPr fontId="13"/>
  </si>
  <si>
    <t>programmingSession</t>
    <phoneticPr fontId="13"/>
  </si>
  <si>
    <t>Security unlock requires</t>
    <phoneticPr fontId="13"/>
  </si>
  <si>
    <t>busyRepeatRequest</t>
    <phoneticPr fontId="13"/>
  </si>
  <si>
    <t>serviceNotSupportedInActiveSession</t>
    <phoneticPr fontId="13"/>
  </si>
  <si>
    <t>securityAccessDenied</t>
    <phoneticPr fontId="13"/>
  </si>
  <si>
    <t>incorrectMessageLengthOrInvalidFormat</t>
    <phoneticPr fontId="13"/>
  </si>
  <si>
    <t>subFunctionNotSupportedInActiveSession</t>
    <phoneticPr fontId="13"/>
  </si>
  <si>
    <t>requestSequenceError</t>
    <phoneticPr fontId="13"/>
  </si>
  <si>
    <t>generalReject</t>
    <phoneticPr fontId="13"/>
  </si>
  <si>
    <t>responseTooLong</t>
    <phoneticPr fontId="13"/>
  </si>
  <si>
    <t>ConditionsNotCorrect</t>
    <phoneticPr fontId="13"/>
  </si>
  <si>
    <t>noResponseFromSubnetComponent</t>
    <phoneticPr fontId="13"/>
  </si>
  <si>
    <t>failurePreventsExecutionOfRequestedAction</t>
    <phoneticPr fontId="13"/>
  </si>
  <si>
    <t>InvalidKey</t>
    <phoneticPr fontId="13"/>
  </si>
  <si>
    <t>ExceedNumberOfAttempts</t>
    <phoneticPr fontId="13"/>
  </si>
  <si>
    <t>RequiredTimeDelayNotExpired</t>
    <phoneticPr fontId="13"/>
  </si>
  <si>
    <t>uploadDownloadNotAccepted</t>
    <phoneticPr fontId="13"/>
  </si>
  <si>
    <t>transferDataSuspended</t>
    <phoneticPr fontId="13"/>
  </si>
  <si>
    <t>generalProgrammingFailure</t>
    <phoneticPr fontId="13"/>
  </si>
  <si>
    <t>wrongBlockSequenceCounter</t>
    <phoneticPr fontId="13"/>
  </si>
  <si>
    <t>ReqCorrectlyRcvd-RspPending</t>
    <phoneticPr fontId="13"/>
  </si>
  <si>
    <t>voltageTooHigh</t>
    <phoneticPr fontId="13"/>
  </si>
  <si>
    <t>voltageTooLow</t>
    <phoneticPr fontId="13"/>
  </si>
  <si>
    <t>$10</t>
    <phoneticPr fontId="13"/>
  </si>
  <si>
    <t>DiagnosticSessionControl</t>
    <phoneticPr fontId="13"/>
  </si>
  <si>
    <t>---</t>
    <phoneticPr fontId="13"/>
  </si>
  <si>
    <t>nr</t>
    <phoneticPr fontId="13"/>
  </si>
  <si>
    <t>ProgrammingSession</t>
    <phoneticPr fontId="13"/>
  </si>
  <si>
    <t>$02</t>
  </si>
  <si>
    <t>ExtendedDiagnosticSession</t>
    <phoneticPr fontId="13"/>
  </si>
  <si>
    <t>$03</t>
  </si>
  <si>
    <t>$11</t>
    <phoneticPr fontId="13"/>
  </si>
  <si>
    <t>ECUReset</t>
    <phoneticPr fontId="13"/>
  </si>
  <si>
    <t>keyOffOnReset</t>
    <phoneticPr fontId="33"/>
  </si>
  <si>
    <r>
      <t>$0</t>
    </r>
    <r>
      <rPr>
        <sz val="9"/>
        <rFont val="Tahoma"/>
        <family val="2"/>
      </rPr>
      <t>2</t>
    </r>
    <phoneticPr fontId="33"/>
  </si>
  <si>
    <t>$28</t>
    <phoneticPr fontId="13"/>
  </si>
  <si>
    <t>enableRxAndTx</t>
    <phoneticPr fontId="13"/>
  </si>
  <si>
    <t>$00</t>
    <phoneticPr fontId="13"/>
  </si>
  <si>
    <t>disableRxAndTx</t>
    <phoneticPr fontId="13"/>
  </si>
  <si>
    <t>$04</t>
    <phoneticPr fontId="13"/>
  </si>
  <si>
    <t>$27</t>
    <phoneticPr fontId="13"/>
  </si>
  <si>
    <t>SecurityAccess</t>
    <phoneticPr fontId="13"/>
  </si>
  <si>
    <t>requestSeed_Lvl2</t>
    <phoneticPr fontId="13"/>
  </si>
  <si>
    <t>sendKey_Lvl2</t>
    <phoneticPr fontId="13"/>
  </si>
  <si>
    <t>$3E</t>
    <phoneticPr fontId="13"/>
  </si>
  <si>
    <t>TesterPresent</t>
    <phoneticPr fontId="13"/>
  </si>
  <si>
    <t>$85</t>
    <phoneticPr fontId="13"/>
  </si>
  <si>
    <t>on</t>
    <phoneticPr fontId="13"/>
  </si>
  <si>
    <t>--</t>
    <phoneticPr fontId="13"/>
  </si>
  <si>
    <t xml:space="preserve">off
</t>
    <phoneticPr fontId="13"/>
  </si>
  <si>
    <t>$22</t>
    <phoneticPr fontId="13"/>
  </si>
  <si>
    <t>ReadDataByIdentifier</t>
    <phoneticPr fontId="13"/>
  </si>
  <si>
    <t>-</t>
    <phoneticPr fontId="13"/>
  </si>
  <si>
    <t>$2E</t>
    <phoneticPr fontId="13"/>
  </si>
  <si>
    <t>WriteDataByIdentifier</t>
    <phoneticPr fontId="13"/>
  </si>
  <si>
    <t>ClearDiagnosticInformation</t>
    <phoneticPr fontId="34"/>
  </si>
  <si>
    <t>$19</t>
    <phoneticPr fontId="13"/>
  </si>
  <si>
    <t>ReadDtcInformation</t>
    <phoneticPr fontId="13"/>
  </si>
  <si>
    <t>reportDTCByStatusMask</t>
  </si>
  <si>
    <r>
      <t>$0</t>
    </r>
    <r>
      <rPr>
        <sz val="9"/>
        <rFont val="Tahoma"/>
        <family val="2"/>
      </rPr>
      <t>2</t>
    </r>
    <phoneticPr fontId="13"/>
  </si>
  <si>
    <t>reportSupportedDTC</t>
  </si>
  <si>
    <t>$0A</t>
    <phoneticPr fontId="13"/>
  </si>
  <si>
    <t>$2F</t>
    <phoneticPr fontId="13"/>
  </si>
  <si>
    <t>InputOutputControlByIdentifier</t>
    <phoneticPr fontId="13"/>
  </si>
  <si>
    <t>$31</t>
    <phoneticPr fontId="13"/>
  </si>
  <si>
    <t xml:space="preserve">RoutineControl </t>
    <phoneticPr fontId="13"/>
  </si>
  <si>
    <t>startRoutine</t>
    <phoneticPr fontId="13"/>
  </si>
  <si>
    <t>stopRoutine</t>
    <phoneticPr fontId="13"/>
  </si>
  <si>
    <t>$34</t>
    <phoneticPr fontId="13"/>
  </si>
  <si>
    <t>RequestDownload</t>
    <phoneticPr fontId="13"/>
  </si>
  <si>
    <t>$36</t>
    <phoneticPr fontId="13"/>
  </si>
  <si>
    <t>TransferData</t>
    <phoneticPr fontId="13"/>
  </si>
  <si>
    <t>$37</t>
    <phoneticPr fontId="13"/>
  </si>
  <si>
    <t>RequestTransferExit</t>
    <phoneticPr fontId="13"/>
  </si>
  <si>
    <t>$23</t>
    <phoneticPr fontId="13"/>
  </si>
  <si>
    <t>nr: No response</t>
    <phoneticPr fontId="13"/>
  </si>
  <si>
    <t>$xx: Negative response code when request is sent with physical addressing</t>
    <phoneticPr fontId="13"/>
  </si>
  <si>
    <t xml:space="preserve">Description
</t>
    <phoneticPr fontId="13"/>
  </si>
  <si>
    <t>Note</t>
    <phoneticPr fontId="13"/>
  </si>
  <si>
    <r>
      <rPr>
        <u/>
        <sz val="10"/>
        <rFont val="Tahoma"/>
        <family val="2"/>
      </rPr>
      <t xml:space="preserve">Controlled ID
</t>
    </r>
    <r>
      <rPr>
        <sz val="10"/>
        <rFont val="Tahoma"/>
        <family val="2"/>
      </rPr>
      <t xml:space="preserve">(ATS, AVS, ETC so on)
</t>
    </r>
    <phoneticPr fontId="13"/>
  </si>
  <si>
    <r>
      <rPr>
        <u/>
        <sz val="10"/>
        <rFont val="Tahoma"/>
        <family val="2"/>
      </rPr>
      <t>Note</t>
    </r>
    <r>
      <rPr>
        <sz val="10"/>
        <rFont val="Tahoma"/>
        <family val="2"/>
      </rPr>
      <t xml:space="preserve">
</t>
    </r>
    <phoneticPr fontId="13"/>
  </si>
  <si>
    <t>UDS Adr</t>
    <phoneticPr fontId="13"/>
  </si>
  <si>
    <t>SID$31</t>
    <phoneticPr fontId="34"/>
  </si>
  <si>
    <r>
      <rPr>
        <u/>
        <sz val="10"/>
        <rFont val="Tahoma"/>
        <family val="2"/>
      </rPr>
      <t>Entry / Monitoring Condition</t>
    </r>
    <r>
      <rPr>
        <sz val="10"/>
        <rFont val="Tahoma"/>
        <family val="2"/>
      </rPr>
      <t xml:space="preserve">
(Monitoring Condition is get out condition from routine)
</t>
    </r>
    <phoneticPr fontId="13"/>
  </si>
  <si>
    <t>UDS</t>
    <phoneticPr fontId="13"/>
  </si>
  <si>
    <t>Sub
Function</t>
    <phoneticPr fontId="13"/>
  </si>
  <si>
    <t>Start</t>
    <phoneticPr fontId="13"/>
  </si>
  <si>
    <t>Stop</t>
    <phoneticPr fontId="13"/>
  </si>
  <si>
    <t>Result</t>
    <phoneticPr fontId="13"/>
  </si>
  <si>
    <r>
      <rPr>
        <u/>
        <sz val="10"/>
        <rFont val="Tahoma"/>
        <family val="2"/>
      </rPr>
      <t>Monitoring RAM</t>
    </r>
    <r>
      <rPr>
        <sz val="10"/>
        <rFont val="Tahoma"/>
        <family val="2"/>
      </rPr>
      <t xml:space="preserve">
(Affected RAM)</t>
    </r>
    <r>
      <rPr>
        <u/>
        <sz val="10"/>
        <rFont val="Tahoma"/>
        <family val="2"/>
      </rPr>
      <t xml:space="preserve">
</t>
    </r>
    <r>
      <rPr>
        <sz val="10"/>
        <rFont val="Tahoma"/>
        <family val="2"/>
      </rPr>
      <t xml:space="preserve">
</t>
    </r>
    <phoneticPr fontId="13"/>
  </si>
  <si>
    <r>
      <rPr>
        <u/>
        <sz val="10"/>
        <rFont val="Tahoma"/>
        <family val="2"/>
      </rPr>
      <t>Existence Condition</t>
    </r>
    <r>
      <rPr>
        <sz val="10"/>
        <rFont val="Tahoma"/>
        <family val="2"/>
      </rPr>
      <t xml:space="preserve">
(What is condition to be active this ID?)
</t>
    </r>
    <phoneticPr fontId="13"/>
  </si>
  <si>
    <t>$FF00</t>
    <phoneticPr fontId="13"/>
  </si>
  <si>
    <t>Erase Memory</t>
    <phoneticPr fontId="13"/>
  </si>
  <si>
    <t>Adr</t>
    <phoneticPr fontId="13"/>
  </si>
  <si>
    <t>SID$22</t>
    <phoneticPr fontId="34"/>
  </si>
  <si>
    <t>SID$2E</t>
    <phoneticPr fontId="34"/>
  </si>
  <si>
    <t>All Groups (all DTCs)</t>
    <phoneticPr fontId="13"/>
  </si>
  <si>
    <t>$FF $FF $FF</t>
    <phoneticPr fontId="34"/>
  </si>
  <si>
    <t>ReadMemoryByAddress</t>
    <phoneticPr fontId="13"/>
  </si>
  <si>
    <t>stopSending</t>
    <phoneticPr fontId="13"/>
  </si>
  <si>
    <t>ReadDataByPeriodicIdentifier</t>
    <phoneticPr fontId="13"/>
  </si>
  <si>
    <t>$2A</t>
    <phoneticPr fontId="13"/>
  </si>
  <si>
    <t>defineByIdentifier</t>
    <phoneticPr fontId="13"/>
  </si>
  <si>
    <t>DynamicallyDefineDataIdentifier</t>
    <phoneticPr fontId="13"/>
  </si>
  <si>
    <t>$2C</t>
    <phoneticPr fontId="13"/>
  </si>
  <si>
    <t>Addressing</t>
    <phoneticPr fontId="13"/>
  </si>
  <si>
    <t>$FF01</t>
    <phoneticPr fontId="13"/>
  </si>
  <si>
    <t>checkProgrammingDependencies</t>
    <phoneticPr fontId="13"/>
  </si>
  <si>
    <t>X</t>
  </si>
  <si>
    <t/>
  </si>
  <si>
    <t>X</t>
    <phoneticPr fontId="13"/>
  </si>
  <si>
    <t>SID$2F</t>
    <phoneticPr fontId="34"/>
  </si>
  <si>
    <t>APL(ASW)</t>
    <phoneticPr fontId="13"/>
  </si>
  <si>
    <t>BOOT(CB)</t>
    <phoneticPr fontId="13"/>
  </si>
  <si>
    <t xml:space="preserve">
</t>
    <phoneticPr fontId="13"/>
  </si>
  <si>
    <t>Version</t>
    <phoneticPr fontId="13"/>
  </si>
  <si>
    <t>Date</t>
    <phoneticPr fontId="13"/>
  </si>
  <si>
    <t>Name</t>
    <phoneticPr fontId="13"/>
  </si>
  <si>
    <t>Contents</t>
    <phoneticPr fontId="13"/>
  </si>
  <si>
    <t>serviceNotSupported</t>
    <phoneticPr fontId="13"/>
  </si>
  <si>
    <t>SubFunctionNotSupported</t>
    <phoneticPr fontId="13"/>
  </si>
  <si>
    <t>RequestOutOfRange</t>
    <phoneticPr fontId="13"/>
  </si>
  <si>
    <t>History</t>
    <phoneticPr fontId="13"/>
  </si>
  <si>
    <t>Title</t>
    <phoneticPr fontId="13"/>
  </si>
  <si>
    <t>Sheet</t>
    <phoneticPr fontId="13"/>
  </si>
  <si>
    <t xml:space="preserve">
</t>
    <phoneticPr fontId="13"/>
  </si>
  <si>
    <t>X: Supported</t>
    <phoneticPr fontId="13"/>
  </si>
  <si>
    <t>SID</t>
  </si>
  <si>
    <t>(*1)...The following xxx should not respond with functional address, even if condition is satisfied.</t>
    <phoneticPr fontId="13"/>
  </si>
  <si>
    <t xml:space="preserve">
</t>
    <phoneticPr fontId="13"/>
  </si>
  <si>
    <t>X
(*1)</t>
    <phoneticPr fontId="13"/>
  </si>
  <si>
    <t xml:space="preserve">X
(*1)
</t>
    <phoneticPr fontId="13"/>
  </si>
  <si>
    <t xml:space="preserve">            - NRC$11(serviceNotSupported)</t>
    <phoneticPr fontId="13"/>
  </si>
  <si>
    <t xml:space="preserve">            - NRC$12(SubFunctionNotSupported)</t>
    <phoneticPr fontId="13"/>
  </si>
  <si>
    <t xml:space="preserve">            - NRC$31(RequestOutOfRange)</t>
    <phoneticPr fontId="13"/>
  </si>
  <si>
    <t xml:space="preserve">            - NRC$7F(serviceNotSupportedInActiveSession)</t>
    <phoneticPr fontId="13"/>
  </si>
  <si>
    <t xml:space="preserve">ResponsePending
</t>
    <phoneticPr fontId="13"/>
  </si>
  <si>
    <t>nr</t>
  </si>
  <si>
    <t>shortTermAdjustment</t>
    <phoneticPr fontId="13"/>
  </si>
  <si>
    <t>dataByte</t>
    <phoneticPr fontId="13"/>
  </si>
  <si>
    <t>Mnemonic</t>
    <phoneticPr fontId="13"/>
  </si>
  <si>
    <t>returnControlToECU</t>
    <phoneticPr fontId="13"/>
  </si>
  <si>
    <t>(RDBI)</t>
    <phoneticPr fontId="13"/>
  </si>
  <si>
    <t>(WDBI)</t>
    <phoneticPr fontId="13"/>
  </si>
  <si>
    <t>(IOCBI)</t>
    <phoneticPr fontId="13"/>
  </si>
  <si>
    <t>(RC)</t>
    <phoneticPr fontId="13"/>
  </si>
  <si>
    <t>ATS used in SID$2F</t>
    <phoneticPr fontId="13"/>
  </si>
  <si>
    <t>Comment</t>
    <phoneticPr fontId="13"/>
  </si>
  <si>
    <t>#4</t>
    <phoneticPr fontId="34"/>
  </si>
  <si>
    <t>Ramcell in response</t>
    <phoneticPr fontId="13"/>
  </si>
  <si>
    <t>and SID$22</t>
    <phoneticPr fontId="13"/>
  </si>
  <si>
    <t>default</t>
    <phoneticPr fontId="13"/>
  </si>
  <si>
    <t>extended</t>
    <phoneticPr fontId="13"/>
  </si>
  <si>
    <t>Phy</t>
    <phoneticPr fontId="13"/>
  </si>
  <si>
    <t>Fnc</t>
    <phoneticPr fontId="13"/>
  </si>
  <si>
    <t>prog</t>
    <phoneticPr fontId="13"/>
  </si>
  <si>
    <t>ATS ID</t>
    <phoneticPr fontId="13"/>
  </si>
  <si>
    <t>$01</t>
  </si>
  <si>
    <t>prog</t>
  </si>
  <si>
    <t>RID#1</t>
  </si>
  <si>
    <t>RID#2</t>
  </si>
  <si>
    <t>#1</t>
  </si>
  <si>
    <t>#2</t>
  </si>
  <si>
    <t>routineControlOption</t>
    <phoneticPr fontId="13"/>
  </si>
  <si>
    <t>SubFunc</t>
    <phoneticPr fontId="13"/>
  </si>
  <si>
    <t>See customer specification or FR</t>
    <phoneticPr fontId="13"/>
  </si>
  <si>
    <t>Send Command (only described StartRoutine)</t>
    <phoneticPr fontId="13"/>
  </si>
  <si>
    <r>
      <rPr>
        <b/>
        <sz val="10"/>
        <rFont val="Tahoma"/>
        <family val="2"/>
      </rPr>
      <t>[Entry and Continues Conditions]</t>
    </r>
    <r>
      <rPr>
        <sz val="10"/>
        <rFont val="Tahoma"/>
        <family val="2"/>
      </rPr>
      <t xml:space="preserve"> (BC: xx / FC: xx)</t>
    </r>
    <phoneticPr fontId="13"/>
  </si>
  <si>
    <t>1. xxx</t>
    <phoneticPr fontId="34"/>
  </si>
  <si>
    <t>2. xxx</t>
    <phoneticPr fontId="34"/>
  </si>
  <si>
    <t>$00
($80)</t>
    <phoneticPr fontId="13"/>
  </si>
  <si>
    <r>
      <t xml:space="preserve">ASW
</t>
    </r>
    <r>
      <rPr>
        <sz val="9"/>
        <rFont val="Tahoma"/>
        <family val="2"/>
      </rPr>
      <t>(APL SW)</t>
    </r>
    <phoneticPr fontId="34"/>
  </si>
  <si>
    <r>
      <t xml:space="preserve">CB
</t>
    </r>
    <r>
      <rPr>
        <sz val="9"/>
        <rFont val="Tahoma"/>
        <family val="2"/>
      </rPr>
      <t>(BOOT SW)</t>
    </r>
    <phoneticPr fontId="34"/>
  </si>
  <si>
    <t>12V power supply from VCU main relay</t>
    <phoneticPr fontId="67"/>
  </si>
  <si>
    <t>-</t>
    <phoneticPr fontId="67"/>
  </si>
  <si>
    <t>Accel position sensor-1 power supply voltage</t>
    <phoneticPr fontId="67"/>
  </si>
  <si>
    <t>Accel position sensor-2 power supply voltage</t>
    <phoneticPr fontId="67"/>
  </si>
  <si>
    <t>Vacuum pressure sensor for brake system power supply voltage</t>
    <phoneticPr fontId="67"/>
  </si>
  <si>
    <t>Accel position sensor-1 analog input voltage</t>
    <phoneticPr fontId="67"/>
  </si>
  <si>
    <t>IA_APS1</t>
  </si>
  <si>
    <t>Accel position sensor-2 analog input voltage</t>
    <phoneticPr fontId="67"/>
  </si>
  <si>
    <t>IA_APS2</t>
  </si>
  <si>
    <t>Vacuum pressure sensor for brake system analog input voltage</t>
    <phoneticPr fontId="67"/>
  </si>
  <si>
    <t>IA_VPS</t>
  </si>
  <si>
    <t>Outside air temperature sensor analog input voltage</t>
    <phoneticPr fontId="67"/>
  </si>
  <si>
    <t>IA_ATS_OS</t>
  </si>
  <si>
    <t>Water temperature sensor of system cooling-1 (Radiator outlet) analog input voltage</t>
    <phoneticPr fontId="67"/>
  </si>
  <si>
    <t>Water temperature sensor of system cooling-2 (Radiator inlet) analog input voltage</t>
    <phoneticPr fontId="67"/>
  </si>
  <si>
    <t>IA_WTS_SYS2</t>
  </si>
  <si>
    <t>Water temperature sensor of battery cooling No1-1 (Radiator outlet) analog input voltage</t>
    <phoneticPr fontId="67"/>
  </si>
  <si>
    <t>IA_WTS_BAT11</t>
  </si>
  <si>
    <t>Water temperature sensor of battery cooling No1-2 (Battery inlet) analog input voltage</t>
    <phoneticPr fontId="67"/>
  </si>
  <si>
    <t>IA_WTS_BAT12</t>
  </si>
  <si>
    <t>Water temperature sensor of battery cooling No1-3 (Battery outlet) analog input voltage</t>
    <phoneticPr fontId="67"/>
  </si>
  <si>
    <t>IA_WTS_BAT13</t>
  </si>
  <si>
    <t>Water temperature sensor of battery cooling No2-1 (Radiator outlet) analog input voltage</t>
    <phoneticPr fontId="67"/>
  </si>
  <si>
    <t>IA_WTS_BAT21</t>
  </si>
  <si>
    <t>Water temperature sensor of battery cooling No2-2 (Battery inlet) analog input voltage</t>
    <phoneticPr fontId="67"/>
  </si>
  <si>
    <t>IA_WTS_BAT22</t>
  </si>
  <si>
    <t>Water temperature sensor of battery cooling No2-3 (Battery outlet) analog input voltage</t>
    <phoneticPr fontId="67"/>
  </si>
  <si>
    <t>IA_WTS_BAT23</t>
  </si>
  <si>
    <t>Water level sensor of cabin heater analog input voltage</t>
    <phoneticPr fontId="67"/>
  </si>
  <si>
    <t>IA_WLS_HTR</t>
  </si>
  <si>
    <t>Water level sensor of system cooling analog input voltage</t>
    <phoneticPr fontId="67"/>
  </si>
  <si>
    <t>Water level sensor of battery cooling No1 analog input voltage</t>
    <phoneticPr fontId="67"/>
  </si>
  <si>
    <t>Water level sensor of battery cooling No2 analog input voltage</t>
    <phoneticPr fontId="67"/>
  </si>
  <si>
    <t>IA_WLS_BAT2</t>
  </si>
  <si>
    <t>Temperature sensor of charge inlet-1 (DC positive) analog input voltage</t>
    <phoneticPr fontId="67"/>
  </si>
  <si>
    <t>Temperature sensor of charge inlet-2 (DC negative) analog input voltage</t>
    <phoneticPr fontId="67"/>
  </si>
  <si>
    <t>Temperature sensor of charge inlet-3 (AC) analog input voltage</t>
    <phoneticPr fontId="67"/>
  </si>
  <si>
    <t>Charging plug lock detection analog input voltage</t>
    <phoneticPr fontId="67"/>
  </si>
  <si>
    <t>Charging proximity pilot signal analog input voltage</t>
    <phoneticPr fontId="67"/>
  </si>
  <si>
    <t>Feedback speed pulse from cabin heater water pump digital input frequency</t>
    <phoneticPr fontId="67"/>
  </si>
  <si>
    <t>IP_WP_HTR</t>
  </si>
  <si>
    <t>Feedback speed pulse from cabin heater water pump digital input duty</t>
    <phoneticPr fontId="67"/>
  </si>
  <si>
    <t>Feedback speed pulse from system water pump-1 digital input frequency</t>
    <phoneticPr fontId="67"/>
  </si>
  <si>
    <t>IP_WP_SYS1</t>
  </si>
  <si>
    <t>Feedback speed pulse from system water pump-1 digital input duty</t>
    <phoneticPr fontId="67"/>
  </si>
  <si>
    <t>Feedback speed pulse from system water pump-2 digital input frequency</t>
    <phoneticPr fontId="67"/>
  </si>
  <si>
    <t>IP_WP_SYS2</t>
  </si>
  <si>
    <t>Feedback speed pulse from system water pump-2 digital input duty</t>
    <phoneticPr fontId="67"/>
  </si>
  <si>
    <t>Feedback speed pulse from Battery cooling No1 water pump-1 digital input frequency</t>
    <phoneticPr fontId="67"/>
  </si>
  <si>
    <t>IP_WP_BAT11</t>
  </si>
  <si>
    <t>Feedback speed pulse from Battery cooling No1 water pump-1 digital input duty</t>
    <phoneticPr fontId="67"/>
  </si>
  <si>
    <t>Feedback speed pulse from Battery cooling No1 water pump-2 digital input frequency</t>
    <phoneticPr fontId="67"/>
  </si>
  <si>
    <t>IP_WP_BAT12</t>
  </si>
  <si>
    <t>Feedback speed pulse from Battery cooling No1 water pump-2 digital input duty</t>
    <phoneticPr fontId="67"/>
  </si>
  <si>
    <t>Feedback speed pulse from Battery cooling No2 water pump-1 digital input frequency</t>
    <phoneticPr fontId="67"/>
  </si>
  <si>
    <t>IP_WP_BAT21</t>
  </si>
  <si>
    <t>Feedback speed pulse from Battery cooling No2 water pump-1 digital input duty</t>
    <phoneticPr fontId="67"/>
  </si>
  <si>
    <t>Feedback speed pulse from Battery cooling No2 water pump-2 digital input frequency</t>
    <phoneticPr fontId="67"/>
  </si>
  <si>
    <t>IP_WP_BAT22</t>
  </si>
  <si>
    <t>Feedback speed pulse from Battery cooling No2 water pump-2 digital input duty</t>
    <phoneticPr fontId="67"/>
  </si>
  <si>
    <t>Airbag deployed pulse digital input frequency</t>
    <phoneticPr fontId="67"/>
  </si>
  <si>
    <t>IP_SRS_SIG</t>
  </si>
  <si>
    <t>Airbag deployed pulse digital input duty</t>
    <phoneticPr fontId="67"/>
  </si>
  <si>
    <t>Charging control pilot pulse digital input frequency</t>
    <phoneticPr fontId="67"/>
  </si>
  <si>
    <t>I_O_CHG_CP</t>
  </si>
  <si>
    <t>Charging control pilot pulse digital input duty</t>
    <phoneticPr fontId="67"/>
  </si>
  <si>
    <t>Charging control pilot pulse digital input voltage amplitude</t>
    <phoneticPr fontId="67"/>
  </si>
  <si>
    <t>Accel position 1</t>
    <phoneticPr fontId="67"/>
  </si>
  <si>
    <t>Accel position 2</t>
    <phoneticPr fontId="67"/>
  </si>
  <si>
    <t>Vacuum pressure for brake system</t>
    <phoneticPr fontId="67"/>
  </si>
  <si>
    <t>Outside air temperature</t>
    <phoneticPr fontId="67"/>
  </si>
  <si>
    <t xml:space="preserve">Water temperature of system cooling 1 (Radiator outlet) </t>
    <phoneticPr fontId="67"/>
  </si>
  <si>
    <t xml:space="preserve">Water temperature of system cooling 2 (Radiator inlet) </t>
    <phoneticPr fontId="67"/>
  </si>
  <si>
    <t xml:space="preserve">Water temperature of battery cooling No1-1 (Radiator outlet) </t>
    <phoneticPr fontId="67"/>
  </si>
  <si>
    <t xml:space="preserve">Water temperature of battery cooling No1-2 (Battery inlet) </t>
    <phoneticPr fontId="67"/>
  </si>
  <si>
    <t xml:space="preserve">Water temperature of battery cooling No1-3 (Battery outlet) </t>
    <phoneticPr fontId="67"/>
  </si>
  <si>
    <t xml:space="preserve">Water temperature of battery cooling No2-1 (Radiator outlet) </t>
    <phoneticPr fontId="67"/>
  </si>
  <si>
    <t xml:space="preserve">Water temperature of battery cooling No2-2 (Battery inlet) </t>
    <phoneticPr fontId="67"/>
  </si>
  <si>
    <t>Water temperature of battery cooling No2-3 (Battery outlet)</t>
    <phoneticPr fontId="67"/>
  </si>
  <si>
    <t>Water level</t>
    <phoneticPr fontId="67"/>
  </si>
  <si>
    <t>1-2</t>
    <phoneticPr fontId="67"/>
  </si>
  <si>
    <t>Water level of cabin heater</t>
    <phoneticPr fontId="67"/>
  </si>
  <si>
    <t>1</t>
    <phoneticPr fontId="67"/>
  </si>
  <si>
    <t>3-4</t>
    <phoneticPr fontId="67"/>
  </si>
  <si>
    <t>Water level of system</t>
    <phoneticPr fontId="67"/>
  </si>
  <si>
    <t>5-6</t>
    <phoneticPr fontId="67"/>
  </si>
  <si>
    <t>Water level of battery No1</t>
    <phoneticPr fontId="67"/>
  </si>
  <si>
    <t>Water level of battery No2</t>
    <phoneticPr fontId="67"/>
  </si>
  <si>
    <t>3</t>
    <phoneticPr fontId="67"/>
  </si>
  <si>
    <t>Temperature of charge inlet 1</t>
    <phoneticPr fontId="67"/>
  </si>
  <si>
    <t>Temperature of charge inlet 2</t>
    <phoneticPr fontId="67"/>
  </si>
  <si>
    <t>Temperature of charge inlet 3</t>
    <phoneticPr fontId="67"/>
  </si>
  <si>
    <t>Charging plug lock detection status</t>
    <phoneticPr fontId="67"/>
  </si>
  <si>
    <t>5</t>
    <phoneticPr fontId="67"/>
  </si>
  <si>
    <t>Plug connection state detected by charging proximity pilot signal</t>
    <phoneticPr fontId="67"/>
  </si>
  <si>
    <t>Maximum current capability of the cable assembly detected by charging proximity pilot signal</t>
    <phoneticPr fontId="67"/>
  </si>
  <si>
    <t>4</t>
    <phoneticPr fontId="67"/>
  </si>
  <si>
    <t>Key switch state</t>
    <phoneticPr fontId="67"/>
  </si>
  <si>
    <t>Ignition key switch state</t>
    <phoneticPr fontId="67"/>
  </si>
  <si>
    <t>IS_IGKEY_WUP</t>
    <phoneticPr fontId="67"/>
  </si>
  <si>
    <t>2</t>
    <phoneticPr fontId="67"/>
  </si>
  <si>
    <t>Start key switch state</t>
    <phoneticPr fontId="67"/>
  </si>
  <si>
    <t>IS_START</t>
    <phoneticPr fontId="67"/>
  </si>
  <si>
    <t>Quick charger start/stop signal state</t>
    <phoneticPr fontId="67"/>
  </si>
  <si>
    <t>Quick charger start signal 1 state</t>
  </si>
  <si>
    <t>Quick charger start/stop signal 2 state</t>
  </si>
  <si>
    <t>IS_QC_ST2</t>
  </si>
  <si>
    <t>IS_QC_CNCT</t>
    <phoneticPr fontId="67"/>
  </si>
  <si>
    <t>Cabin heater operation switch state</t>
    <phoneticPr fontId="67"/>
  </si>
  <si>
    <t>IS_HTR_CAB</t>
  </si>
  <si>
    <t>KASO operation switch state (For Garbage truck and Aerial work platform)</t>
    <phoneticPr fontId="67"/>
  </si>
  <si>
    <t>IS_KASO</t>
    <phoneticPr fontId="67"/>
  </si>
  <si>
    <t>Brake pedal detection switch</t>
    <phoneticPr fontId="67"/>
  </si>
  <si>
    <t>IS_BRAKE</t>
  </si>
  <si>
    <t>Parking brake switch state</t>
    <phoneticPr fontId="67"/>
  </si>
  <si>
    <t>IS_P_BRK</t>
    <phoneticPr fontId="67"/>
  </si>
  <si>
    <t>Refrigerant fan switch state for battery cooling</t>
    <phoneticPr fontId="67"/>
  </si>
  <si>
    <t>Refrigerant fan switch for battery cooling No1 state</t>
    <phoneticPr fontId="67"/>
  </si>
  <si>
    <t>IS_REF_FAN1</t>
    <phoneticPr fontId="67"/>
  </si>
  <si>
    <t>Refrigerant fan switch for battery cooling No2 state</t>
    <phoneticPr fontId="67"/>
  </si>
  <si>
    <t>IS_REF_FAN2</t>
    <phoneticPr fontId="67"/>
  </si>
  <si>
    <t>Refrigerant pressure switch for battery cooling</t>
    <phoneticPr fontId="67"/>
  </si>
  <si>
    <t>Refrigerant pressure switch for battery cooling No1</t>
  </si>
  <si>
    <t>IS_REF_PRS1</t>
    <phoneticPr fontId="67"/>
  </si>
  <si>
    <t>Refrigerant pressure switch for battery cooling No2</t>
  </si>
  <si>
    <t>IS_REF_PRS2</t>
    <phoneticPr fontId="67"/>
  </si>
  <si>
    <t>IS_CHG_CANCEL</t>
    <phoneticPr fontId="67"/>
  </si>
  <si>
    <t>IP_WP_SYS1</t>
    <phoneticPr fontId="67"/>
  </si>
  <si>
    <t>Water pump speed of system 2</t>
    <phoneticPr fontId="67"/>
  </si>
  <si>
    <t>IP_WP_BAT11</t>
    <phoneticPr fontId="67"/>
  </si>
  <si>
    <t>IP_WP_BAT12</t>
    <phoneticPr fontId="67"/>
  </si>
  <si>
    <t>Water pump speed of battery No2-1</t>
    <phoneticPr fontId="67"/>
  </si>
  <si>
    <t>Water pump speed of battery No2-2</t>
    <phoneticPr fontId="67"/>
  </si>
  <si>
    <t>Airbag deployed pulse state</t>
    <phoneticPr fontId="67"/>
  </si>
  <si>
    <t>IP_SRS_SIG</t>
    <phoneticPr fontId="67"/>
  </si>
  <si>
    <t>Charging state detected by charging control pilot pulse</t>
    <phoneticPr fontId="67"/>
  </si>
  <si>
    <t>I_O_CHG_CP</t>
    <phoneticPr fontId="67"/>
  </si>
  <si>
    <t>Maximum current capability of the cable assembly detected  by charging control pilot pulse</t>
    <phoneticPr fontId="67"/>
  </si>
  <si>
    <t>OR_VCU_MAIN</t>
  </si>
  <si>
    <t>OR_SYS12V</t>
  </si>
  <si>
    <t>OS_MCU_IG</t>
  </si>
  <si>
    <t>OS_QC_ENBL</t>
  </si>
  <si>
    <t>OS_QC_RL_ENBL</t>
  </si>
  <si>
    <t>OR_VP1</t>
  </si>
  <si>
    <t>Back up (Reverse) lamp relay digital output</t>
    <phoneticPr fontId="67"/>
  </si>
  <si>
    <t>OR_BACK_UP</t>
  </si>
  <si>
    <t>OR_NEUTRAL</t>
  </si>
  <si>
    <t>Cabin heater water pump relay digital output</t>
    <phoneticPr fontId="67"/>
  </si>
  <si>
    <t>OR_WP_HTR</t>
  </si>
  <si>
    <t>OR_CDS_FAN_ON</t>
  </si>
  <si>
    <t>OR_CDS_FAN_HI</t>
  </si>
  <si>
    <t>A/C condenser fan On-relay-2 digital output</t>
    <phoneticPr fontId="67"/>
  </si>
  <si>
    <t>OR_CDS_FAN_ON2</t>
  </si>
  <si>
    <t>A/C condenser fan Hi-relay-2 digital output</t>
    <phoneticPr fontId="67"/>
  </si>
  <si>
    <t>OR_CDS_FAN_HI2</t>
  </si>
  <si>
    <t>OL_HTR_SW</t>
  </si>
  <si>
    <t>OL_CHG_EXT</t>
  </si>
  <si>
    <t>OL_CHG_ERR</t>
  </si>
  <si>
    <t>OS_AVAS_SFT_P</t>
  </si>
  <si>
    <t>OV_W_BAT1</t>
  </si>
  <si>
    <t>Charging plug lock actuator</t>
    <phoneticPr fontId="67"/>
  </si>
  <si>
    <t>Charging plug lock actuator (Positive) digital output</t>
    <phoneticPr fontId="67"/>
  </si>
  <si>
    <t>OM_LOCK_P</t>
  </si>
  <si>
    <t>Charging plug lock actuator (Negative) digital output</t>
    <phoneticPr fontId="67"/>
  </si>
  <si>
    <t>OM_LOCK_N</t>
  </si>
  <si>
    <t>Vehicle speed pulse to AVAS digital output frequency</t>
    <phoneticPr fontId="67"/>
  </si>
  <si>
    <t>OP_SPD_AVAS</t>
  </si>
  <si>
    <t>Vehicle speed pulse to the speed sensor conversion unit digital output frequency</t>
    <phoneticPr fontId="67"/>
  </si>
  <si>
    <t>OP_SPD_VEH</t>
  </si>
  <si>
    <t>Vehicle speed pulse to the speed sensor conversion unit digital output duty</t>
    <phoneticPr fontId="67"/>
  </si>
  <si>
    <t>OP_WP_HTR</t>
  </si>
  <si>
    <t>OP_WP_SYS1</t>
  </si>
  <si>
    <t>Speed command (PWM) to system cooling water pump-2 digital output frequency</t>
    <phoneticPr fontId="67"/>
  </si>
  <si>
    <t>OP_WP_SYS2</t>
  </si>
  <si>
    <t>Speed command (PWM) to system cooling water pump-2 digital output duty</t>
    <phoneticPr fontId="67"/>
  </si>
  <si>
    <t>OP_WP_BAT11</t>
  </si>
  <si>
    <t>OP_WP_BAT12</t>
  </si>
  <si>
    <t>Speed command (PWM) to battery cooling No2 water pump-1 digital output frequency</t>
    <phoneticPr fontId="67"/>
  </si>
  <si>
    <t>OP_WP_BAT21</t>
  </si>
  <si>
    <t>Speed command (PWM) to battery cooling No2 water pump-1 digital output duty</t>
    <phoneticPr fontId="67"/>
  </si>
  <si>
    <t>Speed command (PWM) to battery cooling No2 water pump-2 digital output frequency</t>
    <phoneticPr fontId="67"/>
  </si>
  <si>
    <t>OP_WP_BAT22</t>
  </si>
  <si>
    <t>Speed command (PWM) to battery cooling No2 water pump-2 digital output duty</t>
    <phoneticPr fontId="67"/>
  </si>
  <si>
    <t>OP_FAN_SYS1</t>
  </si>
  <si>
    <t>Speed command (PWM) to system cooling fan-2 digital output frequency</t>
    <phoneticPr fontId="67"/>
  </si>
  <si>
    <t>OP_FAN_SYS2</t>
  </si>
  <si>
    <t>Speed command (PWM) to system cooling fan-2 digital output duty</t>
    <phoneticPr fontId="67"/>
  </si>
  <si>
    <t>Speed command (PWM) to battery cooling No1 radiator fan digital output frequency</t>
    <phoneticPr fontId="67"/>
  </si>
  <si>
    <t>OP_FAN_BAT1</t>
  </si>
  <si>
    <t>Speed command (PWM) to battery cooling No1 radiator fan digital output duty</t>
    <phoneticPr fontId="67"/>
  </si>
  <si>
    <t>Speed command (PWM) to battery cooling No2 radiator fan digital output frequency</t>
    <phoneticPr fontId="67"/>
  </si>
  <si>
    <t>OP_FAN_BAT2</t>
  </si>
  <si>
    <t>Speed command (PWM) to battery cooling No2 radiator fan digital output duty</t>
    <phoneticPr fontId="67"/>
  </si>
  <si>
    <t>VEHICLE_STATE</t>
  </si>
  <si>
    <t>DCDC24 installation status</t>
    <phoneticPr fontId="67"/>
  </si>
  <si>
    <t>Vehicle speed calculated by VCU</t>
    <phoneticPr fontId="67"/>
  </si>
  <si>
    <t>Vehicle_Speed_VCU</t>
    <phoneticPr fontId="67"/>
  </si>
  <si>
    <t>Brake status</t>
    <phoneticPr fontId="67"/>
  </si>
  <si>
    <t>Kick down switch</t>
    <phoneticPr fontId="67"/>
  </si>
  <si>
    <t>Kick_Down_SW</t>
    <phoneticPr fontId="67"/>
  </si>
  <si>
    <t>Request gear position</t>
    <phoneticPr fontId="67"/>
  </si>
  <si>
    <t>Request_Gear</t>
  </si>
  <si>
    <t>Gear position</t>
    <phoneticPr fontId="67"/>
  </si>
  <si>
    <t>Gear_Position</t>
  </si>
  <si>
    <t>12V/24V Battery Power Supply Extension Request</t>
    <phoneticPr fontId="67"/>
  </si>
  <si>
    <t>Battery thermal mode</t>
    <phoneticPr fontId="67"/>
  </si>
  <si>
    <t>BTC Main Mode</t>
  </si>
  <si>
    <t>Charge plug lock control state</t>
    <phoneticPr fontId="67"/>
  </si>
  <si>
    <t>Granted power of inverter</t>
    <phoneticPr fontId="67"/>
  </si>
  <si>
    <t>Granted_Power_INV</t>
  </si>
  <si>
    <t xml:space="preserve">DCDC12 stop request by load management </t>
    <phoneticPr fontId="67"/>
  </si>
  <si>
    <t xml:space="preserve">If DCDC12_Mode_Req == 0x1: Buck in Load_Management, set 0: No request.
If DCDC12_Mode_Req == 0x0: Standby in Load_Management, set 1: Stop request. </t>
    <phoneticPr fontId="67"/>
  </si>
  <si>
    <t>DCDC24 stop request by load management</t>
    <phoneticPr fontId="67"/>
  </si>
  <si>
    <t xml:space="preserve">If DCDC24_Output_Permission == ON in Load_Management, set 0: No request.
If DCDC24_Output_Permission == OFF in Load_Management, set 1: Stop request. </t>
    <phoneticPr fontId="67"/>
  </si>
  <si>
    <t>Battery heater stop request by load management</t>
    <phoneticPr fontId="67"/>
  </si>
  <si>
    <t xml:space="preserve">If HTR1_output_req == ON in Load_Management, set 0: No request.
If HTR1_output_req == OFF in Load_Management, set 1: Stop request. </t>
    <phoneticPr fontId="67"/>
  </si>
  <si>
    <t>Network management state for DCDC12</t>
    <phoneticPr fontId="67"/>
  </si>
  <si>
    <t>Set Operational Modes</t>
    <phoneticPr fontId="67"/>
  </si>
  <si>
    <t>Network management state for Central gateway</t>
    <phoneticPr fontId="67"/>
  </si>
  <si>
    <t>HV system ready state for inverter</t>
    <phoneticPr fontId="67"/>
  </si>
  <si>
    <t>Inverter operation permission request</t>
    <phoneticPr fontId="67"/>
  </si>
  <si>
    <t>Inverter torque request</t>
    <phoneticPr fontId="67"/>
  </si>
  <si>
    <t>INV_Trq_Req</t>
  </si>
  <si>
    <t>Inverter parking lock request</t>
    <phoneticPr fontId="67"/>
  </si>
  <si>
    <t>INV_Plock_Req</t>
  </si>
  <si>
    <t>Driver leaving cabin detection</t>
    <phoneticPr fontId="67"/>
  </si>
  <si>
    <t>Driver_Out_Cab</t>
  </si>
  <si>
    <t>Battery mode command</t>
    <phoneticPr fontId="67"/>
  </si>
  <si>
    <t>BATT_MODE_CMD</t>
  </si>
  <si>
    <t>HV relay request</t>
    <phoneticPr fontId="67"/>
  </si>
  <si>
    <t>HV_RELAY_REQ</t>
  </si>
  <si>
    <t>Quick charging relay request</t>
    <phoneticPr fontId="67"/>
  </si>
  <si>
    <t>ElecPTO relay request</t>
    <phoneticPr fontId="67"/>
  </si>
  <si>
    <t>EPTO_RELAY_REQ</t>
  </si>
  <si>
    <t>DCDC12 mode request</t>
    <phoneticPr fontId="67"/>
  </si>
  <si>
    <t>DCDC12 request lv voltage</t>
    <phoneticPr fontId="67"/>
  </si>
  <si>
    <t>DCDC12 hv current limit</t>
    <phoneticPr fontId="67"/>
  </si>
  <si>
    <t>Precharge target voltage for DCDC12</t>
    <phoneticPr fontId="67"/>
  </si>
  <si>
    <t>DCDC24 output permission</t>
    <phoneticPr fontId="67"/>
  </si>
  <si>
    <t>DCDC24-1 output permission</t>
    <phoneticPr fontId="67"/>
  </si>
  <si>
    <t>DCDC24-2 output permission</t>
    <phoneticPr fontId="67"/>
  </si>
  <si>
    <t>(TBD)</t>
    <phoneticPr fontId="67"/>
  </si>
  <si>
    <t>DCDC24-3 output permission</t>
    <phoneticPr fontId="67"/>
  </si>
  <si>
    <t>DCDC24-4 output permission</t>
    <phoneticPr fontId="67"/>
  </si>
  <si>
    <t>DCDC24-5 output permission</t>
    <phoneticPr fontId="67"/>
  </si>
  <si>
    <t>DCDC24 request voltage</t>
    <phoneticPr fontId="67"/>
  </si>
  <si>
    <t>DCDC24-1 Request Voltage</t>
    <phoneticPr fontId="67"/>
  </si>
  <si>
    <t>DCDC24-2 Request Voltage</t>
    <phoneticPr fontId="67"/>
  </si>
  <si>
    <t>DCDC24-3 Request Voltage</t>
    <phoneticPr fontId="67"/>
  </si>
  <si>
    <t>DCDC24-4 Request Voltage</t>
    <phoneticPr fontId="67"/>
  </si>
  <si>
    <t>DCDC24-5 Request Voltage</t>
    <phoneticPr fontId="67"/>
  </si>
  <si>
    <t>DCDC24 heat sink temperature</t>
    <phoneticPr fontId="67"/>
  </si>
  <si>
    <t>DCDC24-1 Heat Sink Temperature</t>
    <phoneticPr fontId="67"/>
  </si>
  <si>
    <t>DCDC24-2 Heat Sink Temperature</t>
    <phoneticPr fontId="67"/>
  </si>
  <si>
    <t>DCDC24-3 Heat Sink Temperature</t>
    <phoneticPr fontId="67"/>
  </si>
  <si>
    <t>DCDC24-4 Heat Sink Temperature</t>
    <phoneticPr fontId="67"/>
  </si>
  <si>
    <t>DCDC24-5 Heat Sink Temperature</t>
    <phoneticPr fontId="67"/>
  </si>
  <si>
    <t>DCDC24 output voltage</t>
    <phoneticPr fontId="67"/>
  </si>
  <si>
    <t>DCDC24-1 Output Terminal Voltage</t>
    <phoneticPr fontId="67"/>
  </si>
  <si>
    <t>DCDC24-2 Output Terminal Voltage</t>
    <phoneticPr fontId="67"/>
  </si>
  <si>
    <t>DCDC24-3 Output Terminal Voltage</t>
    <phoneticPr fontId="67"/>
  </si>
  <si>
    <t>DCDC24-4 Output Terminal Voltage</t>
    <phoneticPr fontId="67"/>
  </si>
  <si>
    <t>DCDC24-5 Output Terminal Voltage</t>
    <phoneticPr fontId="67"/>
  </si>
  <si>
    <t>DCDC24 output current</t>
    <phoneticPr fontId="67"/>
  </si>
  <si>
    <t>DCDC24-1 Output Current</t>
    <phoneticPr fontId="67"/>
  </si>
  <si>
    <t>DCDC24-2 Output Current</t>
    <phoneticPr fontId="67"/>
  </si>
  <si>
    <t>DCDC24-3 Output Current</t>
    <phoneticPr fontId="67"/>
  </si>
  <si>
    <t>DCDC24-4 Output Current</t>
    <phoneticPr fontId="67"/>
  </si>
  <si>
    <t>DCDC24-5 Output Current</t>
    <phoneticPr fontId="67"/>
  </si>
  <si>
    <t>DCDC24 rx error</t>
    <phoneticPr fontId="67"/>
  </si>
  <si>
    <t>DCDC24-1 Receive error</t>
    <phoneticPr fontId="67"/>
  </si>
  <si>
    <t>DCDC24-2 Receive error</t>
    <phoneticPr fontId="67"/>
  </si>
  <si>
    <t>DCDC24-3 Receive error</t>
    <phoneticPr fontId="67"/>
  </si>
  <si>
    <t>DCDC24-4 Receive error</t>
    <phoneticPr fontId="67"/>
  </si>
  <si>
    <t>DCDC24-5 Receive error</t>
    <phoneticPr fontId="67"/>
  </si>
  <si>
    <t>DCDC24 output state</t>
    <phoneticPr fontId="67"/>
  </si>
  <si>
    <t>DCDC24-1 Output Status</t>
    <phoneticPr fontId="67"/>
  </si>
  <si>
    <t>DCDC24-2 Output Status</t>
    <phoneticPr fontId="67"/>
  </si>
  <si>
    <t>DCDC24-3 Output Status</t>
    <phoneticPr fontId="67"/>
  </si>
  <si>
    <t>DCDC24-4 Output Status</t>
    <phoneticPr fontId="67"/>
  </si>
  <si>
    <t>DCDC24-5 Output Status</t>
    <phoneticPr fontId="67"/>
  </si>
  <si>
    <t>DCDC24 current limit status</t>
    <phoneticPr fontId="67"/>
  </si>
  <si>
    <t>DCDC24-1 Current Limit Status</t>
    <phoneticPr fontId="67"/>
  </si>
  <si>
    <t>DCDC24-2 Current Limit Status</t>
    <phoneticPr fontId="67"/>
  </si>
  <si>
    <t>DCDC24-3 Current Limit Status</t>
    <phoneticPr fontId="67"/>
  </si>
  <si>
    <t>DCDC24-4 Current Limit Status</t>
    <phoneticPr fontId="67"/>
  </si>
  <si>
    <t>DCDC24-5 Current Limit Status</t>
    <phoneticPr fontId="67"/>
  </si>
  <si>
    <t>DCDC24 over temp limit status</t>
    <phoneticPr fontId="67"/>
  </si>
  <si>
    <t>DCDC24-1 Over Temperature Limit Status</t>
    <phoneticPr fontId="67"/>
  </si>
  <si>
    <t>DCDC24-2 Over Temperature Limit Status</t>
    <phoneticPr fontId="67"/>
  </si>
  <si>
    <t>DCDC24-3 Over Temperature Limit Status</t>
    <phoneticPr fontId="67"/>
  </si>
  <si>
    <t>DCDC24-4 Over Temperature Limit Status</t>
    <phoneticPr fontId="67"/>
  </si>
  <si>
    <t>DCDC24-5 Over Temperature Limit Status</t>
    <phoneticPr fontId="67"/>
  </si>
  <si>
    <t>DCDC24 internal failure</t>
    <phoneticPr fontId="67"/>
  </si>
  <si>
    <t>DCDC24-1 Internal Failure</t>
    <phoneticPr fontId="67"/>
  </si>
  <si>
    <t>DCDC24-2 Internal Failure</t>
    <phoneticPr fontId="67"/>
  </si>
  <si>
    <t>DCDC24-3 Internal Failure</t>
    <phoneticPr fontId="67"/>
  </si>
  <si>
    <t>DCDC24-4 Internal Failure</t>
    <phoneticPr fontId="67"/>
  </si>
  <si>
    <t>DCDC24-5 Internal Failure</t>
    <phoneticPr fontId="67"/>
  </si>
  <si>
    <t>DCDC24 output lo voltage protection</t>
    <phoneticPr fontId="67"/>
  </si>
  <si>
    <t>DCDC24-1 Output Lo Voltage Protection</t>
    <phoneticPr fontId="67"/>
  </si>
  <si>
    <t>DCDC24-2 Output Lo Voltage Protection</t>
    <phoneticPr fontId="67"/>
  </si>
  <si>
    <t>DCDC24-3 Output Lo Voltage Protection</t>
    <phoneticPr fontId="67"/>
  </si>
  <si>
    <t>DCDC24-4 Output Lo Voltage Protection</t>
    <phoneticPr fontId="67"/>
  </si>
  <si>
    <t>DCDC24-5 Output Lo Voltage Protection</t>
    <phoneticPr fontId="67"/>
  </si>
  <si>
    <t>DCDC24 input lo voltage protection</t>
    <phoneticPr fontId="67"/>
  </si>
  <si>
    <t>DCDC24-1 Input Lo Voltage Protection</t>
    <phoneticPr fontId="67"/>
  </si>
  <si>
    <t>DCDC24-2 Input Lo Voltage Protection</t>
    <phoneticPr fontId="67"/>
  </si>
  <si>
    <t>DCDC24-3 Input Lo Voltage Protection</t>
    <phoneticPr fontId="67"/>
  </si>
  <si>
    <t>DCDC24-4 Input Lo Voltage Protection</t>
    <phoneticPr fontId="67"/>
  </si>
  <si>
    <t>DCDC24-5 Input Lo Voltage Protection</t>
    <phoneticPr fontId="67"/>
  </si>
  <si>
    <t>DCDC24 input over voltage protection</t>
    <phoneticPr fontId="67"/>
  </si>
  <si>
    <t>DCDC24-1 Input Over Voltage Protection</t>
    <phoneticPr fontId="67"/>
  </si>
  <si>
    <t>DCDC24-2 Input Over Voltage Protection</t>
    <phoneticPr fontId="67"/>
  </si>
  <si>
    <t>DCDC24-3 Input Over Voltage Protection</t>
    <phoneticPr fontId="67"/>
  </si>
  <si>
    <t>DCDC24-4 Input Over Voltage Protection</t>
    <phoneticPr fontId="67"/>
  </si>
  <si>
    <t>DCDC24-5 Input Over Voltage Protection</t>
    <phoneticPr fontId="67"/>
  </si>
  <si>
    <t>DCDC24 output over voltage protection</t>
    <phoneticPr fontId="67"/>
  </si>
  <si>
    <t>DCDC24-1 Output Over Voltage Protection</t>
    <phoneticPr fontId="67"/>
  </si>
  <si>
    <t>DCDC24-2 Output Over Voltage Protection</t>
    <phoneticPr fontId="67"/>
  </si>
  <si>
    <t>DCDC24-3 Output Over Voltage Protection</t>
    <phoneticPr fontId="67"/>
  </si>
  <si>
    <t>DCDC24-4 Output Over Voltage Protection</t>
    <phoneticPr fontId="67"/>
  </si>
  <si>
    <t>DCDC24-5 Output Over Voltage Protection</t>
    <phoneticPr fontId="67"/>
  </si>
  <si>
    <t>DCDC24 over temperature protection</t>
    <phoneticPr fontId="67"/>
  </si>
  <si>
    <t>DCDC24-1 Over Temperature Protection</t>
    <phoneticPr fontId="67"/>
  </si>
  <si>
    <t>DCDC24-2 Over Temperature Protection</t>
    <phoneticPr fontId="67"/>
  </si>
  <si>
    <t>DCDC24-3 Over Temperature Protection</t>
    <phoneticPr fontId="67"/>
  </si>
  <si>
    <t>DCDC24-4 Over Temperature Protection</t>
    <phoneticPr fontId="67"/>
  </si>
  <si>
    <t>DCDC24-5 Over Temperature Protection</t>
    <phoneticPr fontId="67"/>
  </si>
  <si>
    <t>DCDC24 internal protection</t>
    <phoneticPr fontId="67"/>
  </si>
  <si>
    <t>DCDC24-1 Internal Protection</t>
    <phoneticPr fontId="67"/>
  </si>
  <si>
    <t>DCDC24-2 Internal Protection</t>
    <phoneticPr fontId="67"/>
  </si>
  <si>
    <t>DCDC24-3 Internal Protection</t>
    <phoneticPr fontId="67"/>
  </si>
  <si>
    <t>DCDC24-4 Internal Protection</t>
    <phoneticPr fontId="67"/>
  </si>
  <si>
    <t>DCDC24-5 Internal Protection</t>
    <phoneticPr fontId="67"/>
  </si>
  <si>
    <t>DCDC24 output over current protection</t>
    <phoneticPr fontId="67"/>
  </si>
  <si>
    <t>DCDC24-1 Output Over Current Protection</t>
    <phoneticPr fontId="67"/>
  </si>
  <si>
    <t>DCDC24-2 Output Over Current Protection</t>
    <phoneticPr fontId="67"/>
  </si>
  <si>
    <t>DCDC24-3 Output Over Current Protection</t>
    <phoneticPr fontId="67"/>
  </si>
  <si>
    <t>DCDC24-4 Output Over Current Protection</t>
    <phoneticPr fontId="67"/>
  </si>
  <si>
    <t>DCDC24-5 Output Over Current Protection</t>
    <phoneticPr fontId="67"/>
  </si>
  <si>
    <t>Electric compressor power limit</t>
    <phoneticPr fontId="67"/>
  </si>
  <si>
    <t>Battery cooling request</t>
    <phoneticPr fontId="67"/>
  </si>
  <si>
    <t>Batt_Cooling_Req</t>
  </si>
  <si>
    <t>Battery heater allowable max power</t>
    <phoneticPr fontId="67"/>
  </si>
  <si>
    <t>Battery heater 1 Maximum allowable heat output</t>
    <phoneticPr fontId="67"/>
  </si>
  <si>
    <t>HTR1_pwr_max</t>
  </si>
  <si>
    <t>Battery heater 2 Maximum allowable heat output</t>
    <phoneticPr fontId="67"/>
  </si>
  <si>
    <t>Battery heater target coolant temperature</t>
  </si>
  <si>
    <t>Battery heater 1 Target outlet coolant temperature</t>
    <phoneticPr fontId="67"/>
  </si>
  <si>
    <t>HTR1_coolant_temp_cmd</t>
  </si>
  <si>
    <t>Battery heater 2 Target outlet coolant temperature</t>
    <phoneticPr fontId="67"/>
  </si>
  <si>
    <t>Battery heater output enable</t>
  </si>
  <si>
    <t>Battery heater 1 Heat output enable</t>
    <phoneticPr fontId="67"/>
  </si>
  <si>
    <t>Battery heater 2 Heat output enable</t>
    <phoneticPr fontId="67"/>
  </si>
  <si>
    <t>Battery heater status</t>
  </si>
  <si>
    <t>Battery heater 1 HVH status</t>
    <phoneticPr fontId="67"/>
  </si>
  <si>
    <t>Battery heater 2 HVH status</t>
    <phoneticPr fontId="67"/>
  </si>
  <si>
    <t>Battery heater overheat protection</t>
  </si>
  <si>
    <t>Battery heater 1 Overheat Protection / Prevention</t>
    <phoneticPr fontId="67"/>
  </si>
  <si>
    <t>HTR1_protect_ovht_actv</t>
  </si>
  <si>
    <t>Battery heater 2 Overheat Protection / Prevention</t>
    <phoneticPr fontId="67"/>
  </si>
  <si>
    <t>Battery heater inlet coolant temperature</t>
    <phoneticPr fontId="67"/>
  </si>
  <si>
    <t>Battery heater 1 Inlet coolant temperature</t>
    <phoneticPr fontId="67"/>
  </si>
  <si>
    <t>Battery heater 2 Inlet coolant temperature</t>
    <phoneticPr fontId="67"/>
  </si>
  <si>
    <t>Battery heater outlet coolant temperature</t>
    <phoneticPr fontId="67"/>
  </si>
  <si>
    <t>Battery heater 1 Outlet coolant temperature</t>
    <phoneticPr fontId="67"/>
  </si>
  <si>
    <t>Battery heater 2 Outlet coolant temperature</t>
    <phoneticPr fontId="67"/>
  </si>
  <si>
    <t>Battery heater HV voltage</t>
  </si>
  <si>
    <t>Battery heater 1 HV voltage</t>
    <phoneticPr fontId="67"/>
  </si>
  <si>
    <t>Battery heater 2 HV voltage</t>
    <phoneticPr fontId="67"/>
  </si>
  <si>
    <t>Battery heater HV actual power</t>
  </si>
  <si>
    <t>Battery heater 1 HV actual power</t>
    <phoneticPr fontId="67"/>
  </si>
  <si>
    <t>Battery heater 2 HV actual power</t>
    <phoneticPr fontId="67"/>
  </si>
  <si>
    <t>Battery heater LIN communication error</t>
  </si>
  <si>
    <t>Battery heater 1 LIN communication issue detected</t>
    <phoneticPr fontId="67"/>
  </si>
  <si>
    <t>Battery heater 2 LIN communication issue detected</t>
    <phoneticPr fontId="67"/>
  </si>
  <si>
    <t>Battery heater internal communication error</t>
  </si>
  <si>
    <t>Battery heater 1 HVH internal communication error</t>
    <phoneticPr fontId="67"/>
  </si>
  <si>
    <t>Battery heater 2 HVH internal communication error</t>
    <phoneticPr fontId="67"/>
  </si>
  <si>
    <t>Battery heater high voltage out of range error</t>
    <phoneticPr fontId="67"/>
  </si>
  <si>
    <t>Battery heater 1 High Voltage out of defined HV range</t>
    <phoneticPr fontId="67"/>
  </si>
  <si>
    <t>Battery heater 2 High Voltage out of defined HV range</t>
    <phoneticPr fontId="67"/>
  </si>
  <si>
    <t>Battery heater low voltage out of range error</t>
    <phoneticPr fontId="67"/>
  </si>
  <si>
    <t>Battery heater 1 Low Voltage out of defined LV range</t>
    <phoneticPr fontId="67"/>
  </si>
  <si>
    <t>Battery heater 2 Low Voltage out of defined LV range</t>
    <phoneticPr fontId="67"/>
  </si>
  <si>
    <t>Battery heater coolant temperature high error</t>
  </si>
  <si>
    <t>Battery heater 1 Coolant temperature too high</t>
    <phoneticPr fontId="67"/>
  </si>
  <si>
    <t>Battery heater 2 Coolant temperature too high</t>
    <phoneticPr fontId="67"/>
  </si>
  <si>
    <t>Battery heater overheat detected</t>
  </si>
  <si>
    <t>Battery heater 1 Overheat event detected</t>
    <phoneticPr fontId="67"/>
  </si>
  <si>
    <t>Battery heater 2 Overheat event detected</t>
    <phoneticPr fontId="67"/>
  </si>
  <si>
    <t>Battery heater hardware protection</t>
  </si>
  <si>
    <t>Battery heater 1 Protection activated due to HW failure</t>
    <phoneticPr fontId="67"/>
  </si>
  <si>
    <t>Battery heater 2 Protection activated due to HW failure</t>
    <phoneticPr fontId="67"/>
  </si>
  <si>
    <t>Battery heater inlet temperature sensor error</t>
  </si>
  <si>
    <t>Battery heater 1 Coolant inlet temperature sensor defect</t>
    <phoneticPr fontId="67"/>
  </si>
  <si>
    <t>Battery heater 2 Coolant inlet temperature sensor defect</t>
    <phoneticPr fontId="67"/>
  </si>
  <si>
    <t>Battery heater outlet temperature sensor error</t>
  </si>
  <si>
    <t>Battery heater 1 Coolant Outlet temperature sensor defect</t>
    <phoneticPr fontId="67"/>
  </si>
  <si>
    <t>Battery heater 2 Coolant Outlet temperature sensor defect</t>
    <phoneticPr fontId="67"/>
  </si>
  <si>
    <t>Battery heater overheat sensor error</t>
  </si>
  <si>
    <t>Battery heater 1 Overheating Sensor defect</t>
    <phoneticPr fontId="67"/>
  </si>
  <si>
    <t>Battery heater 2 Overheating Sensor defect</t>
    <phoneticPr fontId="67"/>
  </si>
  <si>
    <t>Battery heater driver error</t>
  </si>
  <si>
    <t>Battery heater 1 Short or open circuit of IGBTs or gate drivers</t>
    <phoneticPr fontId="67"/>
  </si>
  <si>
    <t>Battery heater 2 Short or open circuit of IGBTs or gate drivers</t>
    <phoneticPr fontId="67"/>
  </si>
  <si>
    <t>Battery heater high current error</t>
    <phoneticPr fontId="67"/>
  </si>
  <si>
    <t>Battery heater 1 Current consumption too high</t>
    <phoneticPr fontId="67"/>
  </si>
  <si>
    <t>Battery heater 2 Current consumption too high</t>
    <phoneticPr fontId="67"/>
  </si>
  <si>
    <t>Battery heater memory error</t>
  </si>
  <si>
    <t>Battery heater 1 Memory Error at LV or HV micro processor</t>
    <phoneticPr fontId="67"/>
  </si>
  <si>
    <t>Battery heater 2 Memory Error at LV or HV micro processor</t>
    <phoneticPr fontId="67"/>
  </si>
  <si>
    <t>Battery heater dcdc voltage error</t>
  </si>
  <si>
    <t>Battery heater 1 DC/DC Voltage out of range on HV side</t>
    <phoneticPr fontId="67"/>
  </si>
  <si>
    <t>Battery heater 2 DC/DC Voltage out of range on HV side</t>
    <phoneticPr fontId="67"/>
  </si>
  <si>
    <t>Cabin heater allowable max power</t>
    <phoneticPr fontId="67"/>
  </si>
  <si>
    <t>Cabin heater 1 Maximum allowable heat output</t>
    <phoneticPr fontId="67"/>
  </si>
  <si>
    <t>HTR2_pwr_max</t>
  </si>
  <si>
    <t>Cabin heater 2 Maximum allowable heat output</t>
    <phoneticPr fontId="67"/>
  </si>
  <si>
    <t>Cabin heater 3 Maximum allowable heat output</t>
    <phoneticPr fontId="67"/>
  </si>
  <si>
    <t>Cabin heater target coolant temperature</t>
  </si>
  <si>
    <t>Cabin heater 1 Target outlet coolant temperature</t>
    <phoneticPr fontId="67"/>
  </si>
  <si>
    <t>Cabin heater 2 Target outlet coolant temperature</t>
    <phoneticPr fontId="67"/>
  </si>
  <si>
    <t>Cabin heater 3 Target outlet coolant temperature</t>
    <phoneticPr fontId="67"/>
  </si>
  <si>
    <t>Cabin heater output enable</t>
  </si>
  <si>
    <t>Cabin heater 1 Heat output enable</t>
    <phoneticPr fontId="67"/>
  </si>
  <si>
    <t>Cabin heater 2 Heat output enable</t>
    <phoneticPr fontId="67"/>
  </si>
  <si>
    <t>Cabin heater 3 Heat output enable</t>
    <phoneticPr fontId="67"/>
  </si>
  <si>
    <t>Cabin heater status</t>
  </si>
  <si>
    <t>Cabin heater 1 HVH status</t>
    <phoneticPr fontId="67"/>
  </si>
  <si>
    <t>HTR2_stat</t>
  </si>
  <si>
    <t>Cabin heater 2 HVH status</t>
    <phoneticPr fontId="67"/>
  </si>
  <si>
    <t>Cabin heater 3 HVH status</t>
    <phoneticPr fontId="67"/>
  </si>
  <si>
    <t>Cabin heater overheat protection</t>
  </si>
  <si>
    <t>Cabin heater 1 Overheat Protection / Prevention</t>
    <phoneticPr fontId="67"/>
  </si>
  <si>
    <t>HTR2_protect_ovht_actv</t>
  </si>
  <si>
    <t>Cabin heater 2 Overheat Protection / Prevention</t>
    <phoneticPr fontId="67"/>
  </si>
  <si>
    <t>Cabin heater 3 Overheat Protection / Prevention</t>
    <phoneticPr fontId="67"/>
  </si>
  <si>
    <t>Cabin heater inlet coolant temperature</t>
  </si>
  <si>
    <t>Cabin heater 1 Inlet coolant temperature</t>
    <phoneticPr fontId="67"/>
  </si>
  <si>
    <t>Cabin heater 2 Inlet coolant temperature</t>
    <phoneticPr fontId="67"/>
  </si>
  <si>
    <t>Cabin heater 3 Inlet coolant temperature</t>
    <phoneticPr fontId="67"/>
  </si>
  <si>
    <t>Cabin heater outlet coolant temperature</t>
  </si>
  <si>
    <t>Cabin heater 1 Outlet coolant temperature</t>
    <phoneticPr fontId="67"/>
  </si>
  <si>
    <t>Cabin heater 2 Outlet coolant temperature</t>
    <phoneticPr fontId="67"/>
  </si>
  <si>
    <t>Cabin heater 3 Outlet coolant temperature</t>
    <phoneticPr fontId="67"/>
  </si>
  <si>
    <t>Cabin heater HV voltage</t>
  </si>
  <si>
    <t>Cabin heater 1 HV voltage</t>
    <phoneticPr fontId="67"/>
  </si>
  <si>
    <t>Cabin heater 2 HV voltage</t>
    <phoneticPr fontId="67"/>
  </si>
  <si>
    <t>Cabin heater 3 HV voltage</t>
    <phoneticPr fontId="67"/>
  </si>
  <si>
    <t>Cabin heater HV actual power</t>
  </si>
  <si>
    <t>Cabin heater 1 HV actual power</t>
    <phoneticPr fontId="67"/>
  </si>
  <si>
    <t>Cabin heater 2 HV actual power</t>
    <phoneticPr fontId="67"/>
  </si>
  <si>
    <t>Cabin heater 3 HV actual power</t>
    <phoneticPr fontId="67"/>
  </si>
  <si>
    <t>Cabin heater LIN communication error</t>
  </si>
  <si>
    <t>Cabin heater 1 LIN communication issue detected</t>
    <phoneticPr fontId="67"/>
  </si>
  <si>
    <t>HTR2_DIAG_LIN_comm</t>
  </si>
  <si>
    <t>Cabin heater 2 LIN communication issue detected</t>
    <phoneticPr fontId="67"/>
  </si>
  <si>
    <t>Cabin heater 3 LIN communication issue detected</t>
    <phoneticPr fontId="67"/>
  </si>
  <si>
    <t>Cabin heater internal communication error</t>
  </si>
  <si>
    <t>Cabin heater 1 HVH internal communication error</t>
    <phoneticPr fontId="67"/>
  </si>
  <si>
    <t>Cabin heater 2 HVH internal communication error</t>
    <phoneticPr fontId="67"/>
  </si>
  <si>
    <t>Cabin heater 3 HVH internal communication error</t>
    <phoneticPr fontId="67"/>
  </si>
  <si>
    <t>Cabin heater high voltage out of range error</t>
  </si>
  <si>
    <t>Cabin heater 1 High Voltage out of defined HV range</t>
    <phoneticPr fontId="67"/>
  </si>
  <si>
    <t>Cabin heater 2 High Voltage out of defined HV range</t>
    <phoneticPr fontId="67"/>
  </si>
  <si>
    <t>Cabin heater 3 High Voltage out of defined HV range</t>
    <phoneticPr fontId="67"/>
  </si>
  <si>
    <t>Cabin heater low voltage out of range error</t>
  </si>
  <si>
    <t>Cabin heater 1 Low Voltage out of defined LV range</t>
    <phoneticPr fontId="67"/>
  </si>
  <si>
    <t>Cabin heater 2 Low Voltage out of defined LV range</t>
    <phoneticPr fontId="67"/>
  </si>
  <si>
    <t>Cabin heater 3 Low Voltage out of defined LV range</t>
    <phoneticPr fontId="67"/>
  </si>
  <si>
    <t>Cabin heater coolant temperature high error</t>
  </si>
  <si>
    <t>Cabin heater 1 Coolant temperature too high</t>
    <phoneticPr fontId="67"/>
  </si>
  <si>
    <t>Cabin heater 2 Coolant temperature too high</t>
    <phoneticPr fontId="67"/>
  </si>
  <si>
    <t>Cabin heater 3 Coolant temperature too high</t>
    <phoneticPr fontId="67"/>
  </si>
  <si>
    <t>Cabin heater overheat detected</t>
  </si>
  <si>
    <t>Cabin heater 1 Overheat event detected</t>
    <phoneticPr fontId="67"/>
  </si>
  <si>
    <t>Cabin heater 2 Overheat event detected</t>
    <phoneticPr fontId="67"/>
  </si>
  <si>
    <t>Cabin heater 3 Overheat event detected</t>
    <phoneticPr fontId="67"/>
  </si>
  <si>
    <t>Cabin heater hardware protection</t>
  </si>
  <si>
    <t>Cabin heater 1 Protection activated due to HW failure</t>
    <phoneticPr fontId="67"/>
  </si>
  <si>
    <t>Cabin heater 2 Protection activated due to HW failure</t>
    <phoneticPr fontId="67"/>
  </si>
  <si>
    <t>Cabin heater 3 Protection activated due to HW failure</t>
    <phoneticPr fontId="67"/>
  </si>
  <si>
    <t>Cabin heater inlet temperature sensor error</t>
  </si>
  <si>
    <t>Cabin heater 1 Coolant inlet temperature sensor defect</t>
    <phoneticPr fontId="67"/>
  </si>
  <si>
    <t>Cabin heater 2 Coolant inlet temperature sensor defect</t>
    <phoneticPr fontId="67"/>
  </si>
  <si>
    <t>Cabin heater 3 Coolant inlet temperature sensor defect</t>
    <phoneticPr fontId="67"/>
  </si>
  <si>
    <t>Cabin heater outlet temperature sensor error</t>
  </si>
  <si>
    <t>Cabin heater 1 Coolant Outlet temperature sensor defect</t>
    <phoneticPr fontId="67"/>
  </si>
  <si>
    <t>Cabin heater 2 Coolant Outlet temperature sensor defect</t>
    <phoneticPr fontId="67"/>
  </si>
  <si>
    <t>Cabin heater 3 Coolant Outlet temperature sensor defect</t>
    <phoneticPr fontId="67"/>
  </si>
  <si>
    <t>Cabin heater overheat sensor error</t>
  </si>
  <si>
    <t>Cabin heater 1 Overheating Sensor defect</t>
    <phoneticPr fontId="67"/>
  </si>
  <si>
    <t>Cabin heater 2 Overheating Sensor defect</t>
    <phoneticPr fontId="67"/>
  </si>
  <si>
    <t>Cabin heater 3 Overheating Sensor defect</t>
    <phoneticPr fontId="67"/>
  </si>
  <si>
    <t>Cabin heater driver error</t>
  </si>
  <si>
    <t>Cabin heater 1 Short or open circuit of IGBTs or gate drivers</t>
    <phoneticPr fontId="67"/>
  </si>
  <si>
    <t>Cabin heater 2 Short or open circuit of IGBTs or gate drivers</t>
    <phoneticPr fontId="67"/>
  </si>
  <si>
    <t>Cabin heater 3 Short or open circuit of IGBTs or gate drivers</t>
    <phoneticPr fontId="67"/>
  </si>
  <si>
    <t>Cabin heater high current error</t>
  </si>
  <si>
    <t>Cabin heater 1 Current consumption too high</t>
    <phoneticPr fontId="67"/>
  </si>
  <si>
    <t>Cabin heater 2 Current consumption too high</t>
    <phoneticPr fontId="67"/>
  </si>
  <si>
    <t>Cabin heater 3 Current consumption too high</t>
    <phoneticPr fontId="67"/>
  </si>
  <si>
    <t>Cabin heater memory error</t>
  </si>
  <si>
    <t>Cabin heater 1 Memory Error at LV or HV micro processor</t>
    <phoneticPr fontId="67"/>
  </si>
  <si>
    <t>Cabin heater 2 Memory Error at LV or HV micro processor</t>
    <phoneticPr fontId="67"/>
  </si>
  <si>
    <t>Cabin heater 3 Memory Error at LV or HV micro processor</t>
    <phoneticPr fontId="67"/>
  </si>
  <si>
    <t>Cabin heater dcdc voltage error</t>
  </si>
  <si>
    <t>Cabin heater 1 DC/DC Voltage out of range on HV side</t>
    <phoneticPr fontId="67"/>
  </si>
  <si>
    <t>Cabin heater 2 DC/DC Voltage out of range on HV side</t>
    <phoneticPr fontId="67"/>
  </si>
  <si>
    <t>Cabin heater 3 DC/DC Voltage out of range on HV side</t>
    <phoneticPr fontId="67"/>
  </si>
  <si>
    <t>On board charger output enable</t>
    <phoneticPr fontId="67"/>
  </si>
  <si>
    <t>OBC_Output_Ena</t>
    <phoneticPr fontId="67"/>
  </si>
  <si>
    <t>On board charger S2 switch state</t>
    <phoneticPr fontId="67"/>
  </si>
  <si>
    <t>On board charger current request</t>
    <phoneticPr fontId="67"/>
  </si>
  <si>
    <t>OBC_Current_Req</t>
  </si>
  <si>
    <t>Quick charge or external power supply voltage</t>
    <phoneticPr fontId="67"/>
  </si>
  <si>
    <t>Quick charge or external power supply current</t>
    <phoneticPr fontId="67"/>
  </si>
  <si>
    <t>QCV2L_Actual_Curr</t>
  </si>
  <si>
    <t>Quick charge or external power supply available current</t>
    <phoneticPr fontId="67"/>
  </si>
  <si>
    <t>QCV2L_Available_Curr</t>
  </si>
  <si>
    <t>Quick charge command current</t>
    <phoneticPr fontId="67"/>
  </si>
  <si>
    <t>CHAdeMO charge sequence management number</t>
    <phoneticPr fontId="67"/>
  </si>
  <si>
    <t>CHAdeMO_CHG_Sequence_No(CAN ID:0x109)
If the reference signal is 0xFF, set 0xFE.
If VEHICLE STATE is not CHAdeMO:QCHG, Set 0xFF Charger not connected</t>
    <phoneticPr fontId="67"/>
  </si>
  <si>
    <t>External power supply sequence management number</t>
    <phoneticPr fontId="67"/>
  </si>
  <si>
    <t>V2L_DISCHG_Sequence_No(CAN ID:0x209)
If the reference signal is 0xFF, set 0xFE.
If VEHICLE STATE is not V2L, Set 0xFF EVPS not connected</t>
    <phoneticPr fontId="67"/>
  </si>
  <si>
    <t>KASO control state</t>
    <phoneticPr fontId="67"/>
  </si>
  <si>
    <t>KASO power limit</t>
    <phoneticPr fontId="67"/>
  </si>
  <si>
    <t>KASO identification signal</t>
    <phoneticPr fontId="67"/>
  </si>
  <si>
    <t>KASO relay state</t>
    <phoneticPr fontId="67"/>
  </si>
  <si>
    <t>KASO_COMN_RLY_STATE</t>
  </si>
  <si>
    <t>KASO power consumption</t>
    <phoneticPr fontId="67"/>
  </si>
  <si>
    <t>Security</t>
    <phoneticPr fontId="13"/>
  </si>
  <si>
    <r>
      <t>If DCDC24 Application == "n.a", set 0x0: Not installed.
If DCDC24 Application == "</t>
    </r>
    <r>
      <rPr>
        <sz val="10"/>
        <rFont val="Meiryo UI"/>
        <family val="3"/>
        <charset val="128"/>
      </rPr>
      <t>〇</t>
    </r>
    <r>
      <rPr>
        <sz val="10"/>
        <rFont val="Tahoma"/>
        <family val="2"/>
      </rPr>
      <t xml:space="preserve">", set 0x1: Installed.
</t>
    </r>
    <phoneticPr fontId="67"/>
  </si>
  <si>
    <r>
      <t>If DCDC24 Application == "n.a", set 0x3: Not equipped
If DCDC24 Application == "</t>
    </r>
    <r>
      <rPr>
        <sz val="10"/>
        <rFont val="Meiryo UI"/>
        <family val="3"/>
        <charset val="128"/>
      </rPr>
      <t>〇</t>
    </r>
    <r>
      <rPr>
        <sz val="10"/>
        <rFont val="Tahoma"/>
        <family val="2"/>
      </rPr>
      <t xml:space="preserve">", set the same value as DCDC24_Output_Permission
</t>
    </r>
    <phoneticPr fontId="67"/>
  </si>
  <si>
    <r>
      <t>If DCDC24 Application == "n.a", set 0xFF: Not equipped
If DCDC24 Application == "</t>
    </r>
    <r>
      <rPr>
        <sz val="10"/>
        <rFont val="Meiryo UI"/>
        <family val="3"/>
        <charset val="128"/>
      </rPr>
      <t>〇</t>
    </r>
    <r>
      <rPr>
        <sz val="10"/>
        <rFont val="Tahoma"/>
        <family val="2"/>
      </rPr>
      <t xml:space="preserve">", set the same value as DCDC24_Req_Vol (If DCDC24_Req_Vol == 51V, set 0xFE: 50.8V)
</t>
    </r>
    <phoneticPr fontId="67"/>
  </si>
  <si>
    <r>
      <t>If DCDC24 Application == "n.a", set 0x3: Not equipped
If DCDC24 Application == "</t>
    </r>
    <r>
      <rPr>
        <sz val="10"/>
        <rFont val="Meiryo UI"/>
        <family val="3"/>
        <charset val="128"/>
      </rPr>
      <t>〇</t>
    </r>
    <r>
      <rPr>
        <sz val="10"/>
        <rFont val="Tahoma"/>
        <family val="2"/>
      </rPr>
      <t>", set the same value as DCDC24_Output_Vol (If DCDC24_Output_Vol == 51V, set 0xFE: 50.8V)</t>
    </r>
    <phoneticPr fontId="67"/>
  </si>
  <si>
    <r>
      <t>If DCDC24 Application == "n.a", set 0x3: Not equipped
If DCDC24 Application == "</t>
    </r>
    <r>
      <rPr>
        <sz val="10"/>
        <rFont val="Meiryo UI"/>
        <family val="3"/>
        <charset val="128"/>
      </rPr>
      <t>〇</t>
    </r>
    <r>
      <rPr>
        <sz val="10"/>
        <rFont val="Tahoma"/>
        <family val="2"/>
      </rPr>
      <t>", set the same value as DCDC24_Output_Cur (If DCDC24_Output_Cur == 255A, set 0xFE: 254A)</t>
    </r>
    <phoneticPr fontId="67"/>
  </si>
  <si>
    <r>
      <t>If DCDC24 Application == "n.a", set 0x3: Not equipped
If DCDC24 Application == "</t>
    </r>
    <r>
      <rPr>
        <sz val="10"/>
        <rFont val="Meiryo UI"/>
        <family val="3"/>
        <charset val="128"/>
      </rPr>
      <t>〇</t>
    </r>
    <r>
      <rPr>
        <sz val="10"/>
        <rFont val="Tahoma"/>
        <family val="2"/>
      </rPr>
      <t>", set the same value as DCDC24_Rx_Err</t>
    </r>
    <phoneticPr fontId="67"/>
  </si>
  <si>
    <r>
      <t>If DCDC24 Application == "n.a", set 0x3: Not equipped
If DCDC24 Application == "</t>
    </r>
    <r>
      <rPr>
        <sz val="10"/>
        <rFont val="Meiryo UI"/>
        <family val="3"/>
        <charset val="128"/>
      </rPr>
      <t>〇</t>
    </r>
    <r>
      <rPr>
        <sz val="10"/>
        <rFont val="Tahoma"/>
        <family val="2"/>
      </rPr>
      <t>", set the same value as DCDC24_Output_Stat</t>
    </r>
    <phoneticPr fontId="67"/>
  </si>
  <si>
    <r>
      <t>If DCDC24 Application == "n.a", set 0x3: Not equipped
If DCDC24 Application == "</t>
    </r>
    <r>
      <rPr>
        <sz val="10"/>
        <rFont val="Meiryo UI"/>
        <family val="3"/>
        <charset val="128"/>
      </rPr>
      <t>〇</t>
    </r>
    <r>
      <rPr>
        <sz val="10"/>
        <rFont val="Tahoma"/>
        <family val="2"/>
      </rPr>
      <t>", set the same value as DCDC24_Cur_Limit</t>
    </r>
    <phoneticPr fontId="67"/>
  </si>
  <si>
    <r>
      <t>If DCDC24 Application == "n.a", set 0x3: Not equipped
If DCDC24 Application == "</t>
    </r>
    <r>
      <rPr>
        <sz val="10"/>
        <rFont val="Meiryo UI"/>
        <family val="3"/>
        <charset val="128"/>
      </rPr>
      <t>〇</t>
    </r>
    <r>
      <rPr>
        <sz val="10"/>
        <rFont val="Tahoma"/>
        <family val="2"/>
      </rPr>
      <t>", set the same value as DCDC24_OverTemp_Limit</t>
    </r>
    <phoneticPr fontId="67"/>
  </si>
  <si>
    <r>
      <t>If DCDC24 Application == "n.a", set 0x3: Not equipped
If DCDC24 Application == "</t>
    </r>
    <r>
      <rPr>
        <sz val="10"/>
        <rFont val="Meiryo UI"/>
        <family val="3"/>
        <charset val="128"/>
      </rPr>
      <t>〇</t>
    </r>
    <r>
      <rPr>
        <sz val="10"/>
        <rFont val="Tahoma"/>
        <family val="2"/>
      </rPr>
      <t>", set the same value as DCDC24_Internal_Fail</t>
    </r>
    <phoneticPr fontId="67"/>
  </si>
  <si>
    <r>
      <t>If DCDC24 Application == "n.a", set 0x3: Not equipped
If DCDC24 Application == "</t>
    </r>
    <r>
      <rPr>
        <sz val="10"/>
        <rFont val="Meiryo UI"/>
        <family val="3"/>
        <charset val="128"/>
      </rPr>
      <t>〇</t>
    </r>
    <r>
      <rPr>
        <sz val="10"/>
        <rFont val="Tahoma"/>
        <family val="2"/>
      </rPr>
      <t>", set the same value as DCDC24_Output_LoVol_Protect</t>
    </r>
    <phoneticPr fontId="67"/>
  </si>
  <si>
    <r>
      <t>If DCDC24 Application == "n.a", set 0x3: Not equipped
If DCDC24 Application == "</t>
    </r>
    <r>
      <rPr>
        <sz val="10"/>
        <rFont val="Meiryo UI"/>
        <family val="3"/>
        <charset val="128"/>
      </rPr>
      <t>〇</t>
    </r>
    <r>
      <rPr>
        <sz val="10"/>
        <rFont val="Tahoma"/>
        <family val="2"/>
      </rPr>
      <t>", set the same value as DCDC24_Input_LoVol_Protect</t>
    </r>
    <phoneticPr fontId="67"/>
  </si>
  <si>
    <r>
      <t>If DCDC24 Application == "n.a", set 0x3: Not equipped
If DCDC24 Application == "</t>
    </r>
    <r>
      <rPr>
        <sz val="10"/>
        <rFont val="Meiryo UI"/>
        <family val="3"/>
        <charset val="128"/>
      </rPr>
      <t>〇</t>
    </r>
    <r>
      <rPr>
        <sz val="10"/>
        <rFont val="Tahoma"/>
        <family val="2"/>
      </rPr>
      <t>", set the same value as DCDC24_Input_OverVol_Protect</t>
    </r>
    <phoneticPr fontId="67"/>
  </si>
  <si>
    <r>
      <t>If DCDC24 Application == "n.a", set 0x3: Not equipped
If DCDC24 Application == "</t>
    </r>
    <r>
      <rPr>
        <sz val="10"/>
        <rFont val="Meiryo UI"/>
        <family val="3"/>
        <charset val="128"/>
      </rPr>
      <t>〇</t>
    </r>
    <r>
      <rPr>
        <sz val="10"/>
        <rFont val="Tahoma"/>
        <family val="2"/>
      </rPr>
      <t>", set the same value as DCDC24_Output_OverVol_Protect</t>
    </r>
    <phoneticPr fontId="67"/>
  </si>
  <si>
    <r>
      <t>If DCDC24 Application == "n.a", set 0x3: Not equipped
If DCDC24 Application == "</t>
    </r>
    <r>
      <rPr>
        <sz val="10"/>
        <rFont val="Meiryo UI"/>
        <family val="3"/>
        <charset val="128"/>
      </rPr>
      <t>〇</t>
    </r>
    <r>
      <rPr>
        <sz val="10"/>
        <rFont val="Tahoma"/>
        <family val="2"/>
      </rPr>
      <t>", set the same value as DCDC24_OverTemp_Protect</t>
    </r>
    <phoneticPr fontId="67"/>
  </si>
  <si>
    <r>
      <t>If DCDC24 Application == "n.a", set 0x3: Not equipped
If DCDC24 Application == "</t>
    </r>
    <r>
      <rPr>
        <sz val="10"/>
        <rFont val="Meiryo UI"/>
        <family val="3"/>
        <charset val="128"/>
      </rPr>
      <t>〇</t>
    </r>
    <r>
      <rPr>
        <sz val="10"/>
        <rFont val="Tahoma"/>
        <family val="2"/>
      </rPr>
      <t>", set the same value as DCDC24_Internal_Protect</t>
    </r>
    <phoneticPr fontId="67"/>
  </si>
  <si>
    <r>
      <t>If DCDC24 Application == "n.a", set 0x3: Not equipped
If DCDC24 Application == "</t>
    </r>
    <r>
      <rPr>
        <sz val="10"/>
        <rFont val="Meiryo UI"/>
        <family val="3"/>
        <charset val="128"/>
      </rPr>
      <t>〇</t>
    </r>
    <r>
      <rPr>
        <sz val="10"/>
        <rFont val="Tahoma"/>
        <family val="2"/>
      </rPr>
      <t>", set the same value as DCDC24_Output_OverCur_Protect</t>
    </r>
    <phoneticPr fontId="67"/>
  </si>
  <si>
    <t>00</t>
    <phoneticPr fontId="67"/>
  </si>
  <si>
    <t>FF</t>
    <phoneticPr fontId="67"/>
  </si>
  <si>
    <t>V</t>
    <phoneticPr fontId="67"/>
  </si>
  <si>
    <t>FA</t>
    <phoneticPr fontId="67"/>
  </si>
  <si>
    <t>0xFF: Not equipped</t>
    <phoneticPr fontId="67"/>
  </si>
  <si>
    <t>Hz</t>
    <phoneticPr fontId="67"/>
  </si>
  <si>
    <t>C8</t>
    <phoneticPr fontId="67"/>
  </si>
  <si>
    <t>%</t>
    <phoneticPr fontId="67"/>
  </si>
  <si>
    <t>kHz</t>
    <phoneticPr fontId="67"/>
  </si>
  <si>
    <t>Calculated by reference</t>
    <phoneticPr fontId="67"/>
  </si>
  <si>
    <t>kPa</t>
    <phoneticPr fontId="67"/>
  </si>
  <si>
    <t>78</t>
    <phoneticPr fontId="67"/>
  </si>
  <si>
    <t>A0</t>
    <phoneticPr fontId="67"/>
  </si>
  <si>
    <t>0xFF: Not equipped
Calculated by reference</t>
    <phoneticPr fontId="67"/>
  </si>
  <si>
    <t>0</t>
    <phoneticPr fontId="67"/>
  </si>
  <si>
    <t>0x0: Coolant none
0x1: Coolant detected
Calculated by reference</t>
    <phoneticPr fontId="67"/>
  </si>
  <si>
    <t>0x0: Coolant none
0x1: Coolant detected
0x3: Not equipped
Calculated by reference</t>
    <phoneticPr fontId="67"/>
  </si>
  <si>
    <t>8C</t>
    <phoneticPr fontId="67"/>
  </si>
  <si>
    <t>Calculated by reference</t>
  </si>
  <si>
    <t>0x0: ERR_SG
0x1: UNLOCKED
0x2: DRIVING
0x3: LOCKED
0x4: ERR_OL
0x5: NO_DEVICE</t>
    <phoneticPr fontId="67"/>
  </si>
  <si>
    <t>0x0: 63A
0x1: 32A
0x2: 20A
0x3: Non-standard
0x4: No detect (CCS Type1 or CHAdeMO)
Calculated by reference</t>
    <phoneticPr fontId="67"/>
  </si>
  <si>
    <t>0x0: OFF
0x1: ON</t>
    <phoneticPr fontId="67"/>
  </si>
  <si>
    <t>0x0: OFF
0x1: ON
0x3: Not equipped</t>
    <phoneticPr fontId="67"/>
  </si>
  <si>
    <t>0x0: Error
0x1: Normal</t>
    <phoneticPr fontId="67"/>
  </si>
  <si>
    <t>0x0: Error
0x1: Normal
0x3: Not equipped</t>
    <phoneticPr fontId="67"/>
  </si>
  <si>
    <t>rpm</t>
    <phoneticPr fontId="67"/>
  </si>
  <si>
    <t>0x0: No crash detect
0x1: Crash detect
Calculated by reference</t>
    <phoneticPr fontId="67"/>
  </si>
  <si>
    <t>A</t>
    <phoneticPr fontId="67"/>
  </si>
  <si>
    <t>0xFF: Not detect(via digital communication)
Calculated based on the standard “IEC 61851-1”</t>
    <phoneticPr fontId="67"/>
  </si>
  <si>
    <t>0x0: OFF
0x1: Hi side ON
0x2: Lo side ON</t>
    <phoneticPr fontId="67"/>
  </si>
  <si>
    <t>0000</t>
    <phoneticPr fontId="67"/>
  </si>
  <si>
    <t>0FFA</t>
    <phoneticPr fontId="67"/>
  </si>
  <si>
    <t xml:space="preserve">
0x00: (SLEEP)
0x10: WAKEUP
0x20: HVCONNECTION
0x30: QCHG NORM OUT (IG-ON)
0x31: QCHG NORM OUT (IG-OFF)
0x32: QCHG BATT PWR HEAT (IG-ON)
0x33: QCHG BATT PWR HEAT (IG-OFF)
0x34: QCHG FLOAT BATT HEAT (IG-ON)
0x35: QCHG FLOAT BATT HEAT (IG-OFF)
0x36: QCHG FLOAT KASO (IG-ON)
0x37: QCHG FLOAT KASO (IG-OFF)
0x40: NCHG NORM OUT (IG-ON)
0x41: NCHG NORM OUT (IG-OFF)
0x42: NCHG BATT PWR HEAT (IG-ON)
0x43: NCHG BATT PWR HEAT (IG-OFF)
0x44: NCHG FLOAT BATT HEAT (IG-ON)
0x45: NCHG FLOAT BATT HEAT (IG-OFF)
0x46: NCHG FLOAT KASO (IG-ON)
0x47: NCHG FLOAT KASO (IG-OFF)
0x50: V2L(IG-ON)
0x51: V2L(IG-OFF)
0x60: DRIVE(NORMAL)
0x61: DRIVE(LIMP)
0x70: STANDBY(IG-ON)
0x80: STANDBY(IG-OFF)
0x90: SHUTDOWN
</t>
    <phoneticPr fontId="67"/>
  </si>
  <si>
    <t>0x0: Not installed
0x1: Installed</t>
    <phoneticPr fontId="67"/>
  </si>
  <si>
    <t>FAFF</t>
    <phoneticPr fontId="67"/>
  </si>
  <si>
    <t>km/h</t>
    <phoneticPr fontId="67"/>
  </si>
  <si>
    <t>0xFEFF: Error</t>
    <phoneticPr fontId="67"/>
  </si>
  <si>
    <t>0x0: OFF
0x1: Maybe_ON
0x2: ON</t>
    <phoneticPr fontId="67"/>
  </si>
  <si>
    <t>0x0: OFF
0x1: ON
0x2: APS Fail</t>
    <phoneticPr fontId="67"/>
  </si>
  <si>
    <t>0x0: Parking
0x1: Reverse
0x2: Neutral
0x3: Drive
0x4: Unknown</t>
    <phoneticPr fontId="67"/>
  </si>
  <si>
    <t>0x0: Parking
0x1: Reverse
0x2: Neutral
0x3: Drive</t>
    <phoneticPr fontId="67"/>
  </si>
  <si>
    <t>0x0: No request
0x1: Request</t>
    <phoneticPr fontId="67"/>
  </si>
  <si>
    <t>0x0: Self-Heating
0x1: Heating
0x2: Cooling(EAC)
0x3: Cooling(RAD+EAC)</t>
    <phoneticPr fontId="67"/>
  </si>
  <si>
    <t>0x0: (Sleep)
0x1: Initial
0x2: Unlocked
0x3: Locking
0x4: Unlocking
0x5: Locked
0x6: Error_Unlocking
0x7: Error_Stop</t>
    <phoneticPr fontId="67"/>
  </si>
  <si>
    <t>kW</t>
    <phoneticPr fontId="67"/>
  </si>
  <si>
    <t>0x0: No request
0x1: Stop request</t>
    <phoneticPr fontId="67"/>
  </si>
  <si>
    <t>0x0: (SLEEP)
0x1: Bus-Sleep Mode
0x2: Repeat Message State (Network Mode)
0x3: Normal Operation State  (Network Mode)
0x4: Ready Sleep State  (Network Mode)
0x5: Prepare Bus-Sleep Mode</t>
    <phoneticPr fontId="67"/>
  </si>
  <si>
    <t>0x0: System not ready 
0x1: System ready</t>
    <phoneticPr fontId="67"/>
  </si>
  <si>
    <t>0x0: Stop 
0x1: Run
0x2: Active Discharge</t>
    <phoneticPr fontId="67"/>
  </si>
  <si>
    <t>Nm</t>
    <phoneticPr fontId="67"/>
  </si>
  <si>
    <t>0xFFFF: SNA</t>
    <phoneticPr fontId="67"/>
  </si>
  <si>
    <t>0x0: Driver Inside
0x1: Driver Outside</t>
    <phoneticPr fontId="67"/>
  </si>
  <si>
    <t>0x0: Disconnect Req
0x1: Connect Req
0x2: Emergency Cut Req</t>
    <phoneticPr fontId="67"/>
  </si>
  <si>
    <t>0x0: Disconnect Req
0x1: Connect Req</t>
    <phoneticPr fontId="67"/>
  </si>
  <si>
    <t>0x0: Standby 
0x1: Buck
0x2: Boost
0x3: unused
0x4: Precharge 
0x5: TestPls</t>
    <phoneticPr fontId="67"/>
  </si>
  <si>
    <t>0x1FE: Init
0x1FF: Error</t>
    <phoneticPr fontId="67"/>
  </si>
  <si>
    <t>0x7FE: Init
0x7FF: Error</t>
    <phoneticPr fontId="67"/>
  </si>
  <si>
    <t>0xFFE: Init
0xFFF: Error</t>
    <phoneticPr fontId="67"/>
  </si>
  <si>
    <t>0x0: Output Disable
0x1: Output Enable
0x3: Not equipped</t>
    <phoneticPr fontId="67"/>
  </si>
  <si>
    <t>V</t>
  </si>
  <si>
    <t>A</t>
  </si>
  <si>
    <t>0x0: Normal
0x1: Error
0x3: Not equipped</t>
    <phoneticPr fontId="67"/>
  </si>
  <si>
    <t>0x0: Stop
0x1: Operating
0x3: Not equipped</t>
    <phoneticPr fontId="67"/>
  </si>
  <si>
    <t>0x0: Normal
0x1: Limited
0x3: Not equipped</t>
    <phoneticPr fontId="67"/>
  </si>
  <si>
    <t>0x0: Normal
0x1: Failure
0x3: Not equipped</t>
    <phoneticPr fontId="67"/>
  </si>
  <si>
    <t>0x0: Normal
0x1: Protected
0x3: Not equipped</t>
    <phoneticPr fontId="67"/>
  </si>
  <si>
    <t>0x0: No_Req
0x1: Low_Cooling
0x2: High_Cooling
0x3: Max_Cooling</t>
    <phoneticPr fontId="67"/>
  </si>
  <si>
    <t>W</t>
  </si>
  <si>
    <t>0xFF: SNA</t>
    <phoneticPr fontId="67"/>
  </si>
  <si>
    <t>0x0: Output OFF
0x1: Output ON</t>
    <phoneticPr fontId="67"/>
  </si>
  <si>
    <t>0x0: OFF
0x1: Temporary Lock
0x2: Overheat Lock
0x3: Permanent Lock
0x4: Operation
0x5: Production mode
0x6: Post_Production_Mode
0x7: (Reserved)</t>
    <phoneticPr fontId="67"/>
  </si>
  <si>
    <t>0x0: Inactive
0x1: Active</t>
    <phoneticPr fontId="67"/>
  </si>
  <si>
    <t>0x3FF: SNA</t>
    <phoneticPr fontId="67"/>
  </si>
  <si>
    <t>0x0: False
0x1: True</t>
    <phoneticPr fontId="67"/>
  </si>
  <si>
    <t>0x0: No issue
0x1: Warning
0x2: Not used
0x3: SNA</t>
    <phoneticPr fontId="67"/>
  </si>
  <si>
    <t>0x0: No issue
0x1: Overheat active
0x2: Not used
0x3: SNA</t>
    <phoneticPr fontId="67"/>
  </si>
  <si>
    <t>0x0: No issue
0x1: Protection active
0x2: Not used
0x3: SNA</t>
    <phoneticPr fontId="67"/>
  </si>
  <si>
    <t>0x0: No issue
0x1: Defect
0x2: Not used
0x3: SNA</t>
    <phoneticPr fontId="67"/>
  </si>
  <si>
    <t>0xFF:SNA</t>
    <phoneticPr fontId="67"/>
  </si>
  <si>
    <t>0x0: Standby
0x1: Charge</t>
    <phoneticPr fontId="67"/>
  </si>
  <si>
    <t>0x0: Not detect
0x1: Open
0x2: Close</t>
    <phoneticPr fontId="67"/>
  </si>
  <si>
    <t>0xFFF: Initial or SNA</t>
    <phoneticPr fontId="67"/>
  </si>
  <si>
    <t>3FF</t>
    <phoneticPr fontId="67"/>
  </si>
  <si>
    <t xml:space="preserve">
0x01: Standby &amp; Judge KASO Type
0x02: KASO Maintenance Mode
0x03: Waiting Driver's Action
0x14: Waiting KASO Request
0x15: EPTO Relay Connection
0x16: Power Supply
0x17: Power Supply Suspended
0x18: Power Supply (Extension)
0x19: Power Supply (Charging)
0x1A: KASO Stop Waiting
0x1B: EPTO Relay Disconnect
0x28: Vehicle Serious Error Action
0x29: KASO Error Action
0x2A: Vehicle Error Action
0x2B: Error Waiting
0xFF: KASO Finish
</t>
    <phoneticPr fontId="67"/>
  </si>
  <si>
    <t>0x00: Init/SNA
0x01: KASO maintenance mode
0x02: KASO maintenance mode cancel
0x0A: Refrigator_A
0x0B: Refrigator_B
0x14: K-Morter</t>
    <phoneticPr fontId="67"/>
  </si>
  <si>
    <t>hex</t>
    <phoneticPr fontId="67"/>
  </si>
  <si>
    <t>phys</t>
    <phoneticPr fontId="67"/>
  </si>
  <si>
    <t>offset</t>
    <phoneticPr fontId="67"/>
  </si>
  <si>
    <t>factor</t>
    <phoneticPr fontId="67"/>
  </si>
  <si>
    <t>min</t>
    <phoneticPr fontId="67"/>
  </si>
  <si>
    <t>max</t>
    <phoneticPr fontId="67"/>
  </si>
  <si>
    <t>unit</t>
    <phoneticPr fontId="67"/>
  </si>
  <si>
    <t>remarks</t>
    <phoneticPr fontId="67"/>
  </si>
  <si>
    <t>Reference</t>
    <phoneticPr fontId="67"/>
  </si>
  <si>
    <t>Support</t>
    <phoneticPr fontId="67"/>
  </si>
  <si>
    <t>DID</t>
    <phoneticPr fontId="67"/>
  </si>
  <si>
    <t>Data name</t>
    <phoneticPr fontId="67"/>
  </si>
  <si>
    <t>byte</t>
    <phoneticPr fontId="67"/>
  </si>
  <si>
    <t>bit</t>
    <phoneticPr fontId="67"/>
  </si>
  <si>
    <t>Contents</t>
    <phoneticPr fontId="67"/>
  </si>
  <si>
    <t>From</t>
    <phoneticPr fontId="67"/>
  </si>
  <si>
    <t>Signal/Port</t>
    <phoneticPr fontId="67"/>
  </si>
  <si>
    <t>LD</t>
    <phoneticPr fontId="67"/>
  </si>
  <si>
    <t>BUS</t>
    <phoneticPr fontId="67"/>
  </si>
  <si>
    <t>0x3800</t>
    <phoneticPr fontId="67"/>
  </si>
  <si>
    <t>VCU_Hardware_Specification</t>
    <phoneticPr fontId="67"/>
  </si>
  <si>
    <t>0x3810</t>
    <phoneticPr fontId="67"/>
  </si>
  <si>
    <t>Accel position sensor-1 supply voltage</t>
    <phoneticPr fontId="67"/>
  </si>
  <si>
    <t>0x3811</t>
    <phoneticPr fontId="67"/>
  </si>
  <si>
    <t>Accel position sensor-2 supply voltage</t>
    <phoneticPr fontId="67"/>
  </si>
  <si>
    <t>0x3812</t>
    <phoneticPr fontId="67"/>
  </si>
  <si>
    <t>Vacuum pressure sensor supply voltage</t>
    <phoneticPr fontId="67"/>
  </si>
  <si>
    <t>0x3820</t>
    <phoneticPr fontId="67"/>
  </si>
  <si>
    <t>Accel position sensor-1 voltage</t>
    <phoneticPr fontId="67"/>
  </si>
  <si>
    <t>0x3821</t>
  </si>
  <si>
    <t>Accel position sensor-2 voltage</t>
    <phoneticPr fontId="67"/>
  </si>
  <si>
    <t>0x3822</t>
    <phoneticPr fontId="67"/>
  </si>
  <si>
    <t>Vacuum pressure sensor voltage</t>
    <phoneticPr fontId="67"/>
  </si>
  <si>
    <t>0x3823</t>
    <phoneticPr fontId="67"/>
  </si>
  <si>
    <t>Outside air temperature sensor voltage</t>
    <phoneticPr fontId="67"/>
  </si>
  <si>
    <t>0x3824</t>
    <phoneticPr fontId="67"/>
  </si>
  <si>
    <t>Water temperature sensor of system cooling-1 voltage</t>
    <phoneticPr fontId="67"/>
  </si>
  <si>
    <t>0x3825</t>
    <phoneticPr fontId="67"/>
  </si>
  <si>
    <t>Water temperature sensor of system cooling-2 voltage</t>
    <phoneticPr fontId="67"/>
  </si>
  <si>
    <t>0x3826</t>
    <phoneticPr fontId="67"/>
  </si>
  <si>
    <t>Water temperature sensor of battery cooling No1-1 voltage</t>
    <phoneticPr fontId="67"/>
  </si>
  <si>
    <t>0x3827</t>
    <phoneticPr fontId="67"/>
  </si>
  <si>
    <t>Water temperature sensor of battery cooling No1-2 voltage</t>
    <phoneticPr fontId="67"/>
  </si>
  <si>
    <t>0x3828</t>
    <phoneticPr fontId="67"/>
  </si>
  <si>
    <t>Water temperature sensor of battery cooling No1-3 voltage</t>
    <phoneticPr fontId="67"/>
  </si>
  <si>
    <t>0x3829</t>
    <phoneticPr fontId="67"/>
  </si>
  <si>
    <t>Water temperature sensor of battery cooling No2-1 voltage</t>
    <phoneticPr fontId="67"/>
  </si>
  <si>
    <t>No2</t>
  </si>
  <si>
    <t>0x382A</t>
    <phoneticPr fontId="67"/>
  </si>
  <si>
    <t>Water temperature sensor of battery cooling No2-2 voltage</t>
    <phoneticPr fontId="67"/>
  </si>
  <si>
    <t>0x382B</t>
    <phoneticPr fontId="67"/>
  </si>
  <si>
    <t>Water temperature sensor of battery cooling No2-3 voltage</t>
    <phoneticPr fontId="67"/>
  </si>
  <si>
    <t>0x382C</t>
    <phoneticPr fontId="67"/>
  </si>
  <si>
    <t>0x382D</t>
    <phoneticPr fontId="67"/>
  </si>
  <si>
    <t>0x382E</t>
    <phoneticPr fontId="67"/>
  </si>
  <si>
    <t>0x382F</t>
    <phoneticPr fontId="67"/>
  </si>
  <si>
    <t>Water level sensor of battery cooling No2 voltage</t>
    <phoneticPr fontId="67"/>
  </si>
  <si>
    <t>0x3830</t>
    <phoneticPr fontId="67"/>
  </si>
  <si>
    <t>Temperature sensor of charge inlet-1 voltage</t>
    <phoneticPr fontId="67"/>
  </si>
  <si>
    <t>0x3831</t>
    <phoneticPr fontId="67"/>
  </si>
  <si>
    <t>Temperature sensor of charge inlet-2 voltage</t>
    <phoneticPr fontId="67"/>
  </si>
  <si>
    <t>0x3832</t>
    <phoneticPr fontId="67"/>
  </si>
  <si>
    <t>Temperature sensor of charge inlet-3 voltage</t>
    <phoneticPr fontId="67"/>
  </si>
  <si>
    <t>US/EU</t>
  </si>
  <si>
    <t>0x3833</t>
    <phoneticPr fontId="67"/>
  </si>
  <si>
    <t>Charging plug lock detection voltage</t>
    <phoneticPr fontId="67"/>
  </si>
  <si>
    <t>0x3834</t>
    <phoneticPr fontId="67"/>
  </si>
  <si>
    <t>Charging proximity pilot signal voltage</t>
    <phoneticPr fontId="67"/>
  </si>
  <si>
    <t>0x3880</t>
    <phoneticPr fontId="67"/>
  </si>
  <si>
    <t>Feedback speed pulse from cabin heater water pump frequency</t>
    <phoneticPr fontId="67"/>
  </si>
  <si>
    <t>0x3881</t>
    <phoneticPr fontId="67"/>
  </si>
  <si>
    <t>0x3882</t>
    <phoneticPr fontId="67"/>
  </si>
  <si>
    <t>Feedback speed pulse from system water pump-1 frequency</t>
    <phoneticPr fontId="67"/>
  </si>
  <si>
    <t>0x3883</t>
  </si>
  <si>
    <t>0x3884</t>
    <phoneticPr fontId="67"/>
  </si>
  <si>
    <t>Feedback speed pulse from system water pump-2 frequency</t>
    <phoneticPr fontId="67"/>
  </si>
  <si>
    <t>0x3885</t>
  </si>
  <si>
    <t>Feedback speed pulse from system water pump-2 duty</t>
    <phoneticPr fontId="67"/>
  </si>
  <si>
    <t>0x3886</t>
    <phoneticPr fontId="67"/>
  </si>
  <si>
    <t>Feedback speed pulse from Battery cooling No1 water pump-1 frequency</t>
    <phoneticPr fontId="67"/>
  </si>
  <si>
    <t>0x3887</t>
  </si>
  <si>
    <t>0x3888</t>
    <phoneticPr fontId="67"/>
  </si>
  <si>
    <t>Feedback speed pulse from Battery cooling No1 water pump-2 frequency</t>
    <phoneticPr fontId="67"/>
  </si>
  <si>
    <t>0x3889</t>
  </si>
  <si>
    <t>0x388A</t>
    <phoneticPr fontId="67"/>
  </si>
  <si>
    <t>Feedback speed pulse from Battery cooling No2 water pump-1 frequency</t>
    <phoneticPr fontId="67"/>
  </si>
  <si>
    <t>0x388B</t>
    <phoneticPr fontId="67"/>
  </si>
  <si>
    <t>Feedback speed pulse from Battery cooling No2 water pump-1 duty</t>
    <phoneticPr fontId="67"/>
  </si>
  <si>
    <t>0x388C</t>
    <phoneticPr fontId="67"/>
  </si>
  <si>
    <t>Feedback speed pulse from Battery cooling No2 water pump-2 frequency</t>
    <phoneticPr fontId="67"/>
  </si>
  <si>
    <t>0x388D</t>
    <phoneticPr fontId="67"/>
  </si>
  <si>
    <t>Feedback speed pulse from Battery cooling No2 water pump-2 duty</t>
    <phoneticPr fontId="67"/>
  </si>
  <si>
    <t>0x388E</t>
    <phoneticPr fontId="67"/>
  </si>
  <si>
    <t>Airbag deployed pulse frequency</t>
    <phoneticPr fontId="67"/>
  </si>
  <si>
    <t>0x388F</t>
    <phoneticPr fontId="67"/>
  </si>
  <si>
    <t>Airbag deployed pulse duty</t>
    <phoneticPr fontId="67"/>
  </si>
  <si>
    <t>0x3890</t>
    <phoneticPr fontId="67"/>
  </si>
  <si>
    <t>Charging control pilot pulse frequency</t>
    <phoneticPr fontId="67"/>
  </si>
  <si>
    <t>0x3891</t>
    <phoneticPr fontId="67"/>
  </si>
  <si>
    <t>Charging control pilot pulse duty</t>
    <phoneticPr fontId="67"/>
  </si>
  <si>
    <t>0x3892</t>
    <phoneticPr fontId="67"/>
  </si>
  <si>
    <t>Charging control pilot pulse amplitude</t>
    <phoneticPr fontId="67"/>
  </si>
  <si>
    <t>0x3900</t>
    <phoneticPr fontId="67"/>
  </si>
  <si>
    <t>0x3901</t>
    <phoneticPr fontId="67"/>
  </si>
  <si>
    <t>0x3902</t>
    <phoneticPr fontId="67"/>
  </si>
  <si>
    <t>Vacuum pressure</t>
    <phoneticPr fontId="67"/>
  </si>
  <si>
    <t>0x3903</t>
    <phoneticPr fontId="67"/>
  </si>
  <si>
    <t>0x3904</t>
    <phoneticPr fontId="67"/>
  </si>
  <si>
    <t>Water temperature of system 1</t>
    <phoneticPr fontId="67"/>
  </si>
  <si>
    <t>0x3905</t>
    <phoneticPr fontId="67"/>
  </si>
  <si>
    <t>Water temperature of system 2</t>
    <phoneticPr fontId="67"/>
  </si>
  <si>
    <t>0x3906</t>
    <phoneticPr fontId="67"/>
  </si>
  <si>
    <t>Water temperature of battery No1-1</t>
    <phoneticPr fontId="67"/>
  </si>
  <si>
    <t>0x3907</t>
    <phoneticPr fontId="67"/>
  </si>
  <si>
    <t>Water temperature of battery No1-2</t>
    <phoneticPr fontId="67"/>
  </si>
  <si>
    <t>0x3908</t>
    <phoneticPr fontId="67"/>
  </si>
  <si>
    <t>Water temperature of battery No1-3</t>
    <phoneticPr fontId="67"/>
  </si>
  <si>
    <t>0x3909</t>
    <phoneticPr fontId="67"/>
  </si>
  <si>
    <t>Water temperature of battery No2-1</t>
    <phoneticPr fontId="67"/>
  </si>
  <si>
    <t>0x390A</t>
    <phoneticPr fontId="67"/>
  </si>
  <si>
    <t>Water temperature of battery No2-2</t>
    <phoneticPr fontId="67"/>
  </si>
  <si>
    <t>0x390B</t>
    <phoneticPr fontId="67"/>
  </si>
  <si>
    <t>Water temperature of battery No2-3</t>
    <phoneticPr fontId="67"/>
  </si>
  <si>
    <t>0x390C</t>
    <phoneticPr fontId="67"/>
  </si>
  <si>
    <t>0x390D</t>
    <phoneticPr fontId="67"/>
  </si>
  <si>
    <t>Temperature of charge inlet 1</t>
  </si>
  <si>
    <t>0x390E</t>
    <phoneticPr fontId="67"/>
  </si>
  <si>
    <t>Temperature of charge inlet 2</t>
  </si>
  <si>
    <t>0x390F</t>
    <phoneticPr fontId="67"/>
  </si>
  <si>
    <t>Temperature of charge inlet 3</t>
  </si>
  <si>
    <t>0x3910</t>
    <phoneticPr fontId="67"/>
  </si>
  <si>
    <t>Charging_Plug_Lock_Control</t>
    <phoneticPr fontId="67"/>
  </si>
  <si>
    <t>0x3912</t>
    <phoneticPr fontId="67"/>
  </si>
  <si>
    <t>Charging proximity pilot signal detection plug state</t>
    <phoneticPr fontId="67"/>
  </si>
  <si>
    <t>State_Transition_Diagram</t>
    <phoneticPr fontId="67"/>
  </si>
  <si>
    <t>0x3913</t>
    <phoneticPr fontId="67"/>
  </si>
  <si>
    <t>0x3980</t>
    <phoneticPr fontId="67"/>
  </si>
  <si>
    <t>0x3981</t>
    <phoneticPr fontId="67"/>
  </si>
  <si>
    <t>JPN</t>
  </si>
  <si>
    <t>0x3982</t>
    <phoneticPr fontId="67"/>
  </si>
  <si>
    <t>Quick charge plug connect detection state</t>
  </si>
  <si>
    <t>0x3983</t>
    <phoneticPr fontId="67"/>
  </si>
  <si>
    <t>Cabin heater operation switch state</t>
  </si>
  <si>
    <t>0x3984</t>
    <phoneticPr fontId="67"/>
  </si>
  <si>
    <t>KASO operation switch state</t>
    <phoneticPr fontId="67"/>
  </si>
  <si>
    <t>0x3985</t>
    <phoneticPr fontId="67"/>
  </si>
  <si>
    <t>Brake pedal detection switch state</t>
    <phoneticPr fontId="67"/>
  </si>
  <si>
    <t>0x3986</t>
    <phoneticPr fontId="67"/>
  </si>
  <si>
    <t>Parking brake detection switch state</t>
    <phoneticPr fontId="67"/>
  </si>
  <si>
    <t>0x3987</t>
    <phoneticPr fontId="67"/>
  </si>
  <si>
    <t>0x3988</t>
    <phoneticPr fontId="67"/>
  </si>
  <si>
    <t>0x3989</t>
    <phoneticPr fontId="67"/>
  </si>
  <si>
    <t>Charge cancel switch</t>
  </si>
  <si>
    <t>0x39C0</t>
    <phoneticPr fontId="67"/>
  </si>
  <si>
    <t>0x39C1</t>
    <phoneticPr fontId="67"/>
  </si>
  <si>
    <t>0x39C2</t>
    <phoneticPr fontId="67"/>
  </si>
  <si>
    <t>0x39C3</t>
    <phoneticPr fontId="67"/>
  </si>
  <si>
    <t>0x39C4</t>
    <phoneticPr fontId="67"/>
  </si>
  <si>
    <t>0x39C5</t>
    <phoneticPr fontId="67"/>
  </si>
  <si>
    <t>0x39C6</t>
    <phoneticPr fontId="67"/>
  </si>
  <si>
    <t>0x39C7</t>
    <phoneticPr fontId="67"/>
  </si>
  <si>
    <t>0x39C8</t>
    <phoneticPr fontId="67"/>
  </si>
  <si>
    <t>Charging control pilot pulse detection charging state</t>
    <phoneticPr fontId="67"/>
  </si>
  <si>
    <t>0x39C9</t>
    <phoneticPr fontId="67"/>
  </si>
  <si>
    <t>Charging control pilot pulse detection maximum current capability</t>
    <phoneticPr fontId="67"/>
  </si>
  <si>
    <t>0xED10</t>
    <phoneticPr fontId="67"/>
  </si>
  <si>
    <t>0xED11</t>
  </si>
  <si>
    <t>0xED12</t>
  </si>
  <si>
    <t>0xED13</t>
  </si>
  <si>
    <t>0xED14</t>
  </si>
  <si>
    <t>0xED15</t>
  </si>
  <si>
    <t>0xED16</t>
    <phoneticPr fontId="67"/>
  </si>
  <si>
    <t>0xED17</t>
    <phoneticPr fontId="67"/>
  </si>
  <si>
    <t>0xED18</t>
    <phoneticPr fontId="67"/>
  </si>
  <si>
    <t>Cabin heater water pump relay</t>
  </si>
  <si>
    <t>0xED19</t>
    <phoneticPr fontId="67"/>
  </si>
  <si>
    <t>0xED1A</t>
    <phoneticPr fontId="67"/>
  </si>
  <si>
    <t>0xED1B</t>
    <phoneticPr fontId="67"/>
  </si>
  <si>
    <t>0xED1C</t>
    <phoneticPr fontId="67"/>
  </si>
  <si>
    <t>0xED1D</t>
    <phoneticPr fontId="67"/>
  </si>
  <si>
    <t>0xED1E</t>
    <phoneticPr fontId="67"/>
  </si>
  <si>
    <t>0xED80</t>
    <phoneticPr fontId="67"/>
  </si>
  <si>
    <t>0xED81</t>
    <phoneticPr fontId="67"/>
  </si>
  <si>
    <t>0xED82</t>
    <phoneticPr fontId="67"/>
  </si>
  <si>
    <t>Vehicle speed pulse to the speed sensor conversion unit frequency</t>
    <phoneticPr fontId="67"/>
  </si>
  <si>
    <t>0xED83</t>
    <phoneticPr fontId="67"/>
  </si>
  <si>
    <t>Vehicle speed pulse to the speed sensor conversion unit duty</t>
    <phoneticPr fontId="67"/>
  </si>
  <si>
    <t>0xED84</t>
    <phoneticPr fontId="67"/>
  </si>
  <si>
    <t>0xED85</t>
    <phoneticPr fontId="67"/>
  </si>
  <si>
    <t>0xED86</t>
    <phoneticPr fontId="67"/>
  </si>
  <si>
    <t>0xED87</t>
    <phoneticPr fontId="67"/>
  </si>
  <si>
    <t>0xED88</t>
    <phoneticPr fontId="67"/>
  </si>
  <si>
    <t>Speed command (PWM) to system cooling water pump-2 frequency</t>
    <phoneticPr fontId="67"/>
  </si>
  <si>
    <t>0xED89</t>
    <phoneticPr fontId="67"/>
  </si>
  <si>
    <t>Speed command (PWM) to system cooling water pump-2 duty</t>
    <phoneticPr fontId="67"/>
  </si>
  <si>
    <t>0xED8A</t>
    <phoneticPr fontId="67"/>
  </si>
  <si>
    <t>0xED8B</t>
    <phoneticPr fontId="67"/>
  </si>
  <si>
    <t>0xED8C</t>
    <phoneticPr fontId="67"/>
  </si>
  <si>
    <t>0xED8D</t>
    <phoneticPr fontId="67"/>
  </si>
  <si>
    <t>0xED8E</t>
    <phoneticPr fontId="67"/>
  </si>
  <si>
    <t>Speed command (PWM) to battery cooling No2 water pump-1 frequency</t>
    <phoneticPr fontId="67"/>
  </si>
  <si>
    <t>0xED8F</t>
    <phoneticPr fontId="67"/>
  </si>
  <si>
    <t>Speed command (PWM) to battery cooling No2 water pump-1 duty</t>
    <phoneticPr fontId="67"/>
  </si>
  <si>
    <t>0xED90</t>
    <phoneticPr fontId="67"/>
  </si>
  <si>
    <t>Speed command (PWM) to battery cooling No2 water pump-2 frequency</t>
    <phoneticPr fontId="67"/>
  </si>
  <si>
    <t>0xED91</t>
    <phoneticPr fontId="67"/>
  </si>
  <si>
    <t>Speed command (PWM) to battery cooling No2 water pump-2 duty</t>
    <phoneticPr fontId="67"/>
  </si>
  <si>
    <t>0xED92</t>
    <phoneticPr fontId="67"/>
  </si>
  <si>
    <t>0xED93</t>
    <phoneticPr fontId="67"/>
  </si>
  <si>
    <t>0xED94</t>
    <phoneticPr fontId="67"/>
  </si>
  <si>
    <t>Speed command (PWM) to system cooling fan-2 frequency</t>
    <phoneticPr fontId="67"/>
  </si>
  <si>
    <t>0xED95</t>
    <phoneticPr fontId="67"/>
  </si>
  <si>
    <t>Speed command (PWM) to system cooling fan-2 duty</t>
    <phoneticPr fontId="67"/>
  </si>
  <si>
    <t>0xED96</t>
    <phoneticPr fontId="67"/>
  </si>
  <si>
    <t>Speed command (PWM) to battery cooling No1 radiator fan frequency</t>
    <phoneticPr fontId="67"/>
  </si>
  <si>
    <t>0xED97</t>
    <phoneticPr fontId="67"/>
  </si>
  <si>
    <t>Speed command (PWM) to battery cooling No1 radiator fan duty</t>
    <phoneticPr fontId="67"/>
  </si>
  <si>
    <t>0xED98</t>
    <phoneticPr fontId="67"/>
  </si>
  <si>
    <t>Speed command (PWM) to battery cooling No2 radiator fan frequency</t>
    <phoneticPr fontId="67"/>
  </si>
  <si>
    <t>0xED99</t>
    <phoneticPr fontId="67"/>
  </si>
  <si>
    <t>Speed command (PWM) to battery cooling No2 radiator fan duty</t>
    <phoneticPr fontId="67"/>
  </si>
  <si>
    <t>0x3A00</t>
    <phoneticPr fontId="67"/>
  </si>
  <si>
    <t>Vehicle state</t>
    <phoneticPr fontId="67"/>
  </si>
  <si>
    <t>VL26_VEH-CAN_SPEC</t>
    <phoneticPr fontId="67"/>
  </si>
  <si>
    <t>0x3A01</t>
    <phoneticPr fontId="67"/>
  </si>
  <si>
    <t>DCDC24 installation status</t>
  </si>
  <si>
    <t>Vehicle_Variant</t>
    <phoneticPr fontId="67"/>
  </si>
  <si>
    <t>0x3A02</t>
    <phoneticPr fontId="67"/>
  </si>
  <si>
    <t>Vehicle speed</t>
    <phoneticPr fontId="67"/>
  </si>
  <si>
    <t>0x3A03</t>
    <phoneticPr fontId="67"/>
  </si>
  <si>
    <t>0x3A04</t>
    <phoneticPr fontId="67"/>
  </si>
  <si>
    <t>0x3A05</t>
    <phoneticPr fontId="67"/>
  </si>
  <si>
    <t>GearPosition_Determination</t>
    <phoneticPr fontId="67"/>
  </si>
  <si>
    <t>0x3A06</t>
    <phoneticPr fontId="67"/>
  </si>
  <si>
    <t>Gear position</t>
  </si>
  <si>
    <t>0x3A07</t>
    <phoneticPr fontId="67"/>
  </si>
  <si>
    <t>0x3A08</t>
    <phoneticPr fontId="67"/>
  </si>
  <si>
    <t>Thermal_Management</t>
    <phoneticPr fontId="67"/>
  </si>
  <si>
    <t>0x3A09</t>
    <phoneticPr fontId="67"/>
  </si>
  <si>
    <t>0x3A0A</t>
    <phoneticPr fontId="67"/>
  </si>
  <si>
    <t>0x3A0B</t>
    <phoneticPr fontId="67"/>
  </si>
  <si>
    <t>DCDC12 stop request by load management</t>
    <phoneticPr fontId="67"/>
  </si>
  <si>
    <t>Load_Management</t>
    <phoneticPr fontId="67"/>
  </si>
  <si>
    <t>0x3A0C</t>
    <phoneticPr fontId="67"/>
  </si>
  <si>
    <t>DCDC24 stop request by load management</t>
  </si>
  <si>
    <t>0x3A0D</t>
    <phoneticPr fontId="67"/>
  </si>
  <si>
    <t>0x3A0E</t>
    <phoneticPr fontId="67"/>
  </si>
  <si>
    <t>DCDC12_Network_Management</t>
    <phoneticPr fontId="67"/>
  </si>
  <si>
    <t>0x3A0F</t>
    <phoneticPr fontId="67"/>
  </si>
  <si>
    <t>Network management state for CGW</t>
    <phoneticPr fontId="67"/>
  </si>
  <si>
    <t>ISUZU_CAN_NM_Specification_EVDS-754</t>
    <phoneticPr fontId="67"/>
  </si>
  <si>
    <t>0x3A80</t>
    <phoneticPr fontId="67"/>
  </si>
  <si>
    <t>VL26_EV-CAN_SPEC</t>
    <phoneticPr fontId="67"/>
  </si>
  <si>
    <t>0x3A81</t>
    <phoneticPr fontId="67"/>
  </si>
  <si>
    <t>0x3A82</t>
    <phoneticPr fontId="67"/>
  </si>
  <si>
    <t>0x3A83</t>
    <phoneticPr fontId="67"/>
  </si>
  <si>
    <t>0x3A84</t>
    <phoneticPr fontId="67"/>
  </si>
  <si>
    <t>0x3AA0</t>
    <phoneticPr fontId="67"/>
  </si>
  <si>
    <t>0x3AA1</t>
    <phoneticPr fontId="67"/>
  </si>
  <si>
    <t>HV relay request</t>
  </si>
  <si>
    <t>0x3AA2</t>
    <phoneticPr fontId="67"/>
  </si>
  <si>
    <t>Quick charging relay request</t>
  </si>
  <si>
    <t>0x3AA3</t>
    <phoneticPr fontId="67"/>
  </si>
  <si>
    <t>0x3AC0</t>
    <phoneticPr fontId="67"/>
  </si>
  <si>
    <t>0x3AC1</t>
    <phoneticPr fontId="67"/>
  </si>
  <si>
    <t>0x3AC2</t>
    <phoneticPr fontId="67"/>
  </si>
  <si>
    <t>0x3AC3</t>
    <phoneticPr fontId="67"/>
  </si>
  <si>
    <t>Precharge target voltage</t>
    <phoneticPr fontId="67"/>
  </si>
  <si>
    <t>0x3AE0</t>
    <phoneticPr fontId="67"/>
  </si>
  <si>
    <t>VL26_EV-CAN_SPEC
Vehicle_Variant</t>
    <phoneticPr fontId="67"/>
  </si>
  <si>
    <t>VB28_EV-CAN_SPEC</t>
    <phoneticPr fontId="67"/>
  </si>
  <si>
    <t>0x3AE1</t>
    <phoneticPr fontId="67"/>
  </si>
  <si>
    <t>0x3AE2</t>
    <phoneticPr fontId="67"/>
  </si>
  <si>
    <t>0x3AE3</t>
    <phoneticPr fontId="67"/>
  </si>
  <si>
    <t>0x3AE4</t>
    <phoneticPr fontId="67"/>
  </si>
  <si>
    <t>0x3AE5</t>
    <phoneticPr fontId="67"/>
  </si>
  <si>
    <t>0x3AE6</t>
    <phoneticPr fontId="67"/>
  </si>
  <si>
    <t>0x3AE7</t>
    <phoneticPr fontId="67"/>
  </si>
  <si>
    <t>0x3AE8</t>
    <phoneticPr fontId="67"/>
  </si>
  <si>
    <t>0x3AE9</t>
    <phoneticPr fontId="67"/>
  </si>
  <si>
    <t>0x3AEA</t>
    <phoneticPr fontId="67"/>
  </si>
  <si>
    <t>0x3AEB</t>
    <phoneticPr fontId="67"/>
  </si>
  <si>
    <t>0x3AEC</t>
    <phoneticPr fontId="67"/>
  </si>
  <si>
    <t>0x3AED</t>
    <phoneticPr fontId="67"/>
  </si>
  <si>
    <t>0x3AEE</t>
    <phoneticPr fontId="67"/>
  </si>
  <si>
    <t>0x3AEF</t>
    <phoneticPr fontId="67"/>
  </si>
  <si>
    <t>0x3AF0</t>
    <phoneticPr fontId="67"/>
  </si>
  <si>
    <t>0x3B00</t>
    <phoneticPr fontId="67"/>
  </si>
  <si>
    <t>0x3B01</t>
    <phoneticPr fontId="67"/>
  </si>
  <si>
    <t>0x3B20</t>
    <phoneticPr fontId="67"/>
  </si>
  <si>
    <t>VL26_LIN_SPEC</t>
    <phoneticPr fontId="67"/>
  </si>
  <si>
    <t>VB28_LIN_SPEC</t>
    <phoneticPr fontId="67"/>
  </si>
  <si>
    <t>0x3B21</t>
    <phoneticPr fontId="67"/>
  </si>
  <si>
    <t>0x3B22</t>
    <phoneticPr fontId="67"/>
  </si>
  <si>
    <t>0x3B23</t>
    <phoneticPr fontId="67"/>
  </si>
  <si>
    <t>0x3B24</t>
    <phoneticPr fontId="67"/>
  </si>
  <si>
    <t>0x3B25</t>
    <phoneticPr fontId="67"/>
  </si>
  <si>
    <t>0x3B26</t>
    <phoneticPr fontId="67"/>
  </si>
  <si>
    <t>0x3B27</t>
    <phoneticPr fontId="67"/>
  </si>
  <si>
    <t>0x3B28</t>
    <phoneticPr fontId="67"/>
  </si>
  <si>
    <t>0x3B29</t>
    <phoneticPr fontId="67"/>
  </si>
  <si>
    <t>0x3B2A</t>
    <phoneticPr fontId="67"/>
  </si>
  <si>
    <t>0x3B2B</t>
    <phoneticPr fontId="67"/>
  </si>
  <si>
    <t>0x3B2C</t>
    <phoneticPr fontId="67"/>
  </si>
  <si>
    <t>0x3B2D</t>
    <phoneticPr fontId="67"/>
  </si>
  <si>
    <t>0x3B2E</t>
    <phoneticPr fontId="67"/>
  </si>
  <si>
    <t>0x3B2F</t>
    <phoneticPr fontId="67"/>
  </si>
  <si>
    <t>0x3B30</t>
    <phoneticPr fontId="67"/>
  </si>
  <si>
    <t>0x3B31</t>
    <phoneticPr fontId="67"/>
  </si>
  <si>
    <t>0x3B32</t>
    <phoneticPr fontId="67"/>
  </si>
  <si>
    <t>0x3B33</t>
    <phoneticPr fontId="67"/>
  </si>
  <si>
    <t>0x3B34</t>
    <phoneticPr fontId="67"/>
  </si>
  <si>
    <t>0x3B35</t>
    <phoneticPr fontId="67"/>
  </si>
  <si>
    <t>0x3B36</t>
    <phoneticPr fontId="67"/>
  </si>
  <si>
    <t>0x3B40</t>
  </si>
  <si>
    <t>0x3B50</t>
    <phoneticPr fontId="67"/>
  </si>
  <si>
    <t>0x3B51</t>
    <phoneticPr fontId="67"/>
  </si>
  <si>
    <t>0x3B52</t>
    <phoneticPr fontId="67"/>
  </si>
  <si>
    <t>0x3B53</t>
    <phoneticPr fontId="67"/>
  </si>
  <si>
    <t>0x3B54</t>
    <phoneticPr fontId="67"/>
  </si>
  <si>
    <t>0x3B55</t>
    <phoneticPr fontId="67"/>
  </si>
  <si>
    <t>0x3B56</t>
    <phoneticPr fontId="67"/>
  </si>
  <si>
    <t>0x3B60</t>
    <phoneticPr fontId="67"/>
  </si>
  <si>
    <t>0x3B61</t>
    <phoneticPr fontId="67"/>
  </si>
  <si>
    <t>0x3B62</t>
    <phoneticPr fontId="67"/>
  </si>
  <si>
    <t>0x3B80</t>
    <phoneticPr fontId="67"/>
  </si>
  <si>
    <t>0x3B81</t>
    <phoneticPr fontId="67"/>
  </si>
  <si>
    <t>0x3B82</t>
    <phoneticPr fontId="67"/>
  </si>
  <si>
    <t>0x3B83</t>
    <phoneticPr fontId="67"/>
  </si>
  <si>
    <t>Quick charge command current</t>
  </si>
  <si>
    <t>0x3B84</t>
    <phoneticPr fontId="67"/>
  </si>
  <si>
    <t>VL26_QCHG-CAN_SPEC</t>
  </si>
  <si>
    <t>JPN</t>
    <phoneticPr fontId="67"/>
  </si>
  <si>
    <t>0x3B85</t>
    <phoneticPr fontId="67"/>
  </si>
  <si>
    <t>0x3BA0</t>
    <phoneticPr fontId="67"/>
  </si>
  <si>
    <t>VL26_KASO-CAN_SPEC</t>
  </si>
  <si>
    <t>0x3BA1</t>
    <phoneticPr fontId="67"/>
  </si>
  <si>
    <t>0x3BA2</t>
    <phoneticPr fontId="67"/>
  </si>
  <si>
    <t>0x3BA3</t>
    <phoneticPr fontId="67"/>
  </si>
  <si>
    <t>KASO relay state</t>
  </si>
  <si>
    <t>0x3BA4</t>
    <phoneticPr fontId="67"/>
  </si>
  <si>
    <t>KASO power consumption</t>
  </si>
  <si>
    <t>0x1023</t>
    <phoneticPr fontId="67"/>
  </si>
  <si>
    <r>
      <t>0x00: Before version 0.9
0x01: Version 0.9
0x02: Version 1.0 to 1.2
0x03</t>
    </r>
    <r>
      <rPr>
        <sz val="10"/>
        <rFont val="ＭＳ Ｐゴシック"/>
        <family val="3"/>
        <charset val="128"/>
      </rPr>
      <t>～</t>
    </r>
    <r>
      <rPr>
        <sz val="10"/>
        <rFont val="Tahoma"/>
        <family val="2"/>
      </rPr>
      <t>0xFE: After version 1.2 (0x**) 
0xFF: Charger not connected</t>
    </r>
    <phoneticPr fontId="67"/>
  </si>
  <si>
    <r>
      <t>0x00: Before version 2.0
0x01: Version 2.0 (Annex A)
0x02: Version 2.0 (Annex B)
0x03</t>
    </r>
    <r>
      <rPr>
        <sz val="10"/>
        <rFont val="ＭＳ Ｐゴシック"/>
        <family val="3"/>
        <charset val="128"/>
      </rPr>
      <t>～</t>
    </r>
    <r>
      <rPr>
        <sz val="10"/>
        <rFont val="Tahoma"/>
        <family val="2"/>
      </rPr>
      <t>0xFE: After version 2.0 (0x**) 
0xFF: EVPS not connected</t>
    </r>
    <phoneticPr fontId="67"/>
  </si>
  <si>
    <r>
      <t>0x0</t>
    </r>
    <r>
      <rPr>
        <sz val="10"/>
        <rFont val="ＭＳ Ｐゴシック"/>
        <family val="3"/>
        <charset val="128"/>
      </rPr>
      <t>：</t>
    </r>
    <r>
      <rPr>
        <sz val="10"/>
        <rFont val="Tahoma"/>
        <family val="2"/>
      </rPr>
      <t>Init/SNA
0x1</t>
    </r>
    <r>
      <rPr>
        <sz val="10"/>
        <rFont val="ＭＳ Ｐゴシック"/>
        <family val="3"/>
        <charset val="128"/>
      </rPr>
      <t>：</t>
    </r>
    <r>
      <rPr>
        <sz val="10"/>
        <rFont val="Tahoma"/>
        <family val="2"/>
      </rPr>
      <t>Off(DisConnect)
0x2</t>
    </r>
    <r>
      <rPr>
        <sz val="10"/>
        <rFont val="ＭＳ Ｐゴシック"/>
        <family val="3"/>
        <charset val="128"/>
      </rPr>
      <t>：</t>
    </r>
    <r>
      <rPr>
        <sz val="10"/>
        <rFont val="Tahoma"/>
        <family val="2"/>
      </rPr>
      <t>On(Connect)
0x3</t>
    </r>
    <r>
      <rPr>
        <sz val="10"/>
        <rFont val="ＭＳ Ｐゴシック"/>
        <family val="3"/>
        <charset val="128"/>
      </rPr>
      <t>：</t>
    </r>
    <r>
      <rPr>
        <sz val="10"/>
        <rFont val="Tahoma"/>
        <family val="2"/>
      </rPr>
      <t>Error(Weld/Malfunction)</t>
    </r>
    <phoneticPr fontId="67"/>
  </si>
  <si>
    <t>Format</t>
    <phoneticPr fontId="67"/>
  </si>
  <si>
    <t>def</t>
    <phoneticPr fontId="13"/>
  </si>
  <si>
    <t>ext</t>
    <phoneticPr fontId="13"/>
  </si>
  <si>
    <t>0xEB00</t>
    <phoneticPr fontId="67"/>
  </si>
  <si>
    <t>0x3800~0x380F: Supply</t>
    <phoneticPr fontId="13"/>
  </si>
  <si>
    <t>0x3810~0x381F: Sensor Supply</t>
    <phoneticPr fontId="13"/>
  </si>
  <si>
    <t>0x3820~0x387F: AI</t>
    <phoneticPr fontId="13"/>
  </si>
  <si>
    <t>0x3880~0x38FF: DI</t>
    <phoneticPr fontId="13"/>
  </si>
  <si>
    <t>0x3900~0x397F: Internal (Phy AI)</t>
    <phoneticPr fontId="13"/>
  </si>
  <si>
    <t>0x3980~0x39BF: Internal (Phy DI)</t>
    <phoneticPr fontId="13"/>
  </si>
  <si>
    <t>0x39C0~0x39FF: Internal (Phy DI pulse)</t>
    <phoneticPr fontId="13"/>
  </si>
  <si>
    <t>0x3BC0~0x3BFF: (reserved)</t>
    <phoneticPr fontId="13"/>
  </si>
  <si>
    <t>0x3A00~0x3A7F: Internal (General)</t>
    <phoneticPr fontId="13"/>
  </si>
  <si>
    <t>0x3A80~0x3A9F: Internal (INV)</t>
    <phoneticPr fontId="13"/>
  </si>
  <si>
    <t>0x3AA0~0x3ABF: Internal (BMS)</t>
    <phoneticPr fontId="13"/>
  </si>
  <si>
    <t>0x3AC0~0x3ADF: Internal (DCDC12)</t>
    <phoneticPr fontId="13"/>
  </si>
  <si>
    <t>0x3AE0~0x3AFF: Internal (DCDC24)</t>
    <phoneticPr fontId="13"/>
  </si>
  <si>
    <t>0x3B00~0x3B1F: Internal (EAC)</t>
    <phoneticPr fontId="13"/>
  </si>
  <si>
    <t>0x3B20~0x3B3F: Internal (HTR1)</t>
    <phoneticPr fontId="13"/>
  </si>
  <si>
    <t>0x3B40~0x3B5F: Internal (HTR2)</t>
    <phoneticPr fontId="13"/>
  </si>
  <si>
    <t>0x3B60~0x3B7F: Internal (OBC)</t>
    <phoneticPr fontId="13"/>
  </si>
  <si>
    <t>0x3B80~0x3B9F: Internal (QCHG/V2L)</t>
    <phoneticPr fontId="13"/>
  </si>
  <si>
    <t>0x3BA0~0x3BBF: Internal (KASO)</t>
    <phoneticPr fontId="13"/>
  </si>
  <si>
    <t>0xEB00~0xEB0F: Meter customize</t>
    <phoneticPr fontId="13"/>
  </si>
  <si>
    <t>0xEB10~0xEBFF: EOL</t>
    <phoneticPr fontId="13"/>
  </si>
  <si>
    <t>0xEC00~0xECFF: (reserved)</t>
    <phoneticPr fontId="13"/>
  </si>
  <si>
    <t>IOCBI</t>
    <phoneticPr fontId="13"/>
  </si>
  <si>
    <t>WDBI</t>
    <phoneticPr fontId="13"/>
  </si>
  <si>
    <t>RDBI</t>
  </si>
  <si>
    <t>RDBI</t>
    <phoneticPr fontId="13"/>
  </si>
  <si>
    <t>0xED00~0xED0F: AO</t>
    <phoneticPr fontId="13"/>
  </si>
  <si>
    <t>0xED10~0xED7F: DO(ON/OFF)</t>
    <phoneticPr fontId="13"/>
  </si>
  <si>
    <t>0xED80~0xEDFF: DO(Pulse)</t>
    <phoneticPr fontId="13"/>
  </si>
  <si>
    <t>0xEE00~0xEEFF: (reserved)</t>
    <phoneticPr fontId="13"/>
  </si>
  <si>
    <t>0xEB01</t>
    <phoneticPr fontId="67"/>
  </si>
  <si>
    <t>0xEB10</t>
    <phoneticPr fontId="67"/>
  </si>
  <si>
    <t>0xEB11</t>
    <phoneticPr fontId="67"/>
  </si>
  <si>
    <t>0xEB14</t>
    <phoneticPr fontId="67"/>
  </si>
  <si>
    <t>0xEB15</t>
    <phoneticPr fontId="67"/>
  </si>
  <si>
    <t>0xE07C</t>
    <phoneticPr fontId="67"/>
  </si>
  <si>
    <t>0xE07F</t>
    <phoneticPr fontId="67"/>
  </si>
  <si>
    <t>---</t>
    <phoneticPr fontId="67"/>
  </si>
  <si>
    <t>0x0:Level0
0x1:Level1
0x2:Level2 (Default)
0x3:Level3</t>
    <phoneticPr fontId="67"/>
  </si>
  <si>
    <t>270F</t>
    <phoneticPr fontId="67"/>
  </si>
  <si>
    <t>03E7</t>
    <phoneticPr fontId="67"/>
  </si>
  <si>
    <t>m</t>
    <phoneticPr fontId="67"/>
  </si>
  <si>
    <t>3C</t>
    <phoneticPr fontId="67"/>
  </si>
  <si>
    <t>0x0: Momentary
0x1: Push Lock</t>
    <phoneticPr fontId="67"/>
  </si>
  <si>
    <t>0xEB12</t>
    <phoneticPr fontId="67"/>
  </si>
  <si>
    <t>0xEB13</t>
    <phoneticPr fontId="67"/>
  </si>
  <si>
    <t>X</t>
    <phoneticPr fontId="67"/>
  </si>
  <si>
    <t>0x00: Auto
0x01: Lock</t>
    <phoneticPr fontId="67"/>
  </si>
  <si>
    <t>???</t>
    <phoneticPr fontId="13"/>
  </si>
  <si>
    <t>0x1500</t>
    <phoneticPr fontId="13"/>
  </si>
  <si>
    <t>0x1501</t>
    <phoneticPr fontId="13"/>
  </si>
  <si>
    <t>0x1502</t>
    <phoneticPr fontId="13"/>
  </si>
  <si>
    <t>HvCutRequestForReprogramming</t>
    <phoneticPr fontId="13"/>
  </si>
  <si>
    <t>HvCutRequestForService</t>
    <phoneticPr fontId="13"/>
  </si>
  <si>
    <t>HvConnectRequestForService</t>
    <phoneticPr fontId="13"/>
  </si>
  <si>
    <t>Used for erasing the program area before writing new software files by reprogramming.
Support routineControlOption.</t>
    <phoneticPr fontId="13"/>
  </si>
  <si>
    <t>Used when checking the memory by specifying the memory area.
Support routineControlOption.</t>
    <phoneticPr fontId="13"/>
  </si>
  <si>
    <t>Used to stop the high voltage system in preparation for reprogramming.
It returns positive response (0x71), when shutdown flow reached “HV cut completed”.
It returns NRC 0x22, if Not(KASO Stop) or |vehicle speed| &gt; 0.5km/h when this RID is received.
It returns NRC 0x78, from the time this RID is received until shutdown flow reaches “HV cut  completed”.
It returns NRC 0xF0, From the time this RID is received until shutdown flow reaches “HV cut  completed”, if the following conditions are met: IG-OFF or Transition request comes from TOOL to the default session with SID (0x10).
It returns NRC 0xF1, 10sec have passed since this RID is received (Timeout).
*NRC described in "RoutineControl (SID=0x31)" must also be supported.</t>
    <phoneticPr fontId="13"/>
  </si>
  <si>
    <t>Used to stop the high voltage system for service.
It returns positive response (0x71), when shutdown flow reached “HV cut completed”.
It returns NRC 0x22, if Not(KASO Stop) or |vehicle speed| &gt; 0.5km/h when this RID is received.
It returns NRC 0x78, from the time this RID is received until shutdown flow reaches “HV cut  completed”.
It returns NRC 0xF0, From the time this RID is received until shutdown flow reaches “HV cut  completed”, if the following conditions are met: IG-OFF or Transition request comes from TOOL to the default session with SID (0x10).
It returns NRC 0xF1, 10sec have passed since this RID is received (Timeout).
*NRC described in "RoutineControl (SID=0x31)" must also be supported.</t>
    <phoneticPr fontId="13"/>
  </si>
  <si>
    <t>Memo</t>
    <phoneticPr fontId="13"/>
  </si>
  <si>
    <t>X</t>
    <phoneticPr fontId="72"/>
  </si>
  <si>
    <t>---</t>
  </si>
  <si>
    <t>UNM</t>
  </si>
  <si>
    <t>-</t>
  </si>
  <si>
    <t>Secret Key</t>
    <phoneticPr fontId="13"/>
  </si>
  <si>
    <t>ECU Address</t>
    <phoneticPr fontId="13"/>
  </si>
  <si>
    <t>0xF1D2</t>
  </si>
  <si>
    <t>ASCII</t>
  </si>
  <si>
    <t>0xF1D1</t>
  </si>
  <si>
    <t>0xF1D0</t>
    <phoneticPr fontId="72"/>
  </si>
  <si>
    <t>CRSCOCESNDID</t>
  </si>
  <si>
    <t>calibrationRepairShopCodeOrCalibrationEquipmentSerialNumberDataIdentifier</t>
  </si>
  <si>
    <t>0xF19A</t>
  </si>
  <si>
    <t>BCD</t>
  </si>
  <si>
    <t>programmingDateDataIdentifier</t>
  </si>
  <si>
    <t>0xF199</t>
  </si>
  <si>
    <t>repairShopCodeOrTesterSerialNumberDataIdentifier</t>
  </si>
  <si>
    <t>0xF198</t>
    <phoneticPr fontId="72"/>
  </si>
  <si>
    <t>SNOETDID</t>
  </si>
  <si>
    <t>systemNameOrEngineTypeDataIdentifier</t>
  </si>
  <si>
    <t>0xF197</t>
  </si>
  <si>
    <t>vehicleManufacturerECUHardwareNumberDataIdentifier</t>
  </si>
  <si>
    <t>0xF191</t>
  </si>
  <si>
    <t>VINDID</t>
  </si>
  <si>
    <t>VINDataIdentifier</t>
  </si>
  <si>
    <t>0xF190</t>
  </si>
  <si>
    <t>0xF18C</t>
  </si>
  <si>
    <t>0xF18B</t>
  </si>
  <si>
    <t>0xF18A</t>
  </si>
  <si>
    <t>0xF189</t>
  </si>
  <si>
    <t>vehicleManufacturerECUSoftwareNumberDataIdentifier</t>
  </si>
  <si>
    <t>0xF188</t>
  </si>
  <si>
    <t>0xF185</t>
    <phoneticPr fontId="13"/>
  </si>
  <si>
    <t>0xF184</t>
  </si>
  <si>
    <t>applicationDataIdentificationDataIdentifier</t>
  </si>
  <si>
    <t>0xF182</t>
  </si>
  <si>
    <t>ASIDID</t>
    <phoneticPr fontId="13"/>
  </si>
  <si>
    <t>applicationSoftwareIdentificationDataIdentifier</t>
  </si>
  <si>
    <t>Prg.</t>
    <phoneticPr fontId="13"/>
  </si>
  <si>
    <t>Ext.</t>
    <phoneticPr fontId="13"/>
  </si>
  <si>
    <t>Def.</t>
    <phoneticPr fontId="13"/>
  </si>
  <si>
    <t>Initial
Value</t>
    <phoneticPr fontId="72"/>
  </si>
  <si>
    <t>Data
Length
(byte)</t>
    <phoneticPr fontId="72"/>
  </si>
  <si>
    <t>Data
Format</t>
    <phoneticPr fontId="72"/>
  </si>
  <si>
    <t>Data Location</t>
    <phoneticPr fontId="72"/>
  </si>
  <si>
    <t>Data name</t>
    <phoneticPr fontId="13"/>
  </si>
  <si>
    <t>UDS
DID</t>
  </si>
  <si>
    <t>UNM (USN) = Unsigned Numeric</t>
  </si>
  <si>
    <t>BCD = Binary Coded Decimal</t>
  </si>
  <si>
    <t>ASCII = American Standard Code for Information Interchange</t>
  </si>
  <si>
    <t>Data update timing</t>
    <phoneticPr fontId="72"/>
  </si>
  <si>
    <t>Data type</t>
    <phoneticPr fontId="13"/>
  </si>
  <si>
    <t>Support AES128bit algorithm</t>
    <phoneticPr fontId="13"/>
  </si>
  <si>
    <t>CommunicationControl
(DNC)</t>
    <phoneticPr fontId="13"/>
  </si>
  <si>
    <t>ControlDTCSetting
(DCD)</t>
    <phoneticPr fontId="13"/>
  </si>
  <si>
    <t>zeroSubFunction</t>
    <phoneticPr fontId="13"/>
  </si>
  <si>
    <r>
      <t>NRC</t>
    </r>
    <r>
      <rPr>
        <sz val="9"/>
        <rFont val="Tahoma"/>
        <family val="2"/>
      </rPr>
      <t xml:space="preserve">
(General server response behaviour from ISO)
</t>
    </r>
    <r>
      <rPr>
        <i/>
        <sz val="9"/>
        <rFont val="Tahoma"/>
        <family val="2"/>
      </rPr>
      <t>[</t>
    </r>
    <r>
      <rPr>
        <b/>
        <i/>
        <sz val="9"/>
        <rFont val="Tahoma"/>
        <family val="2"/>
      </rPr>
      <t>FC: DcmCore_DslDsd]</t>
    </r>
    <phoneticPr fontId="13"/>
  </si>
  <si>
    <r>
      <t xml:space="preserve">NRC
</t>
    </r>
    <r>
      <rPr>
        <sz val="9"/>
        <rFont val="Tahoma"/>
        <family val="2"/>
      </rPr>
      <t xml:space="preserve">(Specific SID checks from customer specification)
</t>
    </r>
    <r>
      <rPr>
        <b/>
        <i/>
        <sz val="9"/>
        <rFont val="Tahoma"/>
        <family val="2"/>
      </rPr>
      <t>[FC: DcmDspUDS_xxx]</t>
    </r>
    <phoneticPr fontId="13"/>
  </si>
  <si>
    <t xml:space="preserve">
</t>
    <phoneticPr fontId="13"/>
  </si>
  <si>
    <r>
      <rPr>
        <b/>
        <u/>
        <sz val="9"/>
        <rFont val="Tahoma"/>
        <family val="2"/>
      </rPr>
      <t>&lt;NRC$11/NRC$7F&gt;</t>
    </r>
    <r>
      <rPr>
        <sz val="9"/>
        <rFont val="Tahoma"/>
        <family val="2"/>
      </rPr>
      <t xml:space="preserve">
NRC$7F is required by customer specification, but it's not supported.
NRC$7F should be supported if either session supports this SID, but it's not like that.
</t>
    </r>
    <phoneticPr fontId="13"/>
  </si>
  <si>
    <t>Basic concept is to follow PF feature. If there is any deviation,</t>
    <phoneticPr fontId="13"/>
  </si>
  <si>
    <t>the logic modification is started after the specification adjustment with customer.</t>
    <phoneticPr fontId="13"/>
  </si>
  <si>
    <t>$F0</t>
  </si>
  <si>
    <t>$F1</t>
  </si>
  <si>
    <t>conditionsViolation</t>
  </si>
  <si>
    <t>routineExecutionTimeout</t>
  </si>
  <si>
    <t>Case1: Positive Response</t>
    <phoneticPr fontId="67"/>
  </si>
  <si>
    <t>10 sec</t>
  </si>
  <si>
    <t>Under Executed</t>
    <phoneticPr fontId="67"/>
  </si>
  <si>
    <t>HV Cut Process</t>
    <phoneticPr fontId="67"/>
  </si>
  <si>
    <t>Not Executed</t>
    <phoneticPr fontId="67"/>
  </si>
  <si>
    <t>SID$31.RID$1500</t>
    <phoneticPr fontId="67"/>
  </si>
  <si>
    <t>Positive Response</t>
    <phoneticPr fontId="67"/>
  </si>
  <si>
    <t>On</t>
    <phoneticPr fontId="67"/>
  </si>
  <si>
    <t>KASO Mode</t>
    <phoneticPr fontId="67"/>
  </si>
  <si>
    <t>Off</t>
    <phoneticPr fontId="67"/>
  </si>
  <si>
    <t>0.5 km/h</t>
    <phoneticPr fontId="67"/>
  </si>
  <si>
    <t>Vehicle Speed</t>
    <phoneticPr fontId="67"/>
  </si>
  <si>
    <t>0.0 Km/h</t>
    <phoneticPr fontId="67"/>
  </si>
  <si>
    <t>Extended Session</t>
    <phoneticPr fontId="67"/>
  </si>
  <si>
    <t>Tester Session</t>
    <phoneticPr fontId="67"/>
  </si>
  <si>
    <t>Default Session</t>
    <phoneticPr fontId="67"/>
  </si>
  <si>
    <t>TOOL Request</t>
    <phoneticPr fontId="67"/>
  </si>
  <si>
    <t>Case2: NRC$F1(Routine Execution Timeout)</t>
    <phoneticPr fontId="67"/>
  </si>
  <si>
    <t>NRC$F1</t>
    <phoneticPr fontId="67"/>
  </si>
  <si>
    <t>Case3: NRC$22(ConditionsNotCorrect)</t>
    <phoneticPr fontId="67"/>
  </si>
  <si>
    <t>NRC$22</t>
    <phoneticPr fontId="67"/>
  </si>
  <si>
    <t>SID$31.RID$1500(Retry)</t>
    <phoneticPr fontId="67"/>
  </si>
  <si>
    <t>Positive Response</t>
  </si>
  <si>
    <t>Case4: NRC$F0(Conditions Violation)</t>
    <phoneticPr fontId="67"/>
  </si>
  <si>
    <t>NRC$F0</t>
    <phoneticPr fontId="67"/>
  </si>
  <si>
    <t>NRC$22(ConditionsNotCorrect)</t>
  </si>
  <si>
    <t>---</t>
    <phoneticPr fontId="67"/>
  </si>
  <si>
    <t>Sukawa</t>
    <phoneticPr fontId="13"/>
  </si>
  <si>
    <t>applicationSoftwareFingerprintDataIdentifier</t>
  </si>
  <si>
    <t>applicationDataFingerprintDataIdentifier</t>
  </si>
  <si>
    <t>ADFPDID</t>
  </si>
  <si>
    <t>Software Version Number</t>
  </si>
  <si>
    <t>ECU Supplier Information</t>
  </si>
  <si>
    <t>ECU Production Date</t>
  </si>
  <si>
    <t>ECU Serial Number</t>
  </si>
  <si>
    <t>Programming Date</t>
  </si>
  <si>
    <t>0xF1D3</t>
    <phoneticPr fontId="13"/>
  </si>
  <si>
    <t>---</t>
    <phoneticPr fontId="72"/>
  </si>
  <si>
    <t xml:space="preserve">
</t>
    <phoneticPr fontId="67"/>
  </si>
  <si>
    <t>RIDs</t>
    <phoneticPr fontId="13"/>
  </si>
  <si>
    <t>DIDs</t>
    <phoneticPr fontId="13"/>
  </si>
  <si>
    <t>SIDs</t>
    <phoneticPr fontId="13"/>
  </si>
  <si>
    <t>See sheet"DID(IOCBI)"</t>
    <phoneticPr fontId="67"/>
  </si>
  <si>
    <t>DID(IOCBI)</t>
    <phoneticPr fontId="13"/>
  </si>
  <si>
    <t>- Creation</t>
    <phoneticPr fontId="13"/>
  </si>
  <si>
    <t>SW Interface</t>
    <phoneticPr fontId="13"/>
  </si>
  <si>
    <t>AuxPwrRly_O_S_ATS</t>
    <phoneticPr fontId="13"/>
  </si>
  <si>
    <t>AcIvtrEna_O_S_ATS</t>
    <phoneticPr fontId="13"/>
  </si>
  <si>
    <t>ChademoChrgnEna_O_S_ATS</t>
    <phoneticPr fontId="13"/>
  </si>
  <si>
    <t>HvbRlyCmd_O_S_ATS</t>
    <phoneticPr fontId="13"/>
  </si>
  <si>
    <t>BrkBstPmp_O_S_ATS</t>
    <phoneticPr fontId="13"/>
  </si>
  <si>
    <t>GbxPosnLampNeut_O_S_ATS</t>
    <phoneticPr fontId="13"/>
  </si>
  <si>
    <t>Control Module</t>
    <phoneticPr fontId="13"/>
  </si>
  <si>
    <t>rba_Mrly</t>
  </si>
  <si>
    <t>Remarks</t>
    <phoneticPr fontId="13"/>
  </si>
  <si>
    <t>Not required. Not necessary to care.</t>
    <phoneticPr fontId="13"/>
  </si>
  <si>
    <t>AuxPwrRly_DELib_ActrCoorrSimple</t>
    <phoneticPr fontId="13"/>
  </si>
  <si>
    <t>AcIvtrEna_DELib_ActrCoorrSimple</t>
    <phoneticPr fontId="13"/>
  </si>
  <si>
    <t>ChademoChrgnEna_DELib_ActrCoorrSimple</t>
    <phoneticPr fontId="13"/>
  </si>
  <si>
    <t>HvbRlyCmd_DELib_ActrCoorrSimple</t>
    <phoneticPr fontId="13"/>
  </si>
  <si>
    <t>BrkBstPmp_VD</t>
    <phoneticPr fontId="13"/>
  </si>
  <si>
    <t>GbxRvsPosn_DELib_ActrCoorrSimple</t>
    <phoneticPr fontId="13"/>
  </si>
  <si>
    <t>Fan2_O_S_ATS</t>
  </si>
  <si>
    <t>Fan3_O_S_ATS</t>
  </si>
  <si>
    <t>Fan2_DELib_ActrCoorrSimple</t>
    <phoneticPr fontId="13"/>
  </si>
  <si>
    <t>Fan3_DELib_ActrCoorrSimple</t>
    <phoneticPr fontId="13"/>
  </si>
  <si>
    <t>HtrEl1_O_S_ATS</t>
    <phoneticPr fontId="13"/>
  </si>
  <si>
    <t>HtrEl1_DELib_ActrCoorrSimple</t>
    <phoneticPr fontId="13"/>
  </si>
  <si>
    <t>ChrgStLed1_O_S_ATS</t>
  </si>
  <si>
    <t>ChrgStLed2_O_S_ATS</t>
  </si>
  <si>
    <t>ChrgStLed1_DELib_ActrCoorrSimple</t>
    <phoneticPr fontId="13"/>
  </si>
  <si>
    <t>EvWarnSoundParkSt_O_S_ATS</t>
  </si>
  <si>
    <t>EvWarnSoundParkSt_DELib_ActrCoorrSimple</t>
    <phoneticPr fontId="13"/>
  </si>
  <si>
    <t>CooltVlvHvb_O_S_ATS</t>
  </si>
  <si>
    <t>CooltVlvHvb_DELib_ActrCoorrSimple</t>
    <phoneticPr fontId="13"/>
  </si>
  <si>
    <t>To be planned the interface in SW31</t>
    <phoneticPr fontId="13"/>
  </si>
  <si>
    <t>To be planned the interface</t>
    <phoneticPr fontId="13"/>
  </si>
  <si>
    <t>VehV_O_S_ATS</t>
  </si>
  <si>
    <t>VehV_DDOut</t>
  </si>
  <si>
    <t>VehV_DDOut</t>
    <phoneticPr fontId="13"/>
  </si>
  <si>
    <t>output to be switched to fixed, pre-calibrated values 
 [Currently timeperiod is manipulated]</t>
    <phoneticPr fontId="13"/>
  </si>
  <si>
    <t>SCtPmp_DELib_StdActrCoorr</t>
  </si>
  <si>
    <t>ThmPmp_DELib_StdActrCoorr</t>
    <phoneticPr fontId="13"/>
  </si>
  <si>
    <t>CooltPmpInvr_DELib_StdActrCoorr</t>
    <phoneticPr fontId="13"/>
  </si>
  <si>
    <t>CooltPmpHvb_DELib_StdActrCoorr</t>
    <phoneticPr fontId="13"/>
  </si>
  <si>
    <t>SCtPmp_DELib_StdActrCoorr</t>
    <phoneticPr fontId="13"/>
  </si>
  <si>
    <t>Fan1_DELib_ActrCoorrSimple</t>
    <phoneticPr fontId="13"/>
  </si>
  <si>
    <t>VehV_O_S_ATS</t>
    <phoneticPr fontId="13"/>
  </si>
  <si>
    <t>Fan1_O_S_ATS</t>
    <phoneticPr fontId="13"/>
  </si>
  <si>
    <t>To be discussed with ISZ about this feature necessity</t>
    <phoneticPr fontId="13"/>
  </si>
  <si>
    <t>See sheet"DID(WDBI)"</t>
    <phoneticPr fontId="67"/>
  </si>
  <si>
    <t>X</t>
    <phoneticPr fontId="67"/>
  </si>
  <si>
    <t>DID(WDBI)</t>
    <phoneticPr fontId="13"/>
  </si>
  <si>
    <t>See sheet"DID(CPS)"</t>
    <phoneticPr fontId="67"/>
  </si>
  <si>
    <t>X</t>
    <phoneticPr fontId="13"/>
  </si>
  <si>
    <t>Reserved</t>
  </si>
  <si>
    <t>US/EU</t>
    <phoneticPr fontId="13"/>
  </si>
  <si>
    <t>I_PWR_12V_1</t>
    <phoneticPr fontId="67"/>
  </si>
  <si>
    <t>O_APS2_5V</t>
    <phoneticPr fontId="67"/>
  </si>
  <si>
    <t>APP_ADCRead</t>
  </si>
  <si>
    <t>Device Encapsulation / Documentation chapter / Delib</t>
    <phoneticPr fontId="67"/>
  </si>
  <si>
    <t>I_A_BRKBST</t>
  </si>
  <si>
    <t>BrkBstP_DD</t>
  </si>
  <si>
    <t>Information &amp; Hints 
(e.g. Sensor damage possible, etc.)</t>
    <phoneticPr fontId="67"/>
  </si>
  <si>
    <t>BrkBstP_uSensSRC*_C calirbation is set to 0. SRC min and max are mapped to SBG and SCB respectively.</t>
    <phoneticPr fontId="67"/>
  </si>
  <si>
    <t>IA_WTS_SYS1</t>
    <phoneticPr fontId="67"/>
  </si>
  <si>
    <t>CooltTOut_I_A</t>
  </si>
  <si>
    <t>CooltTOut_DELib_StdSensDd</t>
  </si>
  <si>
    <t>APP_uRaw1ADCRead</t>
  </si>
  <si>
    <t>APP_uRaw2ADCRead</t>
  </si>
  <si>
    <t>CooltTOut_I_A</t>
    <phoneticPr fontId="67"/>
  </si>
  <si>
    <t>CooltTOut_uRaw</t>
    <phoneticPr fontId="67"/>
  </si>
  <si>
    <t>IA_WTS_SYS2</t>
    <phoneticPr fontId="67"/>
  </si>
  <si>
    <t>CooltTIn_I_A</t>
  </si>
  <si>
    <t>CooltTIn_DELib_StdSensDd</t>
  </si>
  <si>
    <t>CooltTIn_uRaw</t>
  </si>
  <si>
    <t>CooltTRadrOut_I_A</t>
  </si>
  <si>
    <t>CooltTRadrOut_DELib_StdSensDd</t>
  </si>
  <si>
    <t>CooltTRadrOut_uRaw</t>
  </si>
  <si>
    <t>HvbT1_I_A</t>
  </si>
  <si>
    <t>HvbT1_DELib_StdSensDd</t>
  </si>
  <si>
    <t>HvbT1_uRaw</t>
  </si>
  <si>
    <t>HvbT2_I_A</t>
  </si>
  <si>
    <t>HvbT2_DELib_StdSensDd</t>
  </si>
  <si>
    <t>HvbT2_uRaw</t>
  </si>
  <si>
    <t>IA_WLS_HTR</t>
    <phoneticPr fontId="67"/>
  </si>
  <si>
    <t>CooltLvl3_I_A</t>
  </si>
  <si>
    <t>CooltLvl3_DELib_SimpleSwt</t>
  </si>
  <si>
    <t>CooltLvl3_stRaw</t>
  </si>
  <si>
    <t>IA_WLS_BAT1</t>
    <phoneticPr fontId="67"/>
  </si>
  <si>
    <t>CooltLvl2_I_A</t>
  </si>
  <si>
    <t>CooltLvl2_DELib_SimpleSwt</t>
  </si>
  <si>
    <t>CooltLvl2_stRaw</t>
  </si>
  <si>
    <t>IA_TS_CHG2</t>
    <phoneticPr fontId="67"/>
  </si>
  <si>
    <t>ThmPmp_I_P</t>
  </si>
  <si>
    <t>ThmPmp_DELib_StdActrSnsrDd</t>
  </si>
  <si>
    <t>ThmPmp_rRaw</t>
  </si>
  <si>
    <t>CooltPmpInvr_I_P</t>
  </si>
  <si>
    <t>CooltPmpInvr_DELib_StdActrSnsrDd</t>
  </si>
  <si>
    <t>CooltPmpInvr_fRaw</t>
    <phoneticPr fontId="67"/>
  </si>
  <si>
    <t>CooltPmpInvr_rRaw</t>
    <phoneticPr fontId="67"/>
  </si>
  <si>
    <t>CooltPmpHvb_I_P</t>
  </si>
  <si>
    <t>CooltPmpHvb_DELib_StdActrSnsrDd</t>
  </si>
  <si>
    <t>CooltPmpHvb_fRaw</t>
    <phoneticPr fontId="67"/>
  </si>
  <si>
    <t>CooltPmpHvb_rRaw</t>
    <phoneticPr fontId="67"/>
  </si>
  <si>
    <t>SCtPmp_I_P</t>
  </si>
  <si>
    <t>SCtPmp_DELib_StdActrSnsrDd</t>
  </si>
  <si>
    <t>I_T_CRSH1</t>
  </si>
  <si>
    <t>Airbg_DD</t>
  </si>
  <si>
    <t>Airbg_rPwmInpRat</t>
    <phoneticPr fontId="67"/>
  </si>
  <si>
    <t>Airbg_tiPwmInpPerd</t>
    <phoneticPr fontId="67"/>
  </si>
  <si>
    <t>IA_APS1</t>
    <phoneticPr fontId="67"/>
  </si>
  <si>
    <t>IA_APS2</t>
    <phoneticPr fontId="67"/>
  </si>
  <si>
    <t>IA_VPS</t>
    <phoneticPr fontId="67"/>
  </si>
  <si>
    <t>IA_WTS_BAT11</t>
    <phoneticPr fontId="67"/>
  </si>
  <si>
    <t>IA_WLS_BAT2</t>
    <phoneticPr fontId="67"/>
  </si>
  <si>
    <t>Charging_plug_lock_detection_status</t>
    <phoneticPr fontId="67"/>
  </si>
  <si>
    <t>Prox_State</t>
    <phoneticPr fontId="67"/>
  </si>
  <si>
    <t>T15_Vld2Lcy</t>
  </si>
  <si>
    <t>T50_I_D</t>
  </si>
  <si>
    <t>T50_DD</t>
  </si>
  <si>
    <t>IS_QC_ST1_WUP</t>
    <phoneticPr fontId="67"/>
  </si>
  <si>
    <t>ChademoChrgnStrt_I_D</t>
  </si>
  <si>
    <t>ChademoChrgnStrt_DELib_SimpleSwt</t>
  </si>
  <si>
    <t>ChademoChrgnStrt_stRaw</t>
  </si>
  <si>
    <t>ChademoChrgnRdy_I_D</t>
  </si>
  <si>
    <t>ChademoChrgnRdy_DELib_SimpleSwt</t>
  </si>
  <si>
    <t>ChademoChrgnRdy_stRaw</t>
  </si>
  <si>
    <t>UPxP2_I_A</t>
  </si>
  <si>
    <t>UPxP2_DELib_StdSensDd</t>
  </si>
  <si>
    <t>CbnHeatgSwt_I_D</t>
  </si>
  <si>
    <t>CbnHeatgSwt_DELib_SimpleSwt</t>
  </si>
  <si>
    <t>CbnHeatgSwt_stRaw</t>
  </si>
  <si>
    <t>measurements</t>
    <phoneticPr fontId="67"/>
  </si>
  <si>
    <t>FridgeSwt_I_D</t>
  </si>
  <si>
    <t>FridgeSwt_DELib_SimpleSwt</t>
  </si>
  <si>
    <t>FridgeSwt_stRaw</t>
  </si>
  <si>
    <t>Brk_DD</t>
  </si>
  <si>
    <t>O_APS1_5V</t>
    <phoneticPr fontId="67"/>
  </si>
  <si>
    <t>O_VPS_5V</t>
    <phoneticPr fontId="67"/>
  </si>
  <si>
    <t>Brake_Status</t>
    <phoneticPr fontId="67"/>
  </si>
  <si>
    <t>CooltLvl_I_A</t>
  </si>
  <si>
    <t>CooltLvl_DELib_SimpleSwt</t>
  </si>
  <si>
    <t>CooltLvl_stRaw</t>
  </si>
  <si>
    <t>INV_Enb_Req</t>
    <phoneticPr fontId="67"/>
  </si>
  <si>
    <t>QCV2L_Actual_Volt</t>
    <phoneticPr fontId="67"/>
  </si>
  <si>
    <t>Software name
(Bosch SW Symbol Name)</t>
    <phoneticPr fontId="67"/>
  </si>
  <si>
    <t>Signal/Port
(Customer HW Symbol Name)</t>
    <phoneticPr fontId="67"/>
  </si>
  <si>
    <t>Reserved</t>
    <phoneticPr fontId="67"/>
  </si>
  <si>
    <t>---</t>
    <phoneticPr fontId="67"/>
  </si>
  <si>
    <t>Vehicle control state</t>
    <phoneticPr fontId="67"/>
  </si>
  <si>
    <t>EV_KASO_STATE</t>
    <phoneticPr fontId="67"/>
  </si>
  <si>
    <t>QC_Command_Curr</t>
    <phoneticPr fontId="67"/>
  </si>
  <si>
    <t>KASO_COMN_CONSUMPTION</t>
    <phoneticPr fontId="67"/>
  </si>
  <si>
    <t>Chg_Plug_Ctrl_State</t>
    <phoneticPr fontId="67"/>
  </si>
  <si>
    <t>EMECU_EM</t>
  </si>
  <si>
    <t>INV_HV_Ready</t>
    <phoneticPr fontId="67"/>
  </si>
  <si>
    <t>QCHG_RELAY_REQ</t>
    <phoneticPr fontId="67"/>
  </si>
  <si>
    <t>HV_Batt_Vol</t>
    <phoneticPr fontId="67"/>
  </si>
  <si>
    <t>DCDC12_Req_LV_Vol</t>
    <phoneticPr fontId="67"/>
  </si>
  <si>
    <t>DCDC12_HV_Cur_Limit</t>
    <phoneticPr fontId="67"/>
  </si>
  <si>
    <t>OBC_S2_State</t>
    <phoneticPr fontId="67"/>
  </si>
  <si>
    <t>ElecPTO relay request</t>
    <phoneticPr fontId="67"/>
  </si>
  <si>
    <t>HTR1_stat</t>
    <phoneticPr fontId="67"/>
  </si>
  <si>
    <t>???</t>
    <phoneticPr fontId="67"/>
  </si>
  <si>
    <t>---</t>
    <phoneticPr fontId="67"/>
  </si>
  <si>
    <t>HeatrECU_Heatr</t>
    <phoneticPr fontId="67"/>
  </si>
  <si>
    <t>HTR1_DIAG_LIN_comm</t>
    <phoneticPr fontId="67"/>
  </si>
  <si>
    <t>ComScl_EngLin</t>
  </si>
  <si>
    <t>HTR2_coolant_temp_cmd</t>
    <phoneticPr fontId="67"/>
  </si>
  <si>
    <t>HTR2_output_req</t>
    <phoneticPr fontId="67"/>
  </si>
  <si>
    <t>---</t>
    <phoneticPr fontId="67"/>
  </si>
  <si>
    <t>Com_Rx_HTR2_DIAG_ovht</t>
  </si>
  <si>
    <t>HTR1_output_req</t>
    <phoneticPr fontId="67"/>
  </si>
  <si>
    <t>DCDC12_Mode_Req</t>
    <phoneticPr fontId="67"/>
  </si>
  <si>
    <t>Com_Tx_Batt_Cooling_Req</t>
  </si>
  <si>
    <t>HV_Power_Limit_Req</t>
    <phoneticPr fontId="67"/>
  </si>
  <si>
    <r>
      <t>If DCDC24 Application == "n.a", set 0xFF: Not equipped
If DCDC24 Application == "</t>
    </r>
    <r>
      <rPr>
        <sz val="10"/>
        <rFont val="Meiryo UI"/>
        <family val="3"/>
        <charset val="128"/>
      </rPr>
      <t>〇</t>
    </r>
    <r>
      <rPr>
        <sz val="10"/>
        <rFont val="Tahoma"/>
        <family val="2"/>
      </rPr>
      <t>", set the same value as DCDC24_HeatSink_Temp (If DCDC24_HeatSink_Temp == 205</t>
    </r>
    <r>
      <rPr>
        <sz val="10"/>
        <rFont val="Segoe UI Symbol"/>
        <family val="3"/>
      </rPr>
      <t>℃</t>
    </r>
    <r>
      <rPr>
        <sz val="10"/>
        <rFont val="Tahoma"/>
        <family val="2"/>
      </rPr>
      <t>, set 0xFE: 204</t>
    </r>
    <r>
      <rPr>
        <sz val="10"/>
        <rFont val="Segoe UI Symbol"/>
        <family val="3"/>
      </rPr>
      <t>℃</t>
    </r>
    <r>
      <rPr>
        <sz val="10"/>
        <rFont val="Tahoma"/>
        <family val="2"/>
      </rPr>
      <t>)</t>
    </r>
    <phoneticPr fontId="67"/>
  </si>
  <si>
    <t>EV_KASO_USABLE_PWR</t>
    <phoneticPr fontId="67"/>
  </si>
  <si>
    <t>12V/24V Battery Power Supply Extension Request</t>
    <phoneticPr fontId="67"/>
  </si>
  <si>
    <t>NvM</t>
    <phoneticPr fontId="72"/>
  </si>
  <si>
    <t>ADIDID</t>
    <phoneticPr fontId="13"/>
  </si>
  <si>
    <t>VMECUHNDID</t>
    <phoneticPr fontId="13"/>
  </si>
  <si>
    <t>RSCOTSNDID</t>
    <phoneticPr fontId="13"/>
  </si>
  <si>
    <t>PDDID</t>
    <phoneticPr fontId="13"/>
  </si>
  <si>
    <t>Compatible part number</t>
    <phoneticPr fontId="13"/>
  </si>
  <si>
    <t>---</t>
    <phoneticPr fontId="13"/>
  </si>
  <si>
    <t>Blockname</t>
    <phoneticPr fontId="13"/>
  </si>
  <si>
    <t>---</t>
    <phoneticPr fontId="13"/>
  </si>
  <si>
    <t>Manufacturers Enable Counter</t>
    <phoneticPr fontId="13"/>
  </si>
  <si>
    <t>Dealer Code (Repair shop code)</t>
    <phoneticPr fontId="13"/>
  </si>
  <si>
    <t>System Name</t>
  </si>
  <si>
    <t>ECU Software Part Number</t>
    <phoneticPr fontId="13"/>
  </si>
  <si>
    <t>ECU Calibration Part Number</t>
    <phoneticPr fontId="13"/>
  </si>
  <si>
    <t>ISUZU Hardware Part Number</t>
    <phoneticPr fontId="13"/>
  </si>
  <si>
    <t>ECU Verification Number (SW)</t>
    <phoneticPr fontId="13"/>
  </si>
  <si>
    <t>ECU Verification Number (Data)</t>
    <phoneticPr fontId="13"/>
  </si>
  <si>
    <t>ISUZU ASM Part Number</t>
    <phoneticPr fontId="13"/>
  </si>
  <si>
    <t>Vehicle Identification Number</t>
    <phoneticPr fontId="13"/>
  </si>
  <si>
    <t>UDS Description
(ISO-I14229)</t>
    <phoneticPr fontId="13"/>
  </si>
  <si>
    <t>Mnemonic
(ISO-I14229)</t>
    <phoneticPr fontId="13"/>
  </si>
  <si>
    <t>Data
Type</t>
    <phoneticPr fontId="72"/>
  </si>
  <si>
    <t>Tester Display &amp; Data Storage Image</t>
    <phoneticPr fontId="13"/>
  </si>
  <si>
    <t xml:space="preserve">The disply image with BCD is;
     Display: 8987654321
     Data   : $89 $87 $65 $43 $21 [HEX]
</t>
    <phoneticPr fontId="13"/>
  </si>
  <si>
    <t>Bosch Plant</t>
    <phoneticPr fontId="72"/>
  </si>
  <si>
    <t>ISZ EOLP</t>
    <phoneticPr fontId="72"/>
  </si>
  <si>
    <t>Service Dealer</t>
    <phoneticPr fontId="72"/>
  </si>
  <si>
    <t>0xF181</t>
    <phoneticPr fontId="13"/>
  </si>
  <si>
    <t>T.B.D.</t>
    <phoneticPr fontId="13"/>
  </si>
  <si>
    <t>DID$ED11: System 12V Relay</t>
    <phoneticPr fontId="13"/>
  </si>
  <si>
    <t>System 12V Relay</t>
    <phoneticPr fontId="13"/>
  </si>
  <si>
    <t>#4</t>
    <phoneticPr fontId="13"/>
  </si>
  <si>
    <t>#5</t>
    <phoneticPr fontId="13"/>
  </si>
  <si>
    <t>IOCP</t>
    <phoneticPr fontId="13"/>
  </si>
  <si>
    <t>CS</t>
    <phoneticPr fontId="13"/>
  </si>
  <si>
    <t>$03 (shortTermAdjustment)</t>
    <phoneticPr fontId="13"/>
  </si>
  <si>
    <t>Motor Control Unit Ignition Signal</t>
    <phoneticPr fontId="67"/>
  </si>
  <si>
    <t>DID$ED12: Motor Control Unit Ignition Signal</t>
    <phoneticPr fontId="13"/>
  </si>
  <si>
    <t>VCU Main Relay</t>
    <phoneticPr fontId="67"/>
  </si>
  <si>
    <t>DID$ED10: VCU Main Relay</t>
    <phoneticPr fontId="13"/>
  </si>
  <si>
    <t>CHAdeMO Quick Charger Enable Signal</t>
    <phoneticPr fontId="13"/>
  </si>
  <si>
    <t>DID$ED13: CHAdeMO Quick Charger Enable Signal</t>
    <phoneticPr fontId="13"/>
  </si>
  <si>
    <t>Quick Charge Relay Enable Signal to BMS</t>
    <phoneticPr fontId="13"/>
  </si>
  <si>
    <t>DID$ED14: Quick Charge Relay Enable Signal to BMS</t>
    <phoneticPr fontId="13"/>
  </si>
  <si>
    <t>Vacuum Pump Relay</t>
    <phoneticPr fontId="67"/>
  </si>
  <si>
    <t>DID$ED15: Vacuum Pump Relay</t>
    <phoneticPr fontId="13"/>
  </si>
  <si>
    <t>#6</t>
    <phoneticPr fontId="13"/>
  </si>
  <si>
    <t>CEM</t>
    <phoneticPr fontId="13"/>
  </si>
  <si>
    <t>Backup Lamp Relay</t>
    <phoneticPr fontId="67"/>
  </si>
  <si>
    <t>Neutral Relay</t>
    <phoneticPr fontId="13"/>
  </si>
  <si>
    <t>DID$ED17: Neutral Relay</t>
    <phoneticPr fontId="13"/>
  </si>
  <si>
    <t>SW21</t>
    <phoneticPr fontId="13"/>
  </si>
  <si>
    <t xml:space="preserve">The disply image with BCD is;
     Display: December 31, 2023
     Data    : $20 $23 $12 $31 [HEX]
</t>
    <phoneticPr fontId="13"/>
  </si>
  <si>
    <t xml:space="preserve">- Unused bytes must be filled with 0x00 and hidden as follows;
     Display: 123...
     Data    : $31 $32 $33 $00 … $00 [Hex]
</t>
    <phoneticPr fontId="13"/>
  </si>
  <si>
    <r>
      <t>Diagnostic Data ID</t>
    </r>
    <r>
      <rPr>
        <sz val="10"/>
        <rFont val="BIZ UDゴシック"/>
        <family val="3"/>
        <charset val="128"/>
      </rPr>
      <t>　</t>
    </r>
    <r>
      <rPr>
        <sz val="10"/>
        <rFont val="Tahoma"/>
        <family val="2"/>
      </rPr>
      <t>(DDI)</t>
    </r>
  </si>
  <si>
    <t>0x00         : Security lock status
0x01-0xFE : Countdown at each IG-OFF/ON
0xFF         : Not countdown (used for laboratory test)</t>
    <phoneticPr fontId="13"/>
  </si>
  <si>
    <t>ASFPDID</t>
    <phoneticPr fontId="13"/>
  </si>
  <si>
    <t>I15031_GetInfoTypeValue06()</t>
    <phoneticPr fontId="13"/>
  </si>
  <si>
    <t>KASO_COMN_IDENTIFICATION</t>
    <phoneticPr fontId="67"/>
  </si>
  <si>
    <t>---</t>
    <phoneticPr fontId="67"/>
  </si>
  <si>
    <t>---</t>
    <phoneticPr fontId="67"/>
  </si>
  <si>
    <t>0xE070~0xE07F: Immobilizer</t>
    <phoneticPr fontId="13"/>
  </si>
  <si>
    <t>0xEB00~0xEB0F: Meter Customize</t>
    <phoneticPr fontId="13"/>
  </si>
  <si>
    <t>Base Regen Level</t>
    <phoneticPr fontId="67"/>
  </si>
  <si>
    <t>Plug Lock Setting</t>
    <phoneticPr fontId="67"/>
  </si>
  <si>
    <t>Differential Gear Ratio</t>
    <phoneticPr fontId="67"/>
  </si>
  <si>
    <t>Gear Box Ratio</t>
    <phoneticPr fontId="67"/>
  </si>
  <si>
    <t>Tire Radius</t>
    <phoneticPr fontId="67"/>
  </si>
  <si>
    <t>12V/24V Battery Power Supply Extension Time</t>
    <phoneticPr fontId="67"/>
  </si>
  <si>
    <t>KASO Switch Type</t>
    <phoneticPr fontId="67"/>
  </si>
  <si>
    <t>Isuzu Plant</t>
    <phoneticPr fontId="13"/>
  </si>
  <si>
    <t>Market</t>
    <phoneticPr fontId="13"/>
  </si>
  <si>
    <t>EOLP</t>
    <phoneticPr fontId="13"/>
  </si>
  <si>
    <t>after
EOLP  before Shipping</t>
    <phoneticPr fontId="13"/>
  </si>
  <si>
    <t>KASO
Marker</t>
    <phoneticPr fontId="13"/>
  </si>
  <si>
    <t>Service Dealer</t>
    <phoneticPr fontId="13"/>
  </si>
  <si>
    <t>User Operation
(from Meter)</t>
    <phoneticPr fontId="13"/>
  </si>
  <si>
    <t>Vehicle
Stop</t>
    <phoneticPr fontId="13"/>
  </si>
  <si>
    <t>Vehicle
Running</t>
    <phoneticPr fontId="13"/>
  </si>
  <si>
    <t>NvM</t>
    <phoneticPr fontId="13"/>
  </si>
  <si>
    <t>Hex</t>
    <phoneticPr fontId="13"/>
  </si>
  <si>
    <t>0x02</t>
    <phoneticPr fontId="13"/>
  </si>
  <si>
    <t>0x00</t>
    <phoneticPr fontId="13"/>
  </si>
  <si>
    <t>0x0000</t>
    <phoneticPr fontId="13"/>
  </si>
  <si>
    <t>0min</t>
    <phoneticPr fontId="13"/>
  </si>
  <si>
    <t>---</t>
    <phoneticPr fontId="13"/>
  </si>
  <si>
    <t>Immobilizer Secret Key</t>
  </si>
  <si>
    <t>Base Regen Level Setting</t>
    <phoneticPr fontId="67"/>
  </si>
  <si>
    <t>Plug Lock Setting Setting</t>
    <phoneticPr fontId="67"/>
  </si>
  <si>
    <t>Differential Gear Ratio</t>
  </si>
  <si>
    <t>Base Torque Map No</t>
  </si>
  <si>
    <t>Base Torque Map No</t>
    <phoneticPr fontId="13"/>
  </si>
  <si>
    <t>2022/02/22: Updated from customer OPL #45</t>
    <phoneticPr fontId="13"/>
  </si>
  <si>
    <t>HV Battery Charging Lamp</t>
    <phoneticPr fontId="67"/>
  </si>
  <si>
    <t>Shift Parking Position Signal for AVAS</t>
    <phoneticPr fontId="13"/>
  </si>
  <si>
    <t>Water Circuit Switching Valve of Battery Cooling</t>
    <phoneticPr fontId="67"/>
  </si>
  <si>
    <t>Speed Command (PWM) to Cabin Heater Water Pump (duty)</t>
    <phoneticPr fontId="67"/>
  </si>
  <si>
    <t>Speed Command (PWM) to Cabin Heater Water Pump (frequency)</t>
    <phoneticPr fontId="67"/>
  </si>
  <si>
    <t>Vehicle Speed Pulse to AVAS (duty)</t>
    <phoneticPr fontId="67"/>
  </si>
  <si>
    <t>Vehicle Speed Pulse to AVAS (frequency)</t>
    <phoneticPr fontId="67"/>
  </si>
  <si>
    <t>Speed Command (PWM) to System Cooling Fan-1 (frequency)</t>
    <phoneticPr fontId="67"/>
  </si>
  <si>
    <t>Speed Command (PWM) to System Cooling Fan-1 (duty)</t>
    <phoneticPr fontId="67"/>
  </si>
  <si>
    <t>Speed Command (PWM) to Battery Cooling No1 Water Pump-2 (duty)</t>
    <phoneticPr fontId="67"/>
  </si>
  <si>
    <t>Speed Command (PWM) to Battery Cooling No1 Water Pump-2 (frequency)</t>
    <phoneticPr fontId="67"/>
  </si>
  <si>
    <t>Speed Command (PWM) to Battery Cooling No1 Water Pump-1 (duty)</t>
    <phoneticPr fontId="67"/>
  </si>
  <si>
    <t>Speed Command (PWM) to Battery Cooling No1 Water Pump-1 (frequency)</t>
    <phoneticPr fontId="67"/>
  </si>
  <si>
    <t>Speed Command (PWM) to System Cooling Water Pump-1 (duty)</t>
    <phoneticPr fontId="67"/>
  </si>
  <si>
    <t>Speed Command (PWM) to System Cooling Water Pump-1 (frequency)</t>
    <phoneticPr fontId="67"/>
  </si>
  <si>
    <t>A/C Condenser Fan On-Relay Digital Output</t>
    <phoneticPr fontId="67"/>
  </si>
  <si>
    <t>A/C Condenser Fan Hi-Relay Digital Output</t>
    <phoneticPr fontId="67"/>
  </si>
  <si>
    <t>HV Battery Charging Lamp on Charge Inlet Digital Output</t>
    <phoneticPr fontId="13"/>
  </si>
  <si>
    <t>HV Battery Charging Error Lamp on Charge Inlet Digital Output</t>
    <phoneticPr fontId="13"/>
  </si>
  <si>
    <t>Shift Parking Position Signal for AVAS Digital Output</t>
    <phoneticPr fontId="67"/>
  </si>
  <si>
    <t>Water Circuit Switching Valve of Battery Cooling (No1 digital output)</t>
    <phoneticPr fontId="67"/>
  </si>
  <si>
    <t>Water Circuit Switching Valve of Battery Cooling (No2 digital output)</t>
    <phoneticPr fontId="13"/>
  </si>
  <si>
    <t>Vehicle Speed Pulse to AVAS Digital Output Duty</t>
    <phoneticPr fontId="67"/>
  </si>
  <si>
    <t>Speed Command (PWM) to Cabin Heater Water Pump Digital Output (frequency)</t>
    <phoneticPr fontId="67"/>
  </si>
  <si>
    <t>Speed Command (PWM) to Cabin Heater Water Pump Digital Output (duty)</t>
    <phoneticPr fontId="67"/>
  </si>
  <si>
    <t>Speed Command (PWM) to System Cooling Water Pump-1 Digital Output (frequency)</t>
    <phoneticPr fontId="67"/>
  </si>
  <si>
    <t>Speed Command (PWM) to System Cooling Water Pump-1 Digital Output (duty)</t>
    <phoneticPr fontId="67"/>
  </si>
  <si>
    <t>Speed Command (PWM) to Battery Cooling No1 Water Pump-1 Digital Output (frequency)</t>
    <phoneticPr fontId="13"/>
  </si>
  <si>
    <t>Speed Command (PWM) to Battery Cooling No1 Water Pump-1 Digital Output (duty)</t>
    <phoneticPr fontId="67"/>
  </si>
  <si>
    <t>Speed Command (PWM) to Battery Cooling No1 Water Pump-2 Digital Output (frequency)</t>
    <phoneticPr fontId="13"/>
  </si>
  <si>
    <t>Speed Command (PWM) to Battery Cooling No1 Water Pump-2 Digital Output (duty)</t>
    <phoneticPr fontId="13"/>
  </si>
  <si>
    <t>Speed Command (PWM) to System Cooling Fan-1 Digital Output (frequency)</t>
    <phoneticPr fontId="67"/>
  </si>
  <si>
    <t>Speed Command (PWM) to System Cooling Fan-1 Digital Output (duty)</t>
    <phoneticPr fontId="13"/>
  </si>
  <si>
    <t>0x38 39 37 32 34 34 31 30 32 30
(ASCII: 8972441020)</t>
    <phoneticPr fontId="13"/>
  </si>
  <si>
    <t>tbd</t>
    <phoneticPr fontId="13"/>
  </si>
  <si>
    <t>all $3F (ASCII: ???...)</t>
    <phoneticPr fontId="13"/>
  </si>
  <si>
    <t>all $00</t>
    <phoneticPr fontId="13"/>
  </si>
  <si>
    <t>all $3F</t>
    <phoneticPr fontId="13"/>
  </si>
  <si>
    <r>
      <rPr>
        <u/>
        <sz val="10"/>
        <rFont val="Tahoma"/>
        <family val="2"/>
      </rPr>
      <t>$43 $39</t>
    </r>
    <r>
      <rPr>
        <sz val="10"/>
        <rFont val="Tahoma"/>
        <family val="2"/>
      </rPr>
      <t xml:space="preserve"> / </t>
    </r>
    <r>
      <rPr>
        <u/>
        <sz val="10"/>
        <rFont val="Tahoma"/>
        <family val="2"/>
      </rPr>
      <t>$42 $4F $53 $43 $48</t>
    </r>
    <r>
      <rPr>
        <sz val="10"/>
        <rFont val="Tahoma"/>
        <family val="2"/>
      </rPr>
      <t xml:space="preserve"> / </t>
    </r>
    <r>
      <rPr>
        <u/>
        <sz val="10"/>
        <rFont val="Tahoma"/>
        <family val="2"/>
      </rPr>
      <t>$30 $30 $30</t>
    </r>
    <r>
      <rPr>
        <sz val="10"/>
        <rFont val="Tahoma"/>
        <family val="2"/>
      </rPr>
      <t xml:space="preserve">
  |              |                                 |
  |           [BOSCH] Supplier          [000] Serial number 
[C9] ECU Address
</t>
    </r>
    <phoneticPr fontId="13"/>
  </si>
  <si>
    <t>00</t>
  </si>
  <si>
    <t>03</t>
  </si>
  <si>
    <t>01</t>
  </si>
  <si>
    <t>-</t>
    <phoneticPr fontId="42"/>
  </si>
  <si>
    <t>VMECUSNDID</t>
  </si>
  <si>
    <t>DCM_VIN</t>
  </si>
  <si>
    <t>8978463320</t>
  </si>
  <si>
    <t>$56 $43 $55 $00 $00 $00 $00 $00 $00 $00
(ASCII: VCU)</t>
  </si>
  <si>
    <t>DCM_RSCOTSN</t>
  </si>
  <si>
    <t>DCM_PD</t>
  </si>
  <si>
    <t>0x1B08: JP
0x1B09: US/EU</t>
  </si>
  <si>
    <t>MEC</t>
  </si>
  <si>
    <t>$FE</t>
  </si>
  <si>
    <t>$43 $39 $42 $4F $53 $43 $48 $30 $30 $30</t>
  </si>
  <si>
    <t>$C9</t>
  </si>
  <si>
    <t>Production Phase</t>
    <phoneticPr fontId="13"/>
  </si>
  <si>
    <t>Bosch
Plant</t>
    <phoneticPr fontId="13"/>
  </si>
  <si>
    <t>Isuzu
Plant</t>
    <phoneticPr fontId="13"/>
  </si>
  <si>
    <t>User Operation</t>
    <phoneticPr fontId="13"/>
  </si>
  <si>
    <t>after EOLP  before Shipping</t>
    <phoneticPr fontId="13"/>
  </si>
  <si>
    <t>System 12V relay digital output</t>
    <phoneticPr fontId="44"/>
  </si>
  <si>
    <t>Exchange from Off($0)/On($1) to 0/100%.</t>
    <phoneticPr fontId="13"/>
  </si>
  <si>
    <t>Motor control unit ignition signal (KL15)  digital output</t>
    <phoneticPr fontId="44"/>
  </si>
  <si>
    <t>CHAdeMO quick charger enable signal  digital output</t>
    <phoneticPr fontId="44"/>
  </si>
  <si>
    <t>Quick charge relay enable signal to BMS digital output</t>
    <phoneticPr fontId="44"/>
  </si>
  <si>
    <t>VCU main relay digital output</t>
    <phoneticPr fontId="44"/>
  </si>
  <si>
    <t>Vacuum pump relay-1 digital output</t>
    <phoneticPr fontId="44"/>
  </si>
  <si>
    <t>Vacuum pump relay-2 digital output</t>
    <phoneticPr fontId="44"/>
  </si>
  <si>
    <t>Exchange from Off($0)/On($1) to 0/100%.</t>
  </si>
  <si>
    <t>Neutral relay digital output</t>
    <phoneticPr fontId="44"/>
  </si>
  <si>
    <t>A/C condenser fan relay</t>
    <phoneticPr fontId="44"/>
  </si>
  <si>
    <t>Cabin heater switch lamp</t>
  </si>
  <si>
    <t>Cabin heater switch lamp digital output</t>
    <phoneticPr fontId="44"/>
  </si>
  <si>
    <t>0x0: OFF
0x1: ON
0x3: Not equipped</t>
  </si>
  <si>
    <t>0x0: OFF
0x1: Hi side ON
0x2: Lo side ON</t>
  </si>
  <si>
    <t>Reserved
(0x0)</t>
  </si>
  <si>
    <t>0x0: OFF
0x1: ON</t>
  </si>
  <si>
    <t>8-7</t>
  </si>
  <si>
    <t>6-5</t>
  </si>
  <si>
    <r>
      <t>0x</t>
    </r>
    <r>
      <rPr>
        <sz val="10"/>
        <color rgb="FFFF0000"/>
        <rFont val="Tahoma"/>
        <family val="2"/>
      </rPr>
      <t>FF (?)</t>
    </r>
    <r>
      <rPr>
        <sz val="10"/>
        <rFont val="Tahoma"/>
        <family val="2"/>
      </rPr>
      <t>: Not equipped</t>
    </r>
  </si>
  <si>
    <t>*1: No need to implement in LD</t>
  </si>
  <si>
    <t>4-3</t>
  </si>
  <si>
    <t>2-1</t>
  </si>
  <si>
    <t>IA_TS_CHG1</t>
    <phoneticPr fontId="44"/>
  </si>
  <si>
    <t>IA_TS_CHG2</t>
    <phoneticPr fontId="44"/>
  </si>
  <si>
    <t>IA_TS_CHG3</t>
    <phoneticPr fontId="44"/>
  </si>
  <si>
    <t>IA_CHG_PP</t>
    <phoneticPr fontId="44"/>
  </si>
  <si>
    <t>8</t>
  </si>
  <si>
    <t>7</t>
  </si>
  <si>
    <t>Reserved
(0x55)</t>
  </si>
  <si>
    <t>Reserved
(0x5555)</t>
  </si>
  <si>
    <t>*1</t>
  </si>
  <si>
    <t>(*1) Only applied to RDBI (WDBI isn't required functional address)</t>
    <phoneticPr fontId="12"/>
  </si>
  <si>
    <t>Security</t>
    <phoneticPr fontId="13"/>
  </si>
  <si>
    <t>N/A</t>
  </si>
  <si>
    <t>$7F</t>
  </si>
  <si>
    <r>
      <rPr>
        <b/>
        <u/>
        <sz val="9"/>
        <rFont val="Tahoma"/>
        <family val="2"/>
      </rPr>
      <t>&lt;communicationType&gt; [Customer OPL#20]</t>
    </r>
    <r>
      <rPr>
        <b/>
        <sz val="9"/>
        <color rgb="FFFF0000"/>
        <rFont val="Tahoma"/>
        <family val="2"/>
      </rPr>
      <t xml:space="preserve">
</t>
    </r>
    <r>
      <rPr>
        <sz val="9"/>
        <rFont val="Tahoma"/>
        <family val="2"/>
      </rPr>
      <t xml:space="preserve">Only supported the following types;
  - 0x03(networkManagementCommunicationMessage and normalCommunicationMessage)
</t>
    </r>
  </si>
  <si>
    <t>(*2) Only applied to WDBI (RDBI isn't required security unlock)</t>
  </si>
  <si>
    <t>|</t>
  </si>
  <si>
    <t>Security</t>
  </si>
  <si>
    <t>(*2) Only applied to IOCBI (RDBI isn't required security unlock)</t>
  </si>
  <si>
    <t>(*2) …To execute next sequence, Boot(CB) returns positive response without any functional processing.</t>
  </si>
  <si>
    <t>X
(*2)</t>
  </si>
  <si>
    <t>(*1) Only applied to RC</t>
  </si>
  <si>
    <r>
      <rPr>
        <b/>
        <u/>
        <sz val="9"/>
        <rFont val="Tahoma"/>
        <family val="2"/>
      </rPr>
      <t>&lt;NRC$14&gt;</t>
    </r>
    <r>
      <rPr>
        <sz val="9"/>
        <rFont val="Tahoma"/>
        <family val="2"/>
      </rPr>
      <t xml:space="preserve">
NRC$14 is not required by customer requirement but supported since it is required by ISO-14229.</t>
    </r>
  </si>
  <si>
    <r>
      <rPr>
        <b/>
        <u/>
        <sz val="9"/>
        <rFont val="Tahoma"/>
        <family val="2"/>
      </rPr>
      <t>&lt;CB / Extended session&gt;</t>
    </r>
    <r>
      <rPr>
        <sz val="9"/>
        <rFont val="Tahoma"/>
        <family val="2"/>
      </rPr>
      <t xml:space="preserve">
CB WDBI service shall also support by extended session as same as APL WDBI service.</t>
    </r>
  </si>
  <si>
    <r>
      <rPr>
        <b/>
        <u/>
        <sz val="9"/>
        <rFont val="Tahoma"/>
        <family val="2"/>
      </rPr>
      <t>&lt;DTCStatusMask / DTCStatusAvailabilityMask&gt;</t>
    </r>
    <r>
      <rPr>
        <sz val="9"/>
        <rFont val="Tahoma"/>
        <family val="2"/>
      </rPr>
      <t xml:space="preserve">
All DTCStatusMask is supported, so DTCStatusAvailabilityMask is 0xFF always.
</t>
    </r>
    <r>
      <rPr>
        <b/>
        <u/>
        <sz val="9"/>
        <rFont val="Tahoma"/>
        <family val="2"/>
      </rPr>
      <t>&lt;subFunction&gt;</t>
    </r>
    <r>
      <rPr>
        <sz val="9"/>
        <rFont val="Tahoma"/>
        <family val="2"/>
      </rPr>
      <t xml:space="preserve">
subFunction$01 is not required by customer specification, but it remains for Sanen projects.
</t>
    </r>
    <r>
      <rPr>
        <b/>
        <u/>
        <sz val="9"/>
        <rFont val="Tahoma"/>
        <family val="2"/>
      </rPr>
      <t>&lt;NRC$11/NRC$7F&gt;</t>
    </r>
    <r>
      <rPr>
        <sz val="9"/>
        <rFont val="Tahoma"/>
        <family val="2"/>
      </rPr>
      <t xml:space="preserve">
NRC$7F is required by customer specification, but it's not supported.
NRC$7F should be supported if either session supports this SID, but it's not like that.
</t>
    </r>
  </si>
  <si>
    <r>
      <rPr>
        <b/>
        <u/>
        <sz val="9"/>
        <rFont val="Tahoma"/>
        <family val="2"/>
      </rPr>
      <t>&lt;NRC$11/NRC$7F&gt;</t>
    </r>
    <r>
      <rPr>
        <sz val="9"/>
        <rFont val="Tahoma"/>
        <family val="2"/>
      </rPr>
      <t xml:space="preserve">
NRC$7F is required by customer specification, but it's not supported.
NRC$7F should be supported if either session supports this SID, but it's not like that.</t>
    </r>
  </si>
  <si>
    <t>DID(CPS)</t>
    <phoneticPr fontId="13"/>
  </si>
  <si>
    <t>Kobayashi
Sukawa</t>
    <phoneticPr fontId="13"/>
  </si>
  <si>
    <t>- Updated for recent discussion points</t>
    <phoneticPr fontId="13"/>
  </si>
  <si>
    <t>ComScl_Chrgr</t>
  </si>
  <si>
    <t>Com_nrPtcolChrgrChademo</t>
  </si>
  <si>
    <t>Com_nrDchaSeqPwrSys</t>
  </si>
  <si>
    <t>BattU_I_A</t>
  </si>
  <si>
    <t>BattU_DD</t>
  </si>
  <si>
    <t>VCU internal pin</t>
  </si>
  <si>
    <t>Kobayashi</t>
  </si>
  <si>
    <t>DID</t>
  </si>
  <si>
    <t>- Update RAM NAME</t>
  </si>
  <si>
    <t>APP11_I_A
APP21_I_A</t>
  </si>
  <si>
    <t>APP12_I_A
APP22_I_A</t>
  </si>
  <si>
    <t>Pullup resistor change in C2 so re-test required.</t>
  </si>
  <si>
    <t>ChademoChrgrIntkT1_I_A</t>
  </si>
  <si>
    <t>ChademoChrgrIntkT1_uRaw</t>
  </si>
  <si>
    <t>Newly configured pin in SW13 so detailed test required</t>
  </si>
  <si>
    <t>ChademoChrgrIntkT2_I_A</t>
  </si>
  <si>
    <t>ChademoChrgrIntkT2_uRaw</t>
  </si>
  <si>
    <t>IA_WLS_SYS</t>
  </si>
  <si>
    <t>IA_TS_CGH1(LD)
IA_TS_CHG1(BUS)</t>
  </si>
  <si>
    <t>IA_TS_CHG3</t>
  </si>
  <si>
    <t>AcChrgrIntkT_I_A</t>
  </si>
  <si>
    <t>Configuration and test required in SW31</t>
  </si>
  <si>
    <t>IA_PLUG_LOCK</t>
  </si>
  <si>
    <t>IA_CHG_PP</t>
  </si>
  <si>
    <t>UPxP1_I_A</t>
  </si>
  <si>
    <t>Tau/Filter time changed compared to C1 -sample so re-test required.</t>
  </si>
  <si>
    <t>ThmPmp_fRaw</t>
  </si>
  <si>
    <t>CtpCarrFrq_I_P</t>
  </si>
  <si>
    <t>CtpCarrFrq_tiPerRaw_f</t>
  </si>
  <si>
    <t>Newly configured pin in SW13 so detailed test required.</t>
  </si>
  <si>
    <t>I_O_CCS_CP</t>
  </si>
  <si>
    <t>HvbT1_t_f
HvbT1_t</t>
  </si>
  <si>
    <t>HvbT2_t_f
HvbT2_t</t>
  </si>
  <si>
    <t>T15</t>
  </si>
  <si>
    <t>T15_st</t>
  </si>
  <si>
    <t>Capacitor value change in C2 so re-test required.</t>
  </si>
  <si>
    <t>T50_st</t>
  </si>
  <si>
    <t>Pull-up resistor change in C2 so re-test required.
Pin Inversion carried out in SW13.</t>
  </si>
  <si>
    <t>Pull-up resistor change in C2 so re-test required.</t>
  </si>
  <si>
    <t>BrkMn_I_D
BrkRed_I_D</t>
  </si>
  <si>
    <t>WP_HTR_CMD</t>
  </si>
  <si>
    <t>ThmPmp_O_P</t>
  </si>
  <si>
    <t>CooltPmpInvr_O_P</t>
  </si>
  <si>
    <t>CooltPmpHvb_O_P</t>
  </si>
  <si>
    <t>SCtPmp_O_P</t>
  </si>
  <si>
    <t>changed compared to C1 -sample so re-test required.</t>
  </si>
  <si>
    <r>
      <rPr>
        <b/>
        <u/>
        <sz val="9"/>
        <rFont val="Tahoma"/>
        <family val="2"/>
      </rPr>
      <t>&lt;NRC$33&gt;</t>
    </r>
    <r>
      <rPr>
        <sz val="9"/>
        <rFont val="Tahoma"/>
        <family val="2"/>
      </rPr>
      <t xml:space="preserve">
NRC$33 is not required by customer specification, but it is supported.</t>
    </r>
  </si>
  <si>
    <r>
      <rPr>
        <b/>
        <u/>
        <sz val="9"/>
        <rFont val="Tahoma"/>
        <family val="2"/>
      </rPr>
      <t>&lt;NRC$22&gt;</t>
    </r>
    <r>
      <rPr>
        <sz val="9"/>
        <rFont val="Tahoma"/>
        <family val="2"/>
      </rPr>
      <t xml:space="preserve">
NRC$22 is required by customer requirement, but it is not supported.
</t>
    </r>
    <r>
      <rPr>
        <b/>
        <u/>
        <sz val="9"/>
        <rFont val="Tahoma"/>
        <family val="2"/>
      </rPr>
      <t>&lt;NRC$24&gt;</t>
    </r>
    <r>
      <rPr>
        <sz val="9"/>
        <rFont val="Tahoma"/>
        <family val="2"/>
      </rPr>
      <t xml:space="preserve">
NRC$24 is not required by customer specification, but it is supported.</t>
    </r>
  </si>
  <si>
    <t xml:space="preserve">PWM speed command to cabin heater water pump </t>
  </si>
  <si>
    <t>Speed command (PWM) to system cooling water pump 1</t>
  </si>
  <si>
    <t>Speed command (PWM) to system cooling water pump 2</t>
  </si>
  <si>
    <t>Speed command (PWM) to battery cooling No1 water pump - 1</t>
  </si>
  <si>
    <t>Speed command (PWM) to battery cooling No2 water pump - 2</t>
  </si>
  <si>
    <t>0x0: STATE A
0x1: STATE B
0x2: STATE C
0x3: STATE D
0x4: STATE E
0x5: STATE F
Calculated based on the standard “IEC 61851-1”</t>
  </si>
  <si>
    <t>ThermMod_Detrm</t>
  </si>
  <si>
    <r>
      <rPr>
        <b/>
        <u/>
        <sz val="9"/>
        <rFont val="Tahoma"/>
        <family val="2"/>
      </rPr>
      <t>&lt;NRC$93&gt;</t>
    </r>
    <r>
      <rPr>
        <sz val="9"/>
        <rFont val="Tahoma"/>
        <family val="2"/>
      </rPr>
      <t xml:space="preserve">
ISUZU agreed not to support NRC$93 (Customer OPL #21)
</t>
    </r>
    <r>
      <rPr>
        <b/>
        <u/>
        <sz val="9"/>
        <rFont val="Tahoma"/>
        <family val="2"/>
      </rPr>
      <t>&lt;NRC$33&gt;</t>
    </r>
    <r>
      <rPr>
        <sz val="9"/>
        <rFont val="Tahoma"/>
        <family val="2"/>
      </rPr>
      <t xml:space="preserve">
NRC$33 is not required by customer specification, but it is supported.
</t>
    </r>
    <r>
      <rPr>
        <b/>
        <u/>
        <sz val="9"/>
        <rFont val="Tahoma"/>
        <family val="2"/>
      </rPr>
      <t>&lt;NRC$72&gt;</t>
    </r>
    <r>
      <rPr>
        <sz val="9"/>
        <rFont val="Tahoma"/>
        <family val="2"/>
      </rPr>
      <t xml:space="preserve">
NRC$72 is required by customer specification, but it's not supported.</t>
    </r>
  </si>
  <si>
    <t>(*2) To execute next sequence, Boot(CB) returns positive response without any functional processing.</t>
  </si>
  <si>
    <t>RID</t>
  </si>
  <si>
    <t>Mar.03</t>
  </si>
  <si>
    <t>- Update NRC table for SID$34, $36 and $37</t>
  </si>
  <si>
    <t>RID</t>
    <phoneticPr fontId="13"/>
  </si>
  <si>
    <t>RID$1502</t>
    <phoneticPr fontId="13"/>
  </si>
  <si>
    <t>- Security unlock is necessary for RID$FF00 and $FF01
- CB support RID$1500 ~ $1502</t>
    <phoneticPr fontId="13"/>
  </si>
  <si>
    <t>- Add new comments in columns memo
- Supported --&gt; Not supported in CB</t>
    <phoneticPr fontId="13"/>
  </si>
  <si>
    <t>SID$34</t>
    <phoneticPr fontId="13"/>
  </si>
  <si>
    <t>SID$36</t>
    <phoneticPr fontId="13"/>
  </si>
  <si>
    <t>SID$37</t>
    <phoneticPr fontId="13"/>
  </si>
  <si>
    <t>DID$ED81,
DID$ED84,
DID$ED86,
DID$ED8A,
DID$ED8C,
DID$ED92</t>
    <phoneticPr fontId="13"/>
  </si>
  <si>
    <t xml:space="preserve">- Not supported --&gt; Supported for NRC$70(uploadDownloadNotAccepted) </t>
    <phoneticPr fontId="13"/>
  </si>
  <si>
    <t xml:space="preserve">- Supported --&gt; Not supported for NRC$31(RequestOutOfRange) </t>
    <phoneticPr fontId="13"/>
  </si>
  <si>
    <t xml:space="preserve">- Not supported --&gt; Supported for NRC$10(generalReject) </t>
    <phoneticPr fontId="13"/>
  </si>
  <si>
    <t>- Supported --&gt; Not supported for IOCBI (still RDBI is supported)</t>
    <phoneticPr fontId="13"/>
  </si>
  <si>
    <t>24-DIDs</t>
  </si>
  <si>
    <t>(IOCBI: 17)</t>
    <phoneticPr fontId="13"/>
  </si>
  <si>
    <t>Customer OPL#23</t>
    <phoneticPr fontId="13"/>
  </si>
  <si>
    <t>OD0188FCTJ0014</t>
  </si>
  <si>
    <t>OD0188FCTJ0013</t>
  </si>
  <si>
    <t xml:space="preserve">OD0188FCTJ0006
OD0188FCTJ0010
</t>
    <phoneticPr fontId="13"/>
  </si>
  <si>
    <t>IOCBI(Layout)</t>
  </si>
  <si>
    <t>$00 (Off)
$01 (On)</t>
    <phoneticPr fontId="13"/>
  </si>
  <si>
    <t>DID$ED1A: Cabin heater switch lamp</t>
    <phoneticPr fontId="13"/>
  </si>
  <si>
    <t>DID$ED1C: Shift Parking Position Signal for AVAS</t>
    <phoneticPr fontId="13"/>
  </si>
  <si>
    <t xml:space="preserve">ATS_XXX.LimitTypeMsk_C = 0xXX
~~~
ATS_XXX.LowLim_C = xx
ATS_XXX.UpLim_C = xx
ATS_XXX.CnvOfs_C = xx
ATS_XXX.CnvFac_C = xx
ATS_XXX.CnvNorm_C = xx
~~~
ATS_XXX.DfltVal_C = xx
</t>
    <phoneticPr fontId="13"/>
  </si>
  <si>
    <t>DID$ED19: A/C Condenser Fan Relay</t>
    <phoneticPr fontId="13"/>
  </si>
  <si>
    <t>DID$ED1B: HV Battery Charging Lamp</t>
    <phoneticPr fontId="13"/>
  </si>
  <si>
    <t>bit8</t>
    <phoneticPr fontId="13"/>
  </si>
  <si>
    <t>bit7</t>
    <phoneticPr fontId="13"/>
  </si>
  <si>
    <t>bit6</t>
    <phoneticPr fontId="13"/>
  </si>
  <si>
    <t>bit5</t>
    <phoneticPr fontId="13"/>
  </si>
  <si>
    <t>bit4</t>
    <phoneticPr fontId="13"/>
  </si>
  <si>
    <t>bit3</t>
    <phoneticPr fontId="13"/>
  </si>
  <si>
    <t>bit2</t>
    <phoneticPr fontId="13"/>
  </si>
  <si>
    <t>bit1</t>
    <phoneticPr fontId="13"/>
  </si>
  <si>
    <t>AuxPwrRly_O_S_ATS</t>
  </si>
  <si>
    <t>AcIvtrEna_O_S_ATS</t>
  </si>
  <si>
    <t>ChademoChrgnEna_O_S_ATS</t>
  </si>
  <si>
    <t>HvbRlyCmd_O_S_ATS</t>
  </si>
  <si>
    <t>GbxPosnLampNeut_O_S_ATS</t>
  </si>
  <si>
    <t>HtrEl1_O_S_ATS</t>
  </si>
  <si>
    <t>Fan2_O_S_ATS / Fan3_O_S_ATS</t>
    <phoneticPr fontId="13"/>
  </si>
  <si>
    <t>ChrgStLed1_O_S_ATS / ChrgStLed2_O_S_ATS</t>
    <phoneticPr fontId="13"/>
  </si>
  <si>
    <t>AuxPwrRly_rDesVal</t>
  </si>
  <si>
    <t>ChademoChrgnEna_rDesVal</t>
  </si>
  <si>
    <t>HvbRlyCmd_rDesVal</t>
  </si>
  <si>
    <t>GbxPosnLampNeut_rDesVal</t>
  </si>
  <si>
    <t>HtrEl1_rDesVal</t>
  </si>
  <si>
    <t>EvWarnSoundParkSt_rDesVal</t>
  </si>
  <si>
    <t>Fan2_rDesVal / Fan3_rDesVal</t>
    <phoneticPr fontId="13"/>
  </si>
  <si>
    <t>ChrgStLed1_rDesVal / ChrgStLed2_rDesVal</t>
    <phoneticPr fontId="13"/>
  </si>
  <si>
    <t>DID$ED1D: Water Circuit Switching Valve of Battery Cooling</t>
    <phoneticPr fontId="13"/>
  </si>
  <si>
    <t>DID$ED80: Vehicle Speed Pulse to AVAS (frequency)</t>
    <phoneticPr fontId="13"/>
  </si>
  <si>
    <t>DID$ED81: Vehicle Speed Pulse to AVAS (duty)</t>
    <phoneticPr fontId="13"/>
  </si>
  <si>
    <t>DID$ED84: Cabin Heater Water Pump (frequency)</t>
    <phoneticPr fontId="13"/>
  </si>
  <si>
    <t>DID$ED85: Cabin Heater Water Pump (duty)</t>
    <phoneticPr fontId="13"/>
  </si>
  <si>
    <t>DID$ED87: System Cooling Water Pump-1 (duty)</t>
    <phoneticPr fontId="13"/>
  </si>
  <si>
    <t>DID$ED8A: Battery Cooling No1 Water Pump-1 (frequency)</t>
    <phoneticPr fontId="13"/>
  </si>
  <si>
    <t>DID$ED8B: Battery Cooling No1 Water Pump-1 (duty)</t>
    <phoneticPr fontId="13"/>
  </si>
  <si>
    <t>DID$ED8C: Battery Cooling No1 Water Pump-2 (frequency)</t>
    <phoneticPr fontId="13"/>
  </si>
  <si>
    <t>DID$ED8D: Battery Cooling No1 Water Pump-2 (duty)</t>
    <phoneticPr fontId="13"/>
  </si>
  <si>
    <t>DID$ED92: System Cooling Fan-1 (frequency)</t>
    <phoneticPr fontId="13"/>
  </si>
  <si>
    <t>Only supported by RDBI</t>
    <phoneticPr fontId="13"/>
  </si>
  <si>
    <t>DID$ED86: System Cooling Water Pump-1 (frequency)</t>
    <phoneticPr fontId="13"/>
  </si>
  <si>
    <t>DID$ED93: System Cooling Fan-1 (duty)</t>
    <phoneticPr fontId="13"/>
  </si>
  <si>
    <t>T.B.D.</t>
    <phoneticPr fontId="13"/>
  </si>
  <si>
    <t>How should handle $03(Not Equipped)?
(it doesn't seem the request value but the status)
Is $03(Not Equipped) the only request for RDBI, in case this component is disabled by system constant?</t>
    <phoneticPr fontId="13"/>
  </si>
  <si>
    <t>Oveall</t>
    <phoneticPr fontId="13"/>
  </si>
  <si>
    <t>- Update each format</t>
    <phoneticPr fontId="13"/>
  </si>
  <si>
    <t>OV_W_BAT2</t>
    <phoneticPr fontId="13"/>
  </si>
  <si>
    <r>
      <t xml:space="preserve">#5
</t>
    </r>
    <r>
      <rPr>
        <b/>
        <sz val="10"/>
        <color rgb="FFFF0000"/>
        <rFont val="Tahoma"/>
        <family val="2"/>
      </rPr>
      <t>#6</t>
    </r>
    <phoneticPr fontId="13"/>
  </si>
  <si>
    <t>T.B.D.
(0xXXXX = 0Hz ~ 0xYYYY = 818Hz)</t>
    <phoneticPr fontId="13"/>
  </si>
  <si>
    <t>T.B.D.
(0xXX = 0% ~ 0xYY = 100%)</t>
    <phoneticPr fontId="13"/>
  </si>
  <si>
    <t>Mar.23</t>
  </si>
  <si>
    <t>---</t>
    <phoneticPr fontId="43"/>
  </si>
  <si>
    <t>FC: PTOSwt_VD</t>
    <phoneticPr fontId="43"/>
  </si>
  <si>
    <t>-</t>
    <phoneticPr fontId="43"/>
  </si>
  <si>
    <t>FC : ComScl</t>
    <phoneticPr fontId="43"/>
  </si>
  <si>
    <t>Com_Rx_KASO_COMN_IDENTIFICATION</t>
    <phoneticPr fontId="43"/>
  </si>
  <si>
    <t>Com_Rx_KASO_COMN_CONSUMPTION</t>
    <phoneticPr fontId="43"/>
  </si>
  <si>
    <t>ChrgrPlgProxPlt_VD</t>
  </si>
  <si>
    <t>Not available in SW12</t>
  </si>
  <si>
    <t>Dcdc_Vd24V</t>
    <phoneticPr fontId="43"/>
  </si>
  <si>
    <t>Dcdc_flgAvl24V (True: "Installed")</t>
  </si>
  <si>
    <t>GbxPos_VD</t>
  </si>
  <si>
    <t>GbxPos_stGearLvrReq:
GBX_GEARLVR_D=5
GBX_GEARLVR_N=6
GBX_GEARLVR_R=7
GBX_GEARLVR_P =8
UNKNOWN=0</t>
  </si>
  <si>
    <t>Gbx_stGearLvr:
GBX_GEARLVR_D=5
GBX_GEARLVR_N=6
GBX_GEARLVR_R=7
GBX_GEARLVR_P =8
UNKNOWN=0</t>
  </si>
  <si>
    <t>VehCoorn_StMac</t>
  </si>
  <si>
    <t>VehCoorn_flgLoSplyExtReq (True: "Request")</t>
  </si>
  <si>
    <t>Dcdc_OperVd
ElSS_Adpr</t>
  </si>
  <si>
    <t>Dcdc_flgActnDmd &amp;&amp; Not(ElSS_flgActvnPtdDcdc)</t>
  </si>
  <si>
    <t xml:space="preserve">
Dcdc_Vd24V
ElSS_Adpr</t>
  </si>
  <si>
    <t>Dcdc_flgActnDmd24V &amp;&amp; Not(ElSS_flgActvnPtdDcdc24V)</t>
  </si>
  <si>
    <t>HeatrECU_Heatr
ElSS_Adpr</t>
  </si>
  <si>
    <t>HeatrECU_flgActnDmd &amp;&amp; Not(ElSS_flgActvnPtdPtc)</t>
  </si>
  <si>
    <t>0b (Off)
1b (On)</t>
    <phoneticPr fontId="13"/>
  </si>
  <si>
    <t>0b (Not affected)
1b (affected)</t>
    <phoneticPr fontId="13"/>
  </si>
  <si>
    <t>0b (Unused)</t>
    <phoneticPr fontId="13"/>
  </si>
  <si>
    <t>--&gt;</t>
    <phoneticPr fontId="13"/>
  </si>
  <si>
    <t>Off</t>
    <phoneticPr fontId="13"/>
  </si>
  <si>
    <t>On</t>
    <phoneticPr fontId="13"/>
  </si>
  <si>
    <t>Response</t>
    <phoneticPr fontId="13"/>
  </si>
  <si>
    <t>2F 03</t>
    <phoneticPr fontId="13"/>
  </si>
  <si>
    <t>Positive Response</t>
    <phoneticPr fontId="13"/>
  </si>
  <si>
    <t>Actuator</t>
    <phoneticPr fontId="13"/>
  </si>
  <si>
    <t>A</t>
    <phoneticPr fontId="13"/>
  </si>
  <si>
    <t>B</t>
    <phoneticPr fontId="13"/>
  </si>
  <si>
    <t>NRC$31</t>
    <phoneticPr fontId="13"/>
  </si>
  <si>
    <t>Actuator.A</t>
    <phoneticPr fontId="13"/>
  </si>
  <si>
    <t>Actuator.B</t>
    <phoneticPr fontId="13"/>
  </si>
  <si>
    <t>#1</t>
    <phoneticPr fontId="13"/>
  </si>
  <si>
    <t>IOCBI</t>
    <phoneticPr fontId="13"/>
  </si>
  <si>
    <t>IOI</t>
    <phoneticPr fontId="13"/>
  </si>
  <si>
    <t>$2F</t>
    <phoneticPr fontId="13"/>
  </si>
  <si>
    <t>#2
#3</t>
    <phoneticPr fontId="13"/>
  </si>
  <si>
    <t>$ED15, $ED19, $ED1B</t>
    <phoneticPr fontId="13"/>
  </si>
  <si>
    <t>$ED11, $ED12, $ED13, $ED14, $ED17, $ED1A, $ED1C</t>
    <phoneticPr fontId="13"/>
  </si>
  <si>
    <t>IOCBIPR</t>
  </si>
  <si>
    <t>$6F</t>
    <phoneticPr fontId="13"/>
  </si>
  <si>
    <t>$ED1D</t>
    <phoneticPr fontId="13"/>
  </si>
  <si>
    <t>$ED80</t>
    <phoneticPr fontId="13"/>
  </si>
  <si>
    <t>$ED85, $ED87, $ED8B, $ED8D, $ED93</t>
    <phoneticPr fontId="13"/>
  </si>
  <si>
    <t>OR_VP2</t>
    <phoneticPr fontId="13"/>
  </si>
  <si>
    <r>
      <t xml:space="preserve">CooltVlvHvb_rDesVal / </t>
    </r>
    <r>
      <rPr>
        <b/>
        <sz val="10"/>
        <color rgb="FFFF0000"/>
        <rFont val="Tahoma"/>
        <family val="2"/>
      </rPr>
      <t>NA(in LD)</t>
    </r>
    <phoneticPr fontId="13"/>
  </si>
  <si>
    <r>
      <t xml:space="preserve">CooltVlvHvb_O_S_ATS / </t>
    </r>
    <r>
      <rPr>
        <b/>
        <sz val="10"/>
        <color rgb="FFFF0000"/>
        <rFont val="Tahoma"/>
        <family val="2"/>
      </rPr>
      <t>NA(in LD)</t>
    </r>
    <phoneticPr fontId="13"/>
  </si>
  <si>
    <r>
      <t xml:space="preserve">BrkBstPmp_stPmpStrtATSReq / </t>
    </r>
    <r>
      <rPr>
        <b/>
        <sz val="10"/>
        <color rgb="FFFF0000"/>
        <rFont val="Tahoma"/>
        <family val="2"/>
      </rPr>
      <t>T.B.D. (available on SW21)</t>
    </r>
    <phoneticPr fontId="13"/>
  </si>
  <si>
    <r>
      <t xml:space="preserve">BrkBstPmp_O_S_ATS / </t>
    </r>
    <r>
      <rPr>
        <b/>
        <sz val="10"/>
        <color rgb="FFFF0000"/>
        <rFont val="Tahoma"/>
        <family val="2"/>
      </rPr>
      <t>T.B.D. (available on SW21)</t>
    </r>
    <phoneticPr fontId="13"/>
  </si>
  <si>
    <r>
      <t xml:space="preserve">0b (Unused)
</t>
    </r>
    <r>
      <rPr>
        <sz val="10"/>
        <color rgb="FFFF0000"/>
        <rFont val="Tahoma"/>
        <family val="2"/>
      </rPr>
      <t>01 (*)</t>
    </r>
    <phoneticPr fontId="13"/>
  </si>
  <si>
    <t>*…This bit is only used in RDBI, if Actuator.B is not equipped in corresponding variants.</t>
    <phoneticPr fontId="13"/>
  </si>
  <si>
    <t>Actuator.A &amp; B must keep normal control.</t>
  </si>
  <si>
    <t>Actuator.A &amp; B must keep normal control.</t>
    <phoneticPr fontId="13"/>
  </si>
  <si>
    <t>Actuator.B must keep normal control.</t>
    <phoneticPr fontId="13"/>
  </si>
  <si>
    <t>Actuator.A &amp; B  must keep normal control.</t>
    <phoneticPr fontId="13"/>
  </si>
  <si>
    <t>Actuator.B  must keep normal control.</t>
    <phoneticPr fontId="13"/>
  </si>
  <si>
    <t>- Add matrix to clarify bitmappedDID behavior</t>
    <phoneticPr fontId="13"/>
  </si>
  <si>
    <t>IOCBI(Layout)</t>
    <phoneticPr fontId="13"/>
  </si>
  <si>
    <t>ACCECU_Acc</t>
  </si>
  <si>
    <t>Com_Tx_Kick_Down_SW</t>
  </si>
  <si>
    <t>To be checked "0x2: APS Fail". Probably it can calculate with APP_stSigSrc (bit 3).</t>
    <phoneticPr fontId="43"/>
  </si>
  <si>
    <t>EMECU_EM</t>
    <phoneticPr fontId="43"/>
  </si>
  <si>
    <t>Com_Tx_INV_HV_Ready</t>
  </si>
  <si>
    <t>Com_Tx_INV_Enb_Req</t>
  </si>
  <si>
    <t>Com_Tx_INV_Trq_Req</t>
  </si>
  <si>
    <t>3/26/2022 nai1yh :
In EMECU_Em 39.5.0;0, SNA is not sent.</t>
  </si>
  <si>
    <t>Com_Tx_INV_Plock_Req</t>
  </si>
  <si>
    <t>3/26/2022 nai1yh :
In EMECU_Em 39.5.0;0,  one of followings is taken.
0x0: IDLE (during ECU init)
0x1: ENGAGE
0x3: DISENGAGE</t>
  </si>
  <si>
    <t>Com_Tx_Driver_Out_Cab</t>
  </si>
  <si>
    <t>HvBatt_VD</t>
    <phoneticPr fontId="43"/>
  </si>
  <si>
    <t>Com_Tx_BATT_MODE_CMD</t>
  </si>
  <si>
    <t>Com_Tx_HV_RELAY_REQ</t>
  </si>
  <si>
    <t>ChrgrCtrl_VD</t>
  </si>
  <si>
    <t>ChrgrRly_stRlyDes</t>
  </si>
  <si>
    <t>PTOSwt_VD</t>
  </si>
  <si>
    <t>Com_Tx_EPTO_RELAY_REQ</t>
  </si>
  <si>
    <t>Dcdc_OperVd</t>
  </si>
  <si>
    <t>Dcdc_stDesDcdc</t>
  </si>
  <si>
    <t>Dcdc_uDesLvGrid</t>
  </si>
  <si>
    <t>Dcdc_iLimHvGrid</t>
  </si>
  <si>
    <t>HvBatt_uDesPrecDcLnk</t>
  </si>
  <si>
    <t>Com_Tx_DCDC24_Output_Permission</t>
  </si>
  <si>
    <t>3/26/2022 nai1yh
0x3 is not supported with Com_Tx_DCDC24_Output_Permission.
Calibration parameter needs to be checked to know if Vehicle has DCDC24.</t>
  </si>
  <si>
    <t>Com_Tx_DCDC24_Req_Vol</t>
  </si>
  <si>
    <t>3/26/2022 nai1yh
0xFF is not supported with Com_Tx_DCDC24_Req_Vol.
Calibration parameter needs to be checked to know if Vehicle has DCDC24.</t>
  </si>
  <si>
    <t>ComScl_EngEV</t>
    <phoneticPr fontId="43"/>
  </si>
  <si>
    <t>3/26/2022 nai1yh
0xFF is not supported with Dcdc_tAct24V.
Calibration parameter needs to be checked to know if Vehicle has DCDC24.</t>
  </si>
  <si>
    <t>Dcdc_uLvAct24V</t>
  </si>
  <si>
    <t>Dcdc_iLvAct24V</t>
  </si>
  <si>
    <t>Com_Rx_DCDC24_Rx_Err</t>
  </si>
  <si>
    <t>Com_Rx_DCDC24_Output_Stat</t>
  </si>
  <si>
    <t>3/28/2022 nai1yh
0x3 is not supported with Com_Rx_DCDC24_Output_Stat.
Calibration parameter needs to be checked to know if Vehicle has DCDC24.</t>
  </si>
  <si>
    <t>Com_Rx_DCDC24_Cur_Limit</t>
  </si>
  <si>
    <t>3/28/2022 nai1yh
0x3 is not supported with Com_Rx_DCDC24_Cur_Limit.
Calibration parameter needs to be checked to know if Vehicle has DCDC24.</t>
  </si>
  <si>
    <t>Com_Rx_DCDC24_OverTemp_Limit</t>
  </si>
  <si>
    <t>3/28/2022 nai1yh
0x3 is not supported with Com_Rx_DCDC24_OverTemp_Limit.
Calibration parameter needs to be checked to know if Vehicle has DCDC24.</t>
  </si>
  <si>
    <t>Com_Rx_DCDC24_Internal_Fail</t>
  </si>
  <si>
    <t>3/28/2022 nai1yh
0x3 is not supported with Com_Rx_DCDC24_Internal_Fail.
Calibration parameter needs to be checked to know if Vehicle has DCDC24.</t>
  </si>
  <si>
    <t>Com_Rx_DCDC24_Output_LoVol_Protect</t>
  </si>
  <si>
    <t>3/28/2022 nai1yh
0x3 is not supported with Com_Rx_DCDC24_Output_LoVol_Protect.
Calibration parameter needs to be checked to know if Vehicle has DCDC24.</t>
  </si>
  <si>
    <t>Com_Rx_DCDC24_Input_LoVol_Protect</t>
  </si>
  <si>
    <t>3/28/2022 nai1yh
0x3 is not supported with Com_Rx_DCDC24_Input_LoVol_Protect.
Calibration parameter needs to be checked to know if Vehicle has DCDC24.</t>
  </si>
  <si>
    <t>Com_Rx_DCDC24_Input_OverVol_Protect</t>
  </si>
  <si>
    <t>3/28/2022 nai1yh
0x3 is not supported with Com_Rx_DCDC24_Input_OverVol_Protect.
Calibration parameter needs to be checked to know if Vehicle has DCDC24.</t>
  </si>
  <si>
    <t>Com_Rx_DCDC24_Output_OverVol_Protect</t>
  </si>
  <si>
    <t>3/28/2022 nai1yh
0x3 is not supported with Com_Rx_DCDC24_Output_OverVol_Protect.
Calibration parameter needs to be checked to know if Vehicle has DCDC24.</t>
  </si>
  <si>
    <t>Com_Rx_DCDC24_OverTemp_Protect</t>
  </si>
  <si>
    <t>3/28/2022 nai1yh
0x3 is not supported with Com_Rx_DCDC24_OverTemp_Protect.
Calibration parameter needs to be checked to know if Vehicle has DCDC24.</t>
  </si>
  <si>
    <t>Com_Rx_DCDC24_Internal_Protect</t>
  </si>
  <si>
    <t>3/28/2022 nai1yh
0x3 is not supported with Com_Rx_DCDC24_Internal_Protect.
Calibration parameter needs to be checked to know if Vehicle has DCDC24.</t>
  </si>
  <si>
    <t>Com_Rx_DCDC24_Output_OverCur_Protect</t>
  </si>
  <si>
    <t>3/28/2022 nai1yh
0x3 is not supported with Com_Rx_DCDC24_Output_OverCur_Protect.
Calibration parameter needs to be checked to know if Vehicle has DCDC24.</t>
  </si>
  <si>
    <t>AirCECU_AirCEV</t>
    <phoneticPr fontId="43"/>
  </si>
  <si>
    <t>Com_Tx_HV_Power_Limit_Req</t>
    <phoneticPr fontId="43"/>
  </si>
  <si>
    <t>HeatrECU_Heatr</t>
    <phoneticPr fontId="43"/>
  </si>
  <si>
    <t>Com_Tx_HTR1_pwr_max</t>
    <phoneticPr fontId="43"/>
  </si>
  <si>
    <t>Com_Tx_HTR1_coolant_temp_cmd</t>
    <phoneticPr fontId="43"/>
  </si>
  <si>
    <t>ComScl_EngLin</t>
    <phoneticPr fontId="43"/>
  </si>
  <si>
    <t>Com_Tx_HTR1_output_req</t>
  </si>
  <si>
    <t>Com_Rx_HTR1_stat</t>
  </si>
  <si>
    <t>Com_Rx_HTR1_protect_ovht_actv</t>
  </si>
  <si>
    <t>Com_Rx_HTR1_coolant_temp_in</t>
  </si>
  <si>
    <t>Com_Rx_HTR1_coolant_temp_out</t>
  </si>
  <si>
    <t>Com_Rx_HTR1_HV_pwr_act</t>
    <phoneticPr fontId="43"/>
  </si>
  <si>
    <t>Com_Rx_HTR1_DIAG_LIN_comm</t>
  </si>
  <si>
    <t>Com_Rx_HTR1_DIAG_internal_comm</t>
  </si>
  <si>
    <t>Com_Rx_HTR1_DIAG_volt_hi</t>
  </si>
  <si>
    <t>Com_Rx_HTR1_DIAG_volt_lo</t>
  </si>
  <si>
    <t>Com_Rx_HTR1_DIAG_coolant_temp_hi</t>
  </si>
  <si>
    <t>Com_Rx_HTR1_DIAG_ovht</t>
  </si>
  <si>
    <t>Com_Rx_HTR1_DIAG_hw</t>
  </si>
  <si>
    <t>Com_Rx_HTR1_DIAG_temp_in_sens</t>
  </si>
  <si>
    <t>Com_Rx_HTR1_DIAG_temp_out_sens</t>
  </si>
  <si>
    <t>Com_Rx_HTR1_DIAG_ovht_sens</t>
  </si>
  <si>
    <t>Com_Rx_HTR1_DIAG_circuit</t>
  </si>
  <si>
    <t>Com_Rx_HTR1_DIAG_curr_hi</t>
  </si>
  <si>
    <t>Com_Rx_HTR1_DIAG_memory</t>
  </si>
  <si>
    <t>Com_Rx_HTR1_DIAG_dcdc_volt</t>
  </si>
  <si>
    <t>Com_Tx_HTR2_pwr_max</t>
  </si>
  <si>
    <t>Com_Tx_HTR2_coolant_temp_cmd</t>
  </si>
  <si>
    <t>Com_Tx_HTR2_output_req</t>
  </si>
  <si>
    <t>Com_Rx_HTR2_stat</t>
  </si>
  <si>
    <t>Com_Rx_HTR2_protect_ovht_actv</t>
  </si>
  <si>
    <t>Com_Rx_HTR2_coolant_temp_out</t>
  </si>
  <si>
    <t>Com_Rx_HTR2_HV_volt_act</t>
  </si>
  <si>
    <t>Com_Rx_HTR2_HV_pwr_act</t>
  </si>
  <si>
    <t>Com_Rx_HTR2_DIAG_LIN_comm</t>
  </si>
  <si>
    <t>Com_Rx_HTR2_DIAG_internal_comm</t>
  </si>
  <si>
    <t>Com_Rx_HTR2_DIAG_volt_hi</t>
  </si>
  <si>
    <t>Com_Rx_HTR2_DIAG_volt_lo</t>
  </si>
  <si>
    <t>Com_Rx_HTR2_DIAG_coolant_temp_hi</t>
  </si>
  <si>
    <t>Com_Rx_HTR2_DIAG_hw</t>
  </si>
  <si>
    <t>Com_Rx_HTR2_DIAG_temp_in_sens</t>
  </si>
  <si>
    <t>Com_Rx_HTR2_DIAG_temp_out_sens</t>
  </si>
  <si>
    <t>Com_Rx_HTR2_DIAG_ovht_sens</t>
  </si>
  <si>
    <t>Com_Rx_HTR2_DIAG_circuit</t>
  </si>
  <si>
    <t>Com_Rx_HTR2_DIAG_curr_hi</t>
  </si>
  <si>
    <t>Com_Rx_HTR2_DIAG_memory</t>
  </si>
  <si>
    <t>Com_Rx_HTR2_DIAG_dcdc_volt</t>
  </si>
  <si>
    <t>ChrgrSt_stChrgnEna</t>
  </si>
  <si>
    <t>ObcmECU_Obcm</t>
  </si>
  <si>
    <t>Com_Tx_OBC_S2_State</t>
  </si>
  <si>
    <t>ChrgrReqdVal_VD</t>
  </si>
  <si>
    <t>ChrgrVal_iChrgrDes</t>
  </si>
  <si>
    <t>For LD Project</t>
    <phoneticPr fontId="13"/>
  </si>
  <si>
    <t>For BUS Project</t>
    <phoneticPr fontId="13"/>
  </si>
  <si>
    <t>ATS ID</t>
  </si>
  <si>
    <r>
      <t xml:space="preserve">BrkBstPmp_O_S_ATS / </t>
    </r>
    <r>
      <rPr>
        <b/>
        <sz val="10"/>
        <color theme="0"/>
        <rFont val="Tahoma"/>
        <family val="2"/>
      </rPr>
      <t>T.B.D. (available on SW21)</t>
    </r>
    <phoneticPr fontId="13"/>
  </si>
  <si>
    <t>System condition</t>
    <phoneticPr fontId="13"/>
  </si>
  <si>
    <t>Repose</t>
    <phoneticPr fontId="13"/>
  </si>
  <si>
    <t>AcIvtrEna_rDesVal</t>
    <phoneticPr fontId="13"/>
  </si>
  <si>
    <t>$00 (returnControlToECU)</t>
    <phoneticPr fontId="13"/>
  </si>
  <si>
    <t>IOCBI(NRC Matrix)</t>
    <phoneticPr fontId="13"/>
  </si>
  <si>
    <t>Request Format</t>
    <phoneticPr fontId="13"/>
  </si>
  <si>
    <t>0b (Disable)
1b (Enable)</t>
    <phoneticPr fontId="13"/>
  </si>
  <si>
    <t>DID$ED1D: Water Circuit Switching Valve of Battery Cooling (LD)</t>
    <phoneticPr fontId="13"/>
  </si>
  <si>
    <t>DID$ED1D: Water Circuit Switching Valve of Battery Cooling (BUS)</t>
    <phoneticPr fontId="13"/>
  </si>
  <si>
    <t>OD0188FCTJ0015</t>
  </si>
  <si>
    <t>OD0188FCTJ0022</t>
  </si>
  <si>
    <t>OD0188FCTJ0023</t>
  </si>
  <si>
    <t>OD0188FCTJ0024</t>
  </si>
  <si>
    <t>OD0188FCTJ0004</t>
  </si>
  <si>
    <t>---</t>
    <phoneticPr fontId="67"/>
  </si>
  <si>
    <t>---</t>
    <phoneticPr fontId="13"/>
  </si>
  <si>
    <t>SID</t>
    <phoneticPr fontId="13"/>
  </si>
  <si>
    <t>SID$2A</t>
    <phoneticPr fontId="13"/>
  </si>
  <si>
    <t>sendAtSlowRate (200ms)</t>
    <phoneticPr fontId="13"/>
  </si>
  <si>
    <t>sendAtMediumRate (100ms)</t>
    <phoneticPr fontId="13"/>
  </si>
  <si>
    <t>sendAtFastRate (20ms)</t>
    <phoneticPr fontId="13"/>
  </si>
  <si>
    <t>- Remove T.B.C. from sampling rate</t>
    <phoneticPr fontId="13"/>
  </si>
  <si>
    <t>Customer OPL</t>
    <phoneticPr fontId="13"/>
  </si>
  <si>
    <t>#44</t>
    <phoneticPr fontId="13"/>
  </si>
  <si>
    <t>#53</t>
    <phoneticPr fontId="13"/>
  </si>
  <si>
    <t>#55</t>
    <phoneticPr fontId="13"/>
  </si>
  <si>
    <t>Customer OPL#45</t>
    <phoneticPr fontId="13"/>
  </si>
  <si>
    <t>X</t>
    <phoneticPr fontId="67"/>
  </si>
  <si>
    <r>
      <t xml:space="preserve">X
</t>
    </r>
    <r>
      <rPr>
        <b/>
        <vertAlign val="superscript"/>
        <sz val="10"/>
        <rFont val="Tahoma"/>
        <family val="2"/>
      </rPr>
      <t>(*2)</t>
    </r>
  </si>
  <si>
    <r>
      <t xml:space="preserve">X
</t>
    </r>
    <r>
      <rPr>
        <b/>
        <vertAlign val="superscript"/>
        <sz val="10"/>
        <rFont val="Tahoma"/>
        <family val="2"/>
      </rPr>
      <t>(*1)</t>
    </r>
  </si>
  <si>
    <r>
      <rPr>
        <b/>
        <sz val="10"/>
        <rFont val="Tahoma"/>
        <family val="2"/>
      </rPr>
      <t>RID</t>
    </r>
    <r>
      <rPr>
        <sz val="10"/>
        <rFont val="Tahoma"/>
        <family val="2"/>
      </rPr>
      <t xml:space="preserve">
</t>
    </r>
    <phoneticPr fontId="13"/>
  </si>
  <si>
    <t>all</t>
    <phoneticPr fontId="13"/>
  </si>
  <si>
    <t>- Reset color</t>
    <phoneticPr fontId="13"/>
  </si>
  <si>
    <t>- RID$1502 is not supported in CB (it means RID$1502 on CB doesn't not even responds the positive response)
- Used to try reconnect the high voltage system for service.
- It returns positive response (0x71), when Vehicle state == STANDBY or DRIVE or NCHG or QCHG or V2L.
- It returns NRC 0xF1, 10sec have passed since this RID is received (Timeout).
- *NRC described in "RoutineControl (SID=0x31)" must also be supported.</t>
    <phoneticPr fontId="13"/>
  </si>
  <si>
    <t>0b (Unused)
01 (*)</t>
    <phoneticPr fontId="13"/>
  </si>
  <si>
    <t>Revision</t>
    <phoneticPr fontId="13"/>
  </si>
  <si>
    <t>Actuator Name</t>
  </si>
  <si>
    <t xml:space="preserve"> 0x03     </t>
  </si>
  <si>
    <t xml:space="preserve"> 0x04     </t>
  </si>
  <si>
    <t xml:space="preserve"> 0x05     </t>
  </si>
  <si>
    <t xml:space="preserve"> 0x06     </t>
  </si>
  <si>
    <t xml:space="preserve"> 0x07     </t>
  </si>
  <si>
    <t xml:space="preserve"> 0x08     </t>
  </si>
  <si>
    <t xml:space="preserve"> 0x09     </t>
  </si>
  <si>
    <t xml:space="preserve"> 0x0a     </t>
  </si>
  <si>
    <t xml:space="preserve"> 0x0b     </t>
  </si>
  <si>
    <t xml:space="preserve"> 0x0c     </t>
  </si>
  <si>
    <t xml:space="preserve"> 0x0d     </t>
  </si>
  <si>
    <t xml:space="preserve"> 0x0e     </t>
  </si>
  <si>
    <t xml:space="preserve"> 0x0f     </t>
  </si>
  <si>
    <t xml:space="preserve"> 0x10     </t>
  </si>
  <si>
    <t xml:space="preserve"> 0x11     </t>
  </si>
  <si>
    <t xml:space="preserve"> 0x12     </t>
  </si>
  <si>
    <t xml:space="preserve"> 0x13     </t>
  </si>
  <si>
    <t xml:space="preserve"> 0x14     </t>
  </si>
  <si>
    <t xml:space="preserve"> 0x15     </t>
  </si>
  <si>
    <t xml:space="preserve"> 0x16     </t>
  </si>
  <si>
    <t xml:space="preserve"> 0x17     </t>
  </si>
  <si>
    <t xml:space="preserve"> 0x18     </t>
  </si>
  <si>
    <t xml:space="preserve"> 0x19     </t>
  </si>
  <si>
    <t xml:space="preserve"> 0x1a     </t>
  </si>
  <si>
    <t xml:space="preserve"> 0x1b     </t>
  </si>
  <si>
    <t xml:space="preserve"> 0x1c     </t>
  </si>
  <si>
    <t xml:space="preserve"> 0x1d     </t>
  </si>
  <si>
    <t xml:space="preserve"> 0x1e     </t>
  </si>
  <si>
    <t xml:space="preserve"> 0x1f     </t>
  </si>
  <si>
    <t xml:space="preserve"> 0x20     </t>
  </si>
  <si>
    <t xml:space="preserve"> 0x21     </t>
  </si>
  <si>
    <t xml:space="preserve"> 0x22     </t>
  </si>
  <si>
    <t xml:space="preserve"> 0x23     </t>
  </si>
  <si>
    <t xml:space="preserve"> 0x24     </t>
  </si>
  <si>
    <t xml:space="preserve"> 0x25     </t>
  </si>
  <si>
    <t xml:space="preserve"> 0x26     </t>
  </si>
  <si>
    <t xml:space="preserve"> 0x27     </t>
  </si>
  <si>
    <t xml:space="preserve"> 0x28     </t>
  </si>
  <si>
    <t xml:space="preserve"> 0x29     </t>
  </si>
  <si>
    <t>ChademoChrgnEnaDiagU_ATS</t>
  </si>
  <si>
    <t>ChademoChrgrIntkT1_ATS</t>
  </si>
  <si>
    <t>ChademoChrgrIntkT2_ATS</t>
  </si>
  <si>
    <t>ChademoPxpEna_O_S_ATS</t>
  </si>
  <si>
    <t>CooltPmpHvb_DTYCYC_O_S_ATS</t>
  </si>
  <si>
    <t>CooltPmpHvb_O_S_ATS</t>
  </si>
  <si>
    <t>CooltPmpInvr_DTYCYC_O_S_ATS</t>
  </si>
  <si>
    <t>CooltPmpInvr_O_S_ATS</t>
  </si>
  <si>
    <t>CooltTIn_ATS</t>
  </si>
  <si>
    <t>CooltTOut_ATS</t>
  </si>
  <si>
    <t>CooltTRadrOut_ATS</t>
  </si>
  <si>
    <t>CtPSwtActr_O_S_ATS</t>
  </si>
  <si>
    <t>CtPSwtDiag_ATS</t>
  </si>
  <si>
    <t>CtpCarrFrq_ATS</t>
  </si>
  <si>
    <t>Fan1_O_S_ATS</t>
  </si>
  <si>
    <t>HvbT1_ATS</t>
  </si>
  <si>
    <t>HvbT2_ATS</t>
  </si>
  <si>
    <t>PwmCtP_ATS</t>
  </si>
  <si>
    <t>SCtPmp_DTYCYC_O_S_ATS</t>
  </si>
  <si>
    <t>SCtPmp_O_S_ATS</t>
  </si>
  <si>
    <t>ThmPmp_DTYCYC_O_S_ATS</t>
  </si>
  <si>
    <t>ThmPmp_O_S_ATS</t>
  </si>
  <si>
    <t>UCtP_ATS</t>
  </si>
  <si>
    <t>UPxP1_ATS</t>
  </si>
  <si>
    <t>UPxP2_ATS</t>
  </si>
  <si>
    <t>Assigned ID</t>
    <phoneticPr fontId="13"/>
  </si>
  <si>
    <t>ID in hex</t>
    <phoneticPr fontId="13"/>
  </si>
  <si>
    <t>System 12V Relay</t>
  </si>
  <si>
    <t>Motor Control Unit Ignition Signal</t>
  </si>
  <si>
    <t>CHAdeMO Quick Charger Enable Signal</t>
  </si>
  <si>
    <t>ED12</t>
    <phoneticPr fontId="13"/>
  </si>
  <si>
    <t>ED11</t>
    <phoneticPr fontId="13"/>
  </si>
  <si>
    <t>ED13</t>
    <phoneticPr fontId="13"/>
  </si>
  <si>
    <t>ED14</t>
    <phoneticPr fontId="13"/>
  </si>
  <si>
    <t>ED15</t>
    <phoneticPr fontId="13"/>
  </si>
  <si>
    <t>Vacuum Pump Relay(relay-1)</t>
    <phoneticPr fontId="13"/>
  </si>
  <si>
    <t>Where is relay-2?</t>
    <phoneticPr fontId="13"/>
  </si>
  <si>
    <t>ED17</t>
    <phoneticPr fontId="13"/>
  </si>
  <si>
    <t>Neutral Relay</t>
  </si>
  <si>
    <t>A/C condenser fan relay (On-Relay)</t>
    <phoneticPr fontId="13"/>
  </si>
  <si>
    <t>ED19</t>
    <phoneticPr fontId="13"/>
  </si>
  <si>
    <t>A/C condenser fan relay (High-Relay)</t>
    <phoneticPr fontId="13"/>
  </si>
  <si>
    <t>ED1A</t>
    <phoneticPr fontId="13"/>
  </si>
  <si>
    <t>ED1B</t>
    <phoneticPr fontId="13"/>
  </si>
  <si>
    <t>HV Battery Charging Lamp (Error Lamp)</t>
    <phoneticPr fontId="13"/>
  </si>
  <si>
    <t>HV Battery Charging Lamp (Charging Lamp)</t>
    <phoneticPr fontId="13"/>
  </si>
  <si>
    <t>Shift Parking Position Signal for AVAS</t>
  </si>
  <si>
    <t>ED1C</t>
    <phoneticPr fontId="13"/>
  </si>
  <si>
    <t>Vehicle Speed Pulse to AVAS (frequency)</t>
    <phoneticPr fontId="13"/>
  </si>
  <si>
    <t>ED80</t>
    <phoneticPr fontId="13"/>
  </si>
  <si>
    <t>Signal test</t>
  </si>
  <si>
    <t>Signal test for Brake Booster Vacuum Pump actuator</t>
  </si>
  <si>
    <t>Test Demand for Sensors</t>
  </si>
  <si>
    <t>Dutycycle Signal test</t>
  </si>
  <si>
    <t>Test of sound generator for pedestrian</t>
  </si>
  <si>
    <t>ats_report.txt on VC1CP091_ISZELFEV__213A0__0__Build_12</t>
    <phoneticPr fontId="13"/>
  </si>
  <si>
    <t>Tester Requirement</t>
    <phoneticPr fontId="13"/>
  </si>
  <si>
    <t>SID$27</t>
    <phoneticPr fontId="13"/>
  </si>
  <si>
    <t xml:space="preserve">- Supported --&gt; Not supported for NRC$31(ConditionsNotCorrect) </t>
    <phoneticPr fontId="13"/>
  </si>
  <si>
    <t>Apr.01</t>
  </si>
  <si>
    <t>DID(WDBI)</t>
  </si>
  <si>
    <t>DID$EB10, $EB11, $EB12</t>
  </si>
  <si>
    <r>
      <t>- Change management number to "OD0188FCTJ001</t>
    </r>
    <r>
      <rPr>
        <u/>
        <sz val="9"/>
        <rFont val="Tahoma"/>
        <family val="2"/>
      </rPr>
      <t>5</t>
    </r>
    <r>
      <rPr>
        <sz val="9"/>
        <rFont val="Tahoma"/>
        <family val="2"/>
      </rPr>
      <t>" from "OD0188FCTJ001</t>
    </r>
    <r>
      <rPr>
        <u/>
        <sz val="9"/>
        <rFont val="Tahoma"/>
        <family val="2"/>
      </rPr>
      <t>3</t>
    </r>
    <r>
      <rPr>
        <sz val="9"/>
        <rFont val="Tahoma"/>
        <family val="2"/>
      </rPr>
      <t>"</t>
    </r>
  </si>
  <si>
    <t>0x1021</t>
    <phoneticPr fontId="67"/>
  </si>
  <si>
    <t>SIA_TSTR_RD_FAIL_STATUS1</t>
    <phoneticPr fontId="67"/>
  </si>
  <si>
    <t>0x1022</t>
    <phoneticPr fontId="67"/>
  </si>
  <si>
    <t>SIA_TSTR_RD_FAIL_STATUS2</t>
    <phoneticPr fontId="67"/>
  </si>
  <si>
    <t>SIA_TSTR_RD_FAIL_STATUS3</t>
    <phoneticPr fontId="67"/>
  </si>
  <si>
    <t>0x107C</t>
    <phoneticPr fontId="67"/>
  </si>
  <si>
    <t>SIA_TSTR_RD_SECU_KEY_NEW</t>
    <phoneticPr fontId="67"/>
  </si>
  <si>
    <t>0x107E</t>
    <phoneticPr fontId="67"/>
  </si>
  <si>
    <t>SIA_TSTR_RD_SECU_KEY_OLD</t>
    <phoneticPr fontId="67"/>
  </si>
  <si>
    <t>0x1020~0x10FF: Immobilizer</t>
    <phoneticPr fontId="13"/>
  </si>
  <si>
    <t>00…</t>
    <phoneticPr fontId="67"/>
  </si>
  <si>
    <t>FF…</t>
    <phoneticPr fontId="33"/>
  </si>
  <si>
    <t>DID</t>
    <phoneticPr fontId="13"/>
  </si>
  <si>
    <t>DID$1021, $1022, $1023, $107C
$107E</t>
    <phoneticPr fontId="13"/>
  </si>
  <si>
    <t>- Add immobilizer relevant DIDs</t>
    <phoneticPr fontId="13"/>
  </si>
  <si>
    <t>6</t>
    <phoneticPr fontId="67"/>
  </si>
  <si>
    <t>16</t>
    <phoneticPr fontId="67"/>
  </si>
  <si>
    <t>Read the status fail byte1</t>
    <phoneticPr fontId="67"/>
  </si>
  <si>
    <t>Read the status fail byte2</t>
    <phoneticPr fontId="67"/>
  </si>
  <si>
    <t>Read the status fail byte3</t>
    <phoneticPr fontId="67"/>
  </si>
  <si>
    <t>0xE07B</t>
    <phoneticPr fontId="67"/>
  </si>
  <si>
    <t>SIA_TSTR_RST_SECU_ACS</t>
    <phoneticPr fontId="13"/>
  </si>
  <si>
    <t>module call</t>
    <phoneticPr fontId="13"/>
  </si>
  <si>
    <t>0xE07D</t>
    <phoneticPr fontId="67"/>
  </si>
  <si>
    <t>0xE07E</t>
    <phoneticPr fontId="67"/>
  </si>
  <si>
    <t>Write Secret Key (New)</t>
    <phoneticPr fontId="67"/>
  </si>
  <si>
    <t>Read Secret Key (New)</t>
    <phoneticPr fontId="67"/>
  </si>
  <si>
    <t>Read Secret Key (Old)</t>
    <phoneticPr fontId="67"/>
  </si>
  <si>
    <t>SIA_TSTR_SECU_ACS</t>
    <phoneticPr fontId="13"/>
  </si>
  <si>
    <t>SIA_TSTR_WR_SECU_CODE</t>
    <phoneticPr fontId="13"/>
  </si>
  <si>
    <t>Write Ssecurity Code</t>
    <phoneticPr fontId="67"/>
  </si>
  <si>
    <t>Write Secret Key (Old)</t>
  </si>
  <si>
    <t>Write Secret Key (Old)</t>
    <phoneticPr fontId="67"/>
  </si>
  <si>
    <t>Reset ECU to Virgin State</t>
    <phoneticPr fontId="67"/>
  </si>
  <si>
    <t>Security Access</t>
  </si>
  <si>
    <t>Security Access</t>
    <phoneticPr fontId="67"/>
  </si>
  <si>
    <t>Read/write value  without any conversion between Immo module to Tester</t>
    <phoneticPr fontId="13"/>
  </si>
  <si>
    <t>Read value  without any conversion between Immo module to Tester</t>
    <phoneticPr fontId="67"/>
  </si>
  <si>
    <t>Write Ssecurity Code</t>
    <phoneticPr fontId="13"/>
  </si>
  <si>
    <t>Write Secret Key (New)</t>
    <phoneticPr fontId="13"/>
  </si>
  <si>
    <t>(*3) Service is used only, if usage of Security Code is active (Sia_swtSCActv_C == 1). In other cases, NRC$31 will returned.</t>
    <phoneticPr fontId="13"/>
  </si>
  <si>
    <t>Information &amp; Hints 
(e.g. Sensor damage possible, etc.)</t>
    <phoneticPr fontId="13"/>
  </si>
  <si>
    <t>DID$E07B, $E07C, $E07D
$E07E, $E07F</t>
    <phoneticPr fontId="13"/>
  </si>
  <si>
    <t>- Add/Modify immobilizer relevant DIDs</t>
    <phoneticPr fontId="13"/>
  </si>
  <si>
    <t>RIDE07B</t>
    <phoneticPr fontId="13"/>
  </si>
  <si>
    <t>(RDBI) SIA_TSTR_RD_SECU_KEY_NEW
(WDBI) SIA_TSTR_WR_SECU_KEY _NEW</t>
    <phoneticPr fontId="13"/>
  </si>
  <si>
    <t>(RDBI) SIA_TSTR_RD_SECU_KEY_OLD
(WDBI) SIA_TSTR_WR_SECU_KEY _OLD</t>
    <phoneticPr fontId="13"/>
  </si>
  <si>
    <t>0</t>
  </si>
  <si>
    <t>16</t>
  </si>
  <si>
    <t>4</t>
  </si>
  <si>
    <t>6</t>
  </si>
  <si>
    <t>0x1020</t>
    <phoneticPr fontId="67"/>
  </si>
  <si>
    <t>Shutoff request status</t>
    <phoneticPr fontId="67"/>
  </si>
  <si>
    <t>0x0F7B</t>
    <phoneticPr fontId="67"/>
  </si>
  <si>
    <t>Sukawa</t>
  </si>
  <si>
    <t>DID
DID(WDBI)
RID</t>
    <phoneticPr fontId="13"/>
  </si>
  <si>
    <t>Immobilizer Relevant DID/RIDs</t>
    <phoneticPr fontId="13"/>
  </si>
  <si>
    <t>- Correct some point provided by customer</t>
    <phoneticPr fontId="13"/>
  </si>
  <si>
    <t>DID$EB10, $EB11, $EB12</t>
    <phoneticPr fontId="13"/>
  </si>
  <si>
    <t>- Move to sheet: DID(RDBI) (since these DIDs is not required WDBI)</t>
    <phoneticPr fontId="13"/>
  </si>
  <si>
    <t>- Change sheet name from DID to DID(RDBI)</t>
    <phoneticPr fontId="13"/>
  </si>
  <si>
    <t>DID(WDBI)
DID(RDBI)</t>
    <phoneticPr fontId="13"/>
  </si>
  <si>
    <t>DID(IOCBI)
DID(RDBI)</t>
    <phoneticPr fontId="13"/>
  </si>
  <si>
    <t>DID$ED10</t>
    <phoneticPr fontId="13"/>
  </si>
  <si>
    <t>- Move to sheet: DID(RDBI) (since these DIDs is not required IOCBI)</t>
    <phoneticPr fontId="13"/>
  </si>
  <si>
    <t>SID$31</t>
    <phoneticPr fontId="13"/>
  </si>
  <si>
    <t>RID$1500, 1501, 1502</t>
    <phoneticPr fontId="13"/>
  </si>
  <si>
    <t>- Supported --&gt; Not supported for subFunction$02(Stop)</t>
    <phoneticPr fontId="13"/>
  </si>
  <si>
    <t>#50</t>
    <phoneticPr fontId="13"/>
  </si>
  <si>
    <r>
      <rPr>
        <sz val="10"/>
        <rFont val="Tahoma"/>
        <family val="2"/>
      </rPr>
      <t>X</t>
    </r>
    <r>
      <rPr>
        <b/>
        <sz val="10"/>
        <rFont val="Tahoma"/>
        <family val="2"/>
      </rPr>
      <t xml:space="preserve">
</t>
    </r>
    <r>
      <rPr>
        <b/>
        <vertAlign val="superscript"/>
        <sz val="10"/>
        <rFont val="Tahoma"/>
        <family val="2"/>
      </rPr>
      <t>(*2)</t>
    </r>
    <phoneticPr fontId="13"/>
  </si>
  <si>
    <t>0xF186</t>
    <phoneticPr fontId="13"/>
  </si>
  <si>
    <t>Active Diagnosis Session</t>
    <phoneticPr fontId="13"/>
  </si>
  <si>
    <t>DID$F186</t>
    <phoneticPr fontId="13"/>
  </si>
  <si>
    <t>- Add newly</t>
    <phoneticPr fontId="13"/>
  </si>
  <si>
    <t>ActiveDiagnosisSessionDataIdentifier</t>
    <phoneticPr fontId="13"/>
  </si>
  <si>
    <t>ADSDID</t>
    <phoneticPr fontId="13"/>
  </si>
  <si>
    <t>#62</t>
    <phoneticPr fontId="13"/>
  </si>
  <si>
    <t>Data
Length</t>
    <phoneticPr fontId="72"/>
  </si>
  <si>
    <t>(byte)</t>
    <phoneticPr fontId="13"/>
  </si>
  <si>
    <t>Apr.07</t>
  </si>
  <si>
    <t>DID(RDBI)</t>
  </si>
  <si>
    <t>0x1024</t>
  </si>
  <si>
    <t>1</t>
  </si>
  <si>
    <t>TP NG DTC</t>
  </si>
  <si>
    <t>8-4</t>
  </si>
  <si>
    <t>3-0</t>
  </si>
  <si>
    <t>Counter variable of DTC U2301 detection</t>
  </si>
  <si>
    <t>0F</t>
  </si>
  <si>
    <t>Threshold setting of DTC U2301</t>
  </si>
  <si>
    <t>DID$1022, $1024</t>
  </si>
  <si>
    <t>- Remove $1022
- Add $1024</t>
  </si>
  <si>
    <t>#48</t>
  </si>
  <si>
    <t>???</t>
  </si>
  <si>
    <t>DCM_DID_EB00</t>
  </si>
  <si>
    <t>DCM_DID_EB14</t>
  </si>
  <si>
    <t>DCM_DID_EB15</t>
  </si>
  <si>
    <t>DID$EB00, $EB14, $EB15</t>
  </si>
  <si>
    <t>0x0</t>
  </si>
  <si>
    <t>- Add NvM block name for $EB00, $EB14, $EB15
- Change initial value of $EB15</t>
  </si>
  <si>
    <t>#70</t>
  </si>
  <si>
    <t>Lim
(Upper)</t>
    <phoneticPr fontId="13"/>
  </si>
  <si>
    <t>Lim
(Lower)</t>
    <phoneticPr fontId="13"/>
  </si>
  <si>
    <t>Class</t>
    <phoneticPr fontId="13"/>
  </si>
  <si>
    <t>digital</t>
  </si>
  <si>
    <t>analogue</t>
  </si>
  <si>
    <t>ATS-ID</t>
    <phoneticPr fontId="13"/>
  </si>
  <si>
    <t>- Supported --&gt; Not supported for NRC$33 (Security Unlock is not required to SID$22)</t>
    <phoneticPr fontId="13"/>
  </si>
  <si>
    <t>Hard
coding</t>
    <phoneticPr fontId="13"/>
  </si>
  <si>
    <t>RID$1500, 1501</t>
    <phoneticPr fontId="13"/>
  </si>
  <si>
    <t>- Not Supported --&gt; Supported for Extended session</t>
    <phoneticPr fontId="13"/>
  </si>
  <si>
    <t>#66</t>
    <phoneticPr fontId="13"/>
  </si>
  <si>
    <t>DID$ED84, $ED86, $ED8A,
DID$ED8C, $ED92</t>
    <phoneticPr fontId="13"/>
  </si>
  <si>
    <t>VCU_Hardware_Specification</t>
  </si>
  <si>
    <t>Cancelled
(OPL#55)</t>
    <phoneticPr fontId="13"/>
  </si>
  <si>
    <t>DID(RDBI)
IOCBI</t>
    <phoneticPr fontId="13"/>
  </si>
  <si>
    <t>- Supported --&gt; Not supported for RDBI and WDBI</t>
    <phoneticPr fontId="13"/>
  </si>
  <si>
    <t>- Supported --&gt; Not supported for SuppressPosRspMsgIndication-bit (ID+$80)
    *…Probably this is typo, since the specification mentions clearly
         that SuppressPosRspMsgIndication-bit needs only SID$3E.</t>
    <phoneticPr fontId="13"/>
  </si>
  <si>
    <t>- Not Supported --&gt; supported for NRC$31(RequestOutOfRange)
- Not Supported --&gt; supported for NRC$70(uploadDownloadNotAccepted)
- Supported --&gt; Not supported for NRC$71(transferDataSuspended)
- Supported --&gt; Not supported for NRC$73(wrongBlockSequenceCounter)</t>
    <phoneticPr fontId="13"/>
  </si>
  <si>
    <t>Apr.19</t>
  </si>
  <si>
    <t>DID$3B27</t>
  </si>
  <si>
    <t xml:space="preserve">Com_Rx_HTR1_HV_volt_act </t>
  </si>
  <si>
    <t>HTR1_coolant_temp_in
SNA cannot be sent from VCU except initial value.
last valid value is taken.
1. When VCU receives SNA=0xFF, Com_Rx_HTR1_coolant_temp_in is not set to 0xFF. Instead of that,  Com_Rx_HTR1_coolant_temp_in_Sq is set to SIGQLY_INVALID.
If 0xFF contiunes, DFC_SNARxFailBatt will be set.
2. 0xFF is set until VCU receives the 1st data.</t>
  </si>
  <si>
    <t>HTR1_coolant_temp_out
SNA cannot be sent from VCU except initial value.
last valid value is taken.
1. When VCU receives SNA=0xFF, Com_Rx_HTR1_coolant_temp_out is not set to 0xFF. Instead of that, Com_Rx_HTR1_coolant_temp_out_Sq is set to SIGQLY_INVALID.
If 0xFF contiunes, DFC_SNARxFailBatt will be set in SW12.
2. 0xFF is set until VCU receives the 1st data.</t>
  </si>
  <si>
    <t>HTR1_HV_volt_act
SNA cannot be sent from VCU except initial value.
last valid value is taken.
1. When VCU receives SNA=1023, Com_Rx_HTR1_HV_volt_act is not set to 1023. Instead of that, Com_Rx_HTR1_HV_volt_act_Sq is set to SIGQLY_INVALID.
If 1023 contiunes, DFC_SNARxFailBatt will be set in SW12.
2. 1023 is set until VCU receives the 1st data.</t>
  </si>
  <si>
    <t>HTR1_HV_pwr_act
SNA cannot be sent from VCU except initial value.
last valid value is taken.
1. When VCU receives SNA=1023, Com_Rx_HTR1_HV_pwr_act is not set to 1023. Instead of that, Com_Rx_HTR1_HV_pwr_act_Sq is set to SIGQLY_INVALID.
If 1023 contiunes, DFC_SNARxFailBatt will be set in SW12.
2. 1023 is set until VCU receives the 1st data.</t>
  </si>
  <si>
    <t>HTR1_DIAG_internal_comm
SNA cannot be sent from VCU except initial value.
last valid value is taken.
1. When VCU receives SNA=3, Com_Rx_HTR1_DIAG_internal_comm is not set to 3. Instead of that, Com_Rx_HTR1_DIAG_internal_comm_Sq is set to SIGQLY_INVALID.
If 3 contiunes, DFC_SNARxFailBatt will be set in SW12.
2. 3 is set until VCU receives the 1st data.</t>
  </si>
  <si>
    <t>HTR1_DIAG_volt_hi
SNA cannot be sent from VCU except initial value.
last valid value is taken.
1. When VCU receives SNA=3, Com_Rx_HTR1_DIAG_volt_hi is not set to 3. Instead of that, Com_Rx_HTR1_DIAG_volt_hi_Sq is set to SIGQLY_INVALID.
If 3 contiunes, DFC_SNARxFailBatt will be set in SW12.
2. 3 is set until VCU receives the 1st data.</t>
  </si>
  <si>
    <t>HTR1_DIAG_volt_lo
SNA cannot be sent from VCU except initial value.
last valid value is taken.
1. When VCU receives SNA=3, Com_Rx_HTR1_DIAG_volt_lo is not set to 3. Instead of that, Com_Rx_HTR1_DIAG_volt_lo_Sq is set to SIGQLY_INVALID.
If 3 contiunes, DFC_SNARxFailBatt will be set in SW12.
2. 3 is set until VCU receives the 1st data.</t>
  </si>
  <si>
    <t>HTR1_DIAG_coolant_temp_hi
SNA cannot be sent from VCU except initial value.
last valid value is taken.
1. When VCU receives SNA=3, Com_Rx_HTR1_DIAG_coolant_temp_hi is not set to 3. Instead of that, Com_Rx_HTR1_DIAG_coolant_temp_hi_Sq is set to SIGQLY_INVALID.
If 3 contiunes, DFC_SNARxFailBatt will be set in SW12.
2. 3 is set until VCU receives the 1st data.</t>
  </si>
  <si>
    <t>HTR1_DIAG_ovht
SNA cannot be sent from VCU except initial value.
last valid value is taken.
1. When VCU receives SNA=3, Com_Rx_HTR1_DIAG_ovhti is not set to 3. Instead of that, Com_Rx_HTR1_DIAG_ovht_Sq is set to SIGQLY_INVALID.
If 3 contiunes, DFC_SNARxFailBatt will be set in SW12.
2. 3 is set until VCU receives the 1st data.</t>
  </si>
  <si>
    <t>HTR1_DIAG_hw
SNA cannot be sent from VCU except initial value.
last valid value is taken.
1. When VCU receives SNA=3, Com_Rx_HTR1_DIAG_hw is not set to 3. Instead of that, Com_Rx_HTR1_DIAG_hw_Sq is set to SIGQLY_INVALID.
If 3 contiunes, DFC_SNARxFailBatt will be set in SW12.
2. 3 is set until VCU receives the 1st data.</t>
  </si>
  <si>
    <t>HTR1_DIAG_temp_in_sens
SNA cannot be sent from VCU except initial value.
last valid value is taken.
1. When VCU receives SNA=3, Com_Rx_HTR1_DIAG_temp_in_sens is not set to 3. Instead of that, Com_Rx_HTR1_DIAG_temp_in_sens_Sq is set to SIGQLY_INVALID.
If 3 contiunes, DFC_SNARxFailBatt will be set in SW12.
2. 3 is set until VCU receives the 1st data.</t>
  </si>
  <si>
    <t>HTR1_DIAG_temp_out_sens
SNA cannot be sent from VCU except initial value.
last valid value is taken.
1. When VCU receives SNA=3, Com_Rx_HTR1_DIAG_temp_out_sens is not set to 3. Instead of that, Com_Rx_HTR1_DIAG_temp_out_sens_Sq is set to SIGQLY_INVALID.
If 3 contiunes, DFC_SNARxFailBatt will be set in SW12.
2. 3 is set until VCU receives the 1st data.</t>
  </si>
  <si>
    <t>HTR1_DIAG_ovht_sens
SNA cannot be sent from VCU except initial value.
last valid value is taken.
1. When VCU receives SNA=3, Com_Rx_HTR1_DIAG_ovht_sens is not set to 3. Instead of that, Com_Rx_HTR1_DIAG_ovht_sens_Sq is set to SIGQLY_INVALID.
If 3 contiunes, DFC_SNARxFailBatt will be set in SW12.
2. 3 is set until VCU receives the 1st data.</t>
  </si>
  <si>
    <t>HTR1_DIAG_circuit
SNA cannot be sent from VCU except initial value.
last valid value is taken.
1. When VCU receives SNA=3, Com_Rx_HTR1_DIAG_circuit is not set to 3. Instead of that, Com_Rx_HTR1_DIAG_circuit_Sq is set to SIGQLY_INVALID.
If 3 contiunes, DFC_SNARxFailBatt will be set in SW12.
2. 3 is set until VCU receives the 1st data.</t>
  </si>
  <si>
    <t>HTR1_DIAG_curr_hi
SNA cannot be sent from VCU except initial value.
last valid value is taken.
1. When VCU receives SNA=3, Com_Rx_HTR1_DIAG_curr_hi is not set to 3. Instead of that, Com_Rx_HTR1_DIAG_curr_hi_Sq is set to SIGQLY_INVALID.
If 3 contiunes, DFC_SNARxFailBatt will be set in SW12.
2. 3 is set until VCU receives the 1st data.</t>
  </si>
  <si>
    <t>HTR1_DIAG_memory
SNA cannot be sent from VCU except initial value.
last valid value is taken.
1. When VCU receives SNA=3, Com_Rx_HTR1_DIAG_memory is not set to 3. Instead of that, Com_Rx_HTR1_DIAG_memory_Sq is set to SIGQLY_INVALID.
If 3 contiunes, DFC_SNARxFailBatt will be set in SW12.
2. 3 is set until VCU receives the 1st data.</t>
  </si>
  <si>
    <t>HTR1_DIAG_dcdc_volt
SNA cannot be sent from VCU except initial value.
last valid value is taken.
1. When VCU receives SNA=3, Com_Rx_HTR1_DIAG_dcdc_volt is not set to 3. Instead of that, Com_Rx_HTR1_DIAG_dcdc_volt_Sq is set to SIGQLY_INVALID.
If 3 contiunes, DFC_SNARxFailBatt will be set in SW12.
2. 3 is set until VCU receives the 1st data.</t>
  </si>
  <si>
    <t>HTR2_coolant_temp_in
SNA cannot be sent from VCU except initial value.
last valid value is taken.
1. When VCU receives SNA=255, Com_Rx_HTR2_coolant_temp_in is not set to 255. Instead of that, Com_Rx_HTR2_coolant_temp_in_Sq is set to SIGQLY_INVALID.
If 3 contiunes, DFC_SNARxFailCbn will be set in SW12.
2. 3 is set until VCU receives the 1st data.</t>
  </si>
  <si>
    <t>HTR2_coolant_temp_out
SNA cannot be sent from VCU except initial value.
last valid value is taken.
1. When VCU receives SNA=255, Com_Rx_HTR2_coolant_temp_out is not set to 255. Instead of that, Com_Rx_HTR2_coolant_temp_out_Sq is set to SIGQLY_INVALID.
If 3 contiunes, DFC_SNARxFailCbn will be set in SW12.
2. 3 is set until VCU receives the 1st data.</t>
  </si>
  <si>
    <t>HTR2_HV_volt_act
SNA cannot be sent from VCU except initial value.
last valid value is taken.
1. When VCU receives SNA=1023, Com_Rx_HTR2_HV_volt_act is not set to 1023. Instead of that, Com_Rx_HTR2_HV_volt_act_Sq is set to SIGQLY_INVALID.
If 3 contiunes, DFC_SNARxFailCbn will be set in SW12.
2. 3 is set until VCU receives the 1st data.</t>
  </si>
  <si>
    <t>HTR2_HV_pwr_act
SNA cannot be sent from VCU except initial value.
last valid value is taken.
1. When VCU receives SNA=1023, Com_Rx_HTR2_HV_pwr_act is not set to 1023. Instead of that, Com_Rx_HTR2_HV_pwr_act_Sq is set to SIGQLY_INVALID.
If 3 contiunes, DFC_SNARxFailCbn will be set in SW12.
2. 3 is set until VCU receives the 1st data.</t>
  </si>
  <si>
    <t>HTR2_DIAG_internal_comm
SNA cannot be sent from VCU except initial value.
last valid value is taken.
1. When VCU receives SNA=3, Com_Rx_HTR2_DIAG_internal_comm is not set to 3. Instead of that, Com_Rx_HTR2_DIAG_internal_comm_Sq is set to SIGQLY_INVALID.
If 3 contiunes, DFC_SNARxFailCbn will be set in SW12.
2. 3 is set until VCU receives the 1st data.</t>
  </si>
  <si>
    <t>HTR2_DIAG_volt_hi
SNA cannot be sent from VCU except initial value.
last valid value is taken.
1. When VCU receives SNA=3, Com_Rx_HTR2_DIAG_volt_hi is not set to 3. Instead of that, Com_Rx_HTR2_DIAG_volt_hi_Sq is set to SIGQLY_INVALID.
If 3 contiunes, DFC_SNARxFailCbn will be set in SW12.
2. 3 is set until VCU receives the 1st data.</t>
  </si>
  <si>
    <t>HTR2_DIAG_volt_lo
SNA cannot be sent from VCU except initial value.
last valid value is taken.
1. When VCU receives SNA=3, Com_Rx_HTR2_DIAG_volt_lo is not set to 3. Instead of that, Com_Rx_HTR2_DIAG_volt_lo_Sq is set to SIGQLY_INVALID.
If 3 contiunes, DFC_SNARxFailCbn will be set in SW12.
2. 3 is set until VCU receives the 1st data.</t>
  </si>
  <si>
    <t>HTR2_DIAG_coolant_temp_hi
SNA cannot be sent from VCU except initial value.
last valid value is taken.
1. When VCU receives SNA=3, Com_Rx_HTR2_DIAG_coolant_temp_hi is not set to 3. Instead of that, Com_Rx_HTR2_DIAG_coolant_temp_hi_Sq is set to SIGQLY_INVALID.
If 3 contiunes, DFC_SNARxFailCbn will be set in SW12.
2. 3 is set until VCU receives the 1st data.</t>
  </si>
  <si>
    <t>HTR2_DIAG_ovht
SNA cannot be sent from VCU except initial value.
last valid value is taken.
1. When VCU receives SNA=3, Com_Rx_HTR2_DIAG_ovht is not set to 3. Instead of that, Com_Rx_HTR2_DIAG_ovht_Sq is set to SIGQLY_INVALID.
If 3 contiunes, DFC_SNARxFailCbn will be set in SW12.
2. 3 is set until VCU receives the 1st data.</t>
  </si>
  <si>
    <t>HTR2_DIAG_hw
SNA cannot be sent from VCU except initial value.
last valid value is taken.
1. When VCU receives SNA=3, Com_Rx_HTR2_DIAG_hw is not set to 3. Instead of that, Com_Rx_HTR2_DIAG_hw_Sq is set to SIGQLY_INVALID.
If 3 contiunes, DFC_SNARxFailCbn will be set in SW12.
2. 3 is set until VCU receives the 1st data.</t>
  </si>
  <si>
    <t>HTR2_DIAG_temp_in_sens
SNA cannot be sent from VCU except initial value.
last valid value is taken.
1. When VCU receives SNA=3, Com_Rx_HTR2_DIAG_temp_in_sens is not set to 3. Instead of that, Com_Rx_HTR2_DIAG_temp_in_sens_Sq is set to SIGQLY_INVALID.
If 3 contiunes, DFC_SNARxFailCbn will be set in SW12.
2. 3 is set until VCU receives the 1st data.</t>
  </si>
  <si>
    <t>HTR2_DIAG_temp_out_sens
SNA cannot be sent from VCU except initial value.
last valid value is taken.
1. When VCU receives SNA=3, Com_Rx_HTR2_DIAG_temp_out_sens is not set to 3. Instead of that, Com_Rx_HTR2_DIAG_temp_out_sens_Sq is set to SIGQLY_INVALID.
If 3 contiunes, DFC_SNARxFailCbn will be set in SW12.
2. 3 is set until VCU receives the 1st data.</t>
  </si>
  <si>
    <t>HTR2_DIAG_ovht_sens
SNA cannot be sent from VCU except initial value.
last valid value is taken.
1. When VCU receives SNA=3, Com_Rx_HTR2_DIAG_ovht_sens is not set to 3. Instead of that, Com_Rx_HTR2_DIAG_ovht_sens_Sq is set to SIGQLY_INVALID.
If 3 contiunes, DFC_SNARxFailCbn will be set in SW12.
2. 3 is set until VCU receives the 1st data.</t>
  </si>
  <si>
    <t>HTR2_DIAG_circuit
SNA cannot be sent from VCU except initial value.
last valid value is taken.
1. When VCU receives SNA=3, Com_Rx_HTR2_DIAG_circuit is not set to 3. Instead of that, Com_Rx_HTR2_DIAG_circuit_Sq is set to SIGQLY_INVALID.
If 3 contiunes, DFC_SNARxFailCbn will be set in SW12.
2. 3 is set until VCU receives the 1st data.</t>
  </si>
  <si>
    <t>HTR2_DIAG_curr_hi
SNA cannot be sent from VCU except initial value.
last valid value is taken.
1. When VCU receives SNA=3, Com_Rx_HTR2_DIAG_curr_hi is not set to 3. Instead of that, Com_Rx_HTR2_DIAG_curr_hi_Sq is set to SIGQLY_INVALID.
If 3 contiunes, DFC_SNARxFailCbn will be set in SW12.
2. 3 is set until VCU receives the 1st data.</t>
  </si>
  <si>
    <t>HTR2_DIAG_memory
SNA cannot be sent from VCU except initial value.
last valid value is taken.
1. When VCU receives SNA=3, Com_Rx_HTR2_DIAG_memory is not set to 3. Instead of that, Com_Rx_HTR2_DIAG_memory_Sq is set to SIGQLY_INVALID.
If 3 contiunes, DFC_SNARxFailCbn will be set in SW12.
2. 3 is set until VCU receives the 1st data.</t>
  </si>
  <si>
    <t>HTR2_DIAG_dcdc_volt
SNA cannot be sent from VCU except initial value.
last valid value is taken.
1. When VCU receives SNA=3, Com_Rx_HTR2_DIAG_dcdc_volt is not set to 3. Instead of that, Com_Rx_HTR2_DIAG_dcdc_volt_Sq is set to SIGQLY_INVALID.
If 3 contiunes, DFC_SNARxFailCbn will be set in SW12.
2. 3 is set until VCU receives the 1st data.</t>
  </si>
  <si>
    <t>DID$3B25~$3B28, $3B2A~$3B35, $3B45~$3B48, $3B4A~$3B56</t>
  </si>
  <si>
    <t>- update measurements column</t>
  </si>
  <si>
    <t>- update Signal/Port column</t>
  </si>
  <si>
    <t>Actuator.A &amp; B  return to default value</t>
    <phoneticPr fontId="13"/>
  </si>
  <si>
    <t>- Add new pattern</t>
    <phoneticPr fontId="13"/>
  </si>
  <si>
    <t>DID(RBDI)</t>
  </si>
  <si>
    <t>DID$3901</t>
  </si>
  <si>
    <t>DID$3800, $3822, $382C~$382E, $3900, $3902, $3907, $3908, $39C7</t>
  </si>
  <si>
    <t>- requirement was cancelled.</t>
  </si>
  <si>
    <t>#76</t>
  </si>
  <si>
    <t>SID$31</t>
  </si>
  <si>
    <t>- Not supported --&gt; Supported for NRC$7F('serviceNotSupportedInActiveSession)
- NRC$31 --&gt; NRC$12 for subFunction$02(Stop)</t>
  </si>
  <si>
    <t>- Not supported --&gt; Supported for Extended session because of RID$1500, $1501 support in CB</t>
  </si>
  <si>
    <t>- update measurements</t>
  </si>
  <si>
    <t>Water pump speed of cabin heater</t>
  </si>
  <si>
    <t>Water level sensor of cabin heater voltage</t>
  </si>
  <si>
    <t>Water level sensor of system cooling voltage</t>
  </si>
  <si>
    <t>Water level sensor of battery cooling No1 voltage</t>
  </si>
  <si>
    <t>Feedback speed pulse from cabin heater water pump duty</t>
  </si>
  <si>
    <t>Feedback speed pulse from system water pump-1 duty</t>
  </si>
  <si>
    <t>Feedback speed pulse from Battery cooling No1 water pump-1 duty</t>
  </si>
  <si>
    <t>Feedback speed pulse from Battery cooling No1 water pump-2 duty</t>
  </si>
  <si>
    <t>Water pump speed of system 1</t>
  </si>
  <si>
    <t>Water pump speed of battery No1-1</t>
  </si>
  <si>
    <t>Water pump speed of battery No1-2</t>
  </si>
  <si>
    <t>OD0188FCTJ0021</t>
  </si>
  <si>
    <t>DID$382C, $382D, $382E, $3881, $3883, $3887, $3889, $39C0, $39C1, $39C3, $39C4</t>
  </si>
  <si>
    <t>- Change management number to "OD0188FCTJ0021" from "OD0188FCTJ0015"</t>
  </si>
  <si>
    <t>Apr. 28</t>
  </si>
  <si>
    <t>Apr.29</t>
  </si>
  <si>
    <t>GlbDa_rTqDftl</t>
  </si>
  <si>
    <t>GlbDa_rTqGbx</t>
  </si>
  <si>
    <t>GlbDa_lWhlCirc</t>
  </si>
  <si>
    <t>Com_Rx_KASO_COMN_RLY_STATE</t>
  </si>
  <si>
    <t>GlbDa_SetData</t>
  </si>
  <si>
    <t>- set management number "OD0188FCTJ0015"
- update measurements, documentation chapter</t>
  </si>
  <si>
    <t>ATS_tiTstDemMax_C = 10 sec?</t>
    <phoneticPr fontId="13"/>
  </si>
  <si>
    <t>DID$382C, $382D, $382E, $3881, $3883, $3887, $3889</t>
  </si>
  <si>
    <t>- Set back management number to "OD0188FCTJ0015"</t>
  </si>
  <si>
    <t>May.10</t>
  </si>
  <si>
    <t>DID$ED81</t>
  </si>
  <si>
    <t>#55</t>
  </si>
  <si>
    <t>Customer OPL#55</t>
  </si>
  <si>
    <t>- Supported --&gt; Not supported for RDBI</t>
  </si>
  <si>
    <t>- Add comments "ASW is supported it, but CB is not supported." in Note.</t>
    <phoneticPr fontId="13"/>
  </si>
  <si>
    <r>
      <rPr>
        <b/>
        <u/>
        <sz val="9"/>
        <rFont val="Tahoma"/>
        <family val="2"/>
      </rPr>
      <t>&lt;NRC$24&gt;</t>
    </r>
    <r>
      <rPr>
        <sz val="9"/>
        <rFont val="Tahoma"/>
        <family val="2"/>
      </rPr>
      <t xml:space="preserve">
ASW is supported it, but CB is not supported.</t>
    </r>
    <phoneticPr fontId="13"/>
  </si>
  <si>
    <t>May.20</t>
  </si>
  <si>
    <t>- Change tester display format according to Bosch variable definition</t>
  </si>
  <si>
    <t>#77</t>
  </si>
  <si>
    <t>DID$3912</t>
  </si>
  <si>
    <t>DID$3913, $3982</t>
  </si>
  <si>
    <t>ChademoChrgrIntkT1_t_f</t>
  </si>
  <si>
    <t>ChademoChrgrIntkT2_t_f</t>
  </si>
  <si>
    <t xml:space="preserve"> ChgrPlug_stPxPCcs</t>
  </si>
  <si>
    <t xml:space="preserve">Com_Tx_EV_KASO_STATE </t>
  </si>
  <si>
    <t>Com_Tx_EV_KASO_USABLE_PWR</t>
  </si>
  <si>
    <t>DID$3985, $3912, $3AE2</t>
  </si>
  <si>
    <t>Charging proximity pilot signal detection maximum current capability</t>
  </si>
  <si>
    <t>May.23</t>
  </si>
  <si>
    <t>DID(CPS)</t>
  </si>
  <si>
    <t>DID$F186</t>
  </si>
  <si>
    <t>- Support -&gt; Not support for functional addressing mode request</t>
  </si>
  <si>
    <t>May.25</t>
  </si>
  <si>
    <t>DID$3904, $3905, $3906 and $3985</t>
  </si>
  <si>
    <t>CooltTOut_t</t>
  </si>
  <si>
    <t>CooltTIn_t</t>
  </si>
  <si>
    <t>CooltTRadrOut_t</t>
  </si>
  <si>
    <t>Brk_stMn</t>
  </si>
  <si>
    <t>5</t>
  </si>
  <si>
    <t>- update maximum value of tester display format</t>
  </si>
  <si>
    <t>Jun.3</t>
  </si>
  <si>
    <t>New FC will be inplemented in SW21</t>
  </si>
  <si>
    <t>VehCoorn_stBitsExtd
  Bit0: WAKEUP
  Bit1: HVCONNECTION
  Bit2: QCHG NORMAL OUTPUT (IG-ON)
  Bit3: QCHG NORMAL OUTPUT (IG-OFF)
  Bit4: QCHG BATT POWER HEATING (IG-ON)
  Bit5: QCHG BATT POWER HEATING (IG-OFF)
  Bit6: QCHG FLOATING BATT HEATING (IG-ON)
  Bit7: QCHG FLOATING BATT HEATING (IG-OFF)
  Bit8: QCHG FLOATING KASO (IG-ON)
  Bit9: QCHG FLOATING KASO (IG-OFF)
  Bit10: NCHG NORMAL OUTPUT (IG-ON)
  Bit11: NCHG NORMAL OUTPUT (IG-OFF)
  Bit12: NCHG BATT POWER HEATING (IG-ON)
  Bit13: NCHG BATT POWER HEATING (IG-OFF)
  Bit14: NCHG FLOATING BATT HEATING (IG-ON)
  Bit15: NCHG FLOATING BATT HEATING (IG-OFF)
  Bit16: NCHG FLOATING KASO (IG-ON)
  Bit17: NCHG FLOATING KASO (IG-OFF)
  Bit18: V2X(IG-ON)
  Bit19: V2X(IG-OFF)
  Bit20: DRIVE(NORMAL)
  Bit21: DRIVE(LIMP)
  Bit22: STANDBY(IG-ON)
  Bit23: STANDBY(IG-OFF)
  Bit24: SHUTDOWN
Message will be available in SW21</t>
  </si>
  <si>
    <t>'Message will be available in SW21</t>
  </si>
  <si>
    <t>New FC will be inplemented in SW21</t>
    <phoneticPr fontId="44"/>
  </si>
  <si>
    <t>Message will be available in SW21</t>
    <phoneticPr fontId="44"/>
  </si>
  <si>
    <t>---</t>
    <phoneticPr fontId="44"/>
  </si>
  <si>
    <t>DID$3A00, $3A02, $3A03, $3A09, $3A0A, $3B80, $3B81, $3B82, $3B83</t>
  </si>
  <si>
    <t>Jun.6</t>
  </si>
  <si>
    <t>DID$3888, $3889</t>
  </si>
  <si>
    <t>Jun.9</t>
  </si>
  <si>
    <t>DID$3A0E, $3A0F</t>
  </si>
  <si>
    <t xml:space="preserve">Com_StEVCanNmState </t>
  </si>
  <si>
    <t>Com_StVehCanNmState</t>
  </si>
  <si>
    <r>
      <t xml:space="preserve">X
</t>
    </r>
    <r>
      <rPr>
        <b/>
        <vertAlign val="superscript"/>
        <sz val="10"/>
        <rFont val="Tahoma"/>
        <family val="2"/>
      </rPr>
      <t>(*3)</t>
    </r>
  </si>
  <si>
    <r>
      <t xml:space="preserve">X
</t>
    </r>
    <r>
      <rPr>
        <vertAlign val="superscript"/>
        <sz val="10"/>
        <rFont val="Tahoma"/>
        <family val="2"/>
      </rPr>
      <t>(*3)</t>
    </r>
  </si>
  <si>
    <t>Read value  without any conversion between Immo module to Tester</t>
  </si>
  <si>
    <t>BrkBstP_uRaw</t>
  </si>
  <si>
    <t>BattU_uSens1</t>
  </si>
  <si>
    <t>CooltLvl3_uRaw</t>
  </si>
  <si>
    <t>CooltLvl_uRaw</t>
  </si>
  <si>
    <t>CooltLvl2_uRaw</t>
  </si>
  <si>
    <t>BrkBstP_pSens</t>
  </si>
  <si>
    <t>HvbT1_t_f</t>
  </si>
  <si>
    <t>HvbT2_t_f</t>
  </si>
  <si>
    <t>Airbg_stpwm</t>
  </si>
  <si>
    <t>0x0: OUT (Plug disconnected)
0x1: IN (Plug connected)"
0x2: DETECTION_DISABLED (Circuit for plug connect/disconnect detection is disabled)
0x3: UN (S3 Plug switch press)
0x4: VOOR (Voltage out of range)
0x5: INI (Initialization)</t>
  </si>
  <si>
    <t>- Reset color
- Gray out for cancelled item</t>
  </si>
  <si>
    <r>
      <t xml:space="preserve">- It uses the WDBI format, but he is just function call then no data writing.
--&gt; In this case, data length is 2byte so NRC$13 shall responds.
</t>
    </r>
    <r>
      <rPr>
        <strike/>
        <sz val="10"/>
        <rFont val="Tahoma"/>
        <family val="2"/>
      </rPr>
      <t>- Read/write value  without any conversion between Immo module to Tester</t>
    </r>
  </si>
  <si>
    <r>
      <t xml:space="preserve">X
</t>
    </r>
    <r>
      <rPr>
        <b/>
        <strike/>
        <vertAlign val="superscript"/>
        <sz val="10"/>
        <rFont val="Tahoma"/>
        <family val="2"/>
      </rPr>
      <t>(*3)</t>
    </r>
  </si>
  <si>
    <r>
      <rPr>
        <b/>
        <sz val="10"/>
        <rFont val="Tahoma"/>
        <family val="2"/>
      </rPr>
      <t>Skip implementation, due to conflict with DID$E07C.</t>
    </r>
    <r>
      <rPr>
        <sz val="10"/>
        <rFont val="Tahoma"/>
        <family val="2"/>
      </rPr>
      <t xml:space="preserve"> </t>
    </r>
    <r>
      <rPr>
        <strike/>
        <sz val="10"/>
        <rFont val="Tahoma"/>
        <family val="2"/>
      </rPr>
      <t xml:space="preserve">
'Read value  without any conversion between Immo module to Tester</t>
    </r>
  </si>
  <si>
    <r>
      <rPr>
        <b/>
        <sz val="10"/>
        <rFont val="Tahoma"/>
        <family val="2"/>
      </rPr>
      <t>Skip implementation, due to conflict with DID$E07E.</t>
    </r>
    <r>
      <rPr>
        <sz val="10"/>
        <rFont val="Tahoma"/>
        <family val="2"/>
      </rPr>
      <t xml:space="preserve"> </t>
    </r>
    <r>
      <rPr>
        <strike/>
        <sz val="10"/>
        <rFont val="Tahoma"/>
        <family val="2"/>
      </rPr>
      <t xml:space="preserve">
'Read value  without any conversion between Immo module to Tester</t>
    </r>
  </si>
  <si>
    <r>
      <rPr>
        <sz val="10"/>
        <color rgb="FFFF0000"/>
        <rFont val="Tahoma"/>
        <family val="2"/>
      </rPr>
      <t>DCM_ASIDID</t>
    </r>
    <r>
      <rPr>
        <sz val="10"/>
        <rFont val="Tahoma"/>
        <family val="2"/>
      </rPr>
      <t xml:space="preserve">
</t>
    </r>
    <r>
      <rPr>
        <strike/>
        <sz val="10"/>
        <rFont val="Tahoma"/>
        <family val="2"/>
      </rPr>
      <t>ASIDID</t>
    </r>
    <phoneticPr fontId="13"/>
  </si>
  <si>
    <r>
      <rPr>
        <sz val="10"/>
        <color rgb="FFFF0000"/>
        <rFont val="Tahoma"/>
        <family val="2"/>
      </rPr>
      <t>DCM_CALIBID</t>
    </r>
    <r>
      <rPr>
        <sz val="10"/>
        <rFont val="Tahoma"/>
        <family val="2"/>
      </rPr>
      <t xml:space="preserve">
</t>
    </r>
    <r>
      <rPr>
        <strike/>
        <sz val="10"/>
        <rFont val="Tahoma"/>
        <family val="2"/>
      </rPr>
      <t>ADIDID</t>
    </r>
    <phoneticPr fontId="13"/>
  </si>
  <si>
    <r>
      <rPr>
        <sz val="10"/>
        <color rgb="FFFF0000"/>
        <rFont val="Tahoma"/>
        <family val="2"/>
      </rPr>
      <t>DCM_VMECUSNDID</t>
    </r>
    <r>
      <rPr>
        <sz val="10"/>
        <rFont val="Tahoma"/>
        <family val="2"/>
      </rPr>
      <t xml:space="preserve">
</t>
    </r>
    <r>
      <rPr>
        <strike/>
        <sz val="10"/>
        <rFont val="Tahoma"/>
        <family val="2"/>
      </rPr>
      <t>VMECUSNDID</t>
    </r>
    <phoneticPr fontId="13"/>
  </si>
  <si>
    <r>
      <rPr>
        <sz val="10"/>
        <color rgb="FFFF0000"/>
        <rFont val="Tahoma"/>
        <family val="2"/>
      </rPr>
      <t>DCM_DDI</t>
    </r>
    <r>
      <rPr>
        <sz val="10"/>
        <rFont val="Tahoma"/>
        <family val="2"/>
      </rPr>
      <t xml:space="preserve">
</t>
    </r>
    <r>
      <rPr>
        <strike/>
        <sz val="10"/>
        <rFont val="Tahoma"/>
        <family val="2"/>
      </rPr>
      <t>DDI</t>
    </r>
    <phoneticPr fontId="13"/>
  </si>
  <si>
    <t>DID$F181
DID$F182
DID$F188
DID$F19A</t>
    <phoneticPr fontId="13"/>
  </si>
  <si>
    <t>83</t>
    <phoneticPr fontId="67"/>
  </si>
  <si>
    <t>Cancelled (OPL#76)</t>
    <phoneticPr fontId="67"/>
  </si>
  <si>
    <t>Cancelled (OPL#55)</t>
    <phoneticPr fontId="67"/>
  </si>
  <si>
    <t>0x390C</t>
  </si>
  <si>
    <t>0x3980</t>
  </si>
  <si>
    <t>UPxP1_uRaw</t>
    <phoneticPr fontId="67"/>
  </si>
  <si>
    <t>deg C</t>
  </si>
  <si>
    <t>deg C</t>
    <phoneticPr fontId="67"/>
  </si>
  <si>
    <t>SCtPmp_fRaw</t>
    <phoneticPr fontId="67"/>
  </si>
  <si>
    <t>SCtPmp_rRaw</t>
    <phoneticPr fontId="67"/>
  </si>
  <si>
    <t>App_r</t>
    <phoneticPr fontId="67"/>
  </si>
  <si>
    <t>RQONE02910532 (SW21)</t>
    <phoneticPr fontId="67"/>
  </si>
  <si>
    <t>DID(RDBI)</t>
    <phoneticPr fontId="13"/>
  </si>
  <si>
    <t>Overall</t>
    <phoneticPr fontId="13"/>
  </si>
  <si>
    <t>- Correct to proper NvM block name</t>
    <phoneticPr fontId="13"/>
  </si>
  <si>
    <t>RQONE02917522 (SW21)</t>
    <phoneticPr fontId="67"/>
  </si>
  <si>
    <t>0x3AE5</t>
  </si>
  <si>
    <t>0x3AE6</t>
  </si>
  <si>
    <t>0x3AE7</t>
  </si>
  <si>
    <t>0x3AE8</t>
  </si>
  <si>
    <t>0x3AE9</t>
  </si>
  <si>
    <t>0x3AEA</t>
  </si>
  <si>
    <t>0x3AEB</t>
  </si>
  <si>
    <t>0x3AEC</t>
  </si>
  <si>
    <t>0x3AED</t>
  </si>
  <si>
    <t>0x3AEE</t>
  </si>
  <si>
    <t>0x3AEF</t>
  </si>
  <si>
    <t>0x3AF0</t>
  </si>
  <si>
    <t>0x3B41</t>
    <phoneticPr fontId="67"/>
  </si>
  <si>
    <t>0x3B42</t>
    <phoneticPr fontId="67"/>
  </si>
  <si>
    <t>0x3B43</t>
    <phoneticPr fontId="67"/>
  </si>
  <si>
    <t>0x3B44</t>
    <phoneticPr fontId="67"/>
  </si>
  <si>
    <t>0x3B45</t>
    <phoneticPr fontId="67"/>
  </si>
  <si>
    <t>0x3B46</t>
    <phoneticPr fontId="67"/>
  </si>
  <si>
    <t>0x3B47</t>
    <phoneticPr fontId="67"/>
  </si>
  <si>
    <t>0x3B48</t>
    <phoneticPr fontId="67"/>
  </si>
  <si>
    <t>0x3B49</t>
    <phoneticPr fontId="67"/>
  </si>
  <si>
    <t>0x3B4A</t>
    <phoneticPr fontId="67"/>
  </si>
  <si>
    <t>0x3B4B</t>
    <phoneticPr fontId="67"/>
  </si>
  <si>
    <t>0x3B4C</t>
    <phoneticPr fontId="67"/>
  </si>
  <si>
    <t>0x3B4D</t>
    <phoneticPr fontId="67"/>
  </si>
  <si>
    <t>0x3B4E</t>
    <phoneticPr fontId="67"/>
  </si>
  <si>
    <t>0x3B4F</t>
    <phoneticPr fontId="67"/>
  </si>
  <si>
    <r>
      <t>0x0: IDLE (during ECU init)
0x1: ENGAGE
0x2: NDEF
0x3: DISENGAGE
0x4</t>
    </r>
    <r>
      <rPr>
        <sz val="10"/>
        <rFont val="Tahoma"/>
        <family val="3"/>
      </rPr>
      <t>~</t>
    </r>
    <r>
      <rPr>
        <sz val="10"/>
        <rFont val="Tahoma"/>
        <family val="2"/>
      </rPr>
      <t>0xE: NDEF
0xF: SNA</t>
    </r>
    <phoneticPr fontId="67"/>
  </si>
  <si>
    <t>0x0: Initial
0x1: STARTUP Req
0x2: Not_Used
0x3: DRIVE_Req
0x4: CHG Req
0x5: Not_Used
0x6: SHUTDOWN Req
0x7~8: Not_Used</t>
    <phoneticPr fontId="67"/>
  </si>
  <si>
    <r>
      <t>0x0: Normal
0x1: Error
0x3: Not equipped</t>
    </r>
    <r>
      <rPr>
        <sz val="10"/>
        <color rgb="FFFF0000"/>
        <rFont val="Tahoma"/>
        <family val="2"/>
      </rPr>
      <t xml:space="preserve"> (LD is not supported)</t>
    </r>
    <phoneticPr fontId="67"/>
  </si>
  <si>
    <t>3/26/2022 nai1yh
0x3 is not supported with Com_Rx_DCDC24_Rx_Err.
Calibration parameter needs to be checked to know if Vehicle has DCDC24.</t>
    <phoneticPr fontId="67"/>
  </si>
  <si>
    <r>
      <t>0xFF: Not equipped</t>
    </r>
    <r>
      <rPr>
        <sz val="10"/>
        <color rgb="FFFF0000"/>
        <rFont val="Tahoma"/>
        <family val="2"/>
      </rPr>
      <t xml:space="preserve"> (LD is not supported)</t>
    </r>
    <phoneticPr fontId="67"/>
  </si>
  <si>
    <t>3/26/2022 nai1yh
0xFF is not supported with Dcdc_iLvAct24V.
Calibration parameter needs to be checked to know if Vehicle has DCDC24.</t>
    <phoneticPr fontId="67"/>
  </si>
  <si>
    <t>3/26/2022 nai1yh
0xFF is not supported with Dcdc_uLvAct24V.
Calibration parameter needs to be checked to know if Vehicle has DCDC24.</t>
    <phoneticPr fontId="67"/>
  </si>
  <si>
    <r>
      <t xml:space="preserve">0x0: Stop
0x1: Operating
0x3: Not equipped </t>
    </r>
    <r>
      <rPr>
        <sz val="10"/>
        <color rgb="FFFF0000"/>
        <rFont val="Tahoma"/>
        <family val="2"/>
      </rPr>
      <t>(LD is not supported)</t>
    </r>
    <phoneticPr fontId="67"/>
  </si>
  <si>
    <r>
      <t>0x0: Normal
0x1: Limited
0x3: Not equipped</t>
    </r>
    <r>
      <rPr>
        <sz val="10"/>
        <color rgb="FFFF0000"/>
        <rFont val="Tahoma"/>
        <family val="2"/>
      </rPr>
      <t xml:space="preserve"> (LD is not supported)</t>
    </r>
    <phoneticPr fontId="67"/>
  </si>
  <si>
    <r>
      <t>0x0: Normal
0x1: Protected
0x3: Not equipped</t>
    </r>
    <r>
      <rPr>
        <sz val="10"/>
        <color rgb="FFFF0000"/>
        <rFont val="Tahoma"/>
        <family val="2"/>
      </rPr>
      <t xml:space="preserve"> (LD is not supported)</t>
    </r>
    <phoneticPr fontId="67"/>
  </si>
  <si>
    <r>
      <t xml:space="preserve">0x0: Normal
0x1: Protected
0x3: Not equipped </t>
    </r>
    <r>
      <rPr>
        <sz val="10"/>
        <color rgb="FFFF0000"/>
        <rFont val="Tahoma"/>
        <family val="2"/>
      </rPr>
      <t>(LD is not supported)</t>
    </r>
    <phoneticPr fontId="67"/>
  </si>
  <si>
    <r>
      <t>0x0</t>
    </r>
    <r>
      <rPr>
        <sz val="10"/>
        <color rgb="FFFF0000"/>
        <rFont val="Tahoma"/>
        <family val="2"/>
      </rPr>
      <t>1</t>
    </r>
    <r>
      <rPr>
        <sz val="10"/>
        <rFont val="Tahoma"/>
        <family val="2"/>
      </rPr>
      <t>: Default Session
0x0</t>
    </r>
    <r>
      <rPr>
        <sz val="10"/>
        <color rgb="FFFF0000"/>
        <rFont val="Tahoma"/>
        <family val="2"/>
      </rPr>
      <t>2</t>
    </r>
    <r>
      <rPr>
        <sz val="10"/>
        <rFont val="Tahoma"/>
        <family val="2"/>
      </rPr>
      <t>: Programming Session
0x03: Extended Session</t>
    </r>
    <phoneticPr fontId="13"/>
  </si>
  <si>
    <t>Com_Rx_HTR2_coolant_temp_in</t>
    <phoneticPr fontId="67"/>
  </si>
  <si>
    <t>- Change the range based on actual implementation (RQONE02917522)</t>
    <phoneticPr fontId="13"/>
  </si>
  <si>
    <t>- Change Japanese font unit to deg C
- Change the range based on actual implementation (RQONE02910532)</t>
    <phoneticPr fontId="13"/>
  </si>
  <si>
    <t>RQONE02882828 (SW21)</t>
    <phoneticPr fontId="13"/>
  </si>
  <si>
    <t>DID$ED11
DID$ED12
DID$ED13
DID$ED14
DID$ED17
DID$ED1A
DID$ED1C</t>
    <phoneticPr fontId="13"/>
  </si>
  <si>
    <t>- Correct "Tester Display &amp; Data Storage Image"</t>
    <phoneticPr fontId="13"/>
  </si>
  <si>
    <t>- Add calibration settings comments</t>
    <phoneticPr fontId="13"/>
  </si>
  <si>
    <r>
      <t xml:space="preserve">ATS_XXX.LimitTypeMsk_C;
  - [bit0] Shut-off of the actuator test demand when the calibratable engine speed limit is exceeded. (ATS_TstDemMaxEngN_C)
  - [bit1] Shut-off of the actuator test demand when the calibratable vehicle speed limit is exceeded. (ATS_TstDemMaxEngN_C)
  - [bit2] Shut-off of the actuator test demand when the calibratable time limit is exceeded.(ATS_TstDemMaxEngN_C)
  - [bit3] Not Used
  - [bit4] Not Used
  - [bit5] Not Used
  - [bit6] Shut-off actuator test demand when T15 is OFF.
  - [bit7] Not Used
</t>
    </r>
    <r>
      <rPr>
        <sz val="10"/>
        <color rgb="FFFF0000"/>
        <rFont val="Tahoma"/>
        <family val="2"/>
      </rPr>
      <t>Each calibration settings
  - *_O_S_ATS_ATS.CnvFac_C = 1
  - *_O_S_ATS_ATS.CnvNorm_C = 13
  - *_O_S_ATS_ATS.CnvOfs_C = 0
  - *_O_S_ATS_ATS.DfltVal_C = 0
  - *_O_S_ATS_ATS.LowLim_C = 0 %
  - *_O_S_ATS_ATS.UpLim_C = 100 %</t>
    </r>
    <phoneticPr fontId="13"/>
  </si>
  <si>
    <t>Jun.15</t>
  </si>
  <si>
    <t>Jun.28</t>
  </si>
  <si>
    <t>DID$3A08, $39C0, $39C1, $39C3, $39C4</t>
  </si>
  <si>
    <t>- Update measurement</t>
  </si>
  <si>
    <t>Jun.30</t>
  </si>
  <si>
    <t>Overall</t>
  </si>
  <si>
    <t>- Change range based on actual implementation (RQONE02910532 and RQONE02917522)</t>
  </si>
  <si>
    <t>FF</t>
  </si>
  <si>
    <t>FFFF</t>
  </si>
  <si>
    <t>03FF</t>
  </si>
  <si>
    <t>43FF</t>
  </si>
  <si>
    <t>27FF</t>
  </si>
  <si>
    <t>145F</t>
  </si>
  <si>
    <r>
      <t xml:space="preserve">(CAUTION! Not radius but circumference!)
</t>
    </r>
    <r>
      <rPr>
        <sz val="10"/>
        <color rgb="FFFF0000"/>
        <rFont val="Tahoma"/>
        <family val="2"/>
      </rPr>
      <t>tire radius=circumference/(2*pi)</t>
    </r>
  </si>
  <si>
    <t xml:space="preserve"> -</t>
  </si>
  <si>
    <t>Jul.08</t>
  </si>
  <si>
    <t>Dcdc_tAct24V</t>
  </si>
  <si>
    <t>DID$3AE2</t>
  </si>
  <si>
    <t>Haga</t>
    <phoneticPr fontId="13"/>
  </si>
  <si>
    <t xml:space="preserve">[2022/7/6 ECH4/Haga]
No support (LD) was agreed by OPL#97
</t>
    <phoneticPr fontId="67"/>
  </si>
  <si>
    <t>I_F_CP</t>
    <phoneticPr fontId="67"/>
  </si>
  <si>
    <t>PwmCtP_DELib_StdSensDd</t>
    <phoneticPr fontId="67"/>
  </si>
  <si>
    <t>UCtP_DELib_StdSensDd</t>
    <phoneticPr fontId="67"/>
  </si>
  <si>
    <t>0x04 (fixed value) for JP variant and US variant</t>
    <phoneticPr fontId="67"/>
  </si>
  <si>
    <r>
      <t xml:space="preserve">[2022/7/6 ECH4/Haga]
- agreed for JP variant and US variant by OPL#99
</t>
    </r>
    <r>
      <rPr>
        <sz val="10"/>
        <color rgb="FFFF0000"/>
        <rFont val="Tahoma"/>
        <family val="2"/>
      </rPr>
      <t>[2022/7/6 ECH4/Haga]
- to be discussed later with ISZ-san for EU variant by OPL#99</t>
    </r>
    <r>
      <rPr>
        <sz val="10"/>
        <color rgb="FF0000FF"/>
        <rFont val="Tahoma"/>
        <family val="2"/>
      </rPr>
      <t xml:space="preserve">
</t>
    </r>
    <phoneticPr fontId="67"/>
  </si>
  <si>
    <t xml:space="preserve">ChgrPlug_stPxPChademo
(Data type) uint8
(Compu method) RBPtEChrDv_stPxP_VERB
(Actual range) 
0 "UNPLUGGED"
1 "PLUGGED"
2 "DETECTION_DISABLED"
4 "ERROR"
5 "INI"
</t>
    <phoneticPr fontId="67"/>
  </si>
  <si>
    <t xml:space="preserve">HvacPmp_nWtrPmpHeatrSpd
(Data type) sint32
(Compu method) EngNRmp_Hi
(Unit) rpm
(LSB) 0.1[rpm/bit]
</t>
    <phoneticPr fontId="67"/>
  </si>
  <si>
    <t>VCU_Hardware_Specification_Rev1.9.pdf
&lt;Unit specifications / Pulse frequency&gt;
4Hz...240Hz/160...9600rpm</t>
    <phoneticPr fontId="67"/>
  </si>
  <si>
    <t xml:space="preserve">WtrPmp1_nWtrPmpSysSpd
(Data type) sint32
(Compu method) EngNRmp_Hi
(Unit) rpm
(LSB) 0.1[rpm/bit]
</t>
    <phoneticPr fontId="67"/>
  </si>
  <si>
    <t>VCU_Hardware_Specification_Rev1.9.pdf
&lt;Unit specifications / Pulse frequency&gt;
4Hz...290Hz/160...11600rpm</t>
    <phoneticPr fontId="67"/>
  </si>
  <si>
    <t xml:space="preserve">WtrPmp2_nWtrPmpBatt1Spd
(Data type) sint32
(Compu method) EngNRmp_Hi
(Unit) rpm
(LSB) 0.1[rpm/bit]
</t>
    <phoneticPr fontId="67"/>
  </si>
  <si>
    <t xml:space="preserve">WtrPmp2_nWtrPmpBatt2Spd
(Data type) sint32
(Compu method) EngNRmp_Hi
(Unit) rpm
(LSB) 0.1[rpm/bit]
</t>
    <phoneticPr fontId="67"/>
  </si>
  <si>
    <t>ChrgPlgPlt_VD</t>
    <phoneticPr fontId="67"/>
  </si>
  <si>
    <t xml:space="preserve">ChgrPlug_stCtP
(Data type) uint8
(Compu method) RBPtEChrDv_stCtP_VERB
(Actual range) 
0x0 "ERROR", 
0x1 "IMPLAUSIBLE", 
0x8 "X1", 
0x9 "X2"
</t>
    <phoneticPr fontId="67"/>
  </si>
  <si>
    <t>[2022/7/6 ECH4/Haga]
under discussion with ISZ-san by OPL#101</t>
    <phoneticPr fontId="67"/>
  </si>
  <si>
    <t>Com_Tx_MIMAMORI_VEHICLE_STATE
(Data type) uint8
(Data range) 0x00. . . 0xFF
(Actual range) 0x00. . . 0x90</t>
    <phoneticPr fontId="67"/>
  </si>
  <si>
    <t xml:space="preserve">Com_Tx_MIMAMORI_Vehicle_Speed_VCU
(Data type) uint16
(Data range) 0x0000. . . 0xFFFF
(Actual range) 0x0000. . . 0xFEFF
</t>
    <phoneticPr fontId="67"/>
  </si>
  <si>
    <t xml:space="preserve">Com_Tx_MIMAMORI_Brake_Status
(Data type) uint8
(Data range) 0x00. . . 0xFF
(Actual range) 0x01. . . 0x02
</t>
    <phoneticPr fontId="67"/>
  </si>
  <si>
    <t xml:space="preserve">ThermMod_stBattTModFinal
(Data type) uint8
(Compu method) OneToOne
(Unit) -
(LSB) 1.0[-/bit]
</t>
    <phoneticPr fontId="67"/>
  </si>
  <si>
    <t xml:space="preserve">2022/03/03 ECH4 Fujita;
New measurement need to be implemented on SW21.
Property is below.
Length: byte
Format: Uint
Conversion: OneToOne
</t>
    <phoneticPr fontId="67"/>
  </si>
  <si>
    <t xml:space="preserve">Com_Tx_MIMAMORI_Chg_Plug_Ctrl_State
(Data type) uint8
(Data range) 0x00. . . 0xFF
(Actual range) 0x00. . . 0x07
</t>
    <phoneticPr fontId="67"/>
  </si>
  <si>
    <t xml:space="preserve">Com_Tx_MIMAMORI_Granted_Power_INV
(Data type) uint16
(Data range) 0x0000. . . 0xFFFF
(Actual range) 0x0000. . . 0x1388
</t>
    <phoneticPr fontId="67"/>
  </si>
  <si>
    <t xml:space="preserve">Type : uint8
Compu. Method : Nm_StateType_VERB
Message will be available in SW21
</t>
    <phoneticPr fontId="67"/>
  </si>
  <si>
    <t xml:space="preserve">Com_Tx_MIMAMORI_QCV2L_Actual_Volt
(Data type) uint16
(Data range) 0x0000. . . 0xFFFF
(Actual range) 0x0000. . . 0x0FFF
</t>
    <phoneticPr fontId="67"/>
  </si>
  <si>
    <t xml:space="preserve">Com_Tx_MIMAMORI_QCV2L_Actual_Curr
(Data type) uint16
(Data range) 0x0000. . . 0xFFFF
(Actual range) 0x0000. . . 0x0FFF
</t>
    <phoneticPr fontId="67"/>
  </si>
  <si>
    <t xml:space="preserve">Com_Tx_MIMAMORI_QCV2L_Available_Curr
(Data type) uint16
(Data range) 0x0000. . . 0xFFFF
(Actual range) 0x0000. . . 0x0FFF
</t>
    <phoneticPr fontId="67"/>
  </si>
  <si>
    <t xml:space="preserve">Com_Tx_MIMAMORI_QC_Command_Curr
(Data type) uint16
(Data range) 0x0000. . . 0xFFFF
(Actual range) 0x0000. . . 0x0FFF
</t>
    <phoneticPr fontId="67"/>
  </si>
  <si>
    <t>1) 0x3810, 0x3811, 0x3812
2) 0x3891, 0x3892, 0x3913, 
    0x3982, 0x39C0, 0x39C1, 
    0x39C3, 0x39C4, 0x39C8, 
    0x39C9, 0x3A00, 0x3A02, 
    0x3A03, 0x3A08, 0x3A09, 
    0x3A0A, 0x3A0E, 0x3A0F, 
    0x3B80, 0x3B81, 0x3B82, 
    0x3B83</t>
    <phoneticPr fontId="13"/>
  </si>
  <si>
    <t>1) Change these DIDs from "Support" to "Not support"
2) Update information related to "measurements"</t>
    <phoneticPr fontId="13"/>
  </si>
  <si>
    <r>
      <t xml:space="preserve">ChgrPlug_iCtPLim 
(Data type) sint16
(Compu method) RBPtCel_i_0p03125_1
(Unit) A
(LSB) 0.03125‬ (=1/32) [A/bit]
(Data range) -1024.000A. . . 1023.969A
(Actual range) 6A. . . 80A and 0A
ChgrPlug_flgDigComRqrd
(true: digital communication)
</t>
    </r>
    <r>
      <rPr>
        <b/>
        <sz val="10"/>
        <rFont val="Tahoma"/>
        <family val="2"/>
      </rPr>
      <t>Note</t>
    </r>
    <r>
      <rPr>
        <sz val="10"/>
        <rFont val="Tahoma"/>
        <family val="2"/>
      </rPr>
      <t xml:space="preserve"> : Please refer to the right cell about how to convert the above two messages to a tester output.
</t>
    </r>
    <phoneticPr fontId="67"/>
  </si>
  <si>
    <r>
      <t xml:space="preserve">PwmCtP_rDtyCycRaw_f
(Data type) real32
(Compu method) RBPtCel_Perc_1p0_1
(Unit) %
</t>
    </r>
    <r>
      <rPr>
        <b/>
        <sz val="10"/>
        <rFont val="Tahoma"/>
        <family val="2"/>
      </rPr>
      <t>Note</t>
    </r>
    <r>
      <rPr>
        <sz val="10"/>
        <rFont val="Tahoma"/>
        <family val="2"/>
      </rPr>
      <t xml:space="preserve"> : Please refer to the right cell about how to convert the above message to s tester output.</t>
    </r>
    <phoneticPr fontId="67"/>
  </si>
  <si>
    <r>
      <t xml:space="preserve">UCtP_uSens_f
(Data type) real32
(Compu method) RBPtCel_u_1p0_1
(Unit) V
</t>
    </r>
    <r>
      <rPr>
        <b/>
        <sz val="10"/>
        <rFont val="Tahoma"/>
        <family val="2"/>
      </rPr>
      <t>Note</t>
    </r>
    <r>
      <rPr>
        <sz val="10"/>
        <rFont val="Tahoma"/>
        <family val="2"/>
      </rPr>
      <t xml:space="preserve"> : Please refer to the right cell about how to convert the above message to s tester output.</t>
    </r>
    <phoneticPr fontId="67"/>
  </si>
  <si>
    <r>
      <rPr>
        <b/>
        <sz val="10"/>
        <rFont val="Tahoma"/>
        <family val="2"/>
      </rPr>
      <t xml:space="preserve">Note </t>
    </r>
    <r>
      <rPr>
        <sz val="10"/>
        <rFont val="Tahoma"/>
        <family val="2"/>
      </rPr>
      <t xml:space="preserve">: How to calculate the output
temp_s16 = MulDiv_limit_s16s8s8_s16( (ChgrPlug_iCtPLim * 2) /32 );
if (temp_s16 &lt;= 0x00FA)
{
  if (temp_s16 &gt;= 0x0000)
  {  temp_u8 = (uint8)temp_s16;  }
  else
  {  temp_u8 = 0x00;  }
}
else
{  temp_u8 = 0xFA;  }
if (ChgrPlug_flgDigComRqrd)
{output_u8 = 0xFF;}
else
{output_u8 = temp_u8;}
</t>
    </r>
    <phoneticPr fontId="67"/>
  </si>
  <si>
    <r>
      <rPr>
        <b/>
        <sz val="10"/>
        <rFont val="Tahoma"/>
        <family val="2"/>
      </rPr>
      <t>Note</t>
    </r>
    <r>
      <rPr>
        <sz val="10"/>
        <rFont val="Tahoma"/>
        <family val="2"/>
      </rPr>
      <t xml:space="preserve"> : How to calculate the output
_tfloat32 = PwmCtP_rDtyCycRaw_f * 2.0F;
if (_tfloat32 &lt; 200.0F)
{
  if (_tfloat32 &gt;= 0.0F)
  {output_u8 = (uint8)_tfloat32;}
  else
  {output_u8 = 0x00;}
}
else
{output_u8 = 0xC8;}
</t>
    </r>
    <phoneticPr fontId="67"/>
  </si>
  <si>
    <r>
      <rPr>
        <sz val="10"/>
        <color rgb="FFFF0000"/>
        <rFont val="Tahoma"/>
        <family val="2"/>
      </rPr>
      <t>[2022/7/6 ECH4/Haga]
under discussion with ISZ-san by OPL#98</t>
    </r>
    <r>
      <rPr>
        <sz val="10"/>
        <rFont val="Tahoma"/>
        <family val="2"/>
      </rPr>
      <t xml:space="preserve">
</t>
    </r>
    <r>
      <rPr>
        <b/>
        <sz val="10"/>
        <rFont val="Tahoma"/>
        <family val="2"/>
      </rPr>
      <t>Note</t>
    </r>
    <r>
      <rPr>
        <sz val="10"/>
        <rFont val="Tahoma"/>
        <family val="2"/>
      </rPr>
      <t xml:space="preserve"> : How to calculate the output
_tfloat32 = UCtP_uSens_f * 10.0F;
if (_tfloat32 &lt; 255.0F)
{
  if (_tfloat32 &gt;= 0.0F)
  {output_u8 = (uint8)_tfloat32;}
  else
  {output_u8 = 0x00;}
}
else
{output_u8 = 0xFF;}
</t>
    </r>
    <phoneticPr fontId="67"/>
  </si>
  <si>
    <t>Jul.19</t>
  </si>
  <si>
    <t>DID$3AE5 ~ $3AF0</t>
  </si>
  <si>
    <t>- Update max value</t>
  </si>
  <si>
    <t>DID 0x3982</t>
    <phoneticPr fontId="13"/>
  </si>
  <si>
    <t xml:space="preserve">0x0: UNPLUGGED
0x1: PLUGGED
0x2: DETECTION_DISABLED
0x4: ERROR
0x5: INI
</t>
    <phoneticPr fontId="67"/>
  </si>
  <si>
    <r>
      <rPr>
        <sz val="10"/>
        <color rgb="FF0000FF"/>
        <rFont val="Tahoma"/>
        <family val="2"/>
      </rPr>
      <t xml:space="preserve">[2022/8/1 ECH4/Haga]
- agreed by OPL#100
</t>
    </r>
    <phoneticPr fontId="67"/>
  </si>
  <si>
    <t>- Update max and remarks</t>
    <phoneticPr fontId="13"/>
  </si>
</sst>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1">
    <numFmt numFmtId="24" formatCode="\$#,##0_);[Red]\(\$#,##0\)"/>
    <numFmt numFmtId="176" formatCode="&quot;$&quot;#,##0_);[Red]\(&quot;$&quot;#,##0\)"/>
    <numFmt numFmtId="177" formatCode="&quot;¥&quot;#,##0;[Red]\-&quot;¥&quot;#,##0"/>
    <numFmt numFmtId="178" formatCode="&quot;¥&quot;#,##0.00;[Red]\-&quot;¥&quot;#,##0.00"/>
    <numFmt numFmtId="179" formatCode="General&quot;△a&quot;;General&quot;△a&quot;;General&quot;△a&quot;;General&quot;△a&quot;"/>
    <numFmt numFmtId="180" formatCode="General&quot;△b&quot;;General&quot;△b&quot;;General&quot;△b&quot;;General&quot;△b&quot;"/>
    <numFmt numFmtId="181" formatCode="General&quot;△c&quot;;General&quot;△c&quot;;General&quot;△c&quot;;General&quot;△c&quot;"/>
    <numFmt numFmtId="182" formatCode="General&quot;△d&quot;;General&quot;△d&quot;;General&quot;△d&quot;;General&quot;△d&quot;"/>
    <numFmt numFmtId="183" formatCode="General&quot;△e&quot;;General&quot;△e&quot;;General&quot;△e&quot;;General&quot;△e&quot;"/>
    <numFmt numFmtId="184" formatCode="General&quot;△f&quot;;General&quot;△f&quot;;General&quot;△f&quot;;General&quot;△f&quot;"/>
    <numFmt numFmtId="185" formatCode="General&quot;△g&quot;;General&quot;△g&quot;;General&quot;△g&quot;;General&quot;△g&quot;"/>
    <numFmt numFmtId="186" formatCode="General&quot;△h&quot;;General&quot;△h&quot;;General&quot;△h&quot;;General&quot;△h&quot;"/>
    <numFmt numFmtId="187" formatCode="General&quot;△i&quot;;General&quot;△i&quot;;General&quot;△i&quot;;General&quot;△i&quot;"/>
    <numFmt numFmtId="188" formatCode="General&quot;△j&quot;;General&quot;△j&quot;;General&quot;△j&quot;;General&quot;△j&quot;"/>
    <numFmt numFmtId="189" formatCode="General&quot;△k&quot;;General&quot;△k&quot;;General&quot;△k&quot;;General&quot;△k&quot;"/>
    <numFmt numFmtId="190" formatCode="General&quot;△l&quot;;General&quot;△l&quot;;General&quot;△l&quot;;General&quot;△l&quot;"/>
    <numFmt numFmtId="191" formatCode="General&quot;△m&quot;;General&quot;△m&quot;;General&quot;△m&quot;;General&quot;△m&quot;"/>
    <numFmt numFmtId="192" formatCode="General&quot;△n&quot;;General&quot;△n&quot;;General&quot;△n&quot;;General&quot;△n&quot;"/>
    <numFmt numFmtId="193" formatCode="General&quot;△o&quot;;General&quot;△o&quot;;General&quot;△o&quot;;General&quot;△o&quot;"/>
    <numFmt numFmtId="194" formatCode="General&quot;△p&quot;;General&quot;△p&quot;;General&quot;△p&quot;;General&quot;△p&quot;"/>
    <numFmt numFmtId="195" formatCode="General&quot;△q&quot;;General&quot;△q&quot;;General&quot;△q&quot;;General&quot;△q&quot;"/>
    <numFmt numFmtId="196" formatCode="General&quot;△r&quot;;General&quot;△r&quot;;General&quot;△r&quot;;General&quot;△r&quot;"/>
    <numFmt numFmtId="197" formatCode="General&quot;△s&quot;;General&quot;△s&quot;;General&quot;△s&quot;;General&quot;△s&quot;"/>
    <numFmt numFmtId="198" formatCode="General&quot;△t&quot;;General&quot;△t&quot;;General&quot;△t&quot;;General&quot;△t&quot;"/>
    <numFmt numFmtId="199" formatCode="General&quot;△u&quot;;General&quot;△u&quot;;General&quot;△u&quot;;General&quot;△u&quot;"/>
    <numFmt numFmtId="200" formatCode="General&quot;△w&quot;;General&quot;△w&quot;;General&quot;△w&quot;;General&quot;△w&quot;"/>
    <numFmt numFmtId="201" formatCode="General&quot;△x&quot;;General&quot;△x&quot;;General&quot;△x&quot;;General&quot;△x&quot;"/>
    <numFmt numFmtId="202" formatCode="General&quot;△y&quot;;General&quot;△y&quot;;General&quot;△y&quot;;General&quot;△y&quot;"/>
    <numFmt numFmtId="203" formatCode="General&quot;△z&quot;;General&quot;△z&quot;;General&quot;△z&quot;;General&quot;△z&quot;"/>
    <numFmt numFmtId="204" formatCode="#,##0.00\ &quot;F&quot;;\-#,##0.00\ &quot;F&quot;"/>
    <numFmt numFmtId="205" formatCode="d\.mmm\.yy"/>
    <numFmt numFmtId="206" formatCode="0.0%"/>
    <numFmt numFmtId="207" formatCode="d/m/yy"/>
    <numFmt numFmtId="208" formatCode="d/m/yy\ h:mm"/>
    <numFmt numFmtId="209" formatCode="#,##0&quot;｣&quot;_);\(#,##0&quot;｣&quot;\)"/>
    <numFmt numFmtId="210" formatCode="#,##0.0\ _F;\-#,##0.0\ _F"/>
    <numFmt numFmtId="211" formatCode="#,##0.0000\ _F;[Red]\-#,##0.0000\ _F"/>
    <numFmt numFmtId="212" formatCode="mmm\.dd"/>
    <numFmt numFmtId="213" formatCode="00"/>
    <numFmt numFmtId="214" formatCode="&quot;DID$&quot;@"/>
    <numFmt numFmtId="215" formatCode="&quot;bit&quot;0"/>
  </numFmts>
  <fonts count="102">
    <font>
      <sz val="9"/>
      <name val="Tahoma"/>
      <family val="2"/>
    </font>
    <font>
      <sz val="10"/>
      <color theme="1"/>
      <name val="Meiryo UI"/>
      <family val="2"/>
      <charset val="128"/>
    </font>
    <font>
      <sz val="10"/>
      <color theme="1"/>
      <name val="Arial"/>
      <family val="2"/>
      <charset val="128"/>
    </font>
    <font>
      <sz val="10"/>
      <color theme="1"/>
      <name val="Arial"/>
      <family val="2"/>
      <charset val="128"/>
    </font>
    <font>
      <sz val="10"/>
      <color theme="1"/>
      <name val="Arial"/>
      <family val="2"/>
      <charset val="128"/>
    </font>
    <font>
      <sz val="10"/>
      <color theme="1"/>
      <name val="Arial"/>
      <family val="2"/>
      <charset val="128"/>
    </font>
    <font>
      <sz val="10"/>
      <color theme="1"/>
      <name val="Arial"/>
      <family val="2"/>
      <charset val="128"/>
    </font>
    <font>
      <sz val="10"/>
      <color theme="1"/>
      <name val="Arial"/>
      <family val="2"/>
      <charset val="128"/>
    </font>
    <font>
      <sz val="10"/>
      <color theme="1"/>
      <name val="Arial"/>
      <family val="2"/>
      <charset val="128"/>
    </font>
    <font>
      <sz val="10"/>
      <color theme="1"/>
      <name val="Arial"/>
      <family val="2"/>
      <charset val="128"/>
    </font>
    <font>
      <sz val="10"/>
      <color theme="1"/>
      <name val="Arial"/>
      <family val="2"/>
      <charset val="128"/>
    </font>
    <font>
      <sz val="10"/>
      <color theme="1"/>
      <name val="Arial"/>
      <family val="2"/>
      <charset val="128"/>
    </font>
    <font>
      <sz val="9"/>
      <name val="Tahoma"/>
      <family val="2"/>
    </font>
    <font>
      <sz val="6"/>
      <name val="ＭＳ Ｐゴシック"/>
      <family val="3"/>
      <charset val="128"/>
    </font>
    <font>
      <u/>
      <sz val="9"/>
      <color indexed="12"/>
      <name val="Tahoma"/>
      <family val="2"/>
    </font>
    <font>
      <sz val="8"/>
      <name val="ＭＳ Ｐゴシック"/>
      <family val="3"/>
      <charset val="128"/>
    </font>
    <font>
      <b/>
      <sz val="9"/>
      <name val="ＭＳ ゴシック"/>
      <family val="3"/>
      <charset val="128"/>
    </font>
    <font>
      <b/>
      <sz val="10"/>
      <name val="ＭＳ ゴシック"/>
      <family val="3"/>
      <charset val="128"/>
    </font>
    <font>
      <b/>
      <sz val="8"/>
      <name val="ＭＳ ゴシック"/>
      <family val="3"/>
      <charset val="128"/>
    </font>
    <font>
      <b/>
      <sz val="9"/>
      <color indexed="8"/>
      <name val="ＭＳ ゴシック"/>
      <family val="3"/>
      <charset val="128"/>
    </font>
    <font>
      <sz val="10"/>
      <name val="Arial"/>
      <family val="2"/>
    </font>
    <font>
      <sz val="14"/>
      <name val="AngsanaUPC"/>
      <family val="1"/>
    </font>
    <font>
      <sz val="12"/>
      <name val="System"/>
      <family val="2"/>
    </font>
    <font>
      <sz val="8"/>
      <name val="Arial"/>
      <family val="2"/>
    </font>
    <font>
      <sz val="10"/>
      <name val="MS Sans Serif"/>
      <family val="2"/>
    </font>
    <font>
      <sz val="11"/>
      <name val="ＭＳ Ｐゴシック"/>
      <family val="3"/>
      <charset val="128"/>
    </font>
    <font>
      <sz val="7"/>
      <name val="Small Fonts"/>
      <family val="2"/>
    </font>
    <font>
      <u/>
      <sz val="10"/>
      <color theme="10"/>
      <name val="Arial"/>
      <family val="2"/>
    </font>
    <font>
      <sz val="10"/>
      <color theme="1"/>
      <name val="Arial"/>
      <family val="2"/>
    </font>
    <font>
      <sz val="11"/>
      <color theme="1"/>
      <name val="ＭＳ Ｐゴシック"/>
      <family val="3"/>
      <charset val="128"/>
      <scheme val="minor"/>
    </font>
    <font>
      <sz val="11"/>
      <name val="ＭＳ ゴシック"/>
      <family val="3"/>
      <charset val="128"/>
    </font>
    <font>
      <b/>
      <sz val="9"/>
      <name val="Tahoma"/>
      <family val="2"/>
    </font>
    <font>
      <sz val="9"/>
      <color rgb="FFFF0000"/>
      <name val="Tahoma"/>
      <family val="2"/>
    </font>
    <font>
      <sz val="6"/>
      <name val="ＭＳ Ｐゴシック"/>
      <family val="3"/>
      <charset val="128"/>
      <scheme val="minor"/>
    </font>
    <font>
      <sz val="6"/>
      <name val="Arial"/>
      <family val="2"/>
      <charset val="128"/>
    </font>
    <font>
      <b/>
      <sz val="9"/>
      <color rgb="FFFF0000"/>
      <name val="Tahoma"/>
      <family val="2"/>
    </font>
    <font>
      <sz val="10"/>
      <name val="ＭＳ Ｐゴシック"/>
      <family val="3"/>
      <charset val="128"/>
    </font>
    <font>
      <sz val="10"/>
      <name val="Tahoma"/>
      <family val="2"/>
    </font>
    <font>
      <b/>
      <sz val="9"/>
      <color rgb="FF0066FF"/>
      <name val="Tahoma"/>
      <family val="2"/>
    </font>
    <font>
      <b/>
      <sz val="9"/>
      <color rgb="FF00B050"/>
      <name val="Tahoma"/>
      <family val="2"/>
    </font>
    <font>
      <sz val="10"/>
      <color theme="0"/>
      <name val="Tahoma"/>
      <family val="2"/>
    </font>
    <font>
      <b/>
      <sz val="10"/>
      <name val="Tahoma"/>
      <family val="2"/>
    </font>
    <font>
      <sz val="9"/>
      <color indexed="81"/>
      <name val="Tahoma"/>
      <family val="2"/>
    </font>
    <font>
      <sz val="9"/>
      <color indexed="81"/>
      <name val="ＭＳ Ｐゴシック"/>
      <family val="3"/>
      <charset val="128"/>
    </font>
    <font>
      <sz val="10"/>
      <color rgb="FFFF0000"/>
      <name val="Tahoma"/>
      <family val="2"/>
    </font>
    <font>
      <b/>
      <sz val="10"/>
      <color rgb="FFFF0000"/>
      <name val="Tahoma"/>
      <family val="2"/>
    </font>
    <font>
      <sz val="10"/>
      <color rgb="FFFF0000"/>
      <name val="ＭＳ Ｐゴシック"/>
      <family val="3"/>
      <charset val="128"/>
    </font>
    <font>
      <sz val="1"/>
      <name val="Tahoma"/>
      <family val="2"/>
    </font>
    <font>
      <sz val="1"/>
      <color theme="0"/>
      <name val="Tahoma"/>
      <family val="2"/>
    </font>
    <font>
      <sz val="9"/>
      <color rgb="FF00B050"/>
      <name val="Tahoma"/>
      <family val="2"/>
    </font>
    <font>
      <sz val="9"/>
      <color rgb="FF0066FF"/>
      <name val="Tahoma"/>
      <family val="2"/>
    </font>
    <font>
      <sz val="8"/>
      <name val="Tahoma"/>
      <family val="2"/>
    </font>
    <font>
      <sz val="8"/>
      <color rgb="FFFF0000"/>
      <name val="Tahoma"/>
      <family val="2"/>
    </font>
    <font>
      <sz val="8"/>
      <color rgb="FF00B050"/>
      <name val="Tahoma"/>
      <family val="2"/>
    </font>
    <font>
      <sz val="8"/>
      <color rgb="FF0066FF"/>
      <name val="Tahoma"/>
      <family val="2"/>
    </font>
    <font>
      <u/>
      <sz val="10"/>
      <name val="Tahoma"/>
      <family val="2"/>
    </font>
    <font>
      <b/>
      <sz val="18"/>
      <name val="Tahoma"/>
      <family val="2"/>
    </font>
    <font>
      <sz val="9"/>
      <color theme="0"/>
      <name val="Tahoma"/>
      <family val="2"/>
    </font>
    <font>
      <b/>
      <u/>
      <sz val="18"/>
      <name val="Tahoma"/>
      <family val="2"/>
    </font>
    <font>
      <b/>
      <u/>
      <sz val="9"/>
      <name val="Tahoma"/>
      <family val="2"/>
    </font>
    <font>
      <b/>
      <sz val="9"/>
      <color rgb="FF0066FF"/>
      <name val="ＭＳ Ｐゴシック"/>
      <family val="3"/>
      <charset val="128"/>
    </font>
    <font>
      <b/>
      <sz val="1"/>
      <color theme="0"/>
      <name val="Tahoma"/>
      <family val="2"/>
    </font>
    <font>
      <sz val="10"/>
      <color theme="1"/>
      <name val="Tahoma"/>
      <family val="2"/>
    </font>
    <font>
      <sz val="11"/>
      <color theme="1"/>
      <name val="ＭＳ Ｐゴシック"/>
      <family val="2"/>
      <charset val="128"/>
      <scheme val="minor"/>
    </font>
    <font>
      <sz val="10"/>
      <name val="Meiryo UI"/>
      <family val="3"/>
      <charset val="128"/>
    </font>
    <font>
      <b/>
      <sz val="10"/>
      <color theme="0"/>
      <name val="Tahoma"/>
      <family val="2"/>
    </font>
    <font>
      <sz val="9"/>
      <color rgb="FF000000"/>
      <name val="Tahoma"/>
      <family val="2"/>
    </font>
    <font>
      <sz val="6"/>
      <name val="Meiryo UI"/>
      <family val="2"/>
      <charset val="128"/>
    </font>
    <font>
      <strike/>
      <sz val="10"/>
      <color rgb="FFFF0000"/>
      <name val="Tahoma"/>
      <family val="2"/>
    </font>
    <font>
      <sz val="11"/>
      <color theme="1"/>
      <name val="Meiryo UI"/>
      <family val="2"/>
      <charset val="128"/>
    </font>
    <font>
      <b/>
      <sz val="10"/>
      <color theme="1"/>
      <name val="Tahoma"/>
      <family val="2"/>
    </font>
    <font>
      <sz val="11"/>
      <name val="Tahoma"/>
      <family val="2"/>
    </font>
    <font>
      <sz val="6"/>
      <name val="ＭＳ Ｐゴシック"/>
      <family val="2"/>
      <charset val="128"/>
      <scheme val="minor"/>
    </font>
    <font>
      <strike/>
      <sz val="10"/>
      <name val="Tahoma"/>
      <family val="2"/>
    </font>
    <font>
      <i/>
      <sz val="9"/>
      <name val="Tahoma"/>
      <family val="2"/>
    </font>
    <font>
      <b/>
      <i/>
      <sz val="9"/>
      <name val="Tahoma"/>
      <family val="2"/>
    </font>
    <font>
      <b/>
      <sz val="9"/>
      <color rgb="FFC00000"/>
      <name val="Tahoma"/>
      <family val="2"/>
    </font>
    <font>
      <b/>
      <strike/>
      <sz val="9"/>
      <name val="Tahoma"/>
      <family val="2"/>
    </font>
    <font>
      <b/>
      <sz val="14"/>
      <color theme="1"/>
      <name val="Tahoma"/>
      <family val="2"/>
    </font>
    <font>
      <strike/>
      <sz val="10"/>
      <color theme="0" tint="-0.249977111117893"/>
      <name val="Tahoma"/>
      <family val="2"/>
    </font>
    <font>
      <sz val="10"/>
      <name val="Segoe UI Symbol"/>
      <family val="3"/>
    </font>
    <font>
      <strike/>
      <sz val="10"/>
      <color theme="0" tint="-0.499984740745262"/>
      <name val="Tahoma"/>
      <family val="2"/>
    </font>
    <font>
      <b/>
      <strike/>
      <sz val="10"/>
      <color theme="0" tint="-0.499984740745262"/>
      <name val="Tahoma"/>
      <family val="2"/>
    </font>
    <font>
      <sz val="10"/>
      <name val="BIZ UDゴシック"/>
      <family val="3"/>
      <charset val="128"/>
    </font>
    <font>
      <b/>
      <strike/>
      <sz val="10"/>
      <name val="Tahoma"/>
      <family val="2"/>
    </font>
    <font>
      <b/>
      <strike/>
      <sz val="10"/>
      <color rgb="FFFF0000"/>
      <name val="Tahoma"/>
      <family val="2"/>
    </font>
    <font>
      <b/>
      <strike/>
      <sz val="10"/>
      <color theme="0" tint="-0.249977111117893"/>
      <name val="Tahoma"/>
      <family val="2"/>
    </font>
    <font>
      <strike/>
      <sz val="9"/>
      <name val="Tahoma"/>
      <family val="2"/>
    </font>
    <font>
      <b/>
      <sz val="9"/>
      <color rgb="FF0000FF"/>
      <name val="Tahoma"/>
      <family val="2"/>
    </font>
    <font>
      <sz val="10"/>
      <color theme="0" tint="-0.14999847407452621"/>
      <name val="Tahoma"/>
      <family val="2"/>
    </font>
    <font>
      <b/>
      <sz val="14"/>
      <name val="Tahoma"/>
      <family val="2"/>
    </font>
    <font>
      <b/>
      <sz val="16"/>
      <name val="Tahoma"/>
      <family val="2"/>
    </font>
    <font>
      <b/>
      <vertAlign val="superscript"/>
      <sz val="10"/>
      <name val="Tahoma"/>
      <family val="2"/>
    </font>
    <font>
      <u/>
      <sz val="9"/>
      <name val="Tahoma"/>
      <family val="2"/>
    </font>
    <font>
      <sz val="11"/>
      <color theme="1"/>
      <name val="ＭＳ Ｐゴシック"/>
      <family val="2"/>
      <scheme val="minor"/>
    </font>
    <font>
      <sz val="10"/>
      <color rgb="FF0070C0"/>
      <name val="Tahoma"/>
      <family val="2"/>
    </font>
    <font>
      <sz val="10"/>
      <color theme="6" tint="-0.249977111117893"/>
      <name val="Tahoma"/>
      <family val="2"/>
    </font>
    <font>
      <vertAlign val="superscript"/>
      <sz val="10"/>
      <name val="Tahoma"/>
      <family val="2"/>
    </font>
    <font>
      <b/>
      <strike/>
      <vertAlign val="superscript"/>
      <sz val="10"/>
      <name val="Tahoma"/>
      <family val="2"/>
    </font>
    <font>
      <sz val="10"/>
      <color theme="0" tint="-0.249977111117893"/>
      <name val="Tahoma"/>
      <family val="2"/>
    </font>
    <font>
      <sz val="10"/>
      <name val="Tahoma"/>
      <family val="3"/>
    </font>
    <font>
      <sz val="10"/>
      <color rgb="FF0000FF"/>
      <name val="Tahoma"/>
      <family val="2"/>
    </font>
  </fonts>
  <fills count="22">
    <fill>
      <patternFill patternType="none"/>
    </fill>
    <fill>
      <patternFill patternType="gray125"/>
    </fill>
    <fill>
      <patternFill patternType="solid">
        <fgColor indexed="22"/>
        <bgColor indexed="64"/>
      </patternFill>
    </fill>
    <fill>
      <patternFill patternType="solid">
        <fgColor indexed="10"/>
        <bgColor indexed="64"/>
      </patternFill>
    </fill>
    <fill>
      <patternFill patternType="solid">
        <fgColor indexed="26"/>
        <bgColor indexed="64"/>
      </patternFill>
    </fill>
    <fill>
      <patternFill patternType="solid">
        <fgColor theme="0" tint="-0.249977111117893"/>
        <bgColor indexed="64"/>
      </patternFill>
    </fill>
    <fill>
      <patternFill patternType="solid">
        <fgColor rgb="FFFFFF00"/>
        <bgColor indexed="64"/>
      </patternFill>
    </fill>
    <fill>
      <patternFill patternType="solid">
        <fgColor theme="1"/>
        <bgColor indexed="64"/>
      </patternFill>
    </fill>
    <fill>
      <patternFill patternType="solid">
        <fgColor rgb="FFBFBFBF"/>
        <bgColor indexed="64"/>
      </patternFill>
    </fill>
    <fill>
      <patternFill patternType="solid">
        <fgColor theme="0"/>
        <bgColor indexed="64"/>
      </patternFill>
    </fill>
    <fill>
      <patternFill patternType="solid">
        <fgColor rgb="FF0070C0"/>
        <bgColor indexed="64"/>
      </patternFill>
    </fill>
    <fill>
      <patternFill patternType="solid">
        <fgColor rgb="FFFFFFCC"/>
        <bgColor indexed="64"/>
      </patternFill>
    </fill>
    <fill>
      <patternFill patternType="solid">
        <fgColor rgb="FFFFDDFF"/>
        <bgColor indexed="64"/>
      </patternFill>
    </fill>
    <fill>
      <patternFill patternType="solid">
        <fgColor rgb="FFCCFFCC"/>
        <bgColor indexed="64"/>
      </patternFill>
    </fill>
    <fill>
      <patternFill patternType="solid">
        <fgColor theme="9" tint="0.39997558519241921"/>
        <bgColor indexed="64"/>
      </patternFill>
    </fill>
    <fill>
      <patternFill patternType="solid">
        <fgColor rgb="FFCCFF33"/>
        <bgColor indexed="64"/>
      </patternFill>
    </fill>
    <fill>
      <patternFill patternType="solid">
        <fgColor rgb="FFFFCC66"/>
        <bgColor indexed="64"/>
      </patternFill>
    </fill>
    <fill>
      <patternFill patternType="solid">
        <fgColor rgb="FF66FF99"/>
        <bgColor indexed="64"/>
      </patternFill>
    </fill>
    <fill>
      <patternFill patternType="solid">
        <fgColor rgb="FF00FFCC"/>
        <bgColor indexed="64"/>
      </patternFill>
    </fill>
    <fill>
      <patternFill patternType="solid">
        <fgColor rgb="FFCCFFFF"/>
        <bgColor indexed="64"/>
      </patternFill>
    </fill>
    <fill>
      <patternFill patternType="solid">
        <fgColor theme="3" tint="0.79998168889431442"/>
        <bgColor indexed="64"/>
      </patternFill>
    </fill>
    <fill>
      <patternFill patternType="solid">
        <fgColor theme="7" tint="0.59999389629810485"/>
        <bgColor indexed="64"/>
      </patternFill>
    </fill>
  </fills>
  <borders count="80">
    <border>
      <left/>
      <right/>
      <top/>
      <bottom/>
      <diagonal/>
    </border>
    <border>
      <left style="thin">
        <color indexed="64"/>
      </left>
      <right style="thin">
        <color indexed="64"/>
      </right>
      <top/>
      <bottom/>
      <diagonal/>
    </border>
    <border>
      <left/>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right style="medium">
        <color indexed="64"/>
      </right>
      <top/>
      <bottom style="dotted">
        <color indexed="64"/>
      </bottom>
      <diagonal/>
    </border>
    <border>
      <left style="thin">
        <color indexed="64"/>
      </left>
      <right style="thin">
        <color indexed="64"/>
      </right>
      <top style="medium">
        <color indexed="64"/>
      </top>
      <bottom style="thin">
        <color indexed="64"/>
      </bottom>
      <diagonal/>
    </border>
    <border>
      <left style="thin">
        <color indexed="64"/>
      </left>
      <right/>
      <top/>
      <bottom style="dotted">
        <color indexed="64"/>
      </bottom>
      <diagonal/>
    </border>
    <border>
      <left style="medium">
        <color indexed="64"/>
      </left>
      <right/>
      <top style="thin">
        <color indexed="64"/>
      </top>
      <bottom style="thin">
        <color indexed="64"/>
      </bottom>
      <diagonal/>
    </border>
    <border>
      <left style="medium">
        <color indexed="64"/>
      </left>
      <right style="medium">
        <color indexed="64"/>
      </right>
      <top/>
      <bottom style="dotted">
        <color indexed="64"/>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style="hair">
        <color indexed="64"/>
      </top>
      <bottom style="thin">
        <color indexed="64"/>
      </bottom>
      <diagonal/>
    </border>
    <border>
      <left style="hair">
        <color indexed="64"/>
      </left>
      <right style="hair">
        <color indexed="64"/>
      </right>
      <top style="thin">
        <color indexed="64"/>
      </top>
      <bottom style="thin">
        <color indexed="64"/>
      </bottom>
      <diagonal/>
    </border>
    <border>
      <left style="thin">
        <color indexed="64"/>
      </left>
      <right style="hair">
        <color indexed="64"/>
      </right>
      <top style="thin">
        <color indexed="64"/>
      </top>
      <bottom/>
      <diagonal/>
    </border>
    <border>
      <left style="hair">
        <color indexed="64"/>
      </left>
      <right style="hair">
        <color indexed="64"/>
      </right>
      <top style="thin">
        <color indexed="64"/>
      </top>
      <bottom/>
      <diagonal/>
    </border>
    <border>
      <left style="thin">
        <color indexed="64"/>
      </left>
      <right style="hair">
        <color indexed="64"/>
      </right>
      <top/>
      <bottom/>
      <diagonal/>
    </border>
    <border>
      <left style="hair">
        <color indexed="64"/>
      </left>
      <right style="hair">
        <color indexed="64"/>
      </right>
      <top/>
      <bottom/>
      <diagonal/>
    </border>
    <border>
      <left style="hair">
        <color indexed="64"/>
      </left>
      <right style="thin">
        <color indexed="64"/>
      </right>
      <top/>
      <bottom/>
      <diagonal/>
    </border>
    <border>
      <left style="hair">
        <color indexed="64"/>
      </left>
      <right style="hair">
        <color indexed="64"/>
      </right>
      <top/>
      <bottom style="thin">
        <color indexed="64"/>
      </bottom>
      <diagonal/>
    </border>
    <border>
      <left style="thin">
        <color indexed="64"/>
      </left>
      <right style="hair">
        <color indexed="64"/>
      </right>
      <top style="thin">
        <color indexed="64"/>
      </top>
      <bottom style="hair">
        <color indexed="64"/>
      </bottom>
      <diagonal/>
    </border>
    <border>
      <left style="hair">
        <color indexed="64"/>
      </left>
      <right style="hair">
        <color indexed="64"/>
      </right>
      <top style="thin">
        <color indexed="64"/>
      </top>
      <bottom style="hair">
        <color indexed="64"/>
      </bottom>
      <diagonal/>
    </border>
    <border>
      <left style="hair">
        <color indexed="64"/>
      </left>
      <right style="thin">
        <color indexed="64"/>
      </right>
      <top style="thin">
        <color indexed="64"/>
      </top>
      <bottom style="hair">
        <color indexed="64"/>
      </bottom>
      <diagonal/>
    </border>
    <border>
      <left style="thin">
        <color indexed="64"/>
      </left>
      <right style="hair">
        <color indexed="64"/>
      </right>
      <top style="hair">
        <color indexed="64"/>
      </top>
      <bottom style="hair">
        <color indexed="64"/>
      </bottom>
      <diagonal/>
    </border>
    <border>
      <left style="hair">
        <color indexed="64"/>
      </left>
      <right style="hair">
        <color indexed="64"/>
      </right>
      <top style="hair">
        <color indexed="64"/>
      </top>
      <bottom style="hair">
        <color indexed="64"/>
      </bottom>
      <diagonal/>
    </border>
    <border>
      <left style="hair">
        <color indexed="64"/>
      </left>
      <right style="thin">
        <color indexed="64"/>
      </right>
      <top style="hair">
        <color indexed="64"/>
      </top>
      <bottom style="hair">
        <color indexed="64"/>
      </bottom>
      <diagonal/>
    </border>
    <border>
      <left style="thin">
        <color indexed="64"/>
      </left>
      <right style="hair">
        <color indexed="64"/>
      </right>
      <top style="hair">
        <color indexed="64"/>
      </top>
      <bottom style="thin">
        <color indexed="64"/>
      </bottom>
      <diagonal/>
    </border>
    <border>
      <left style="hair">
        <color indexed="64"/>
      </left>
      <right style="hair">
        <color indexed="64"/>
      </right>
      <top style="hair">
        <color indexed="64"/>
      </top>
      <bottom style="thin">
        <color indexed="64"/>
      </bottom>
      <diagonal/>
    </border>
    <border>
      <left style="thin">
        <color indexed="64"/>
      </left>
      <right style="hair">
        <color indexed="64"/>
      </right>
      <top/>
      <bottom style="hair">
        <color indexed="64"/>
      </bottom>
      <diagonal/>
    </border>
    <border>
      <left style="hair">
        <color indexed="64"/>
      </left>
      <right style="hair">
        <color indexed="64"/>
      </right>
      <top/>
      <bottom style="hair">
        <color indexed="64"/>
      </bottom>
      <diagonal/>
    </border>
    <border>
      <left style="hair">
        <color indexed="64"/>
      </left>
      <right style="thin">
        <color indexed="64"/>
      </right>
      <top/>
      <bottom style="hair">
        <color indexed="64"/>
      </bottom>
      <diagonal/>
    </border>
    <border>
      <left style="thin">
        <color indexed="64"/>
      </left>
      <right/>
      <top style="thin">
        <color indexed="64"/>
      </top>
      <bottom style="hair">
        <color indexed="64"/>
      </bottom>
      <diagonal/>
    </border>
    <border>
      <left style="thin">
        <color indexed="64"/>
      </left>
      <right/>
      <top style="hair">
        <color indexed="64"/>
      </top>
      <bottom style="hair">
        <color indexed="64"/>
      </bottom>
      <diagonal/>
    </border>
    <border>
      <left style="thin">
        <color indexed="64"/>
      </left>
      <right style="hair">
        <color indexed="64"/>
      </right>
      <top style="thin">
        <color auto="1"/>
      </top>
      <bottom style="thin">
        <color auto="1"/>
      </bottom>
      <diagonal/>
    </border>
    <border>
      <left style="hair">
        <color indexed="64"/>
      </left>
      <right style="thin">
        <color indexed="64"/>
      </right>
      <top style="thin">
        <color auto="1"/>
      </top>
      <bottom style="thin">
        <color auto="1"/>
      </bottom>
      <diagonal/>
    </border>
    <border>
      <left style="hair">
        <color indexed="64"/>
      </left>
      <right style="thin">
        <color indexed="64"/>
      </right>
      <top style="thin">
        <color auto="1"/>
      </top>
      <bottom/>
      <diagonal/>
    </border>
    <border>
      <left/>
      <right/>
      <top style="thin">
        <color auto="1"/>
      </top>
      <bottom style="thin">
        <color auto="1"/>
      </bottom>
      <diagonal/>
    </border>
    <border>
      <left style="thin">
        <color indexed="64"/>
      </left>
      <right style="hair">
        <color indexed="64"/>
      </right>
      <top/>
      <bottom style="thin">
        <color auto="1"/>
      </bottom>
      <diagonal/>
    </border>
    <border>
      <left style="hair">
        <color indexed="64"/>
      </left>
      <right style="thin">
        <color indexed="64"/>
      </right>
      <top/>
      <bottom style="thin">
        <color auto="1"/>
      </bottom>
      <diagonal/>
    </border>
    <border>
      <left style="hair">
        <color indexed="64"/>
      </left>
      <right/>
      <top style="thin">
        <color indexed="64"/>
      </top>
      <bottom style="thin">
        <color indexed="64"/>
      </bottom>
      <diagonal/>
    </border>
    <border>
      <left style="hair">
        <color indexed="64"/>
      </left>
      <right/>
      <top/>
      <bottom style="thin">
        <color indexed="64"/>
      </bottom>
      <diagonal/>
    </border>
    <border>
      <left style="hair">
        <color indexed="64"/>
      </left>
      <right/>
      <top style="thin">
        <color indexed="64"/>
      </top>
      <bottom style="hair">
        <color indexed="64"/>
      </bottom>
      <diagonal/>
    </border>
    <border>
      <left style="hair">
        <color indexed="64"/>
      </left>
      <right style="thin">
        <color rgb="FF000000"/>
      </right>
      <top/>
      <bottom style="thin">
        <color auto="1"/>
      </bottom>
      <diagonal/>
    </border>
    <border>
      <left style="thin">
        <color indexed="64"/>
      </left>
      <right style="thin">
        <color indexed="64"/>
      </right>
      <top/>
      <bottom style="hair">
        <color indexed="64"/>
      </bottom>
      <diagonal/>
    </border>
    <border>
      <left/>
      <right/>
      <top style="hair">
        <color indexed="64"/>
      </top>
      <bottom style="hair">
        <color indexed="64"/>
      </bottom>
      <diagonal/>
    </border>
    <border>
      <left/>
      <right style="thin">
        <color indexed="64"/>
      </right>
      <top style="hair">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right style="thin">
        <color indexed="64"/>
      </right>
      <top/>
      <bottom style="hair">
        <color indexed="64"/>
      </bottom>
      <diagonal/>
    </border>
    <border>
      <left style="thin">
        <color indexed="64"/>
      </left>
      <right/>
      <top/>
      <bottom style="hair">
        <color indexed="64"/>
      </bottom>
      <diagonal/>
    </border>
    <border>
      <left/>
      <right/>
      <top/>
      <bottom style="hair">
        <color indexed="64"/>
      </bottom>
      <diagonal/>
    </border>
    <border>
      <left style="hair">
        <color indexed="64"/>
      </left>
      <right/>
      <top style="thin">
        <color auto="1"/>
      </top>
      <bottom/>
      <diagonal/>
    </border>
    <border>
      <left/>
      <right style="hair">
        <color indexed="64"/>
      </right>
      <top style="thin">
        <color auto="1"/>
      </top>
      <bottom/>
      <diagonal/>
    </border>
    <border>
      <left/>
      <right style="hair">
        <color indexed="64"/>
      </right>
      <top/>
      <bottom style="thin">
        <color indexed="64"/>
      </bottom>
      <diagonal/>
    </border>
    <border>
      <left/>
      <right style="hair">
        <color indexed="64"/>
      </right>
      <top style="thin">
        <color indexed="64"/>
      </top>
      <bottom style="thin">
        <color indexed="64"/>
      </bottom>
      <diagonal/>
    </border>
    <border>
      <left style="hair">
        <color indexed="64"/>
      </left>
      <right/>
      <top/>
      <bottom/>
      <diagonal/>
    </border>
    <border>
      <left style="hair">
        <color theme="0" tint="-0.24994659260841701"/>
      </left>
      <right style="hair">
        <color theme="0" tint="-0.24994659260841701"/>
      </right>
      <top/>
      <bottom/>
      <diagonal/>
    </border>
    <border>
      <left style="hair">
        <color indexed="64"/>
      </left>
      <right style="thin">
        <color indexed="64"/>
      </right>
      <top style="hair">
        <color indexed="64"/>
      </top>
      <bottom style="thin">
        <color auto="1"/>
      </bottom>
      <diagonal/>
    </border>
    <border diagonalDown="1">
      <left style="thin">
        <color indexed="64"/>
      </left>
      <right style="thin">
        <color indexed="64"/>
      </right>
      <top style="thin">
        <color indexed="64"/>
      </top>
      <bottom style="thin">
        <color indexed="64"/>
      </bottom>
      <diagonal style="thin">
        <color indexed="64"/>
      </diagonal>
    </border>
    <border>
      <left style="thin">
        <color indexed="64"/>
      </left>
      <right style="thin">
        <color indexed="64"/>
      </right>
      <top style="hair">
        <color indexed="64"/>
      </top>
      <bottom/>
      <diagonal/>
    </border>
    <border diagonalDown="1">
      <left style="thin">
        <color indexed="64"/>
      </left>
      <right style="thin">
        <color indexed="64"/>
      </right>
      <top style="thin">
        <color indexed="64"/>
      </top>
      <bottom style="hair">
        <color indexed="64"/>
      </bottom>
      <diagonal style="thin">
        <color indexed="64"/>
      </diagonal>
    </border>
    <border diagonalDown="1">
      <left style="thin">
        <color indexed="64"/>
      </left>
      <right style="thin">
        <color indexed="64"/>
      </right>
      <top style="hair">
        <color indexed="64"/>
      </top>
      <bottom style="hair">
        <color indexed="64"/>
      </bottom>
      <diagonal style="thin">
        <color indexed="64"/>
      </diagonal>
    </border>
    <border diagonalDown="1">
      <left style="thin">
        <color indexed="64"/>
      </left>
      <right style="thin">
        <color indexed="64"/>
      </right>
      <top style="hair">
        <color indexed="64"/>
      </top>
      <bottom style="thin">
        <color indexed="64"/>
      </bottom>
      <diagonal style="thin">
        <color indexed="64"/>
      </diagonal>
    </border>
    <border>
      <left style="hair">
        <color theme="0" tint="-0.24994659260841701"/>
      </left>
      <right/>
      <top/>
      <bottom/>
      <diagonal/>
    </border>
    <border>
      <left/>
      <right style="hair">
        <color theme="0" tint="-0.24994659260841701"/>
      </right>
      <top/>
      <bottom/>
      <diagonal/>
    </border>
    <border>
      <left style="thin">
        <color theme="0" tint="-0.24994659260841701"/>
      </left>
      <right/>
      <top/>
      <bottom/>
      <diagonal/>
    </border>
    <border>
      <left style="thin">
        <color theme="0" tint="-0.24994659260841701"/>
      </left>
      <right style="thin">
        <color theme="0" tint="-0.24994659260841701"/>
      </right>
      <top/>
      <bottom/>
      <diagonal/>
    </border>
    <border>
      <left/>
      <right style="thin">
        <color rgb="FF000000"/>
      </right>
      <top/>
      <bottom style="thin">
        <color auto="1"/>
      </bottom>
      <diagonal/>
    </border>
    <border>
      <left style="hair">
        <color indexed="64"/>
      </left>
      <right/>
      <top style="hair">
        <color indexed="64"/>
      </top>
      <bottom style="thin">
        <color auto="1"/>
      </bottom>
      <diagonal/>
    </border>
    <border>
      <left/>
      <right/>
      <top style="hair">
        <color indexed="64"/>
      </top>
      <bottom style="thin">
        <color indexed="64"/>
      </bottom>
      <diagonal/>
    </border>
  </borders>
  <cellStyleXfs count="162">
    <xf numFmtId="0" fontId="0" fillId="0" borderId="0">
      <alignment vertical="center"/>
    </xf>
    <xf numFmtId="179" fontId="16" fillId="0" borderId="15" applyBorder="0">
      <alignment horizontal="center" vertical="center"/>
    </xf>
    <xf numFmtId="179" fontId="16" fillId="0" borderId="15" applyBorder="0">
      <alignment horizontal="center" vertical="center"/>
    </xf>
    <xf numFmtId="180" fontId="17" fillId="0" borderId="0" applyBorder="0">
      <alignment horizontal="center" vertical="center"/>
    </xf>
    <xf numFmtId="181" fontId="17" fillId="0" borderId="4" applyBorder="0">
      <alignment horizontal="center" vertical="center"/>
    </xf>
    <xf numFmtId="182" fontId="17" fillId="0" borderId="6" applyFont="0" applyBorder="0" applyProtection="0">
      <alignment horizontal="center" vertical="center"/>
    </xf>
    <xf numFmtId="182" fontId="17" fillId="0" borderId="6" applyFont="0" applyBorder="0" applyProtection="0">
      <alignment horizontal="center" vertical="center"/>
    </xf>
    <xf numFmtId="183" fontId="17" fillId="0" borderId="1" applyBorder="0">
      <alignment horizontal="center" vertical="center"/>
    </xf>
    <xf numFmtId="184" fontId="17" fillId="0" borderId="16" applyBorder="0">
      <alignment horizontal="center" vertical="center"/>
    </xf>
    <xf numFmtId="185" fontId="17" fillId="0" borderId="5" applyBorder="0">
      <alignment horizontal="center" vertical="center" wrapText="1"/>
    </xf>
    <xf numFmtId="186" fontId="16" fillId="0" borderId="5" applyBorder="0" applyAlignment="0">
      <alignment horizontal="center"/>
      <protection locked="0"/>
    </xf>
    <xf numFmtId="187" fontId="17" fillId="0" borderId="17" applyBorder="0">
      <alignment horizontal="center" vertical="center"/>
    </xf>
    <xf numFmtId="188" fontId="16" fillId="0" borderId="18" applyBorder="0">
      <alignment horizontal="center" vertical="center"/>
    </xf>
    <xf numFmtId="189" fontId="18" fillId="0" borderId="5" applyFont="0" applyBorder="0">
      <alignment horizontal="center" vertical="center"/>
    </xf>
    <xf numFmtId="190" fontId="16" fillId="0" borderId="5" applyBorder="0" applyAlignment="0">
      <alignment horizontal="left" vertical="center"/>
    </xf>
    <xf numFmtId="191" fontId="19" fillId="0" borderId="6" applyFont="0" applyBorder="0" applyProtection="0">
      <alignment horizontal="center" vertical="center"/>
    </xf>
    <xf numFmtId="192" fontId="19" fillId="0" borderId="5" applyBorder="0" applyProtection="0">
      <alignment horizontal="center" vertical="center"/>
      <protection locked="0"/>
    </xf>
    <xf numFmtId="193" fontId="16" fillId="0" borderId="19" applyBorder="0" applyAlignment="0">
      <alignment horizontal="center" vertical="center" wrapText="1"/>
    </xf>
    <xf numFmtId="194" fontId="18" fillId="0" borderId="0" applyFont="0" applyBorder="0">
      <alignment horizontal="center" vertical="center" wrapText="1"/>
    </xf>
    <xf numFmtId="195" fontId="18" fillId="0" borderId="5" applyFont="0" applyBorder="0" applyAlignment="0">
      <alignment horizontal="center" vertical="center" wrapText="1"/>
    </xf>
    <xf numFmtId="196" fontId="17" fillId="0" borderId="5" applyBorder="0">
      <alignment horizontal="center" vertical="center" wrapText="1"/>
    </xf>
    <xf numFmtId="197" fontId="17" fillId="0" borderId="14" applyBorder="0">
      <alignment horizontal="center" vertical="center" wrapText="1"/>
    </xf>
    <xf numFmtId="198" fontId="17" fillId="3" borderId="0" applyBorder="0">
      <alignment horizontal="center" vertical="center" wrapText="1"/>
    </xf>
    <xf numFmtId="199" fontId="18" fillId="0" borderId="0">
      <alignment horizontal="center" vertical="center" wrapText="1"/>
    </xf>
    <xf numFmtId="0" fontId="15" fillId="0" borderId="5">
      <alignment horizontal="center"/>
      <protection locked="0"/>
    </xf>
    <xf numFmtId="200" fontId="18" fillId="0" borderId="0">
      <alignment horizontal="center" vertical="center" wrapText="1"/>
    </xf>
    <xf numFmtId="201" fontId="16" fillId="0" borderId="14" applyBorder="0">
      <alignment horizontal="left" vertical="center" wrapText="1"/>
    </xf>
    <xf numFmtId="202" fontId="16" fillId="0" borderId="0">
      <alignment horizontal="left" vertical="center" wrapText="1"/>
    </xf>
    <xf numFmtId="203" fontId="16" fillId="0" borderId="0">
      <alignment horizontal="left" vertical="center" wrapText="1"/>
    </xf>
    <xf numFmtId="0" fontId="20" fillId="0" borderId="0"/>
    <xf numFmtId="204" fontId="21" fillId="0" borderId="0"/>
    <xf numFmtId="204" fontId="21" fillId="0" borderId="0"/>
    <xf numFmtId="204" fontId="21" fillId="0" borderId="0"/>
    <xf numFmtId="205" fontId="22" fillId="0" borderId="0"/>
    <xf numFmtId="205" fontId="22" fillId="0" borderId="0"/>
    <xf numFmtId="206" fontId="21" fillId="0" borderId="0"/>
    <xf numFmtId="206" fontId="21" fillId="0" borderId="0"/>
    <xf numFmtId="206" fontId="21" fillId="0" borderId="0"/>
    <xf numFmtId="38" fontId="23" fillId="2" borderId="0" applyNumberFormat="0" applyBorder="0" applyAlignment="0" applyProtection="0"/>
    <xf numFmtId="10" fontId="23" fillId="4" borderId="5" applyNumberFormat="0" applyBorder="0" applyAlignment="0" applyProtection="0"/>
    <xf numFmtId="38" fontId="24" fillId="0" borderId="0" applyFont="0" applyFill="0" applyBorder="0" applyAlignment="0" applyProtection="0"/>
    <xf numFmtId="40" fontId="24" fillId="0" borderId="0" applyFont="0" applyFill="0" applyBorder="0" applyAlignment="0" applyProtection="0"/>
    <xf numFmtId="207" fontId="25" fillId="0" borderId="0" applyFont="0" applyFill="0" applyBorder="0" applyAlignment="0" applyProtection="0"/>
    <xf numFmtId="208" fontId="25" fillId="0" borderId="0" applyFont="0" applyFill="0" applyBorder="0" applyAlignment="0" applyProtection="0"/>
    <xf numFmtId="177" fontId="24" fillId="0" borderId="0" applyFont="0" applyFill="0" applyBorder="0" applyAlignment="0" applyProtection="0"/>
    <xf numFmtId="178" fontId="24" fillId="0" borderId="0" applyFont="0" applyFill="0" applyBorder="0" applyAlignment="0" applyProtection="0"/>
    <xf numFmtId="37" fontId="26" fillId="0" borderId="0"/>
    <xf numFmtId="209" fontId="22" fillId="0" borderId="0"/>
    <xf numFmtId="209" fontId="22" fillId="0" borderId="0"/>
    <xf numFmtId="0" fontId="12" fillId="0" borderId="0">
      <alignment vertical="center"/>
    </xf>
    <xf numFmtId="10" fontId="20" fillId="0" borderId="0" applyFont="0" applyFill="0" applyBorder="0" applyAlignment="0" applyProtection="0"/>
    <xf numFmtId="1" fontId="20" fillId="0" borderId="1" applyNumberFormat="0" applyFill="0" applyAlignment="0" applyProtection="0">
      <alignment horizontal="center" vertical="center"/>
    </xf>
    <xf numFmtId="210" fontId="25" fillId="0" borderId="0" applyFont="0" applyFill="0" applyBorder="0" applyAlignment="0" applyProtection="0"/>
    <xf numFmtId="211" fontId="25" fillId="0" borderId="0" applyFont="0" applyFill="0" applyBorder="0" applyAlignment="0" applyProtection="0"/>
    <xf numFmtId="0" fontId="14" fillId="0" borderId="0" applyNumberFormat="0" applyFill="0" applyBorder="0" applyAlignment="0" applyProtection="0">
      <alignment vertical="top"/>
      <protection locked="0"/>
    </xf>
    <xf numFmtId="0" fontId="27" fillId="0" borderId="0" applyNumberFormat="0" applyFill="0" applyBorder="0" applyAlignment="0" applyProtection="0">
      <alignment vertical="top"/>
      <protection locked="0"/>
    </xf>
    <xf numFmtId="0" fontId="28" fillId="0" borderId="0">
      <alignment vertical="center"/>
    </xf>
    <xf numFmtId="0" fontId="29" fillId="0" borderId="0">
      <alignment vertical="center"/>
    </xf>
    <xf numFmtId="0" fontId="12" fillId="0" borderId="0">
      <alignment vertical="center"/>
    </xf>
    <xf numFmtId="0" fontId="30" fillId="0" borderId="0" applyFill="0" applyBorder="0" applyProtection="0">
      <alignment horizontal="center" vertical="center"/>
    </xf>
    <xf numFmtId="0" fontId="20" fillId="0" borderId="0"/>
    <xf numFmtId="0" fontId="12" fillId="0" borderId="0">
      <alignment vertical="center"/>
    </xf>
    <xf numFmtId="0" fontId="11" fillId="0" borderId="0">
      <alignment vertical="center"/>
    </xf>
    <xf numFmtId="0" fontId="10" fillId="0" borderId="0">
      <alignment vertical="center"/>
    </xf>
    <xf numFmtId="0" fontId="25" fillId="0" borderId="0"/>
    <xf numFmtId="0" fontId="25" fillId="0" borderId="0">
      <alignment vertical="center"/>
    </xf>
    <xf numFmtId="0" fontId="25" fillId="0" borderId="0">
      <alignment vertical="center"/>
    </xf>
    <xf numFmtId="0" fontId="10" fillId="0" borderId="0">
      <alignment vertical="center"/>
    </xf>
    <xf numFmtId="0" fontId="9" fillId="0" borderId="0">
      <alignment vertical="center"/>
    </xf>
    <xf numFmtId="0" fontId="9" fillId="0" borderId="0">
      <alignment vertical="center"/>
    </xf>
    <xf numFmtId="0" fontId="9"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7" fillId="0" borderId="0">
      <alignment vertical="center"/>
    </xf>
    <xf numFmtId="0" fontId="6" fillId="0" borderId="0">
      <alignment vertical="center"/>
    </xf>
    <xf numFmtId="0" fontId="63" fillId="0" borderId="0">
      <alignment vertical="center"/>
    </xf>
    <xf numFmtId="0" fontId="6" fillId="0" borderId="0">
      <alignment vertical="center"/>
    </xf>
    <xf numFmtId="0" fontId="63"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28" fillId="0" borderId="0"/>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2" fillId="0" borderId="0">
      <alignment vertical="center"/>
    </xf>
    <xf numFmtId="0" fontId="69" fillId="0" borderId="0">
      <alignment vertical="center"/>
    </xf>
    <xf numFmtId="0" fontId="1" fillId="0" borderId="0">
      <alignment vertical="center"/>
    </xf>
    <xf numFmtId="0" fontId="94" fillId="0" borderId="0"/>
  </cellStyleXfs>
  <cellXfs count="1770">
    <xf numFmtId="0" fontId="0" fillId="0" borderId="0" xfId="0">
      <alignment vertical="center"/>
    </xf>
    <xf numFmtId="0" fontId="0" fillId="0" borderId="0" xfId="61" applyFont="1" applyAlignment="1">
      <alignment vertical="top"/>
    </xf>
    <xf numFmtId="0" fontId="31" fillId="0" borderId="0" xfId="61" applyFont="1" applyAlignment="1">
      <alignment vertical="top"/>
    </xf>
    <xf numFmtId="0" fontId="31" fillId="0" borderId="5" xfId="61" applyFont="1" applyBorder="1" applyAlignment="1">
      <alignment horizontal="center" vertical="top" wrapText="1"/>
    </xf>
    <xf numFmtId="0" fontId="0" fillId="0" borderId="0" xfId="61" applyFont="1" applyAlignment="1">
      <alignment horizontal="left" vertical="top"/>
    </xf>
    <xf numFmtId="0" fontId="32" fillId="0" borderId="0" xfId="61" applyFont="1" applyAlignment="1">
      <alignment vertical="top"/>
    </xf>
    <xf numFmtId="0" fontId="37" fillId="0" borderId="0" xfId="61" applyFont="1" applyAlignment="1">
      <alignment horizontal="center" vertical="top"/>
    </xf>
    <xf numFmtId="0" fontId="0" fillId="0" borderId="5" xfId="61" applyFont="1" applyBorder="1" applyAlignment="1">
      <alignment vertical="top" wrapText="1"/>
    </xf>
    <xf numFmtId="0" fontId="0" fillId="0" borderId="20" xfId="61" applyFont="1" applyBorder="1" applyAlignment="1">
      <alignment vertical="top" wrapText="1"/>
    </xf>
    <xf numFmtId="24" fontId="0" fillId="0" borderId="20" xfId="61" quotePrefix="1" applyNumberFormat="1" applyFont="1" applyBorder="1" applyAlignment="1">
      <alignment horizontal="center" vertical="top" wrapText="1"/>
    </xf>
    <xf numFmtId="24" fontId="0" fillId="0" borderId="22" xfId="61" quotePrefix="1" applyNumberFormat="1" applyFont="1" applyBorder="1" applyAlignment="1">
      <alignment horizontal="center" vertical="top" wrapText="1"/>
    </xf>
    <xf numFmtId="0" fontId="0" fillId="0" borderId="20" xfId="61" quotePrefix="1" applyFont="1" applyBorder="1" applyAlignment="1">
      <alignment horizontal="center" vertical="top" wrapText="1"/>
    </xf>
    <xf numFmtId="0" fontId="0" fillId="0" borderId="20" xfId="61" applyFont="1" applyBorder="1" applyAlignment="1">
      <alignment vertical="top"/>
    </xf>
    <xf numFmtId="0" fontId="31" fillId="0" borderId="4" xfId="61" applyFont="1" applyBorder="1" applyAlignment="1">
      <alignment horizontal="center" vertical="top" textRotation="90"/>
    </xf>
    <xf numFmtId="0" fontId="31" fillId="0" borderId="4" xfId="61" applyFont="1" applyBorder="1" applyAlignment="1">
      <alignment horizontal="center" vertical="top" textRotation="90" wrapText="1"/>
    </xf>
    <xf numFmtId="0" fontId="32" fillId="0" borderId="6" xfId="61" applyFont="1" applyBorder="1" applyAlignment="1">
      <alignment horizontal="center" vertical="top"/>
    </xf>
    <xf numFmtId="0" fontId="0" fillId="0" borderId="21" xfId="61" applyFont="1" applyBorder="1" applyAlignment="1">
      <alignment horizontal="left" vertical="top"/>
    </xf>
    <xf numFmtId="24" fontId="0" fillId="0" borderId="21" xfId="61" quotePrefix="1" applyNumberFormat="1" applyFont="1" applyBorder="1" applyAlignment="1">
      <alignment horizontal="center" vertical="top" wrapText="1"/>
    </xf>
    <xf numFmtId="0" fontId="0" fillId="0" borderId="0" xfId="61" applyFont="1" applyAlignment="1">
      <alignment horizontal="center" vertical="top"/>
    </xf>
    <xf numFmtId="0" fontId="0" fillId="0" borderId="0" xfId="61" applyFont="1" applyAlignment="1">
      <alignment vertical="top" wrapText="1"/>
    </xf>
    <xf numFmtId="0" fontId="0" fillId="0" borderId="5" xfId="61" applyFont="1" applyBorder="1" applyAlignment="1">
      <alignment horizontal="center" vertical="top" wrapText="1"/>
    </xf>
    <xf numFmtId="0" fontId="0" fillId="0" borderId="21" xfId="61" applyFont="1" applyBorder="1" applyAlignment="1">
      <alignment vertical="top" wrapText="1"/>
    </xf>
    <xf numFmtId="0" fontId="0" fillId="0" borderId="22" xfId="61" applyFont="1" applyBorder="1" applyAlignment="1">
      <alignment vertical="top" wrapText="1"/>
    </xf>
    <xf numFmtId="0" fontId="0" fillId="0" borderId="0" xfId="61" quotePrefix="1" applyFont="1" applyAlignment="1">
      <alignment horizontal="left" vertical="top"/>
    </xf>
    <xf numFmtId="49" fontId="37" fillId="0" borderId="0" xfId="61" applyNumberFormat="1" applyFont="1" applyAlignment="1">
      <alignment horizontal="center" vertical="top" wrapText="1"/>
    </xf>
    <xf numFmtId="0" fontId="37" fillId="0" borderId="0" xfId="61" applyFont="1" applyAlignment="1">
      <alignment horizontal="right"/>
    </xf>
    <xf numFmtId="49" fontId="40" fillId="7" borderId="3" xfId="61" applyNumberFormat="1" applyFont="1" applyFill="1" applyBorder="1" applyAlignment="1">
      <alignment horizontal="center" vertical="top" wrapText="1"/>
    </xf>
    <xf numFmtId="0" fontId="37" fillId="0" borderId="0" xfId="61" quotePrefix="1" applyFont="1">
      <alignment vertical="center"/>
    </xf>
    <xf numFmtId="49" fontId="46" fillId="0" borderId="0" xfId="61" applyNumberFormat="1" applyFont="1">
      <alignment vertical="center"/>
    </xf>
    <xf numFmtId="49" fontId="37" fillId="0" borderId="4" xfId="61" applyNumberFormat="1" applyFont="1" applyBorder="1" applyAlignment="1">
      <alignment horizontal="center" wrapText="1"/>
    </xf>
    <xf numFmtId="49" fontId="37" fillId="0" borderId="48" xfId="0" applyNumberFormat="1" applyFont="1" applyBorder="1" applyAlignment="1">
      <alignment horizontal="center" vertical="top" textRotation="180" wrapText="1"/>
    </xf>
    <xf numFmtId="49" fontId="40" fillId="7" borderId="14" xfId="61" applyNumberFormat="1" applyFont="1" applyFill="1" applyBorder="1" applyAlignment="1">
      <alignment horizontal="left" vertical="top"/>
    </xf>
    <xf numFmtId="49" fontId="37" fillId="0" borderId="43" xfId="61" applyNumberFormat="1" applyFont="1" applyBorder="1" applyAlignment="1">
      <alignment horizontal="center" vertical="center" wrapText="1"/>
    </xf>
    <xf numFmtId="49" fontId="37" fillId="0" borderId="23" xfId="61" applyNumberFormat="1" applyFont="1" applyBorder="1" applyAlignment="1">
      <alignment horizontal="center" vertical="center" wrapText="1"/>
    </xf>
    <xf numFmtId="49" fontId="37" fillId="0" borderId="44" xfId="61" applyNumberFormat="1" applyFont="1" applyBorder="1" applyAlignment="1">
      <alignment horizontal="center" vertical="center" wrapText="1"/>
    </xf>
    <xf numFmtId="0" fontId="47" fillId="0" borderId="0" xfId="61" applyFont="1" applyAlignment="1">
      <alignment vertical="top"/>
    </xf>
    <xf numFmtId="0" fontId="0" fillId="0" borderId="6" xfId="61" applyFont="1" applyBorder="1" applyAlignment="1">
      <alignment horizontal="center" vertical="top"/>
    </xf>
    <xf numFmtId="0" fontId="32" fillId="0" borderId="1" xfId="61" applyFont="1" applyBorder="1" applyAlignment="1">
      <alignment horizontal="center" vertical="top"/>
    </xf>
    <xf numFmtId="0" fontId="12" fillId="0" borderId="43" xfId="61" applyBorder="1" applyAlignment="1">
      <alignment horizontal="center" vertical="top" textRotation="180"/>
    </xf>
    <xf numFmtId="0" fontId="12" fillId="0" borderId="23" xfId="61" applyBorder="1" applyAlignment="1">
      <alignment horizontal="center" vertical="top" textRotation="180"/>
    </xf>
    <xf numFmtId="0" fontId="12" fillId="0" borderId="44" xfId="61" applyBorder="1" applyAlignment="1">
      <alignment horizontal="center" vertical="top" textRotation="180"/>
    </xf>
    <xf numFmtId="0" fontId="32" fillId="0" borderId="23" xfId="0" applyFont="1" applyBorder="1" applyAlignment="1">
      <alignment horizontal="center" vertical="top" textRotation="180"/>
    </xf>
    <xf numFmtId="0" fontId="49" fillId="0" borderId="23" xfId="0" applyFont="1" applyBorder="1" applyAlignment="1">
      <alignment horizontal="center" vertical="top" textRotation="180"/>
    </xf>
    <xf numFmtId="0" fontId="0" fillId="0" borderId="23" xfId="0" quotePrefix="1" applyBorder="1" applyAlignment="1">
      <alignment horizontal="center" vertical="top" textRotation="180"/>
    </xf>
    <xf numFmtId="0" fontId="0" fillId="0" borderId="23" xfId="0" applyBorder="1" applyAlignment="1">
      <alignment horizontal="center" vertical="top" textRotation="180"/>
    </xf>
    <xf numFmtId="0" fontId="0" fillId="5" borderId="23" xfId="0" quotePrefix="1" applyFill="1" applyBorder="1" applyAlignment="1">
      <alignment horizontal="center" vertical="top" textRotation="180"/>
    </xf>
    <xf numFmtId="24" fontId="0" fillId="0" borderId="23" xfId="0" applyNumberFormat="1" applyBorder="1" applyAlignment="1">
      <alignment horizontal="center" vertical="top" textRotation="180"/>
    </xf>
    <xf numFmtId="0" fontId="50" fillId="0" borderId="23" xfId="0" quotePrefix="1" applyFont="1" applyBorder="1" applyAlignment="1">
      <alignment horizontal="center" vertical="top" textRotation="180"/>
    </xf>
    <xf numFmtId="24" fontId="52" fillId="0" borderId="23" xfId="0" applyNumberFormat="1" applyFont="1" applyBorder="1" applyAlignment="1">
      <alignment horizontal="center" textRotation="180"/>
    </xf>
    <xf numFmtId="24" fontId="53" fillId="0" borderId="23" xfId="0" applyNumberFormat="1" applyFont="1" applyBorder="1" applyAlignment="1">
      <alignment horizontal="center" textRotation="180"/>
    </xf>
    <xf numFmtId="0" fontId="51" fillId="0" borderId="23" xfId="0" quotePrefix="1" applyFont="1" applyBorder="1" applyAlignment="1">
      <alignment horizontal="center" textRotation="180"/>
    </xf>
    <xf numFmtId="24" fontId="51" fillId="0" borderId="23" xfId="0" applyNumberFormat="1" applyFont="1" applyBorder="1" applyAlignment="1">
      <alignment horizontal="center" textRotation="180"/>
    </xf>
    <xf numFmtId="0" fontId="51" fillId="5" borderId="23" xfId="0" quotePrefix="1" applyFont="1" applyFill="1" applyBorder="1" applyAlignment="1">
      <alignment horizontal="center" textRotation="180"/>
    </xf>
    <xf numFmtId="0" fontId="54" fillId="0" borderId="23" xfId="0" quotePrefix="1" applyFont="1" applyBorder="1" applyAlignment="1">
      <alignment horizontal="center" textRotation="180"/>
    </xf>
    <xf numFmtId="0" fontId="0" fillId="0" borderId="20" xfId="61" applyFont="1" applyBorder="1" applyAlignment="1">
      <alignment horizontal="left" vertical="top" wrapText="1"/>
    </xf>
    <xf numFmtId="0" fontId="0" fillId="0" borderId="20" xfId="61" applyFont="1" applyBorder="1" applyAlignment="1">
      <alignment horizontal="left" vertical="top"/>
    </xf>
    <xf numFmtId="0" fontId="31" fillId="0" borderId="0" xfId="61" applyFont="1" applyAlignment="1">
      <alignment horizontal="center" vertical="top" wrapText="1"/>
    </xf>
    <xf numFmtId="0" fontId="51" fillId="0" borderId="43" xfId="0" quotePrefix="1" applyFont="1" applyBorder="1" applyAlignment="1">
      <alignment horizontal="center" textRotation="180"/>
    </xf>
    <xf numFmtId="24" fontId="51" fillId="0" borderId="44" xfId="0" applyNumberFormat="1" applyFont="1" applyBorder="1" applyAlignment="1">
      <alignment horizontal="center" textRotation="180"/>
    </xf>
    <xf numFmtId="0" fontId="51" fillId="0" borderId="44" xfId="0" quotePrefix="1" applyFont="1" applyBorder="1" applyAlignment="1">
      <alignment horizontal="center" textRotation="180"/>
    </xf>
    <xf numFmtId="24" fontId="51" fillId="0" borderId="43" xfId="0" applyNumberFormat="1" applyFont="1" applyBorder="1" applyAlignment="1">
      <alignment horizontal="center" textRotation="180"/>
    </xf>
    <xf numFmtId="0" fontId="51" fillId="5" borderId="44" xfId="0" quotePrefix="1" applyFont="1" applyFill="1" applyBorder="1" applyAlignment="1">
      <alignment horizontal="center" textRotation="180"/>
    </xf>
    <xf numFmtId="0" fontId="51" fillId="5" borderId="43" xfId="0" quotePrefix="1" applyFont="1" applyFill="1" applyBorder="1" applyAlignment="1">
      <alignment horizontal="center" textRotation="180"/>
    </xf>
    <xf numFmtId="0" fontId="12" fillId="0" borderId="48" xfId="61" applyBorder="1" applyAlignment="1">
      <alignment horizontal="center" vertical="top" textRotation="180"/>
    </xf>
    <xf numFmtId="0" fontId="0" fillId="0" borderId="43" xfId="0" quotePrefix="1" applyBorder="1" applyAlignment="1">
      <alignment horizontal="center" vertical="top" textRotation="180"/>
    </xf>
    <xf numFmtId="0" fontId="0" fillId="0" borderId="44" xfId="0" quotePrefix="1" applyBorder="1" applyAlignment="1">
      <alignment horizontal="center" vertical="top" textRotation="180"/>
    </xf>
    <xf numFmtId="0" fontId="0" fillId="0" borderId="43" xfId="0" applyBorder="1" applyAlignment="1">
      <alignment horizontal="center" vertical="top" textRotation="180"/>
    </xf>
    <xf numFmtId="0" fontId="0" fillId="0" borderId="44" xfId="0" applyBorder="1" applyAlignment="1">
      <alignment horizontal="center" vertical="top" textRotation="180"/>
    </xf>
    <xf numFmtId="0" fontId="0" fillId="5" borderId="43" xfId="0" quotePrefix="1" applyFill="1" applyBorder="1" applyAlignment="1">
      <alignment horizontal="center" vertical="top" textRotation="180"/>
    </xf>
    <xf numFmtId="0" fontId="48" fillId="7" borderId="3" xfId="61" applyFont="1" applyFill="1" applyBorder="1" applyAlignment="1">
      <alignment horizontal="center" vertical="top"/>
    </xf>
    <xf numFmtId="0" fontId="48" fillId="7" borderId="46" xfId="61" applyFont="1" applyFill="1" applyBorder="1" applyAlignment="1">
      <alignment vertical="top"/>
    </xf>
    <xf numFmtId="0" fontId="48" fillId="7" borderId="14" xfId="61" applyFont="1" applyFill="1" applyBorder="1" applyAlignment="1">
      <alignment horizontal="left" vertical="top"/>
    </xf>
    <xf numFmtId="0" fontId="0" fillId="0" borderId="53" xfId="61" applyFont="1" applyBorder="1" applyAlignment="1">
      <alignment vertical="top" wrapText="1"/>
    </xf>
    <xf numFmtId="0" fontId="0" fillId="0" borderId="53" xfId="61" quotePrefix="1" applyFont="1" applyBorder="1" applyAlignment="1">
      <alignment horizontal="center" vertical="top" wrapText="1"/>
    </xf>
    <xf numFmtId="0" fontId="0" fillId="0" borderId="11" xfId="61" applyFont="1" applyBorder="1" applyAlignment="1">
      <alignment horizontal="center" vertical="top" wrapText="1"/>
    </xf>
    <xf numFmtId="0" fontId="0" fillId="0" borderId="46" xfId="61" applyFont="1" applyBorder="1" applyAlignment="1">
      <alignment horizontal="center" vertical="top" wrapText="1"/>
    </xf>
    <xf numFmtId="49" fontId="36" fillId="0" borderId="0" xfId="61" applyNumberFormat="1" applyFont="1" applyAlignment="1">
      <alignment horizontal="right" wrapText="1"/>
    </xf>
    <xf numFmtId="49" fontId="37" fillId="0" borderId="3" xfId="61" applyNumberFormat="1" applyFont="1" applyBorder="1" applyAlignment="1">
      <alignment horizontal="center" vertical="top" textRotation="180" wrapText="1"/>
    </xf>
    <xf numFmtId="49" fontId="37" fillId="0" borderId="44" xfId="61" applyNumberFormat="1" applyFont="1" applyBorder="1" applyAlignment="1">
      <alignment horizontal="center" vertical="top" textRotation="180" wrapText="1"/>
    </xf>
    <xf numFmtId="49" fontId="37" fillId="0" borderId="47" xfId="61" applyNumberFormat="1" applyFont="1" applyBorder="1" applyAlignment="1">
      <alignment horizontal="center" vertical="top" textRotation="180" wrapText="1"/>
    </xf>
    <xf numFmtId="49" fontId="37" fillId="0" borderId="29" xfId="61" applyNumberFormat="1" applyFont="1" applyBorder="1" applyAlignment="1">
      <alignment horizontal="center" vertical="top" textRotation="180" wrapText="1"/>
    </xf>
    <xf numFmtId="49" fontId="37" fillId="0" borderId="48" xfId="61" applyNumberFormat="1" applyFont="1" applyBorder="1" applyAlignment="1">
      <alignment horizontal="center" vertical="top" textRotation="180" wrapText="1"/>
    </xf>
    <xf numFmtId="0" fontId="0" fillId="0" borderId="0" xfId="61" applyFont="1" applyFill="1" applyAlignment="1">
      <alignment vertical="top"/>
    </xf>
    <xf numFmtId="0" fontId="0" fillId="0" borderId="11" xfId="61" applyFont="1" applyFill="1" applyBorder="1" applyAlignment="1">
      <alignment horizontal="center" vertical="top"/>
    </xf>
    <xf numFmtId="0" fontId="0" fillId="0" borderId="0" xfId="61" applyFont="1" applyFill="1" applyBorder="1" applyAlignment="1">
      <alignment vertical="top"/>
    </xf>
    <xf numFmtId="0" fontId="0" fillId="0" borderId="0" xfId="61" applyFont="1" applyFill="1" applyBorder="1" applyAlignment="1">
      <alignment horizontal="center" vertical="top"/>
    </xf>
    <xf numFmtId="0" fontId="37" fillId="0" borderId="5" xfId="61" quotePrefix="1" applyFont="1" applyFill="1" applyBorder="1" applyAlignment="1">
      <alignment horizontal="left" vertical="top" wrapText="1"/>
    </xf>
    <xf numFmtId="0" fontId="0" fillId="0" borderId="11" xfId="61" applyFont="1" applyBorder="1" applyAlignment="1">
      <alignment horizontal="center" vertical="top"/>
    </xf>
    <xf numFmtId="0" fontId="0" fillId="0" borderId="5" xfId="61" quotePrefix="1" applyFont="1" applyBorder="1" applyAlignment="1">
      <alignment horizontal="center" vertical="top" wrapText="1"/>
    </xf>
    <xf numFmtId="0" fontId="0" fillId="8" borderId="44" xfId="0" quotePrefix="1" applyFill="1" applyBorder="1" applyAlignment="1">
      <alignment horizontal="center" vertical="top" textRotation="180"/>
    </xf>
    <xf numFmtId="0" fontId="0" fillId="8" borderId="43" xfId="0" quotePrefix="1" applyFill="1" applyBorder="1" applyAlignment="1">
      <alignment horizontal="center" vertical="top" textRotation="180"/>
    </xf>
    <xf numFmtId="0" fontId="51" fillId="8" borderId="43" xfId="0" quotePrefix="1" applyFont="1" applyFill="1" applyBorder="1" applyAlignment="1">
      <alignment horizontal="center" textRotation="180"/>
    </xf>
    <xf numFmtId="24" fontId="51" fillId="8" borderId="44" xfId="0" applyNumberFormat="1" applyFont="1" applyFill="1" applyBorder="1" applyAlignment="1">
      <alignment horizontal="center" textRotation="180"/>
    </xf>
    <xf numFmtId="0" fontId="0" fillId="8" borderId="44" xfId="0" applyFill="1" applyBorder="1" applyAlignment="1">
      <alignment horizontal="center" vertical="top" textRotation="180"/>
    </xf>
    <xf numFmtId="0" fontId="51" fillId="8" borderId="23" xfId="0" quotePrefix="1" applyFont="1" applyFill="1" applyBorder="1" applyAlignment="1">
      <alignment horizontal="center" textRotation="180"/>
    </xf>
    <xf numFmtId="0" fontId="51" fillId="8" borderId="44" xfId="0" quotePrefix="1" applyFont="1" applyFill="1" applyBorder="1" applyAlignment="1">
      <alignment horizontal="center" textRotation="180"/>
    </xf>
    <xf numFmtId="0" fontId="0" fillId="8" borderId="23" xfId="0" quotePrefix="1" applyFill="1" applyBorder="1" applyAlignment="1">
      <alignment horizontal="center" vertical="top" textRotation="180"/>
    </xf>
    <xf numFmtId="0" fontId="31" fillId="0" borderId="0" xfId="61" applyFont="1" applyFill="1" applyBorder="1" applyAlignment="1">
      <alignment vertical="top"/>
    </xf>
    <xf numFmtId="49" fontId="37" fillId="0" borderId="0" xfId="61" applyNumberFormat="1" applyFont="1" applyFill="1" applyAlignment="1">
      <alignment horizontal="center" vertical="top"/>
    </xf>
    <xf numFmtId="0" fontId="37" fillId="0" borderId="0" xfId="61" applyFont="1" applyBorder="1">
      <alignment vertical="center"/>
    </xf>
    <xf numFmtId="0" fontId="56" fillId="0" borderId="0" xfId="61" applyFont="1" applyAlignment="1">
      <alignment horizontal="left" vertical="center"/>
    </xf>
    <xf numFmtId="0" fontId="37" fillId="0" borderId="0" xfId="61" applyFont="1" applyFill="1" applyAlignment="1">
      <alignment vertical="top"/>
    </xf>
    <xf numFmtId="49" fontId="37" fillId="0" borderId="3" xfId="61" applyNumberFormat="1" applyFont="1" applyFill="1" applyBorder="1" applyAlignment="1">
      <alignment horizontal="center" vertical="top" wrapText="1"/>
    </xf>
    <xf numFmtId="49" fontId="37" fillId="0" borderId="44" xfId="61" applyNumberFormat="1" applyFont="1" applyFill="1" applyBorder="1" applyAlignment="1">
      <alignment horizontal="center" vertical="top" wrapText="1"/>
    </xf>
    <xf numFmtId="0" fontId="37" fillId="0" borderId="5" xfId="61" applyFont="1" applyFill="1" applyBorder="1" applyAlignment="1">
      <alignment horizontal="left" vertical="top" wrapText="1"/>
    </xf>
    <xf numFmtId="0" fontId="37" fillId="0" borderId="5" xfId="61" applyFont="1" applyFill="1" applyBorder="1" applyAlignment="1">
      <alignment vertical="top" wrapText="1"/>
    </xf>
    <xf numFmtId="0" fontId="37" fillId="0" borderId="0" xfId="61" applyFont="1" applyFill="1" applyAlignment="1">
      <alignment horizontal="center" vertical="top"/>
    </xf>
    <xf numFmtId="49" fontId="37" fillId="0" borderId="14" xfId="61" applyNumberFormat="1" applyFont="1" applyFill="1" applyBorder="1" applyAlignment="1">
      <alignment horizontal="left" vertical="top"/>
    </xf>
    <xf numFmtId="0" fontId="37" fillId="0" borderId="48" xfId="61" quotePrefix="1" applyFont="1" applyFill="1" applyBorder="1" applyAlignment="1">
      <alignment horizontal="center" vertical="top" wrapText="1"/>
    </xf>
    <xf numFmtId="49" fontId="37" fillId="0" borderId="43" xfId="61" applyNumberFormat="1" applyFont="1" applyFill="1" applyBorder="1" applyAlignment="1">
      <alignment horizontal="center" vertical="top" wrapText="1"/>
    </xf>
    <xf numFmtId="49" fontId="37" fillId="0" borderId="23" xfId="61" applyNumberFormat="1" applyFont="1" applyFill="1" applyBorder="1" applyAlignment="1">
      <alignment horizontal="center" vertical="top" wrapText="1"/>
    </xf>
    <xf numFmtId="0" fontId="37" fillId="0" borderId="0" xfId="61" applyFont="1" applyFill="1">
      <alignment vertical="center"/>
    </xf>
    <xf numFmtId="0" fontId="37" fillId="0" borderId="5" xfId="61" quotePrefix="1" applyFont="1" applyFill="1" applyBorder="1" applyAlignment="1">
      <alignment horizontal="center" vertical="top" wrapText="1"/>
    </xf>
    <xf numFmtId="49" fontId="37" fillId="8" borderId="43" xfId="61" applyNumberFormat="1" applyFont="1" applyFill="1" applyBorder="1" applyAlignment="1">
      <alignment horizontal="center" vertical="center" wrapText="1"/>
    </xf>
    <xf numFmtId="49" fontId="37" fillId="8" borderId="47" xfId="61" applyNumberFormat="1" applyFont="1" applyFill="1" applyBorder="1" applyAlignment="1">
      <alignment horizontal="center" vertical="top" textRotation="180" wrapText="1"/>
    </xf>
    <xf numFmtId="0" fontId="37" fillId="0" borderId="5" xfId="61" applyFont="1" applyBorder="1" applyAlignment="1">
      <alignment vertical="top" wrapText="1"/>
    </xf>
    <xf numFmtId="0" fontId="37" fillId="0" borderId="0" xfId="61" applyFont="1" applyAlignment="1">
      <alignment vertical="top"/>
    </xf>
    <xf numFmtId="0" fontId="37" fillId="0" borderId="0" xfId="61" applyFont="1">
      <alignment vertical="center"/>
    </xf>
    <xf numFmtId="49" fontId="37" fillId="0" borderId="0" xfId="61" applyNumberFormat="1" applyFont="1">
      <alignment vertical="center"/>
    </xf>
    <xf numFmtId="0" fontId="37" fillId="0" borderId="0" xfId="61" applyFont="1" applyAlignment="1">
      <alignment vertical="center" wrapText="1"/>
    </xf>
    <xf numFmtId="49" fontId="37" fillId="0" borderId="0" xfId="61" applyNumberFormat="1" applyFont="1" applyAlignment="1">
      <alignment horizontal="center" vertical="center"/>
    </xf>
    <xf numFmtId="0" fontId="37" fillId="0" borderId="5" xfId="61" quotePrefix="1" applyFont="1" applyBorder="1" applyAlignment="1">
      <alignment horizontal="center" vertical="top" wrapText="1"/>
    </xf>
    <xf numFmtId="49" fontId="37" fillId="0" borderId="1" xfId="61" applyNumberFormat="1" applyFont="1" applyBorder="1" applyAlignment="1">
      <alignment horizontal="center" vertical="center" wrapText="1"/>
    </xf>
    <xf numFmtId="49" fontId="37" fillId="0" borderId="6" xfId="61" applyNumberFormat="1" applyFont="1" applyBorder="1" applyAlignment="1">
      <alignment horizontal="center" vertical="center" wrapText="1"/>
    </xf>
    <xf numFmtId="49" fontId="37" fillId="0" borderId="0" xfId="61" applyNumberFormat="1" applyFont="1" applyAlignment="1">
      <alignment horizontal="left" vertical="top"/>
    </xf>
    <xf numFmtId="0" fontId="37" fillId="0" borderId="5" xfId="61" applyFont="1" applyBorder="1" applyAlignment="1">
      <alignment horizontal="left" vertical="top" wrapText="1"/>
    </xf>
    <xf numFmtId="0" fontId="40" fillId="7" borderId="5" xfId="61" quotePrefix="1" applyFont="1" applyFill="1" applyBorder="1" applyAlignment="1">
      <alignment horizontal="center" vertical="top" wrapText="1"/>
    </xf>
    <xf numFmtId="0" fontId="0" fillId="0" borderId="0" xfId="0" applyFont="1" applyAlignment="1">
      <alignment vertical="top"/>
    </xf>
    <xf numFmtId="0" fontId="57" fillId="10" borderId="5" xfId="0" applyFont="1" applyFill="1" applyBorder="1" applyAlignment="1">
      <alignment horizontal="center" vertical="top"/>
    </xf>
    <xf numFmtId="0" fontId="58" fillId="0" borderId="0" xfId="0" applyFont="1" applyAlignment="1">
      <alignment vertical="top"/>
    </xf>
    <xf numFmtId="0" fontId="31" fillId="0" borderId="4" xfId="0" quotePrefix="1" applyFont="1" applyBorder="1" applyAlignment="1">
      <alignment horizontal="center" vertical="top"/>
    </xf>
    <xf numFmtId="0" fontId="0" fillId="0" borderId="0" xfId="61" applyFont="1" applyFill="1" applyAlignment="1">
      <alignment vertical="top" wrapText="1"/>
    </xf>
    <xf numFmtId="24" fontId="51" fillId="8" borderId="49" xfId="0" applyNumberFormat="1" applyFont="1" applyFill="1" applyBorder="1" applyAlignment="1">
      <alignment horizontal="center" textRotation="180"/>
    </xf>
    <xf numFmtId="24" fontId="0" fillId="8" borderId="49" xfId="0" applyNumberFormat="1" applyFill="1" applyBorder="1" applyAlignment="1">
      <alignment horizontal="center" vertical="top" textRotation="180"/>
    </xf>
    <xf numFmtId="24" fontId="53" fillId="8" borderId="64" xfId="0" applyNumberFormat="1" applyFont="1" applyFill="1" applyBorder="1" applyAlignment="1">
      <alignment horizontal="center" textRotation="180"/>
    </xf>
    <xf numFmtId="0" fontId="51" fillId="8" borderId="49" xfId="0" quotePrefix="1" applyFont="1" applyFill="1" applyBorder="1" applyAlignment="1">
      <alignment horizontal="center" textRotation="180"/>
    </xf>
    <xf numFmtId="0" fontId="49" fillId="8" borderId="64" xfId="0" applyFont="1" applyFill="1" applyBorder="1" applyAlignment="1">
      <alignment horizontal="center" vertical="top" textRotation="180"/>
    </xf>
    <xf numFmtId="0" fontId="0" fillId="8" borderId="49" xfId="0" quotePrefix="1" applyFill="1" applyBorder="1" applyAlignment="1">
      <alignment horizontal="center" vertical="top" textRotation="180"/>
    </xf>
    <xf numFmtId="0" fontId="61" fillId="7" borderId="8" xfId="61" applyFont="1" applyFill="1" applyBorder="1" applyAlignment="1">
      <alignment horizontal="center" vertical="top"/>
    </xf>
    <xf numFmtId="0" fontId="31" fillId="0" borderId="5" xfId="61" applyFont="1" applyBorder="1" applyAlignment="1">
      <alignment horizontal="center" vertical="top"/>
    </xf>
    <xf numFmtId="0" fontId="0" fillId="0" borderId="5" xfId="0" applyFont="1" applyFill="1" applyBorder="1" applyAlignment="1">
      <alignment horizontal="center" vertical="top"/>
    </xf>
    <xf numFmtId="212" fontId="0" fillId="0" borderId="5" xfId="0" applyNumberFormat="1" applyFont="1" applyFill="1" applyBorder="1" applyAlignment="1">
      <alignment horizontal="center" vertical="top"/>
    </xf>
    <xf numFmtId="0" fontId="12" fillId="0" borderId="0" xfId="61" applyFont="1" applyFill="1" applyAlignment="1">
      <alignment vertical="top"/>
    </xf>
    <xf numFmtId="0" fontId="12" fillId="0" borderId="0" xfId="61" applyFont="1" applyFill="1" applyBorder="1" applyAlignment="1">
      <alignment vertical="top"/>
    </xf>
    <xf numFmtId="49" fontId="37" fillId="0" borderId="0" xfId="61" applyNumberFormat="1" applyFont="1" applyFill="1" applyBorder="1" applyAlignment="1">
      <alignment horizontal="center" vertical="center" wrapText="1"/>
    </xf>
    <xf numFmtId="0" fontId="0" fillId="0" borderId="0" xfId="0" applyFont="1" applyAlignment="1">
      <alignment vertical="top"/>
    </xf>
    <xf numFmtId="0" fontId="0" fillId="0" borderId="20" xfId="61" applyFont="1" applyFill="1" applyBorder="1" applyAlignment="1">
      <alignment horizontal="left" vertical="top" wrapText="1"/>
    </xf>
    <xf numFmtId="24" fontId="51" fillId="0" borderId="44" xfId="0" quotePrefix="1" applyNumberFormat="1" applyFont="1" applyFill="1" applyBorder="1" applyAlignment="1">
      <alignment horizontal="center" textRotation="180"/>
    </xf>
    <xf numFmtId="0" fontId="0" fillId="0" borderId="44" xfId="0" quotePrefix="1" applyFill="1" applyBorder="1" applyAlignment="1">
      <alignment horizontal="center" vertical="top" textRotation="180"/>
    </xf>
    <xf numFmtId="24" fontId="38" fillId="0" borderId="38" xfId="61" applyNumberFormat="1" applyFont="1" applyBorder="1" applyAlignment="1">
      <alignment horizontal="center" vertical="top" wrapText="1"/>
    </xf>
    <xf numFmtId="0" fontId="38" fillId="0" borderId="43" xfId="61" applyFont="1" applyBorder="1" applyAlignment="1">
      <alignment horizontal="center" vertical="top"/>
    </xf>
    <xf numFmtId="0" fontId="61" fillId="7" borderId="46" xfId="61" applyFont="1" applyFill="1" applyBorder="1" applyAlignment="1">
      <alignment horizontal="center" vertical="top"/>
    </xf>
    <xf numFmtId="24" fontId="31" fillId="0" borderId="32" xfId="61" applyNumberFormat="1" applyFont="1" applyBorder="1" applyAlignment="1">
      <alignment horizontal="center" vertical="top"/>
    </xf>
    <xf numFmtId="24" fontId="31" fillId="0" borderId="44" xfId="61" applyNumberFormat="1" applyFont="1" applyBorder="1" applyAlignment="1">
      <alignment horizontal="center" vertical="top"/>
    </xf>
    <xf numFmtId="0" fontId="31" fillId="9" borderId="45" xfId="61" applyFont="1" applyFill="1" applyBorder="1" applyAlignment="1">
      <alignment horizontal="center" vertical="top"/>
    </xf>
    <xf numFmtId="0" fontId="31" fillId="9" borderId="44" xfId="61" applyFont="1" applyFill="1" applyBorder="1" applyAlignment="1">
      <alignment horizontal="center" vertical="top"/>
    </xf>
    <xf numFmtId="0" fontId="40" fillId="7" borderId="46" xfId="61" quotePrefix="1" applyFont="1" applyFill="1" applyBorder="1" applyAlignment="1">
      <alignment horizontal="center" vertical="top" wrapText="1"/>
    </xf>
    <xf numFmtId="0" fontId="40" fillId="7" borderId="14" xfId="61" quotePrefix="1" applyFont="1" applyFill="1" applyBorder="1" applyAlignment="1">
      <alignment horizontal="center" vertical="top" wrapText="1"/>
    </xf>
    <xf numFmtId="0" fontId="37" fillId="8" borderId="47" xfId="61" quotePrefix="1" applyFont="1" applyFill="1" applyBorder="1" applyAlignment="1">
      <alignment horizontal="center" vertical="top" wrapText="1"/>
    </xf>
    <xf numFmtId="0" fontId="37" fillId="0" borderId="23" xfId="61" quotePrefix="1" applyFont="1" applyFill="1" applyBorder="1" applyAlignment="1">
      <alignment horizontal="center" vertical="top" wrapText="1"/>
    </xf>
    <xf numFmtId="0" fontId="41" fillId="0" borderId="0" xfId="61" applyFont="1">
      <alignment vertical="center"/>
    </xf>
    <xf numFmtId="0" fontId="37" fillId="0" borderId="0" xfId="61" applyFont="1" applyAlignment="1">
      <alignment horizontal="center" vertical="center"/>
    </xf>
    <xf numFmtId="0" fontId="40" fillId="7" borderId="0" xfId="61" applyFont="1" applyFill="1">
      <alignment vertical="center"/>
    </xf>
    <xf numFmtId="0" fontId="65" fillId="7" borderId="0" xfId="61" applyFont="1" applyFill="1">
      <alignment vertical="center"/>
    </xf>
    <xf numFmtId="0" fontId="40" fillId="7" borderId="66" xfId="61" applyFont="1" applyFill="1" applyBorder="1" applyAlignment="1">
      <alignment horizontal="center" vertical="center"/>
    </xf>
    <xf numFmtId="0" fontId="40" fillId="7" borderId="66" xfId="61" applyFont="1" applyFill="1" applyBorder="1" applyAlignment="1">
      <alignment horizontal="left" vertical="center"/>
    </xf>
    <xf numFmtId="0" fontId="41" fillId="0" borderId="0" xfId="61" applyFont="1" applyFill="1">
      <alignment vertical="center"/>
    </xf>
    <xf numFmtId="49" fontId="37" fillId="0" borderId="47" xfId="0" applyNumberFormat="1" applyFont="1" applyFill="1" applyBorder="1" applyAlignment="1">
      <alignment horizontal="center" vertical="top" textRotation="180" wrapText="1"/>
    </xf>
    <xf numFmtId="49" fontId="37" fillId="0" borderId="29" xfId="0" applyNumberFormat="1" applyFont="1" applyFill="1" applyBorder="1" applyAlignment="1">
      <alignment horizontal="center" vertical="top" textRotation="180" wrapText="1"/>
    </xf>
    <xf numFmtId="0" fontId="0" fillId="0" borderId="0" xfId="0" applyFont="1" applyFill="1" applyAlignment="1">
      <alignment vertical="top"/>
    </xf>
    <xf numFmtId="49" fontId="37" fillId="5" borderId="43" xfId="61" applyNumberFormat="1" applyFont="1" applyFill="1" applyBorder="1" applyAlignment="1">
      <alignment horizontal="center" vertical="center" wrapText="1"/>
    </xf>
    <xf numFmtId="0" fontId="37" fillId="0" borderId="43" xfId="61" quotePrefix="1" applyFont="1" applyFill="1" applyBorder="1" applyAlignment="1">
      <alignment horizontal="center" vertical="top" wrapText="1"/>
    </xf>
    <xf numFmtId="0" fontId="37" fillId="0" borderId="0" xfId="61" applyFont="1" applyFill="1" applyAlignment="1">
      <alignment horizontal="center" vertical="center" wrapText="1"/>
    </xf>
    <xf numFmtId="0" fontId="57" fillId="7" borderId="4" xfId="0" applyFont="1" applyFill="1" applyBorder="1" applyAlignment="1">
      <alignment horizontal="center" vertical="top"/>
    </xf>
    <xf numFmtId="212" fontId="57" fillId="7" borderId="4" xfId="0" applyNumberFormat="1" applyFont="1" applyFill="1" applyBorder="1" applyAlignment="1">
      <alignment horizontal="center" vertical="top"/>
    </xf>
    <xf numFmtId="0" fontId="57" fillId="7" borderId="5" xfId="0" applyFont="1" applyFill="1" applyBorder="1" applyAlignment="1">
      <alignment vertical="top"/>
    </xf>
    <xf numFmtId="0" fontId="37" fillId="0" borderId="0" xfId="61" applyFont="1" applyBorder="1" applyAlignment="1">
      <alignment horizontal="center"/>
    </xf>
    <xf numFmtId="0" fontId="31" fillId="0" borderId="12" xfId="61" applyFont="1" applyBorder="1" applyAlignment="1">
      <alignment horizontal="center" vertical="top" wrapText="1"/>
    </xf>
    <xf numFmtId="0" fontId="31" fillId="0" borderId="2" xfId="61" applyFont="1" applyBorder="1" applyAlignment="1">
      <alignment horizontal="center" vertical="top" wrapText="1"/>
    </xf>
    <xf numFmtId="0" fontId="31" fillId="0" borderId="13" xfId="61" applyFont="1" applyBorder="1" applyAlignment="1">
      <alignment horizontal="center" vertical="top" wrapText="1"/>
    </xf>
    <xf numFmtId="0" fontId="31" fillId="0" borderId="14" xfId="61" applyFont="1" applyBorder="1" applyAlignment="1">
      <alignment horizontal="center" vertical="top" wrapText="1"/>
    </xf>
    <xf numFmtId="0" fontId="31" fillId="0" borderId="11" xfId="61" applyFont="1" applyBorder="1" applyAlignment="1">
      <alignment horizontal="center" vertical="top"/>
    </xf>
    <xf numFmtId="0" fontId="31" fillId="0" borderId="2" xfId="61" applyFont="1" applyBorder="1" applyAlignment="1">
      <alignment horizontal="center" vertical="top"/>
    </xf>
    <xf numFmtId="0" fontId="0" fillId="0" borderId="5" xfId="61" quotePrefix="1" applyFont="1" applyBorder="1" applyAlignment="1">
      <alignment horizontal="center" vertical="top"/>
    </xf>
    <xf numFmtId="0" fontId="0" fillId="0" borderId="1" xfId="61" applyFont="1" applyBorder="1" applyAlignment="1">
      <alignment horizontal="center" vertical="top"/>
    </xf>
    <xf numFmtId="49" fontId="37" fillId="0" borderId="12" xfId="61" applyNumberFormat="1" applyFont="1" applyBorder="1" applyAlignment="1">
      <alignment horizontal="center" vertical="center" wrapText="1"/>
    </xf>
    <xf numFmtId="49" fontId="37" fillId="0" borderId="2" xfId="61" applyNumberFormat="1" applyFont="1" applyBorder="1" applyAlignment="1">
      <alignment horizontal="center" vertical="center" wrapText="1"/>
    </xf>
    <xf numFmtId="49" fontId="37" fillId="0" borderId="13" xfId="61" applyNumberFormat="1" applyFont="1" applyBorder="1" applyAlignment="1">
      <alignment horizontal="center" vertical="center" wrapText="1"/>
    </xf>
    <xf numFmtId="49" fontId="37" fillId="0" borderId="1" xfId="61" applyNumberFormat="1" applyFont="1" applyBorder="1" applyAlignment="1">
      <alignment horizontal="center" vertical="center"/>
    </xf>
    <xf numFmtId="49" fontId="0" fillId="0" borderId="5" xfId="61" quotePrefix="1" applyNumberFormat="1" applyFont="1" applyBorder="1" applyAlignment="1">
      <alignment horizontal="center" vertical="top"/>
    </xf>
    <xf numFmtId="49" fontId="40" fillId="7" borderId="14" xfId="61" applyNumberFormat="1" applyFont="1" applyFill="1" applyBorder="1" applyAlignment="1">
      <alignment horizontal="center" vertical="top" wrapText="1"/>
    </xf>
    <xf numFmtId="49" fontId="40" fillId="7" borderId="46" xfId="61" applyNumberFormat="1" applyFont="1" applyFill="1" applyBorder="1" applyAlignment="1">
      <alignment horizontal="center" vertical="top" wrapText="1"/>
    </xf>
    <xf numFmtId="0" fontId="37" fillId="0" borderId="4" xfId="61" quotePrefix="1" applyFont="1" applyFill="1" applyBorder="1" applyAlignment="1">
      <alignment vertical="top" wrapText="1"/>
    </xf>
    <xf numFmtId="176" fontId="37" fillId="0" borderId="29" xfId="61" quotePrefix="1" applyNumberFormat="1" applyFont="1" applyFill="1" applyBorder="1" applyAlignment="1">
      <alignment vertical="top" wrapText="1"/>
    </xf>
    <xf numFmtId="0" fontId="37" fillId="0" borderId="48" xfId="61" quotePrefix="1" applyFont="1" applyFill="1" applyBorder="1" applyAlignment="1">
      <alignment vertical="top" wrapText="1"/>
    </xf>
    <xf numFmtId="49" fontId="37" fillId="0" borderId="0" xfId="61" applyNumberFormat="1" applyFont="1" applyBorder="1" applyAlignment="1">
      <alignment horizontal="center" vertical="center" wrapText="1"/>
    </xf>
    <xf numFmtId="0" fontId="37" fillId="0" borderId="6" xfId="61" applyFont="1" applyFill="1" applyBorder="1" applyAlignment="1">
      <alignment horizontal="center" vertical="center"/>
    </xf>
    <xf numFmtId="0" fontId="37" fillId="0" borderId="1" xfId="61" applyFont="1" applyFill="1" applyBorder="1" applyAlignment="1">
      <alignment vertical="top"/>
    </xf>
    <xf numFmtId="0" fontId="37" fillId="0" borderId="27" xfId="61" applyFont="1" applyFill="1" applyBorder="1" applyAlignment="1">
      <alignment horizontal="center" vertical="top"/>
    </xf>
    <xf numFmtId="0" fontId="37" fillId="0" borderId="28" xfId="61" applyFont="1" applyFill="1" applyBorder="1" applyAlignment="1">
      <alignment horizontal="center" vertical="top"/>
    </xf>
    <xf numFmtId="0" fontId="37" fillId="0" borderId="27" xfId="61" applyFont="1" applyFill="1" applyBorder="1" applyAlignment="1">
      <alignment vertical="top"/>
    </xf>
    <xf numFmtId="0" fontId="37" fillId="0" borderId="28" xfId="61" applyFont="1" applyFill="1" applyBorder="1" applyAlignment="1">
      <alignment vertical="top"/>
    </xf>
    <xf numFmtId="0" fontId="37" fillId="0" borderId="47" xfId="61" applyFont="1" applyFill="1" applyBorder="1" applyAlignment="1">
      <alignment horizontal="center" vertical="center"/>
    </xf>
    <xf numFmtId="0" fontId="37" fillId="0" borderId="29" xfId="61" applyFont="1" applyFill="1" applyBorder="1" applyAlignment="1">
      <alignment horizontal="center" vertical="center"/>
    </xf>
    <xf numFmtId="0" fontId="37" fillId="0" borderId="50" xfId="61" applyFont="1" applyFill="1" applyBorder="1" applyAlignment="1">
      <alignment horizontal="center" vertical="center"/>
    </xf>
    <xf numFmtId="0" fontId="37" fillId="0" borderId="1" xfId="61" applyFont="1" applyFill="1" applyBorder="1" applyAlignment="1">
      <alignment horizontal="right" wrapText="1"/>
    </xf>
    <xf numFmtId="176" fontId="37" fillId="0" borderId="47" xfId="61" quotePrefix="1" applyNumberFormat="1" applyFont="1" applyFill="1" applyBorder="1" applyAlignment="1">
      <alignment horizontal="center" vertical="top" wrapText="1"/>
    </xf>
    <xf numFmtId="176" fontId="37" fillId="0" borderId="29" xfId="61" quotePrefix="1" applyNumberFormat="1" applyFont="1" applyFill="1" applyBorder="1" applyAlignment="1">
      <alignment horizontal="center" vertical="top" wrapText="1"/>
    </xf>
    <xf numFmtId="0" fontId="37" fillId="0" borderId="23" xfId="61" quotePrefix="1" applyFont="1" applyFill="1" applyBorder="1" applyAlignment="1">
      <alignment vertical="top" wrapText="1"/>
    </xf>
    <xf numFmtId="0" fontId="37" fillId="0" borderId="44" xfId="61" quotePrefix="1" applyFont="1" applyFill="1" applyBorder="1" applyAlignment="1">
      <alignment vertical="top" wrapText="1"/>
    </xf>
    <xf numFmtId="0" fontId="37" fillId="0" borderId="23" xfId="61" applyFont="1" applyFill="1" applyBorder="1" applyAlignment="1">
      <alignment horizontal="center" vertical="top"/>
    </xf>
    <xf numFmtId="24" fontId="37" fillId="0" borderId="43" xfId="61" applyNumberFormat="1" applyFont="1" applyFill="1" applyBorder="1" applyAlignment="1">
      <alignment horizontal="left" vertical="top"/>
    </xf>
    <xf numFmtId="24" fontId="37" fillId="0" borderId="23" xfId="61" quotePrefix="1" applyNumberFormat="1" applyFont="1" applyFill="1" applyBorder="1" applyAlignment="1">
      <alignment horizontal="center" vertical="top"/>
    </xf>
    <xf numFmtId="0" fontId="37" fillId="0" borderId="23" xfId="61" applyFont="1" applyFill="1" applyBorder="1" applyAlignment="1">
      <alignment vertical="top"/>
    </xf>
    <xf numFmtId="0" fontId="37" fillId="0" borderId="44" xfId="61" applyFont="1" applyFill="1" applyBorder="1" applyAlignment="1">
      <alignment vertical="top"/>
    </xf>
    <xf numFmtId="49" fontId="37" fillId="0" borderId="0" xfId="61" applyNumberFormat="1" applyFont="1" applyBorder="1" applyAlignment="1">
      <alignment horizontal="center" vertical="top" textRotation="180" wrapText="1"/>
    </xf>
    <xf numFmtId="0" fontId="37" fillId="0" borderId="0" xfId="61" quotePrefix="1" applyFont="1" applyBorder="1" applyAlignment="1">
      <alignment horizontal="center" vertical="top" wrapText="1"/>
    </xf>
    <xf numFmtId="0" fontId="37" fillId="0" borderId="0" xfId="61" quotePrefix="1" applyFont="1" applyFill="1" applyBorder="1" applyAlignment="1">
      <alignment horizontal="center" vertical="top" wrapText="1"/>
    </xf>
    <xf numFmtId="0" fontId="44" fillId="0" borderId="4" xfId="61" quotePrefix="1" applyFont="1" applyFill="1" applyBorder="1" applyAlignment="1">
      <alignment horizontal="center" vertical="top" wrapText="1"/>
    </xf>
    <xf numFmtId="0" fontId="39" fillId="0" borderId="23" xfId="61" applyFont="1" applyBorder="1" applyAlignment="1">
      <alignment horizontal="center" vertical="top"/>
    </xf>
    <xf numFmtId="0" fontId="31" fillId="5" borderId="43" xfId="61" applyFont="1" applyFill="1" applyBorder="1" applyAlignment="1">
      <alignment horizontal="center" vertical="top"/>
    </xf>
    <xf numFmtId="0" fontId="0" fillId="0" borderId="53" xfId="61" applyFont="1" applyBorder="1" applyAlignment="1">
      <alignment horizontal="left" vertical="top" wrapText="1"/>
    </xf>
    <xf numFmtId="0" fontId="37" fillId="0" borderId="6" xfId="61" applyFont="1" applyBorder="1" applyAlignment="1">
      <alignment horizontal="center" vertical="center"/>
    </xf>
    <xf numFmtId="0" fontId="37" fillId="0" borderId="1" xfId="61" applyFont="1" applyBorder="1" applyAlignment="1">
      <alignment horizontal="center" vertical="center"/>
    </xf>
    <xf numFmtId="24" fontId="40" fillId="7" borderId="5" xfId="61" quotePrefix="1" applyNumberFormat="1" applyFont="1" applyFill="1" applyBorder="1" applyAlignment="1">
      <alignment horizontal="center" vertical="top"/>
    </xf>
    <xf numFmtId="24" fontId="37" fillId="0" borderId="5" xfId="61" quotePrefix="1" applyNumberFormat="1" applyFont="1" applyFill="1" applyBorder="1" applyAlignment="1">
      <alignment horizontal="center" vertical="top"/>
    </xf>
    <xf numFmtId="0" fontId="0" fillId="0" borderId="5" xfId="61" quotePrefix="1" applyFont="1" applyBorder="1" applyAlignment="1">
      <alignment horizontal="left" vertical="top" wrapText="1"/>
    </xf>
    <xf numFmtId="0" fontId="0" fillId="0" borderId="5" xfId="61" quotePrefix="1" applyFont="1" applyBorder="1" applyAlignment="1">
      <alignment horizontal="left" vertical="top"/>
    </xf>
    <xf numFmtId="49" fontId="37" fillId="0" borderId="4" xfId="61" applyNumberFormat="1" applyFont="1" applyBorder="1" applyAlignment="1">
      <alignment horizontal="center" vertical="top" textRotation="180" wrapText="1"/>
    </xf>
    <xf numFmtId="49" fontId="37" fillId="0" borderId="43" xfId="0" applyNumberFormat="1" applyFont="1" applyBorder="1" applyAlignment="1">
      <alignment horizontal="center" vertical="top" textRotation="180" wrapText="1"/>
    </xf>
    <xf numFmtId="49" fontId="37" fillId="0" borderId="44" xfId="0" applyNumberFormat="1" applyFont="1" applyBorder="1" applyAlignment="1">
      <alignment horizontal="center" vertical="top" textRotation="180" wrapText="1"/>
    </xf>
    <xf numFmtId="49" fontId="37" fillId="8" borderId="43" xfId="0" quotePrefix="1" applyNumberFormat="1" applyFont="1" applyFill="1" applyBorder="1" applyAlignment="1">
      <alignment horizontal="center" vertical="top" textRotation="180" wrapText="1"/>
    </xf>
    <xf numFmtId="0" fontId="37" fillId="0" borderId="0" xfId="159" applyFont="1">
      <alignment vertical="center"/>
    </xf>
    <xf numFmtId="0" fontId="37" fillId="0" borderId="5" xfId="159" applyFont="1" applyBorder="1" applyAlignment="1">
      <alignment horizontal="center" vertical="top" wrapText="1"/>
    </xf>
    <xf numFmtId="49" fontId="37" fillId="0" borderId="0" xfId="61" applyNumberFormat="1" applyFont="1" applyBorder="1" applyAlignment="1">
      <alignment horizontal="center" vertical="center" textRotation="180" wrapText="1"/>
    </xf>
    <xf numFmtId="49" fontId="37" fillId="0" borderId="0" xfId="0" applyNumberFormat="1" applyFont="1" applyBorder="1" applyAlignment="1">
      <alignment horizontal="center" vertical="top" textRotation="180" wrapText="1"/>
    </xf>
    <xf numFmtId="0" fontId="37" fillId="0" borderId="43" xfId="159" applyFont="1" applyBorder="1" applyAlignment="1">
      <alignment horizontal="center" vertical="top" wrapText="1"/>
    </xf>
    <xf numFmtId="0" fontId="37" fillId="8" borderId="43" xfId="159" applyFont="1" applyFill="1" applyBorder="1" applyAlignment="1">
      <alignment horizontal="center" vertical="top" wrapText="1"/>
    </xf>
    <xf numFmtId="0" fontId="62" fillId="0" borderId="0" xfId="159" applyFont="1">
      <alignment vertical="center"/>
    </xf>
    <xf numFmtId="49" fontId="62" fillId="0" borderId="0" xfId="159" applyNumberFormat="1" applyFont="1">
      <alignment vertical="center"/>
    </xf>
    <xf numFmtId="0" fontId="62" fillId="0" borderId="0" xfId="159" applyFont="1" applyAlignment="1">
      <alignment vertical="center" wrapText="1"/>
    </xf>
    <xf numFmtId="24" fontId="37" fillId="0" borderId="44" xfId="61" quotePrefix="1" applyNumberFormat="1" applyFont="1" applyFill="1" applyBorder="1" applyAlignment="1">
      <alignment horizontal="center" vertical="top" wrapText="1"/>
    </xf>
    <xf numFmtId="0" fontId="37" fillId="0" borderId="5" xfId="159" applyFont="1" applyBorder="1" applyAlignment="1">
      <alignment horizontal="justify" vertical="top" wrapText="1"/>
    </xf>
    <xf numFmtId="49" fontId="37" fillId="0" borderId="5" xfId="159" applyNumberFormat="1" applyFont="1" applyBorder="1" applyAlignment="1">
      <alignment horizontal="center" vertical="top" wrapText="1"/>
    </xf>
    <xf numFmtId="0" fontId="37" fillId="0" borderId="5" xfId="159" applyFont="1" applyBorder="1" applyAlignment="1">
      <alignment vertical="top" wrapText="1"/>
    </xf>
    <xf numFmtId="0" fontId="37" fillId="0" borderId="5" xfId="159" applyFont="1" applyBorder="1" applyAlignment="1">
      <alignment horizontal="right" vertical="top"/>
    </xf>
    <xf numFmtId="0" fontId="37" fillId="0" borderId="5" xfId="159" applyFont="1" applyBorder="1" applyAlignment="1">
      <alignment horizontal="right" vertical="top" wrapText="1"/>
    </xf>
    <xf numFmtId="0" fontId="37" fillId="0" borderId="5" xfId="159" applyFont="1" applyBorder="1" applyAlignment="1">
      <alignment horizontal="left" vertical="top"/>
    </xf>
    <xf numFmtId="0" fontId="37" fillId="0" borderId="5" xfId="159" applyFont="1" applyBorder="1" applyAlignment="1">
      <alignment horizontal="center" vertical="top"/>
    </xf>
    <xf numFmtId="0" fontId="37" fillId="0" borderId="5" xfId="159" applyFont="1" applyBorder="1" applyAlignment="1">
      <alignment horizontal="left" vertical="top" wrapText="1"/>
    </xf>
    <xf numFmtId="20" fontId="37" fillId="0" borderId="5" xfId="159" applyNumberFormat="1" applyFont="1" applyBorder="1" applyAlignment="1">
      <alignment horizontal="justify" vertical="top" wrapText="1"/>
    </xf>
    <xf numFmtId="49" fontId="37" fillId="8" borderId="47" xfId="0" applyNumberFormat="1" applyFont="1" applyFill="1" applyBorder="1" applyAlignment="1">
      <alignment horizontal="center" vertical="top" textRotation="180" wrapText="1"/>
    </xf>
    <xf numFmtId="0" fontId="62" fillId="0" borderId="0" xfId="159" applyFont="1" applyAlignment="1">
      <alignment vertical="top"/>
    </xf>
    <xf numFmtId="0" fontId="62" fillId="0" borderId="44" xfId="159" applyFont="1" applyBorder="1" applyAlignment="1">
      <alignment horizontal="center" vertical="top"/>
    </xf>
    <xf numFmtId="0" fontId="62" fillId="0" borderId="43" xfId="159" applyFont="1" applyBorder="1" applyAlignment="1">
      <alignment horizontal="center" vertical="top"/>
    </xf>
    <xf numFmtId="0" fontId="62" fillId="8" borderId="43" xfId="159" applyFont="1" applyFill="1" applyBorder="1" applyAlignment="1">
      <alignment horizontal="center" vertical="top"/>
    </xf>
    <xf numFmtId="0" fontId="62" fillId="0" borderId="23" xfId="159" applyFont="1" applyBorder="1" applyAlignment="1">
      <alignment horizontal="center" vertical="top"/>
    </xf>
    <xf numFmtId="49" fontId="37" fillId="0" borderId="43" xfId="61" applyNumberFormat="1" applyFont="1" applyFill="1" applyBorder="1" applyAlignment="1">
      <alignment horizontal="center" vertical="center" wrapText="1"/>
    </xf>
    <xf numFmtId="49" fontId="37" fillId="0" borderId="44" xfId="61" applyNumberFormat="1" applyFont="1" applyFill="1" applyBorder="1" applyAlignment="1">
      <alignment horizontal="center" vertical="center" wrapText="1"/>
    </xf>
    <xf numFmtId="49" fontId="37" fillId="0" borderId="43" xfId="61" applyNumberFormat="1" applyFont="1" applyBorder="1" applyAlignment="1">
      <alignment horizontal="center" vertical="top" textRotation="180" wrapText="1"/>
    </xf>
    <xf numFmtId="0" fontId="70" fillId="0" borderId="5" xfId="159" applyFont="1" applyFill="1" applyBorder="1" applyAlignment="1">
      <alignment horizontal="center" vertical="center" wrapText="1"/>
    </xf>
    <xf numFmtId="0" fontId="37" fillId="0" borderId="44" xfId="159" applyFont="1" applyBorder="1" applyAlignment="1">
      <alignment horizontal="center" vertical="top" wrapText="1"/>
    </xf>
    <xf numFmtId="0" fontId="65" fillId="7" borderId="5" xfId="159" applyFont="1" applyFill="1" applyBorder="1" applyAlignment="1">
      <alignment horizontal="center" vertical="center" wrapText="1"/>
    </xf>
    <xf numFmtId="0" fontId="65" fillId="7" borderId="5" xfId="159" applyFont="1" applyFill="1" applyBorder="1">
      <alignment vertical="center"/>
    </xf>
    <xf numFmtId="0" fontId="40" fillId="7" borderId="5" xfId="159" applyFont="1" applyFill="1" applyBorder="1" applyAlignment="1">
      <alignment horizontal="left" vertical="center" wrapText="1"/>
    </xf>
    <xf numFmtId="0" fontId="40" fillId="7" borderId="5" xfId="159" applyFont="1" applyFill="1" applyBorder="1" applyAlignment="1">
      <alignment horizontal="center" vertical="center" wrapText="1"/>
    </xf>
    <xf numFmtId="49" fontId="37" fillId="0" borderId="20" xfId="159" applyNumberFormat="1" applyFont="1" applyBorder="1" applyAlignment="1">
      <alignment horizontal="center" vertical="top" wrapText="1"/>
    </xf>
    <xf numFmtId="0" fontId="37" fillId="0" borderId="20" xfId="159" applyFont="1" applyBorder="1" applyAlignment="1">
      <alignment vertical="top" wrapText="1"/>
    </xf>
    <xf numFmtId="49" fontId="37" fillId="0" borderId="21" xfId="159" applyNumberFormat="1" applyFont="1" applyBorder="1" applyAlignment="1">
      <alignment horizontal="center" vertical="top" wrapText="1"/>
    </xf>
    <xf numFmtId="0" fontId="37" fillId="0" borderId="21" xfId="159" applyFont="1" applyBorder="1" applyAlignment="1">
      <alignment vertical="top" wrapText="1"/>
    </xf>
    <xf numFmtId="49" fontId="37" fillId="0" borderId="22" xfId="159" applyNumberFormat="1" applyFont="1" applyBorder="1" applyAlignment="1">
      <alignment horizontal="center" vertical="top" wrapText="1"/>
    </xf>
    <xf numFmtId="0" fontId="37" fillId="0" borderId="30" xfId="159" applyFont="1" applyBorder="1" applyAlignment="1">
      <alignment horizontal="center" vertical="top" wrapText="1"/>
    </xf>
    <xf numFmtId="0" fontId="62" fillId="0" borderId="32" xfId="159" applyFont="1" applyBorder="1" applyAlignment="1">
      <alignment horizontal="center" vertical="top"/>
    </xf>
    <xf numFmtId="0" fontId="37" fillId="0" borderId="33" xfId="159" applyFont="1" applyBorder="1" applyAlignment="1">
      <alignment horizontal="center" vertical="top" wrapText="1"/>
    </xf>
    <xf numFmtId="0" fontId="62" fillId="0" borderId="35" xfId="159" applyFont="1" applyBorder="1" applyAlignment="1">
      <alignment horizontal="center" vertical="top"/>
    </xf>
    <xf numFmtId="0" fontId="37" fillId="0" borderId="36" xfId="159" applyFont="1" applyBorder="1" applyAlignment="1">
      <alignment horizontal="center" vertical="top" wrapText="1"/>
    </xf>
    <xf numFmtId="0" fontId="62" fillId="0" borderId="67" xfId="159" applyFont="1" applyBorder="1" applyAlignment="1">
      <alignment horizontal="center" vertical="top"/>
    </xf>
    <xf numFmtId="0" fontId="37" fillId="0" borderId="20" xfId="159" applyFont="1" applyBorder="1" applyAlignment="1">
      <alignment horizontal="center" vertical="top" wrapText="1"/>
    </xf>
    <xf numFmtId="0" fontId="37" fillId="0" borderId="21" xfId="159" applyFont="1" applyBorder="1" applyAlignment="1">
      <alignment horizontal="center" vertical="top" wrapText="1"/>
    </xf>
    <xf numFmtId="0" fontId="37" fillId="0" borderId="22" xfId="159" applyFont="1" applyBorder="1" applyAlignment="1">
      <alignment horizontal="center" vertical="top" wrapText="1"/>
    </xf>
    <xf numFmtId="0" fontId="62" fillId="0" borderId="30" xfId="159" applyFont="1" applyBorder="1" applyAlignment="1">
      <alignment horizontal="center" vertical="top"/>
    </xf>
    <xf numFmtId="0" fontId="62" fillId="8" borderId="30" xfId="159" applyFont="1" applyFill="1" applyBorder="1" applyAlignment="1">
      <alignment horizontal="center" vertical="top"/>
    </xf>
    <xf numFmtId="0" fontId="37" fillId="8" borderId="30" xfId="159" applyFont="1" applyFill="1" applyBorder="1" applyAlignment="1">
      <alignment horizontal="center" vertical="top" wrapText="1"/>
    </xf>
    <xf numFmtId="0" fontId="37" fillId="0" borderId="32" xfId="159" applyFont="1" applyBorder="1" applyAlignment="1">
      <alignment horizontal="center" vertical="top" wrapText="1"/>
    </xf>
    <xf numFmtId="0" fontId="62" fillId="0" borderId="31" xfId="159" applyFont="1" applyBorder="1" applyAlignment="1">
      <alignment horizontal="center" vertical="top"/>
    </xf>
    <xf numFmtId="0" fontId="37" fillId="0" borderId="20" xfId="159" applyFont="1" applyBorder="1" applyAlignment="1">
      <alignment horizontal="justify" vertical="top" wrapText="1"/>
    </xf>
    <xf numFmtId="0" fontId="37" fillId="0" borderId="20" xfId="159" applyFont="1" applyBorder="1" applyAlignment="1">
      <alignment horizontal="right" vertical="top"/>
    </xf>
    <xf numFmtId="0" fontId="37" fillId="0" borderId="20" xfId="159" applyFont="1" applyBorder="1" applyAlignment="1">
      <alignment horizontal="right" vertical="top" wrapText="1"/>
    </xf>
    <xf numFmtId="0" fontId="37" fillId="0" borderId="20" xfId="159" applyFont="1" applyBorder="1" applyAlignment="1">
      <alignment horizontal="left" vertical="top"/>
    </xf>
    <xf numFmtId="0" fontId="37" fillId="0" borderId="20" xfId="159" applyFont="1" applyBorder="1" applyAlignment="1">
      <alignment horizontal="center" vertical="top"/>
    </xf>
    <xf numFmtId="0" fontId="62" fillId="0" borderId="33" xfId="159" applyFont="1" applyBorder="1" applyAlignment="1">
      <alignment horizontal="center" vertical="top"/>
    </xf>
    <xf numFmtId="0" fontId="62" fillId="8" borderId="33" xfId="159" applyFont="1" applyFill="1" applyBorder="1" applyAlignment="1">
      <alignment horizontal="center" vertical="top"/>
    </xf>
    <xf numFmtId="0" fontId="37" fillId="8" borderId="33" xfId="159" applyFont="1" applyFill="1" applyBorder="1" applyAlignment="1">
      <alignment horizontal="center" vertical="top" wrapText="1"/>
    </xf>
    <xf numFmtId="0" fontId="37" fillId="0" borderId="35" xfId="159" applyFont="1" applyBorder="1" applyAlignment="1">
      <alignment horizontal="center" vertical="top" wrapText="1"/>
    </xf>
    <xf numFmtId="0" fontId="62" fillId="0" borderId="34" xfId="159" applyFont="1" applyBorder="1" applyAlignment="1">
      <alignment horizontal="center" vertical="top"/>
    </xf>
    <xf numFmtId="0" fontId="37" fillId="0" borderId="21" xfId="159" applyFont="1" applyBorder="1" applyAlignment="1">
      <alignment horizontal="justify" vertical="top" wrapText="1"/>
    </xf>
    <xf numFmtId="0" fontId="37" fillId="0" borderId="21" xfId="159" applyFont="1" applyBorder="1" applyAlignment="1">
      <alignment horizontal="right" vertical="top"/>
    </xf>
    <xf numFmtId="0" fontId="37" fillId="0" borderId="21" xfId="159" applyFont="1" applyBorder="1" applyAlignment="1">
      <alignment horizontal="right" vertical="top" wrapText="1"/>
    </xf>
    <xf numFmtId="0" fontId="37" fillId="0" borderId="21" xfId="159" applyFont="1" applyBorder="1" applyAlignment="1">
      <alignment horizontal="left" vertical="top"/>
    </xf>
    <xf numFmtId="0" fontId="37" fillId="0" borderId="21" xfId="159" applyFont="1" applyBorder="1" applyAlignment="1">
      <alignment horizontal="center" vertical="top"/>
    </xf>
    <xf numFmtId="0" fontId="62" fillId="0" borderId="36" xfId="159" applyFont="1" applyBorder="1" applyAlignment="1">
      <alignment horizontal="center" vertical="top"/>
    </xf>
    <xf numFmtId="0" fontId="62" fillId="8" borderId="36" xfId="159" applyFont="1" applyFill="1" applyBorder="1" applyAlignment="1">
      <alignment horizontal="center" vertical="top"/>
    </xf>
    <xf numFmtId="0" fontId="37" fillId="8" borderId="36" xfId="159" applyFont="1" applyFill="1" applyBorder="1" applyAlignment="1">
      <alignment horizontal="center" vertical="top" wrapText="1"/>
    </xf>
    <xf numFmtId="0" fontId="37" fillId="0" borderId="67" xfId="159" applyFont="1" applyBorder="1" applyAlignment="1">
      <alignment horizontal="center" vertical="top" wrapText="1"/>
    </xf>
    <xf numFmtId="0" fontId="62" fillId="0" borderId="37" xfId="159" applyFont="1" applyBorder="1" applyAlignment="1">
      <alignment horizontal="center" vertical="top"/>
    </xf>
    <xf numFmtId="0" fontId="37" fillId="0" borderId="22" xfId="159" applyFont="1" applyBorder="1" applyAlignment="1">
      <alignment horizontal="justify" vertical="top" wrapText="1"/>
    </xf>
    <xf numFmtId="0" fontId="37" fillId="0" borderId="22" xfId="159" applyFont="1" applyBorder="1" applyAlignment="1">
      <alignment horizontal="right" vertical="top"/>
    </xf>
    <xf numFmtId="0" fontId="37" fillId="0" borderId="22" xfId="159" applyFont="1" applyBorder="1" applyAlignment="1">
      <alignment horizontal="right" vertical="top" wrapText="1"/>
    </xf>
    <xf numFmtId="0" fontId="37" fillId="0" borderId="22" xfId="159" applyFont="1" applyBorder="1" applyAlignment="1">
      <alignment horizontal="left" vertical="top"/>
    </xf>
    <xf numFmtId="0" fontId="37" fillId="0" borderId="22" xfId="159" applyFont="1" applyBorder="1" applyAlignment="1">
      <alignment horizontal="center" vertical="top"/>
    </xf>
    <xf numFmtId="0" fontId="37" fillId="0" borderId="20" xfId="159" applyFont="1" applyBorder="1" applyAlignment="1">
      <alignment horizontal="left" vertical="top" wrapText="1"/>
    </xf>
    <xf numFmtId="0" fontId="62" fillId="0" borderId="0" xfId="159" applyFont="1" applyBorder="1">
      <alignment vertical="center"/>
    </xf>
    <xf numFmtId="0" fontId="62" fillId="0" borderId="0" xfId="159" applyFont="1" applyBorder="1" applyAlignment="1">
      <alignment vertical="top"/>
    </xf>
    <xf numFmtId="0" fontId="62" fillId="0" borderId="0" xfId="159" applyFont="1" applyBorder="1" applyAlignment="1">
      <alignment vertical="center" wrapText="1"/>
    </xf>
    <xf numFmtId="0" fontId="62" fillId="0" borderId="0" xfId="159" applyFont="1" applyBorder="1" applyAlignment="1">
      <alignment horizontal="center" vertical="top"/>
    </xf>
    <xf numFmtId="0" fontId="70" fillId="0" borderId="6" xfId="159" applyFont="1" applyFill="1" applyBorder="1" applyAlignment="1">
      <alignment horizontal="center" vertical="center" wrapText="1"/>
    </xf>
    <xf numFmtId="0" fontId="65" fillId="7" borderId="43" xfId="159" applyFont="1" applyFill="1" applyBorder="1">
      <alignment vertical="center"/>
    </xf>
    <xf numFmtId="0" fontId="65" fillId="7" borderId="44" xfId="159" applyFont="1" applyFill="1" applyBorder="1">
      <alignment vertical="center"/>
    </xf>
    <xf numFmtId="49" fontId="37" fillId="0" borderId="43" xfId="159" applyNumberFormat="1" applyFont="1" applyBorder="1" applyAlignment="1">
      <alignment horizontal="right" vertical="top" wrapText="1"/>
    </xf>
    <xf numFmtId="49" fontId="37" fillId="0" borderId="44" xfId="159" applyNumberFormat="1" applyFont="1" applyBorder="1" applyAlignment="1">
      <alignment horizontal="right" vertical="top" wrapText="1"/>
    </xf>
    <xf numFmtId="49" fontId="37" fillId="0" borderId="30" xfId="159" applyNumberFormat="1" applyFont="1" applyBorder="1" applyAlignment="1">
      <alignment horizontal="right" vertical="top" wrapText="1"/>
    </xf>
    <xf numFmtId="49" fontId="37" fillId="0" borderId="32" xfId="159" applyNumberFormat="1" applyFont="1" applyBorder="1" applyAlignment="1">
      <alignment horizontal="right" vertical="top" wrapText="1"/>
    </xf>
    <xf numFmtId="49" fontId="37" fillId="0" borderId="33" xfId="159" applyNumberFormat="1" applyFont="1" applyBorder="1" applyAlignment="1">
      <alignment horizontal="right" vertical="top" wrapText="1"/>
    </xf>
    <xf numFmtId="49" fontId="37" fillId="0" borderId="35" xfId="159" applyNumberFormat="1" applyFont="1" applyBorder="1" applyAlignment="1">
      <alignment horizontal="right" vertical="top" wrapText="1"/>
    </xf>
    <xf numFmtId="49" fontId="37" fillId="0" borderId="36" xfId="159" applyNumberFormat="1" applyFont="1" applyBorder="1" applyAlignment="1">
      <alignment horizontal="right" vertical="top" wrapText="1"/>
    </xf>
    <xf numFmtId="49" fontId="37" fillId="0" borderId="67" xfId="159" applyNumberFormat="1" applyFont="1" applyBorder="1" applyAlignment="1">
      <alignment horizontal="right" vertical="top" wrapText="1"/>
    </xf>
    <xf numFmtId="0" fontId="37" fillId="0" borderId="43" xfId="159" applyFont="1" applyBorder="1" applyAlignment="1">
      <alignment horizontal="right" vertical="top" wrapText="1"/>
    </xf>
    <xf numFmtId="0" fontId="37" fillId="0" borderId="44" xfId="159" applyFont="1" applyBorder="1" applyAlignment="1">
      <alignment horizontal="right" vertical="top" wrapText="1"/>
    </xf>
    <xf numFmtId="0" fontId="37" fillId="0" borderId="30" xfId="159" applyFont="1" applyBorder="1" applyAlignment="1">
      <alignment horizontal="right" vertical="top" wrapText="1"/>
    </xf>
    <xf numFmtId="0" fontId="37" fillId="0" borderId="32" xfId="159" applyFont="1" applyBorder="1" applyAlignment="1">
      <alignment horizontal="right" vertical="top" wrapText="1"/>
    </xf>
    <xf numFmtId="0" fontId="37" fillId="0" borderId="33" xfId="159" applyFont="1" applyBorder="1" applyAlignment="1">
      <alignment horizontal="right" vertical="top" wrapText="1"/>
    </xf>
    <xf numFmtId="0" fontId="37" fillId="0" borderId="35" xfId="159" applyFont="1" applyBorder="1" applyAlignment="1">
      <alignment horizontal="right" vertical="top" wrapText="1"/>
    </xf>
    <xf numFmtId="0" fontId="37" fillId="0" borderId="36" xfId="159" applyFont="1" applyBorder="1" applyAlignment="1">
      <alignment horizontal="right" vertical="top" wrapText="1"/>
    </xf>
    <xf numFmtId="0" fontId="37" fillId="0" borderId="67" xfId="159" applyFont="1" applyBorder="1" applyAlignment="1">
      <alignment horizontal="right" vertical="top" wrapText="1"/>
    </xf>
    <xf numFmtId="49" fontId="37" fillId="0" borderId="43" xfId="159" applyNumberFormat="1" applyFont="1" applyBorder="1" applyAlignment="1">
      <alignment horizontal="right" vertical="top"/>
    </xf>
    <xf numFmtId="49" fontId="37" fillId="0" borderId="44" xfId="159" applyNumberFormat="1" applyFont="1" applyBorder="1" applyAlignment="1">
      <alignment horizontal="right" vertical="top"/>
    </xf>
    <xf numFmtId="0" fontId="37" fillId="0" borderId="44" xfId="159" applyFont="1" applyBorder="1" applyAlignment="1">
      <alignment horizontal="right" vertical="top"/>
    </xf>
    <xf numFmtId="49" fontId="37" fillId="0" borderId="30" xfId="159" applyNumberFormat="1" applyFont="1" applyBorder="1" applyAlignment="1">
      <alignment horizontal="right" vertical="top"/>
    </xf>
    <xf numFmtId="0" fontId="37" fillId="0" borderId="32" xfId="159" applyFont="1" applyBorder="1" applyAlignment="1">
      <alignment horizontal="right" vertical="top"/>
    </xf>
    <xf numFmtId="49" fontId="37" fillId="0" borderId="33" xfId="159" applyNumberFormat="1" applyFont="1" applyBorder="1" applyAlignment="1">
      <alignment horizontal="right" vertical="top"/>
    </xf>
    <xf numFmtId="0" fontId="37" fillId="0" borderId="35" xfId="159" applyFont="1" applyBorder="1" applyAlignment="1">
      <alignment horizontal="right" vertical="top"/>
    </xf>
    <xf numFmtId="49" fontId="37" fillId="0" borderId="36" xfId="159" applyNumberFormat="1" applyFont="1" applyBorder="1" applyAlignment="1">
      <alignment horizontal="right" vertical="top"/>
    </xf>
    <xf numFmtId="0" fontId="37" fillId="0" borderId="67" xfId="159" applyFont="1" applyBorder="1" applyAlignment="1">
      <alignment horizontal="right" vertical="top"/>
    </xf>
    <xf numFmtId="0" fontId="68" fillId="5" borderId="5" xfId="159" applyFont="1" applyFill="1" applyBorder="1" applyAlignment="1">
      <alignment horizontal="justify" vertical="top" wrapText="1"/>
    </xf>
    <xf numFmtId="0" fontId="44" fillId="0" borderId="0" xfId="159" applyFont="1" applyBorder="1" applyAlignment="1">
      <alignment horizontal="center" vertical="top"/>
    </xf>
    <xf numFmtId="0" fontId="44" fillId="0" borderId="0" xfId="159" applyFont="1" applyBorder="1" applyAlignment="1">
      <alignment vertical="top"/>
    </xf>
    <xf numFmtId="0" fontId="68" fillId="5" borderId="5" xfId="159" applyFont="1" applyFill="1" applyBorder="1" applyAlignment="1">
      <alignment horizontal="right" vertical="top"/>
    </xf>
    <xf numFmtId="0" fontId="68" fillId="5" borderId="5" xfId="159" applyFont="1" applyFill="1" applyBorder="1" applyAlignment="1">
      <alignment horizontal="right" vertical="top" wrapText="1"/>
    </xf>
    <xf numFmtId="0" fontId="68" fillId="5" borderId="43" xfId="159" applyFont="1" applyFill="1" applyBorder="1" applyAlignment="1">
      <alignment horizontal="right" vertical="top" wrapText="1"/>
    </xf>
    <xf numFmtId="0" fontId="68" fillId="5" borderId="44" xfId="159" applyFont="1" applyFill="1" applyBorder="1" applyAlignment="1">
      <alignment horizontal="right" vertical="top" wrapText="1"/>
    </xf>
    <xf numFmtId="49" fontId="68" fillId="5" borderId="43" xfId="159" applyNumberFormat="1" applyFont="1" applyFill="1" applyBorder="1" applyAlignment="1">
      <alignment horizontal="right" vertical="top"/>
    </xf>
    <xf numFmtId="0" fontId="68" fillId="5" borderId="44" xfId="159" applyFont="1" applyFill="1" applyBorder="1" applyAlignment="1">
      <alignment horizontal="right" vertical="top"/>
    </xf>
    <xf numFmtId="0" fontId="68" fillId="5" borderId="5" xfId="159" applyFont="1" applyFill="1" applyBorder="1" applyAlignment="1">
      <alignment horizontal="left" vertical="top"/>
    </xf>
    <xf numFmtId="0" fontId="68" fillId="5" borderId="5" xfId="159" applyFont="1" applyFill="1" applyBorder="1" applyAlignment="1">
      <alignment horizontal="center" vertical="top"/>
    </xf>
    <xf numFmtId="49" fontId="37" fillId="5" borderId="44" xfId="61" applyNumberFormat="1" applyFont="1" applyFill="1" applyBorder="1" applyAlignment="1">
      <alignment horizontal="center" vertical="top" wrapText="1"/>
    </xf>
    <xf numFmtId="49" fontId="68" fillId="5" borderId="44" xfId="61" applyNumberFormat="1" applyFont="1" applyFill="1" applyBorder="1" applyAlignment="1">
      <alignment horizontal="center" vertical="top" wrapText="1"/>
    </xf>
    <xf numFmtId="0" fontId="68" fillId="5" borderId="47" xfId="61" quotePrefix="1" applyFont="1" applyFill="1" applyBorder="1" applyAlignment="1">
      <alignment horizontal="center" vertical="top" wrapText="1"/>
    </xf>
    <xf numFmtId="49" fontId="37" fillId="5" borderId="44" xfId="61" applyNumberFormat="1" applyFont="1" applyFill="1" applyBorder="1" applyAlignment="1">
      <alignment horizontal="center" vertical="center" wrapText="1"/>
    </xf>
    <xf numFmtId="49" fontId="37" fillId="5" borderId="48" xfId="61" applyNumberFormat="1" applyFont="1" applyFill="1" applyBorder="1" applyAlignment="1">
      <alignment horizontal="center" vertical="top" textRotation="180" wrapText="1"/>
    </xf>
    <xf numFmtId="49" fontId="37" fillId="0" borderId="0" xfId="61" applyNumberFormat="1" applyFont="1" applyBorder="1" applyAlignment="1">
      <alignment horizontal="center" vertical="center" wrapText="1"/>
    </xf>
    <xf numFmtId="49" fontId="37" fillId="0" borderId="0" xfId="0" applyNumberFormat="1" applyFont="1" applyFill="1" applyBorder="1" applyAlignment="1">
      <alignment horizontal="center" textRotation="180" wrapText="1"/>
    </xf>
    <xf numFmtId="0" fontId="31" fillId="0" borderId="23" xfId="61" applyFont="1" applyBorder="1" applyAlignment="1">
      <alignment horizontal="center" vertical="top"/>
    </xf>
    <xf numFmtId="0" fontId="31" fillId="0" borderId="24" xfId="61" applyFont="1" applyBorder="1" applyAlignment="1">
      <alignment horizontal="center" vertical="top"/>
    </xf>
    <xf numFmtId="0" fontId="31" fillId="0" borderId="0" xfId="61" applyFont="1" applyAlignment="1">
      <alignment horizontal="center" vertical="top"/>
    </xf>
    <xf numFmtId="49" fontId="0" fillId="0" borderId="6" xfId="61" quotePrefix="1" applyNumberFormat="1" applyFont="1" applyBorder="1" applyAlignment="1">
      <alignment horizontal="center" vertical="top"/>
    </xf>
    <xf numFmtId="0" fontId="0" fillId="0" borderId="6" xfId="61" applyFont="1" applyBorder="1" applyAlignment="1">
      <alignment horizontal="left" vertical="top" wrapText="1"/>
    </xf>
    <xf numFmtId="0" fontId="0" fillId="0" borderId="6" xfId="61" quotePrefix="1" applyFont="1" applyBorder="1" applyAlignment="1">
      <alignment horizontal="center" vertical="top"/>
    </xf>
    <xf numFmtId="0" fontId="0" fillId="0" borderId="1" xfId="61" applyFont="1" applyBorder="1" applyAlignment="1">
      <alignment horizontal="center" vertical="top"/>
    </xf>
    <xf numFmtId="0" fontId="31" fillId="0" borderId="6" xfId="61" quotePrefix="1" applyFont="1" applyBorder="1" applyAlignment="1">
      <alignment horizontal="center" vertical="top"/>
    </xf>
    <xf numFmtId="0" fontId="31" fillId="0" borderId="1" xfId="61" applyFont="1" applyBorder="1" applyAlignment="1">
      <alignment horizontal="center" vertical="top"/>
    </xf>
    <xf numFmtId="24" fontId="31" fillId="0" borderId="45" xfId="61" applyNumberFormat="1" applyFont="1" applyBorder="1" applyAlignment="1">
      <alignment horizontal="center" vertical="top"/>
    </xf>
    <xf numFmtId="0" fontId="31" fillId="0" borderId="49" xfId="61" applyFont="1" applyBorder="1" applyAlignment="1">
      <alignment horizontal="center" vertical="top"/>
    </xf>
    <xf numFmtId="49" fontId="0" fillId="0" borderId="4" xfId="61" quotePrefix="1" applyNumberFormat="1" applyFont="1" applyBorder="1" applyAlignment="1">
      <alignment horizontal="center" vertical="top"/>
    </xf>
    <xf numFmtId="0" fontId="31" fillId="0" borderId="51" xfId="61" applyFont="1" applyBorder="1" applyAlignment="1">
      <alignment horizontal="center" vertical="top"/>
    </xf>
    <xf numFmtId="0" fontId="0" fillId="0" borderId="6" xfId="61" applyFont="1" applyBorder="1" applyAlignment="1">
      <alignment horizontal="left" vertical="top"/>
    </xf>
    <xf numFmtId="0" fontId="31" fillId="0" borderId="44" xfId="61" applyFont="1" applyBorder="1" applyAlignment="1">
      <alignment horizontal="center" vertical="top" wrapText="1"/>
    </xf>
    <xf numFmtId="0" fontId="31" fillId="0" borderId="32" xfId="61" applyFont="1" applyBorder="1" applyAlignment="1">
      <alignment horizontal="center" vertical="top"/>
    </xf>
    <xf numFmtId="0" fontId="31" fillId="0" borderId="43" xfId="61" applyFont="1" applyBorder="1" applyAlignment="1">
      <alignment horizontal="center" vertical="top"/>
    </xf>
    <xf numFmtId="0" fontId="31" fillId="0" borderId="45" xfId="61" applyFont="1" applyBorder="1" applyAlignment="1">
      <alignment horizontal="center" vertical="top" wrapText="1"/>
    </xf>
    <xf numFmtId="0" fontId="0" fillId="0" borderId="4" xfId="61" quotePrefix="1" applyFont="1" applyBorder="1" applyAlignment="1">
      <alignment horizontal="center" vertical="top"/>
    </xf>
    <xf numFmtId="0" fontId="62" fillId="0" borderId="0" xfId="0" applyFont="1">
      <alignment vertical="center"/>
    </xf>
    <xf numFmtId="0" fontId="71" fillId="0" borderId="0" xfId="81" applyFont="1">
      <alignment vertical="center"/>
    </xf>
    <xf numFmtId="0" fontId="37" fillId="0" borderId="0" xfId="81" applyFont="1" applyAlignment="1">
      <alignment vertical="top" wrapText="1"/>
    </xf>
    <xf numFmtId="0" fontId="37" fillId="0" borderId="0" xfId="81" applyFont="1" applyAlignment="1">
      <alignment horizontal="center" vertical="center" wrapText="1"/>
    </xf>
    <xf numFmtId="0" fontId="37" fillId="0" borderId="0" xfId="81" applyFont="1">
      <alignment vertical="center"/>
    </xf>
    <xf numFmtId="0" fontId="37" fillId="0" borderId="0" xfId="81" applyFont="1" applyAlignment="1">
      <alignment horizontal="left" vertical="center"/>
    </xf>
    <xf numFmtId="0" fontId="37" fillId="0" borderId="0" xfId="81" applyFont="1" applyAlignment="1">
      <alignment vertical="center" wrapText="1"/>
    </xf>
    <xf numFmtId="0" fontId="41" fillId="8" borderId="47" xfId="61" quotePrefix="1" applyFont="1" applyFill="1" applyBorder="1" applyAlignment="1">
      <alignment horizontal="center" vertical="top" wrapText="1"/>
    </xf>
    <xf numFmtId="0" fontId="41" fillId="8" borderId="47" xfId="61" applyFont="1" applyFill="1" applyBorder="1" applyAlignment="1">
      <alignment horizontal="center" vertical="top" wrapText="1"/>
    </xf>
    <xf numFmtId="0" fontId="41" fillId="0" borderId="0" xfId="61" quotePrefix="1" applyFont="1" applyAlignment="1">
      <alignment wrapText="1"/>
    </xf>
    <xf numFmtId="0" fontId="41" fillId="0" borderId="0" xfId="61" applyFont="1" applyAlignment="1">
      <alignment vertical="top"/>
    </xf>
    <xf numFmtId="0" fontId="37" fillId="0" borderId="4" xfId="81" applyFont="1" applyBorder="1" applyAlignment="1">
      <alignment horizontal="center" vertical="top" wrapText="1"/>
    </xf>
    <xf numFmtId="0" fontId="41" fillId="0" borderId="52" xfId="61" quotePrefix="1" applyFont="1" applyBorder="1" applyAlignment="1">
      <alignment horizontal="center" vertical="top" wrapText="1"/>
    </xf>
    <xf numFmtId="0" fontId="41" fillId="0" borderId="29" xfId="61" quotePrefix="1" applyFont="1" applyBorder="1" applyAlignment="1">
      <alignment horizontal="center" vertical="top" wrapText="1"/>
    </xf>
    <xf numFmtId="0" fontId="41" fillId="0" borderId="50" xfId="61" applyFont="1" applyBorder="1" applyAlignment="1">
      <alignment horizontal="center" vertical="top" wrapText="1"/>
    </xf>
    <xf numFmtId="0" fontId="41" fillId="0" borderId="29" xfId="61" applyFont="1" applyBorder="1" applyAlignment="1">
      <alignment horizontal="center" vertical="top" wrapText="1"/>
    </xf>
    <xf numFmtId="0" fontId="41" fillId="0" borderId="47" xfId="61" applyFont="1" applyBorder="1" applyAlignment="1">
      <alignment horizontal="center" vertical="top" wrapText="1"/>
    </xf>
    <xf numFmtId="0" fontId="41" fillId="0" borderId="48" xfId="61" quotePrefix="1" applyFont="1" applyBorder="1" applyAlignment="1">
      <alignment horizontal="center" vertical="top" wrapText="1"/>
    </xf>
    <xf numFmtId="49" fontId="41" fillId="0" borderId="3" xfId="61" applyNumberFormat="1" applyFont="1" applyBorder="1" applyAlignment="1">
      <alignment horizontal="center" vertical="top" wrapText="1"/>
    </xf>
    <xf numFmtId="0" fontId="37" fillId="0" borderId="4" xfId="81" applyFont="1" applyBorder="1" applyAlignment="1">
      <alignment horizontal="left" vertical="top" wrapText="1"/>
    </xf>
    <xf numFmtId="0" fontId="37" fillId="0" borderId="5" xfId="81" applyFont="1" applyBorder="1" applyAlignment="1">
      <alignment horizontal="left" vertical="top" wrapText="1"/>
    </xf>
    <xf numFmtId="0" fontId="37" fillId="0" borderId="5" xfId="81" applyFont="1" applyBorder="1" applyAlignment="1">
      <alignment horizontal="center" vertical="top" wrapText="1"/>
    </xf>
    <xf numFmtId="49" fontId="41" fillId="0" borderId="44" xfId="61" applyNumberFormat="1" applyFont="1" applyBorder="1" applyAlignment="1">
      <alignment horizontal="center" vertical="top" wrapText="1"/>
    </xf>
    <xf numFmtId="49" fontId="37" fillId="8" borderId="26" xfId="0" applyNumberFormat="1" applyFont="1" applyFill="1" applyBorder="1" applyAlignment="1">
      <alignment horizontal="center" vertical="top" textRotation="180" wrapText="1"/>
    </xf>
    <xf numFmtId="49" fontId="37" fillId="8" borderId="26" xfId="0" quotePrefix="1" applyNumberFormat="1" applyFont="1" applyFill="1" applyBorder="1" applyAlignment="1">
      <alignment horizontal="center" vertical="top" textRotation="180" wrapText="1"/>
    </xf>
    <xf numFmtId="49" fontId="37" fillId="8" borderId="43" xfId="61" applyNumberFormat="1" applyFont="1" applyFill="1" applyBorder="1" applyAlignment="1">
      <alignment horizontal="center" vertical="center" textRotation="180" wrapText="1"/>
    </xf>
    <xf numFmtId="0" fontId="62" fillId="0" borderId="0" xfId="0" applyFont="1" applyAlignment="1">
      <alignment horizontal="left" vertical="center"/>
    </xf>
    <xf numFmtId="0" fontId="48" fillId="0" borderId="0" xfId="61" applyFont="1" applyAlignment="1">
      <alignment vertical="top"/>
    </xf>
    <xf numFmtId="0" fontId="61" fillId="0" borderId="0" xfId="61" applyFont="1" applyAlignment="1">
      <alignment horizontal="center" vertical="top"/>
    </xf>
    <xf numFmtId="0" fontId="61" fillId="0" borderId="0" xfId="61" applyFont="1" applyAlignment="1">
      <alignment vertical="top"/>
    </xf>
    <xf numFmtId="0" fontId="12" fillId="0" borderId="1" xfId="61" quotePrefix="1" applyBorder="1" applyAlignment="1">
      <alignment horizontal="left" vertical="top" wrapText="1"/>
    </xf>
    <xf numFmtId="0" fontId="0" fillId="0" borderId="46" xfId="61" quotePrefix="1" applyFont="1" applyBorder="1" applyAlignment="1">
      <alignment horizontal="center" vertical="top" wrapText="1"/>
    </xf>
    <xf numFmtId="24" fontId="31" fillId="0" borderId="44" xfId="61" applyNumberFormat="1" applyFont="1" applyBorder="1" applyAlignment="1">
      <alignment horizontal="center" vertical="top" wrapText="1"/>
    </xf>
    <xf numFmtId="0" fontId="61" fillId="7" borderId="0" xfId="61" applyFont="1" applyFill="1" applyAlignment="1">
      <alignment horizontal="center" vertical="top"/>
    </xf>
    <xf numFmtId="0" fontId="0" fillId="0" borderId="22" xfId="61" applyFont="1" applyBorder="1" applyAlignment="1">
      <alignment horizontal="left" vertical="top"/>
    </xf>
    <xf numFmtId="24" fontId="31" fillId="0" borderId="31" xfId="61" applyNumberFormat="1" applyFont="1" applyBorder="1" applyAlignment="1">
      <alignment horizontal="center" vertical="top"/>
    </xf>
    <xf numFmtId="24" fontId="31" fillId="0" borderId="32" xfId="61" applyNumberFormat="1" applyFont="1" applyBorder="1" applyAlignment="1">
      <alignment horizontal="center" vertical="top" wrapText="1"/>
    </xf>
    <xf numFmtId="24" fontId="31" fillId="0" borderId="30" xfId="61" applyNumberFormat="1" applyFont="1" applyBorder="1" applyAlignment="1">
      <alignment horizontal="center" vertical="top"/>
    </xf>
    <xf numFmtId="0" fontId="0" fillId="0" borderId="42" xfId="61" quotePrefix="1" applyFont="1" applyBorder="1" applyAlignment="1">
      <alignment horizontal="left" vertical="top" wrapText="1"/>
    </xf>
    <xf numFmtId="24" fontId="0" fillId="0" borderId="53" xfId="61" quotePrefix="1" applyNumberFormat="1" applyFont="1" applyBorder="1" applyAlignment="1">
      <alignment horizontal="center" vertical="top" wrapText="1"/>
    </xf>
    <xf numFmtId="0" fontId="0" fillId="9" borderId="6" xfId="61" applyFont="1" applyFill="1" applyBorder="1" applyAlignment="1">
      <alignment horizontal="center" vertical="top"/>
    </xf>
    <xf numFmtId="0" fontId="31" fillId="0" borderId="30" xfId="61" applyFont="1" applyBorder="1" applyAlignment="1">
      <alignment horizontal="center" vertical="top"/>
    </xf>
    <xf numFmtId="0" fontId="31" fillId="0" borderId="32" xfId="61" applyFont="1" applyBorder="1" applyAlignment="1">
      <alignment horizontal="center" vertical="top" wrapText="1"/>
    </xf>
    <xf numFmtId="0" fontId="12" fillId="0" borderId="47" xfId="61" applyBorder="1" applyAlignment="1">
      <alignment horizontal="center" vertical="top" textRotation="180"/>
    </xf>
    <xf numFmtId="0" fontId="61" fillId="7" borderId="3" xfId="61" applyFont="1" applyFill="1" applyBorder="1" applyAlignment="1">
      <alignment horizontal="center" vertical="top"/>
    </xf>
    <xf numFmtId="0" fontId="61" fillId="7" borderId="14" xfId="61" applyFont="1" applyFill="1" applyBorder="1" applyAlignment="1">
      <alignment horizontal="center" vertical="top"/>
    </xf>
    <xf numFmtId="0" fontId="35" fillId="0" borderId="0" xfId="61" applyFont="1" applyAlignment="1">
      <alignment vertical="top"/>
    </xf>
    <xf numFmtId="0" fontId="35" fillId="0" borderId="0" xfId="61" applyFont="1" applyAlignment="1">
      <alignment horizontal="left" vertical="top"/>
    </xf>
    <xf numFmtId="24" fontId="0" fillId="0" borderId="56" xfId="61" quotePrefix="1" applyNumberFormat="1" applyFont="1" applyFill="1" applyBorder="1" applyAlignment="1">
      <alignment horizontal="center" vertical="top" wrapText="1"/>
    </xf>
    <xf numFmtId="0" fontId="0" fillId="0" borderId="21" xfId="61" applyFont="1" applyFill="1" applyBorder="1" applyAlignment="1">
      <alignment horizontal="left" vertical="top" wrapText="1"/>
    </xf>
    <xf numFmtId="24" fontId="0" fillId="0" borderId="54" xfId="61" quotePrefix="1" applyNumberFormat="1" applyFont="1" applyFill="1" applyBorder="1" applyAlignment="1">
      <alignment horizontal="center" vertical="top" wrapText="1"/>
    </xf>
    <xf numFmtId="0" fontId="51" fillId="0" borderId="23" xfId="0" quotePrefix="1" applyFont="1" applyFill="1" applyBorder="1" applyAlignment="1">
      <alignment horizontal="center" textRotation="180"/>
    </xf>
    <xf numFmtId="0" fontId="51" fillId="0" borderId="14" xfId="0" quotePrefix="1" applyFont="1" applyFill="1" applyBorder="1" applyAlignment="1">
      <alignment horizontal="center" textRotation="180"/>
    </xf>
    <xf numFmtId="0" fontId="0" fillId="0" borderId="23" xfId="0" quotePrefix="1" applyFill="1" applyBorder="1" applyAlignment="1">
      <alignment horizontal="center" vertical="top" textRotation="180"/>
    </xf>
    <xf numFmtId="0" fontId="0" fillId="0" borderId="14" xfId="0" quotePrefix="1" applyFill="1" applyBorder="1" applyAlignment="1">
      <alignment horizontal="center" vertical="top" textRotation="180"/>
    </xf>
    <xf numFmtId="0" fontId="51" fillId="0" borderId="44" xfId="0" quotePrefix="1" applyFont="1" applyFill="1" applyBorder="1" applyAlignment="1">
      <alignment horizontal="center" textRotation="180"/>
    </xf>
    <xf numFmtId="0" fontId="44" fillId="0" borderId="0" xfId="81" applyFont="1" applyAlignment="1">
      <alignment vertical="top" wrapText="1"/>
    </xf>
    <xf numFmtId="0" fontId="45" fillId="8" borderId="47" xfId="61" quotePrefix="1" applyFont="1" applyFill="1" applyBorder="1" applyAlignment="1">
      <alignment horizontal="center" vertical="top" wrapText="1"/>
    </xf>
    <xf numFmtId="0" fontId="0" fillId="0" borderId="6" xfId="61" quotePrefix="1" applyFont="1" applyBorder="1" applyAlignment="1">
      <alignment horizontal="left" vertical="top" wrapText="1"/>
    </xf>
    <xf numFmtId="0" fontId="31" fillId="0" borderId="6" xfId="61" quotePrefix="1" applyFont="1" applyBorder="1" applyAlignment="1">
      <alignment horizontal="center" vertical="top"/>
    </xf>
    <xf numFmtId="0" fontId="31" fillId="8" borderId="7" xfId="61" applyFont="1" applyFill="1" applyBorder="1" applyAlignment="1">
      <alignment horizontal="center" vertical="top"/>
    </xf>
    <xf numFmtId="0" fontId="31" fillId="8" borderId="62" xfId="61" applyFont="1" applyFill="1" applyBorder="1" applyAlignment="1">
      <alignment horizontal="center" vertical="top"/>
    </xf>
    <xf numFmtId="0" fontId="31" fillId="0" borderId="24" xfId="61" applyFont="1" applyBorder="1" applyAlignment="1">
      <alignment horizontal="center" vertical="top" wrapText="1"/>
    </xf>
    <xf numFmtId="0" fontId="31" fillId="0" borderId="62" xfId="61" applyFont="1" applyBorder="1" applyAlignment="1">
      <alignment horizontal="center" vertical="top"/>
    </xf>
    <xf numFmtId="0" fontId="0" fillId="0" borderId="5" xfId="61" applyFont="1" applyBorder="1" applyAlignment="1">
      <alignment horizontal="left" vertical="top" wrapText="1"/>
    </xf>
    <xf numFmtId="49" fontId="0" fillId="0" borderId="7" xfId="61" quotePrefix="1" applyNumberFormat="1" applyFont="1" applyBorder="1" applyAlignment="1">
      <alignment horizontal="center" vertical="top"/>
    </xf>
    <xf numFmtId="0" fontId="0" fillId="0" borderId="5" xfId="61" quotePrefix="1" applyFont="1" applyBorder="1" applyAlignment="1">
      <alignment horizontal="center" vertical="top"/>
    </xf>
    <xf numFmtId="0" fontId="78" fillId="11" borderId="0" xfId="160" applyFont="1" applyFill="1">
      <alignment vertical="center"/>
    </xf>
    <xf numFmtId="0" fontId="62" fillId="11" borderId="0" xfId="160" applyFont="1" applyFill="1">
      <alignment vertical="center"/>
    </xf>
    <xf numFmtId="0" fontId="62" fillId="0" borderId="0" xfId="160" applyFont="1">
      <alignment vertical="center"/>
    </xf>
    <xf numFmtId="0" fontId="70" fillId="11" borderId="0" xfId="160" applyFont="1" applyFill="1">
      <alignment vertical="center"/>
    </xf>
    <xf numFmtId="0" fontId="62" fillId="11" borderId="0" xfId="160" quotePrefix="1" applyFont="1" applyFill="1">
      <alignment vertical="center"/>
    </xf>
    <xf numFmtId="0" fontId="79" fillId="11" borderId="0" xfId="160" applyFont="1" applyFill="1" applyAlignment="1"/>
    <xf numFmtId="0" fontId="37" fillId="11" borderId="0" xfId="160" applyFont="1" applyFill="1">
      <alignment vertical="center"/>
    </xf>
    <xf numFmtId="0" fontId="12" fillId="0" borderId="4" xfId="61" applyFont="1" applyBorder="1" applyAlignment="1">
      <alignment vertical="top"/>
    </xf>
    <xf numFmtId="0" fontId="44" fillId="0" borderId="0" xfId="159" applyFont="1" applyAlignment="1">
      <alignment vertical="top"/>
    </xf>
    <xf numFmtId="0" fontId="65" fillId="7" borderId="5" xfId="159" quotePrefix="1" applyFont="1" applyFill="1" applyBorder="1" applyAlignment="1">
      <alignment horizontal="center" vertical="center" wrapText="1"/>
    </xf>
    <xf numFmtId="0" fontId="37" fillId="5" borderId="22" xfId="159" applyFont="1" applyFill="1" applyBorder="1" applyAlignment="1">
      <alignment horizontal="center" vertical="top"/>
    </xf>
    <xf numFmtId="213" fontId="57" fillId="7" borderId="4" xfId="0" applyNumberFormat="1" applyFont="1" applyFill="1" applyBorder="1" applyAlignment="1">
      <alignment horizontal="center" vertical="top"/>
    </xf>
    <xf numFmtId="213" fontId="0" fillId="0" borderId="5" xfId="0" applyNumberFormat="1" applyFont="1" applyFill="1" applyBorder="1" applyAlignment="1">
      <alignment horizontal="center" vertical="top"/>
    </xf>
    <xf numFmtId="0" fontId="0" fillId="0" borderId="5" xfId="0" quotePrefix="1" applyFont="1" applyFill="1" applyBorder="1" applyAlignment="1">
      <alignment vertical="top"/>
    </xf>
    <xf numFmtId="24" fontId="37" fillId="0" borderId="43" xfId="61" applyNumberFormat="1" applyFont="1" applyFill="1" applyBorder="1" applyAlignment="1">
      <alignment horizontal="center" vertical="top" wrapText="1"/>
    </xf>
    <xf numFmtId="24" fontId="37" fillId="0" borderId="43" xfId="61" applyNumberFormat="1" applyFont="1" applyFill="1" applyBorder="1" applyAlignment="1">
      <alignment horizontal="center" vertical="center" textRotation="180" wrapText="1"/>
    </xf>
    <xf numFmtId="24" fontId="37" fillId="0" borderId="44" xfId="61" quotePrefix="1" applyNumberFormat="1" applyFont="1" applyFill="1" applyBorder="1" applyAlignment="1">
      <alignment horizontal="center" vertical="center" textRotation="180" wrapText="1"/>
    </xf>
    <xf numFmtId="24" fontId="0" fillId="0" borderId="43" xfId="61" applyNumberFormat="1" applyFont="1" applyFill="1" applyBorder="1" applyAlignment="1">
      <alignment horizontal="center" vertical="center" wrapText="1"/>
    </xf>
    <xf numFmtId="24" fontId="0" fillId="0" borderId="44" xfId="61" quotePrefix="1" applyNumberFormat="1" applyFont="1" applyFill="1" applyBorder="1" applyAlignment="1">
      <alignment horizontal="center" vertical="center" wrapText="1"/>
    </xf>
    <xf numFmtId="0" fontId="31" fillId="0" borderId="0" xfId="61" applyFont="1" applyFill="1" applyBorder="1" applyAlignment="1">
      <alignment vertical="center"/>
    </xf>
    <xf numFmtId="0" fontId="12" fillId="0" borderId="43" xfId="61" quotePrefix="1" applyBorder="1" applyAlignment="1">
      <alignment horizontal="center" vertical="center" wrapText="1"/>
    </xf>
    <xf numFmtId="0" fontId="12" fillId="0" borderId="23" xfId="61" quotePrefix="1" applyBorder="1" applyAlignment="1">
      <alignment horizontal="center" vertical="center" wrapText="1"/>
    </xf>
    <xf numFmtId="0" fontId="12" fillId="0" borderId="44" xfId="61" quotePrefix="1" applyBorder="1" applyAlignment="1">
      <alignment horizontal="center" vertical="center" wrapText="1"/>
    </xf>
    <xf numFmtId="0" fontId="70" fillId="0" borderId="5" xfId="159" applyFont="1" applyFill="1" applyBorder="1" applyAlignment="1">
      <alignment horizontal="center" vertical="top" wrapText="1"/>
    </xf>
    <xf numFmtId="0" fontId="70" fillId="0" borderId="4" xfId="159" applyFont="1" applyFill="1" applyBorder="1" applyAlignment="1">
      <alignment horizontal="center" vertical="top" wrapText="1"/>
    </xf>
    <xf numFmtId="0" fontId="62" fillId="0" borderId="0" xfId="159" applyFont="1" applyBorder="1" applyAlignment="1">
      <alignment horizontal="center" vertical="top" wrapText="1"/>
    </xf>
    <xf numFmtId="0" fontId="70" fillId="0" borderId="43" xfId="159" applyFont="1" applyFill="1" applyBorder="1" applyAlignment="1">
      <alignment horizontal="center" vertical="top" wrapText="1"/>
    </xf>
    <xf numFmtId="0" fontId="70" fillId="0" borderId="44" xfId="159" applyFont="1" applyFill="1" applyBorder="1" applyAlignment="1">
      <alignment horizontal="center" vertical="top" wrapText="1"/>
    </xf>
    <xf numFmtId="0" fontId="41" fillId="0" borderId="5" xfId="159" applyFont="1" applyFill="1" applyBorder="1" applyAlignment="1">
      <alignment horizontal="center" vertical="top" wrapText="1"/>
    </xf>
    <xf numFmtId="0" fontId="37" fillId="0" borderId="5" xfId="159" applyFont="1" applyBorder="1" applyAlignment="1">
      <alignment horizontal="center" vertical="top" wrapText="1"/>
    </xf>
    <xf numFmtId="0" fontId="70" fillId="0" borderId="5" xfId="159" applyFont="1" applyFill="1" applyBorder="1" applyAlignment="1">
      <alignment horizontal="center" vertical="center" wrapText="1"/>
    </xf>
    <xf numFmtId="49" fontId="37" fillId="0" borderId="5" xfId="159" applyNumberFormat="1" applyFont="1" applyBorder="1" applyAlignment="1">
      <alignment horizontal="center" vertical="top" wrapText="1"/>
    </xf>
    <xf numFmtId="49" fontId="37" fillId="0" borderId="43" xfId="61" applyNumberFormat="1" applyFont="1" applyBorder="1" applyAlignment="1">
      <alignment horizontal="center" vertical="center" wrapText="1"/>
    </xf>
    <xf numFmtId="49" fontId="37" fillId="0" borderId="44" xfId="61" applyNumberFormat="1" applyFont="1" applyBorder="1" applyAlignment="1">
      <alignment horizontal="center" vertical="center" wrapText="1"/>
    </xf>
    <xf numFmtId="49" fontId="37" fillId="0" borderId="0" xfId="61" applyNumberFormat="1" applyFont="1" applyBorder="1" applyAlignment="1">
      <alignment horizontal="center" vertical="center" wrapText="1"/>
    </xf>
    <xf numFmtId="0" fontId="37" fillId="0" borderId="5" xfId="159" applyFont="1" applyBorder="1" applyAlignment="1">
      <alignment horizontal="left" vertical="top" wrapText="1"/>
    </xf>
    <xf numFmtId="0" fontId="37" fillId="0" borderId="1" xfId="159" applyFont="1" applyBorder="1" applyAlignment="1">
      <alignment horizontal="center" vertical="top"/>
    </xf>
    <xf numFmtId="0" fontId="37" fillId="0" borderId="69" xfId="159" applyFont="1" applyBorder="1" applyAlignment="1">
      <alignment horizontal="center" vertical="top"/>
    </xf>
    <xf numFmtId="0" fontId="37" fillId="0" borderId="0" xfId="159" applyFont="1" applyAlignment="1">
      <alignment vertical="center" wrapText="1"/>
    </xf>
    <xf numFmtId="0" fontId="37" fillId="0" borderId="21" xfId="159" applyFont="1" applyBorder="1" applyAlignment="1">
      <alignment horizontal="left" vertical="top" wrapText="1"/>
    </xf>
    <xf numFmtId="0" fontId="37" fillId="0" borderId="22" xfId="159" applyFont="1" applyBorder="1" applyAlignment="1">
      <alignment horizontal="left" vertical="top" wrapText="1"/>
    </xf>
    <xf numFmtId="0" fontId="37" fillId="0" borderId="5" xfId="159" quotePrefix="1" applyFont="1" applyBorder="1" applyAlignment="1">
      <alignment horizontal="left" vertical="top" wrapText="1"/>
    </xf>
    <xf numFmtId="0" fontId="62" fillId="0" borderId="0" xfId="159" applyFont="1" applyAlignment="1">
      <alignment vertical="center"/>
    </xf>
    <xf numFmtId="0" fontId="70" fillId="0" borderId="6" xfId="159" applyFont="1" applyFill="1" applyBorder="1" applyAlignment="1">
      <alignment horizontal="center" vertical="center"/>
    </xf>
    <xf numFmtId="0" fontId="70" fillId="0" borderId="4" xfId="159" applyFont="1" applyFill="1" applyBorder="1" applyAlignment="1">
      <alignment horizontal="center" vertical="top"/>
    </xf>
    <xf numFmtId="0" fontId="37" fillId="0" borderId="5" xfId="159" applyFont="1" applyBorder="1" applyAlignment="1">
      <alignment vertical="top"/>
    </xf>
    <xf numFmtId="0" fontId="37" fillId="0" borderId="5" xfId="159" applyFont="1" applyBorder="1" applyAlignment="1">
      <alignment horizontal="justify" vertical="top"/>
    </xf>
    <xf numFmtId="0" fontId="37" fillId="0" borderId="20" xfId="159" applyFont="1" applyBorder="1" applyAlignment="1">
      <alignment vertical="top"/>
    </xf>
    <xf numFmtId="0" fontId="37" fillId="0" borderId="21" xfId="159" applyFont="1" applyBorder="1" applyAlignment="1">
      <alignment vertical="top"/>
    </xf>
    <xf numFmtId="0" fontId="37" fillId="0" borderId="22" xfId="159" applyFont="1" applyBorder="1" applyAlignment="1">
      <alignment vertical="top"/>
    </xf>
    <xf numFmtId="0" fontId="37" fillId="0" borderId="22" xfId="159" applyFont="1" applyBorder="1" applyAlignment="1">
      <alignment horizontal="justify" vertical="top"/>
    </xf>
    <xf numFmtId="0" fontId="37" fillId="0" borderId="20" xfId="159" applyFont="1" applyBorder="1" applyAlignment="1">
      <alignment horizontal="justify" vertical="top"/>
    </xf>
    <xf numFmtId="0" fontId="37" fillId="0" borderId="21" xfId="159" applyFont="1" applyBorder="1" applyAlignment="1">
      <alignment horizontal="justify" vertical="top"/>
    </xf>
    <xf numFmtId="0" fontId="37" fillId="5" borderId="22" xfId="159" applyFont="1" applyFill="1" applyBorder="1" applyAlignment="1">
      <alignment horizontal="left" vertical="top" wrapText="1"/>
    </xf>
    <xf numFmtId="0" fontId="37" fillId="5" borderId="21" xfId="159" applyFont="1" applyFill="1" applyBorder="1" applyAlignment="1">
      <alignment horizontal="left" vertical="top" wrapText="1"/>
    </xf>
    <xf numFmtId="0" fontId="37" fillId="5" borderId="5" xfId="159" applyFont="1" applyFill="1" applyBorder="1" applyAlignment="1">
      <alignment horizontal="center" vertical="top"/>
    </xf>
    <xf numFmtId="0" fontId="37" fillId="5" borderId="20" xfId="159" applyFont="1" applyFill="1" applyBorder="1" applyAlignment="1">
      <alignment horizontal="center" vertical="top"/>
    </xf>
    <xf numFmtId="0" fontId="37" fillId="5" borderId="5" xfId="159" applyFont="1" applyFill="1" applyBorder="1" applyAlignment="1">
      <alignment horizontal="left" vertical="top" wrapText="1"/>
    </xf>
    <xf numFmtId="0" fontId="37" fillId="5" borderId="20" xfId="159" applyFont="1" applyFill="1" applyBorder="1" applyAlignment="1">
      <alignment horizontal="left" vertical="top" wrapText="1"/>
    </xf>
    <xf numFmtId="0" fontId="62" fillId="0" borderId="0" xfId="159" quotePrefix="1" applyFont="1" applyAlignment="1">
      <alignment vertical="top"/>
    </xf>
    <xf numFmtId="0" fontId="37" fillId="0" borderId="20" xfId="159" quotePrefix="1" applyFont="1" applyBorder="1" applyAlignment="1">
      <alignment horizontal="left" vertical="top" wrapText="1"/>
    </xf>
    <xf numFmtId="0" fontId="81" fillId="0" borderId="0" xfId="81" applyFont="1" applyAlignment="1">
      <alignment vertical="top" wrapText="1"/>
    </xf>
    <xf numFmtId="0" fontId="82" fillId="0" borderId="0" xfId="61" applyFont="1" applyAlignment="1">
      <alignment vertical="top"/>
    </xf>
    <xf numFmtId="0" fontId="81" fillId="5" borderId="3" xfId="0" applyFont="1" applyFill="1" applyBorder="1" applyAlignment="1">
      <alignment horizontal="center" vertical="top" wrapText="1"/>
    </xf>
    <xf numFmtId="0" fontId="81" fillId="5" borderId="4" xfId="81" applyFont="1" applyFill="1" applyBorder="1" applyAlignment="1">
      <alignment vertical="top" wrapText="1"/>
    </xf>
    <xf numFmtId="0" fontId="81" fillId="5" borderId="5" xfId="0" applyFont="1" applyFill="1" applyBorder="1" applyAlignment="1">
      <alignment horizontal="center" vertical="top" wrapText="1"/>
    </xf>
    <xf numFmtId="0" fontId="81" fillId="5" borderId="4" xfId="81" quotePrefix="1" applyFont="1" applyFill="1" applyBorder="1" applyAlignment="1">
      <alignment vertical="top" wrapText="1"/>
    </xf>
    <xf numFmtId="0" fontId="37" fillId="0" borderId="5" xfId="81" quotePrefix="1" applyFont="1" applyBorder="1" applyAlignment="1">
      <alignment horizontal="left" vertical="top" wrapText="1"/>
    </xf>
    <xf numFmtId="0" fontId="81" fillId="5" borderId="5" xfId="81" applyFont="1" applyFill="1" applyBorder="1" applyAlignment="1">
      <alignment horizontal="center" vertical="top" wrapText="1"/>
    </xf>
    <xf numFmtId="0" fontId="81" fillId="5" borderId="5" xfId="81" applyFont="1" applyFill="1" applyBorder="1" applyAlignment="1">
      <alignment horizontal="left" vertical="top" wrapText="1"/>
    </xf>
    <xf numFmtId="49" fontId="82" fillId="5" borderId="3" xfId="61" applyNumberFormat="1" applyFont="1" applyFill="1" applyBorder="1" applyAlignment="1">
      <alignment horizontal="center" vertical="top" wrapText="1"/>
    </xf>
    <xf numFmtId="49" fontId="82" fillId="5" borderId="44" xfId="61" applyNumberFormat="1" applyFont="1" applyFill="1" applyBorder="1" applyAlignment="1">
      <alignment horizontal="center" vertical="top" wrapText="1"/>
    </xf>
    <xf numFmtId="0" fontId="82" fillId="8" borderId="47" xfId="61" applyFont="1" applyFill="1" applyBorder="1" applyAlignment="1">
      <alignment horizontal="center" vertical="top" wrapText="1"/>
    </xf>
    <xf numFmtId="0" fontId="82" fillId="8" borderId="29" xfId="61" applyFont="1" applyFill="1" applyBorder="1" applyAlignment="1">
      <alignment horizontal="center" vertical="top" wrapText="1"/>
    </xf>
    <xf numFmtId="0" fontId="82" fillId="8" borderId="47" xfId="61" quotePrefix="1" applyFont="1" applyFill="1" applyBorder="1" applyAlignment="1">
      <alignment horizontal="center" vertical="top" wrapText="1"/>
    </xf>
    <xf numFmtId="0" fontId="82" fillId="0" borderId="0" xfId="61" quotePrefix="1" applyFont="1" applyAlignment="1">
      <alignment wrapText="1"/>
    </xf>
    <xf numFmtId="0" fontId="82" fillId="8" borderId="43" xfId="61" quotePrefix="1" applyFont="1" applyFill="1" applyBorder="1" applyAlignment="1">
      <alignment horizontal="center" vertical="top" wrapText="1"/>
    </xf>
    <xf numFmtId="0" fontId="82" fillId="8" borderId="23" xfId="61" quotePrefix="1" applyFont="1" applyFill="1" applyBorder="1" applyAlignment="1">
      <alignment horizontal="center" vertical="top" wrapText="1"/>
    </xf>
    <xf numFmtId="0" fontId="82" fillId="8" borderId="44" xfId="61" quotePrefix="1" applyFont="1" applyFill="1" applyBorder="1" applyAlignment="1">
      <alignment horizontal="center" vertical="top" wrapText="1"/>
    </xf>
    <xf numFmtId="0" fontId="81" fillId="5" borderId="5" xfId="81" applyFont="1" applyFill="1" applyBorder="1" applyAlignment="1">
      <alignment vertical="top" wrapText="1"/>
    </xf>
    <xf numFmtId="0" fontId="82" fillId="5" borderId="47" xfId="61" applyFont="1" applyFill="1" applyBorder="1" applyAlignment="1">
      <alignment horizontal="center" vertical="top" wrapText="1"/>
    </xf>
    <xf numFmtId="0" fontId="82" fillId="5" borderId="48" xfId="61" applyFont="1" applyFill="1" applyBorder="1" applyAlignment="1">
      <alignment horizontal="center" vertical="top" wrapText="1"/>
    </xf>
    <xf numFmtId="0" fontId="82" fillId="0" borderId="0" xfId="61" applyFont="1" applyAlignment="1">
      <alignment wrapText="1"/>
    </xf>
    <xf numFmtId="0" fontId="82" fillId="5" borderId="52" xfId="61" applyFont="1" applyFill="1" applyBorder="1" applyAlignment="1">
      <alignment horizontal="center" vertical="top" wrapText="1"/>
    </xf>
    <xf numFmtId="0" fontId="81" fillId="5" borderId="5" xfId="81" quotePrefix="1" applyFont="1" applyFill="1" applyBorder="1" applyAlignment="1">
      <alignment vertical="top" wrapText="1"/>
    </xf>
    <xf numFmtId="0" fontId="82" fillId="5" borderId="29" xfId="61" applyFont="1" applyFill="1" applyBorder="1" applyAlignment="1">
      <alignment horizontal="center" vertical="top" wrapText="1"/>
    </xf>
    <xf numFmtId="0" fontId="82" fillId="5" borderId="47" xfId="61" quotePrefix="1" applyFont="1" applyFill="1" applyBorder="1" applyAlignment="1">
      <alignment horizontal="center" vertical="top" wrapText="1"/>
    </xf>
    <xf numFmtId="0" fontId="82" fillId="5" borderId="48" xfId="61" quotePrefix="1" applyFont="1" applyFill="1" applyBorder="1" applyAlignment="1">
      <alignment horizontal="center" vertical="top" wrapText="1"/>
    </xf>
    <xf numFmtId="0" fontId="82" fillId="5" borderId="29" xfId="61" quotePrefix="1" applyFont="1" applyFill="1" applyBorder="1" applyAlignment="1">
      <alignment horizontal="center" vertical="top" wrapText="1"/>
    </xf>
    <xf numFmtId="0" fontId="82" fillId="5" borderId="52" xfId="61" quotePrefix="1" applyFont="1" applyFill="1" applyBorder="1" applyAlignment="1">
      <alignment horizontal="center" vertical="top" wrapText="1"/>
    </xf>
    <xf numFmtId="0" fontId="81" fillId="5" borderId="4" xfId="81" quotePrefix="1" applyFont="1" applyFill="1" applyBorder="1" applyAlignment="1">
      <alignment horizontal="center" vertical="top" wrapText="1"/>
    </xf>
    <xf numFmtId="0" fontId="81" fillId="5" borderId="4" xfId="81" applyFont="1" applyFill="1" applyBorder="1" applyAlignment="1">
      <alignment horizontal="left" vertical="top" wrapText="1"/>
    </xf>
    <xf numFmtId="0" fontId="82" fillId="5" borderId="44" xfId="61" quotePrefix="1" applyFont="1" applyFill="1" applyBorder="1" applyAlignment="1">
      <alignment horizontal="center" vertical="top" wrapText="1"/>
    </xf>
    <xf numFmtId="0" fontId="82" fillId="5" borderId="50" xfId="61" applyFont="1" applyFill="1" applyBorder="1" applyAlignment="1">
      <alignment horizontal="center" vertical="top" wrapText="1"/>
    </xf>
    <xf numFmtId="0" fontId="81" fillId="8" borderId="4" xfId="0" applyFont="1" applyFill="1" applyBorder="1" applyAlignment="1">
      <alignment horizontal="center" vertical="top" wrapText="1"/>
    </xf>
    <xf numFmtId="0" fontId="81" fillId="8" borderId="4" xfId="81" applyFont="1" applyFill="1" applyBorder="1" applyAlignment="1">
      <alignment vertical="top" wrapText="1"/>
    </xf>
    <xf numFmtId="0" fontId="81" fillId="5" borderId="4" xfId="81" applyFont="1" applyFill="1" applyBorder="1" applyAlignment="1">
      <alignment horizontal="center" vertical="top" wrapText="1"/>
    </xf>
    <xf numFmtId="0" fontId="37" fillId="0" borderId="4" xfId="0" applyFont="1" applyFill="1" applyBorder="1" applyAlignment="1">
      <alignment horizontal="center" vertical="top" wrapText="1"/>
    </xf>
    <xf numFmtId="0" fontId="37" fillId="0" borderId="4" xfId="81" applyFont="1" applyFill="1" applyBorder="1" applyAlignment="1">
      <alignment vertical="top" wrapText="1"/>
    </xf>
    <xf numFmtId="0" fontId="37" fillId="0" borderId="5" xfId="0" applyFont="1" applyFill="1" applyBorder="1" applyAlignment="1">
      <alignment horizontal="center" vertical="top" wrapText="1"/>
    </xf>
    <xf numFmtId="0" fontId="37" fillId="0" borderId="5" xfId="81" applyFont="1" applyFill="1" applyBorder="1" applyAlignment="1">
      <alignment vertical="top" wrapText="1"/>
    </xf>
    <xf numFmtId="0" fontId="37" fillId="0" borderId="4" xfId="81" quotePrefix="1" applyFont="1" applyFill="1" applyBorder="1" applyAlignment="1">
      <alignment vertical="top" wrapText="1"/>
    </xf>
    <xf numFmtId="0" fontId="37" fillId="0" borderId="5" xfId="81" applyFont="1" applyFill="1" applyBorder="1" applyAlignment="1">
      <alignment horizontal="left" vertical="top" wrapText="1"/>
    </xf>
    <xf numFmtId="0" fontId="37" fillId="0" borderId="4" xfId="81" applyFont="1" applyFill="1" applyBorder="1" applyAlignment="1">
      <alignment horizontal="center" vertical="top" wrapText="1"/>
    </xf>
    <xf numFmtId="0" fontId="37" fillId="0" borderId="5" xfId="81" applyFont="1" applyFill="1" applyBorder="1" applyAlignment="1">
      <alignment horizontal="center" vertical="top" wrapText="1"/>
    </xf>
    <xf numFmtId="0" fontId="37" fillId="0" borderId="5" xfId="81" quotePrefix="1" applyFont="1" applyFill="1" applyBorder="1" applyAlignment="1">
      <alignment vertical="top" wrapText="1"/>
    </xf>
    <xf numFmtId="0" fontId="73" fillId="0" borderId="0" xfId="81" applyFont="1">
      <alignment vertical="center"/>
    </xf>
    <xf numFmtId="0" fontId="84" fillId="5" borderId="68" xfId="81" applyFont="1" applyFill="1" applyBorder="1" applyAlignment="1">
      <alignment horizontal="center" vertical="top" wrapText="1"/>
    </xf>
    <xf numFmtId="0" fontId="84" fillId="8" borderId="68" xfId="81" quotePrefix="1" applyFont="1" applyFill="1" applyBorder="1" applyAlignment="1">
      <alignment horizontal="center" vertical="top" wrapText="1"/>
    </xf>
    <xf numFmtId="0" fontId="37" fillId="0" borderId="5" xfId="81" applyFont="1" applyBorder="1">
      <alignment vertical="center"/>
    </xf>
    <xf numFmtId="0" fontId="81" fillId="0" borderId="0" xfId="81" applyFont="1">
      <alignment vertical="center"/>
    </xf>
    <xf numFmtId="0" fontId="37" fillId="0" borderId="5" xfId="0" applyFont="1" applyFill="1" applyBorder="1" applyAlignment="1">
      <alignment horizontal="left" vertical="top" wrapText="1"/>
    </xf>
    <xf numFmtId="0" fontId="65" fillId="7" borderId="5" xfId="159" quotePrefix="1" applyFont="1" applyFill="1" applyBorder="1" applyAlignment="1">
      <alignment horizontal="center" vertical="center"/>
    </xf>
    <xf numFmtId="49" fontId="40" fillId="7" borderId="5" xfId="61" applyNumberFormat="1" applyFont="1" applyFill="1" applyBorder="1" applyAlignment="1">
      <alignment horizontal="center" vertical="top" wrapText="1"/>
    </xf>
    <xf numFmtId="49" fontId="40" fillId="7" borderId="4" xfId="61" applyNumberFormat="1" applyFont="1" applyFill="1" applyBorder="1" applyAlignment="1">
      <alignment horizontal="center" vertical="top" wrapText="1"/>
    </xf>
    <xf numFmtId="49" fontId="40" fillId="7" borderId="5" xfId="0" applyNumberFormat="1" applyFont="1" applyFill="1" applyBorder="1" applyAlignment="1">
      <alignment horizontal="center" vertical="top" wrapText="1"/>
    </xf>
    <xf numFmtId="49" fontId="40" fillId="7" borderId="5" xfId="0" quotePrefix="1" applyNumberFormat="1" applyFont="1" applyFill="1" applyBorder="1" applyAlignment="1">
      <alignment horizontal="center" vertical="top" wrapText="1"/>
    </xf>
    <xf numFmtId="49" fontId="37" fillId="0" borderId="43" xfId="61" applyNumberFormat="1" applyFont="1" applyBorder="1" applyAlignment="1">
      <alignment horizontal="center" vertical="center" wrapText="1"/>
    </xf>
    <xf numFmtId="49" fontId="37" fillId="0" borderId="44" xfId="61" applyNumberFormat="1" applyFont="1" applyBorder="1" applyAlignment="1">
      <alignment horizontal="center" vertical="center" wrapText="1"/>
    </xf>
    <xf numFmtId="0" fontId="37" fillId="0" borderId="5" xfId="159" applyFont="1" applyBorder="1" applyAlignment="1">
      <alignment horizontal="center" vertical="top" wrapText="1"/>
    </xf>
    <xf numFmtId="0" fontId="37" fillId="0" borderId="5" xfId="159" applyFont="1" applyBorder="1" applyAlignment="1">
      <alignment horizontal="left" vertical="top" wrapText="1"/>
    </xf>
    <xf numFmtId="49" fontId="37" fillId="0" borderId="5" xfId="159" applyNumberFormat="1" applyFont="1" applyBorder="1" applyAlignment="1">
      <alignment horizontal="center" vertical="top" wrapText="1"/>
    </xf>
    <xf numFmtId="0" fontId="70" fillId="0" borderId="5" xfId="159" applyFont="1" applyFill="1" applyBorder="1" applyAlignment="1">
      <alignment horizontal="center" vertical="center" wrapText="1"/>
    </xf>
    <xf numFmtId="49" fontId="37" fillId="0" borderId="0" xfId="61" applyNumberFormat="1" applyFont="1" applyBorder="1" applyAlignment="1">
      <alignment horizontal="center" vertical="center" wrapText="1"/>
    </xf>
    <xf numFmtId="49" fontId="65" fillId="7" borderId="5" xfId="61" applyNumberFormat="1" applyFont="1" applyFill="1" applyBorder="1" applyAlignment="1">
      <alignment horizontal="center" vertical="top" textRotation="180" wrapText="1"/>
    </xf>
    <xf numFmtId="49" fontId="65" fillId="7" borderId="4" xfId="61" applyNumberFormat="1" applyFont="1" applyFill="1" applyBorder="1" applyAlignment="1">
      <alignment horizontal="center" vertical="top" textRotation="180" wrapText="1"/>
    </xf>
    <xf numFmtId="49" fontId="65" fillId="7" borderId="5" xfId="0" applyNumberFormat="1" applyFont="1" applyFill="1" applyBorder="1" applyAlignment="1">
      <alignment horizontal="center" vertical="top" textRotation="180" wrapText="1"/>
    </xf>
    <xf numFmtId="49" fontId="65" fillId="7" borderId="5" xfId="0" quotePrefix="1" applyNumberFormat="1" applyFont="1" applyFill="1" applyBorder="1" applyAlignment="1">
      <alignment horizontal="center" vertical="top" textRotation="180" wrapText="1"/>
    </xf>
    <xf numFmtId="0" fontId="37" fillId="0" borderId="0" xfId="159" applyFont="1" applyAlignment="1">
      <alignment vertical="top"/>
    </xf>
    <xf numFmtId="0" fontId="41" fillId="0" borderId="43" xfId="159" applyFont="1" applyBorder="1" applyAlignment="1">
      <alignment horizontal="center" vertical="top"/>
    </xf>
    <xf numFmtId="0" fontId="41" fillId="0" borderId="44" xfId="159" applyFont="1" applyBorder="1" applyAlignment="1">
      <alignment horizontal="center" vertical="top"/>
    </xf>
    <xf numFmtId="0" fontId="85" fillId="5" borderId="43" xfId="159" applyFont="1" applyFill="1" applyBorder="1" applyAlignment="1">
      <alignment horizontal="center" vertical="top"/>
    </xf>
    <xf numFmtId="0" fontId="85" fillId="5" borderId="44" xfId="159" applyFont="1" applyFill="1" applyBorder="1" applyAlignment="1">
      <alignment horizontal="center" vertical="top"/>
    </xf>
    <xf numFmtId="0" fontId="70" fillId="0" borderId="44" xfId="159" applyFont="1" applyBorder="1" applyAlignment="1">
      <alignment horizontal="center" vertical="top"/>
    </xf>
    <xf numFmtId="0" fontId="70" fillId="0" borderId="5" xfId="0" applyFont="1" applyBorder="1" applyAlignment="1">
      <alignment horizontal="center" vertical="top" wrapText="1"/>
    </xf>
    <xf numFmtId="0" fontId="70" fillId="8" borderId="43" xfId="159" applyFont="1" applyFill="1" applyBorder="1" applyAlignment="1">
      <alignment horizontal="center" vertical="top"/>
    </xf>
    <xf numFmtId="0" fontId="44" fillId="5" borderId="5" xfId="159" applyFont="1" applyFill="1" applyBorder="1" applyAlignment="1">
      <alignment horizontal="center" vertical="top"/>
    </xf>
    <xf numFmtId="0" fontId="37" fillId="5" borderId="5" xfId="159" applyFont="1" applyFill="1" applyBorder="1" applyAlignment="1">
      <alignment horizontal="center" vertical="top" wrapText="1"/>
    </xf>
    <xf numFmtId="0" fontId="85" fillId="5" borderId="43" xfId="159" applyFont="1" applyFill="1" applyBorder="1" applyAlignment="1">
      <alignment horizontal="center" vertical="top" wrapText="1"/>
    </xf>
    <xf numFmtId="0" fontId="85" fillId="5" borderId="5" xfId="0" applyFont="1" applyFill="1" applyBorder="1" applyAlignment="1">
      <alignment horizontal="center" vertical="top" wrapText="1"/>
    </xf>
    <xf numFmtId="0" fontId="37" fillId="0" borderId="5" xfId="159" applyFont="1" applyFill="1" applyBorder="1" applyAlignment="1">
      <alignment horizontal="justify" vertical="top" wrapText="1"/>
    </xf>
    <xf numFmtId="0" fontId="70" fillId="0" borderId="6" xfId="159" applyFont="1" applyBorder="1" applyAlignment="1">
      <alignment horizontal="center" vertical="center" wrapText="1"/>
    </xf>
    <xf numFmtId="0" fontId="70" fillId="0" borderId="4" xfId="159" applyFont="1" applyBorder="1" applyAlignment="1">
      <alignment horizontal="center" vertical="top" wrapText="1"/>
    </xf>
    <xf numFmtId="0" fontId="41" fillId="0" borderId="4" xfId="159" applyFont="1" applyBorder="1" applyAlignment="1">
      <alignment horizontal="center" vertical="top" wrapText="1"/>
    </xf>
    <xf numFmtId="0" fontId="62" fillId="0" borderId="4" xfId="159" applyFont="1" applyBorder="1">
      <alignment vertical="center"/>
    </xf>
    <xf numFmtId="0" fontId="68" fillId="5" borderId="5" xfId="159" applyFont="1" applyFill="1" applyBorder="1" applyAlignment="1">
      <alignment vertical="top"/>
    </xf>
    <xf numFmtId="0" fontId="37" fillId="0" borderId="5" xfId="159" quotePrefix="1" applyFont="1" applyFill="1" applyBorder="1" applyAlignment="1">
      <alignment horizontal="left" vertical="top"/>
    </xf>
    <xf numFmtId="0" fontId="37" fillId="0" borderId="5" xfId="159" applyFont="1" applyFill="1" applyBorder="1" applyAlignment="1">
      <alignment horizontal="left" vertical="top" wrapText="1"/>
    </xf>
    <xf numFmtId="0" fontId="37" fillId="0" borderId="43" xfId="159" applyNumberFormat="1" applyFont="1" applyBorder="1" applyAlignment="1">
      <alignment horizontal="right" vertical="top" wrapText="1"/>
    </xf>
    <xf numFmtId="0" fontId="37" fillId="0" borderId="44" xfId="159" applyNumberFormat="1" applyFont="1" applyBorder="1" applyAlignment="1">
      <alignment horizontal="right" vertical="top" wrapText="1"/>
    </xf>
    <xf numFmtId="0" fontId="37" fillId="0" borderId="68" xfId="159" quotePrefix="1" applyFont="1" applyBorder="1" applyAlignment="1">
      <alignment horizontal="center" vertical="top" wrapText="1"/>
    </xf>
    <xf numFmtId="0" fontId="73" fillId="5" borderId="5" xfId="159" applyFont="1" applyFill="1" applyBorder="1" applyAlignment="1">
      <alignment horizontal="justify" vertical="top" wrapText="1"/>
    </xf>
    <xf numFmtId="49" fontId="73" fillId="5" borderId="5" xfId="159" applyNumberFormat="1" applyFont="1" applyFill="1" applyBorder="1" applyAlignment="1">
      <alignment horizontal="center" vertical="top" wrapText="1"/>
    </xf>
    <xf numFmtId="0" fontId="44" fillId="0" borderId="0" xfId="159" applyFont="1">
      <alignment vertical="center"/>
    </xf>
    <xf numFmtId="0" fontId="41" fillId="0" borderId="43" xfId="159" applyFont="1" applyBorder="1" applyAlignment="1">
      <alignment horizontal="center" vertical="top" wrapText="1"/>
    </xf>
    <xf numFmtId="0" fontId="41" fillId="0" borderId="30" xfId="159" applyFont="1" applyBorder="1" applyAlignment="1">
      <alignment horizontal="center" vertical="top" wrapText="1"/>
    </xf>
    <xf numFmtId="0" fontId="41" fillId="0" borderId="33" xfId="159" applyFont="1" applyBorder="1" applyAlignment="1">
      <alignment horizontal="center" vertical="top" wrapText="1"/>
    </xf>
    <xf numFmtId="0" fontId="70" fillId="0" borderId="43" xfId="159" applyFont="1" applyBorder="1" applyAlignment="1">
      <alignment horizontal="center" vertical="top"/>
    </xf>
    <xf numFmtId="0" fontId="41" fillId="8" borderId="3" xfId="159" applyFont="1" applyFill="1" applyBorder="1" applyAlignment="1">
      <alignment horizontal="center" vertical="top" wrapText="1"/>
    </xf>
    <xf numFmtId="0" fontId="41" fillId="8" borderId="43" xfId="159" applyFont="1" applyFill="1" applyBorder="1" applyAlignment="1">
      <alignment horizontal="center" vertical="top" wrapText="1"/>
    </xf>
    <xf numFmtId="0" fontId="41" fillId="0" borderId="44" xfId="159" applyFont="1" applyBorder="1" applyAlignment="1">
      <alignment horizontal="center" vertical="top" wrapText="1"/>
    </xf>
    <xf numFmtId="0" fontId="70" fillId="0" borderId="30" xfId="159" applyFont="1" applyBorder="1" applyAlignment="1">
      <alignment horizontal="center" vertical="top"/>
    </xf>
    <xf numFmtId="0" fontId="70" fillId="0" borderId="32" xfId="159" applyFont="1" applyBorder="1" applyAlignment="1">
      <alignment horizontal="center" vertical="top"/>
    </xf>
    <xf numFmtId="0" fontId="41" fillId="8" borderId="30" xfId="159" applyFont="1" applyFill="1" applyBorder="1" applyAlignment="1">
      <alignment horizontal="center" vertical="top" wrapText="1"/>
    </xf>
    <xf numFmtId="0" fontId="41" fillId="0" borderId="32" xfId="159" applyFont="1" applyBorder="1" applyAlignment="1">
      <alignment horizontal="center" vertical="top" wrapText="1"/>
    </xf>
    <xf numFmtId="0" fontId="70" fillId="0" borderId="33" xfId="159" applyFont="1" applyBorder="1" applyAlignment="1">
      <alignment horizontal="center" vertical="top"/>
    </xf>
    <xf numFmtId="0" fontId="70" fillId="0" borderId="35" xfId="159" applyFont="1" applyBorder="1" applyAlignment="1">
      <alignment horizontal="center" vertical="top"/>
    </xf>
    <xf numFmtId="0" fontId="41" fillId="8" borderId="33" xfId="159" applyFont="1" applyFill="1" applyBorder="1" applyAlignment="1">
      <alignment horizontal="center" vertical="top" wrapText="1"/>
    </xf>
    <xf numFmtId="0" fontId="41" fillId="0" borderId="35" xfId="159" applyFont="1" applyBorder="1" applyAlignment="1">
      <alignment horizontal="center" vertical="top" wrapText="1"/>
    </xf>
    <xf numFmtId="0" fontId="86" fillId="0" borderId="44" xfId="159" applyFont="1" applyFill="1" applyBorder="1" applyAlignment="1">
      <alignment horizontal="center" vertical="top" wrapText="1"/>
    </xf>
    <xf numFmtId="0" fontId="37" fillId="0" borderId="20" xfId="159" applyNumberFormat="1" applyFont="1" applyFill="1" applyBorder="1" applyAlignment="1">
      <alignment horizontal="center" vertical="top" wrapText="1"/>
    </xf>
    <xf numFmtId="0" fontId="37" fillId="0" borderId="21" xfId="159" applyNumberFormat="1" applyFont="1" applyFill="1" applyBorder="1" applyAlignment="1">
      <alignment horizontal="center" vertical="top" wrapText="1"/>
    </xf>
    <xf numFmtId="0" fontId="37" fillId="0" borderId="5" xfId="159" applyFont="1" applyFill="1" applyBorder="1" applyAlignment="1">
      <alignment horizontal="left" vertical="top"/>
    </xf>
    <xf numFmtId="0" fontId="37" fillId="0" borderId="20" xfId="159" applyFont="1" applyFill="1" applyBorder="1" applyAlignment="1">
      <alignment horizontal="left" vertical="top"/>
    </xf>
    <xf numFmtId="0" fontId="37" fillId="0" borderId="21" xfId="159" quotePrefix="1" applyFont="1" applyFill="1" applyBorder="1" applyAlignment="1">
      <alignment horizontal="left" vertical="top"/>
    </xf>
    <xf numFmtId="0" fontId="37" fillId="0" borderId="21" xfId="159" applyFont="1" applyFill="1" applyBorder="1" applyAlignment="1">
      <alignment horizontal="left" vertical="top"/>
    </xf>
    <xf numFmtId="0" fontId="37" fillId="0" borderId="21" xfId="159" applyFont="1" applyFill="1" applyBorder="1" applyAlignment="1">
      <alignment horizontal="left" vertical="top" wrapText="1"/>
    </xf>
    <xf numFmtId="0" fontId="37" fillId="0" borderId="3" xfId="0" applyFont="1" applyFill="1" applyBorder="1" applyAlignment="1">
      <alignment vertical="top"/>
    </xf>
    <xf numFmtId="0" fontId="37" fillId="0" borderId="6" xfId="0" applyFont="1" applyFill="1" applyBorder="1" applyAlignment="1">
      <alignment vertical="top" wrapText="1"/>
    </xf>
    <xf numFmtId="0" fontId="37" fillId="0" borderId="21" xfId="159" applyNumberFormat="1" applyFont="1" applyBorder="1" applyAlignment="1">
      <alignment horizontal="center" vertical="top" wrapText="1"/>
    </xf>
    <xf numFmtId="0" fontId="65" fillId="7" borderId="5" xfId="159" quotePrefix="1" applyFont="1" applyFill="1" applyBorder="1">
      <alignment vertical="center"/>
    </xf>
    <xf numFmtId="0" fontId="37" fillId="0" borderId="30" xfId="159" applyNumberFormat="1" applyFont="1" applyBorder="1" applyAlignment="1">
      <alignment horizontal="right" vertical="top" wrapText="1"/>
    </xf>
    <xf numFmtId="0" fontId="37" fillId="0" borderId="32" xfId="159" applyNumberFormat="1" applyFont="1" applyBorder="1" applyAlignment="1">
      <alignment horizontal="right" vertical="top" wrapText="1"/>
    </xf>
    <xf numFmtId="0" fontId="37" fillId="0" borderId="36" xfId="159" applyNumberFormat="1" applyFont="1" applyBorder="1" applyAlignment="1">
      <alignment horizontal="right" vertical="top" wrapText="1"/>
    </xf>
    <xf numFmtId="0" fontId="37" fillId="0" borderId="67" xfId="159" applyNumberFormat="1" applyFont="1" applyBorder="1" applyAlignment="1">
      <alignment horizontal="right" vertical="top" wrapText="1"/>
    </xf>
    <xf numFmtId="0" fontId="37" fillId="0" borderId="33" xfId="159" applyNumberFormat="1" applyFont="1" applyBorder="1" applyAlignment="1">
      <alignment horizontal="right" vertical="top" wrapText="1"/>
    </xf>
    <xf numFmtId="0" fontId="37" fillId="0" borderId="35" xfId="159" applyNumberFormat="1" applyFont="1" applyBorder="1" applyAlignment="1">
      <alignment horizontal="right" vertical="top" wrapText="1"/>
    </xf>
    <xf numFmtId="0" fontId="40" fillId="7" borderId="46" xfId="61" quotePrefix="1" applyFont="1" applyFill="1" applyBorder="1" applyAlignment="1">
      <alignment horizontal="center" vertical="top"/>
    </xf>
    <xf numFmtId="0" fontId="37" fillId="0" borderId="5" xfId="159" applyFont="1" applyFill="1" applyBorder="1" applyAlignment="1">
      <alignment horizontal="center" vertical="top"/>
    </xf>
    <xf numFmtId="0" fontId="37" fillId="12" borderId="5" xfId="159" applyFont="1" applyFill="1" applyBorder="1" applyAlignment="1">
      <alignment horizontal="right" vertical="top" wrapText="1"/>
    </xf>
    <xf numFmtId="49" fontId="41" fillId="0" borderId="44" xfId="61" applyNumberFormat="1" applyFont="1" applyFill="1" applyBorder="1" applyAlignment="1">
      <alignment horizontal="center" vertical="top" wrapText="1"/>
    </xf>
    <xf numFmtId="0" fontId="41" fillId="0" borderId="0" xfId="61" applyFont="1" applyFill="1" applyAlignment="1">
      <alignment vertical="top"/>
    </xf>
    <xf numFmtId="0" fontId="41" fillId="0" borderId="47" xfId="61" applyFont="1" applyFill="1" applyBorder="1" applyAlignment="1">
      <alignment horizontal="center" vertical="top" wrapText="1"/>
    </xf>
    <xf numFmtId="0" fontId="41" fillId="0" borderId="29" xfId="61" quotePrefix="1" applyFont="1" applyFill="1" applyBorder="1" applyAlignment="1">
      <alignment horizontal="center" vertical="top" wrapText="1"/>
    </xf>
    <xf numFmtId="0" fontId="41" fillId="0" borderId="0" xfId="61" applyFont="1" applyFill="1" applyAlignment="1">
      <alignment wrapText="1"/>
    </xf>
    <xf numFmtId="0" fontId="41" fillId="0" borderId="29" xfId="61" applyFont="1" applyFill="1" applyBorder="1" applyAlignment="1">
      <alignment horizontal="center" vertical="top" wrapText="1"/>
    </xf>
    <xf numFmtId="0" fontId="41" fillId="0" borderId="63" xfId="61" applyFont="1" applyFill="1" applyBorder="1" applyAlignment="1">
      <alignment horizontal="center" vertical="top" wrapText="1"/>
    </xf>
    <xf numFmtId="0" fontId="37" fillId="0" borderId="0" xfId="81" applyFont="1" applyFill="1" applyAlignment="1">
      <alignment vertical="top" wrapText="1"/>
    </xf>
    <xf numFmtId="0" fontId="37" fillId="0" borderId="0" xfId="81" applyFont="1" applyFill="1">
      <alignment vertical="center"/>
    </xf>
    <xf numFmtId="0" fontId="41" fillId="0" borderId="5" xfId="81" applyFont="1" applyFill="1" applyBorder="1" applyAlignment="1">
      <alignment horizontal="center" vertical="top" wrapText="1"/>
    </xf>
    <xf numFmtId="0" fontId="41" fillId="0" borderId="47" xfId="61" quotePrefix="1" applyFont="1" applyFill="1" applyBorder="1" applyAlignment="1">
      <alignment horizontal="center" vertical="top" wrapText="1"/>
    </xf>
    <xf numFmtId="0" fontId="41" fillId="0" borderId="48" xfId="61" quotePrefix="1" applyFont="1" applyFill="1" applyBorder="1" applyAlignment="1">
      <alignment horizontal="center" vertical="top" wrapText="1"/>
    </xf>
    <xf numFmtId="0" fontId="41" fillId="0" borderId="50" xfId="61" applyFont="1" applyFill="1" applyBorder="1" applyAlignment="1">
      <alignment horizontal="center" vertical="top" wrapText="1"/>
    </xf>
    <xf numFmtId="0" fontId="41" fillId="0" borderId="52" xfId="61" applyFont="1" applyFill="1" applyBorder="1" applyAlignment="1">
      <alignment horizontal="center" vertical="top" wrapText="1"/>
    </xf>
    <xf numFmtId="0" fontId="41" fillId="0" borderId="5" xfId="81" quotePrefix="1" applyFont="1" applyFill="1" applyBorder="1" applyAlignment="1">
      <alignment horizontal="center" vertical="top" wrapText="1"/>
    </xf>
    <xf numFmtId="0" fontId="41" fillId="0" borderId="50" xfId="61" quotePrefix="1" applyFont="1" applyFill="1" applyBorder="1" applyAlignment="1">
      <alignment horizontal="center" vertical="top" wrapText="1"/>
    </xf>
    <xf numFmtId="49" fontId="41" fillId="0" borderId="3" xfId="61" applyNumberFormat="1" applyFont="1" applyFill="1" applyBorder="1" applyAlignment="1">
      <alignment horizontal="center" vertical="top" wrapText="1"/>
    </xf>
    <xf numFmtId="0" fontId="45" fillId="0" borderId="0" xfId="61" applyFont="1" applyFill="1" applyAlignment="1">
      <alignment vertical="top"/>
    </xf>
    <xf numFmtId="49" fontId="41" fillId="0" borderId="24" xfId="61" applyNumberFormat="1" applyFont="1" applyFill="1" applyBorder="1" applyAlignment="1">
      <alignment horizontal="center" vertical="top" wrapText="1"/>
    </xf>
    <xf numFmtId="0" fontId="41" fillId="0" borderId="0" xfId="61" applyFont="1" applyFill="1" applyAlignment="1">
      <alignment horizontal="center" vertical="top"/>
    </xf>
    <xf numFmtId="0" fontId="41" fillId="0" borderId="0" xfId="61" quotePrefix="1" applyFont="1" applyFill="1" applyAlignment="1">
      <alignment wrapText="1"/>
    </xf>
    <xf numFmtId="0" fontId="41" fillId="0" borderId="48" xfId="61" applyFont="1" applyFill="1" applyBorder="1" applyAlignment="1">
      <alignment horizontal="center" vertical="top" wrapText="1"/>
    </xf>
    <xf numFmtId="0" fontId="41" fillId="0" borderId="44" xfId="61" quotePrefix="1" applyFont="1" applyFill="1" applyBorder="1" applyAlignment="1">
      <alignment horizontal="center" vertical="top" wrapText="1"/>
    </xf>
    <xf numFmtId="0" fontId="44" fillId="0" borderId="0" xfId="81" applyFont="1" applyFill="1" applyAlignment="1">
      <alignment vertical="top" wrapText="1"/>
    </xf>
    <xf numFmtId="0" fontId="41" fillId="0" borderId="52" xfId="61" quotePrefix="1" applyFont="1" applyFill="1" applyBorder="1" applyAlignment="1">
      <alignment horizontal="center" vertical="top" wrapText="1"/>
    </xf>
    <xf numFmtId="0" fontId="37" fillId="0" borderId="47" xfId="61" applyFont="1" applyFill="1" applyBorder="1" applyAlignment="1">
      <alignment horizontal="center" vertical="top" wrapText="1"/>
    </xf>
    <xf numFmtId="0" fontId="37" fillId="0" borderId="29" xfId="61" quotePrefix="1" applyFont="1" applyFill="1" applyBorder="1" applyAlignment="1">
      <alignment horizontal="center" vertical="top" wrapText="1"/>
    </xf>
    <xf numFmtId="0" fontId="37" fillId="0" borderId="4" xfId="81" applyFont="1" applyFill="1" applyBorder="1" applyAlignment="1">
      <alignment horizontal="left" vertical="top" wrapText="1"/>
    </xf>
    <xf numFmtId="0" fontId="37" fillId="5" borderId="68" xfId="159" applyFont="1" applyFill="1" applyBorder="1" applyAlignment="1">
      <alignment horizontal="center" vertical="top"/>
    </xf>
    <xf numFmtId="0" fontId="37" fillId="5" borderId="68" xfId="159" applyFont="1" applyFill="1" applyBorder="1" applyAlignment="1">
      <alignment horizontal="center" vertical="top" wrapText="1"/>
    </xf>
    <xf numFmtId="0" fontId="37" fillId="5" borderId="70" xfId="159" applyFont="1" applyFill="1" applyBorder="1" applyAlignment="1">
      <alignment horizontal="center" vertical="top" wrapText="1"/>
    </xf>
    <xf numFmtId="0" fontId="37" fillId="5" borderId="71" xfId="159" applyFont="1" applyFill="1" applyBorder="1" applyAlignment="1">
      <alignment horizontal="center" vertical="top"/>
    </xf>
    <xf numFmtId="0" fontId="37" fillId="5" borderId="68" xfId="159" applyFont="1" applyFill="1" applyBorder="1" applyAlignment="1">
      <alignment horizontal="left" vertical="top"/>
    </xf>
    <xf numFmtId="0" fontId="37" fillId="5" borderId="71" xfId="159" applyFont="1" applyFill="1" applyBorder="1" applyAlignment="1">
      <alignment horizontal="center" vertical="top" wrapText="1"/>
    </xf>
    <xf numFmtId="0" fontId="37" fillId="5" borderId="71" xfId="159" quotePrefix="1" applyFont="1" applyFill="1" applyBorder="1" applyAlignment="1">
      <alignment horizontal="center" vertical="top"/>
    </xf>
    <xf numFmtId="0" fontId="37" fillId="5" borderId="70" xfId="159" applyFont="1" applyFill="1" applyBorder="1" applyAlignment="1">
      <alignment horizontal="center" vertical="top"/>
    </xf>
    <xf numFmtId="0" fontId="37" fillId="5" borderId="72" xfId="159" applyFont="1" applyFill="1" applyBorder="1" applyAlignment="1">
      <alignment horizontal="center" vertical="top"/>
    </xf>
    <xf numFmtId="0" fontId="65" fillId="7" borderId="5" xfId="159" applyFont="1" applyFill="1" applyBorder="1" applyAlignment="1">
      <alignment horizontal="center" vertical="top" wrapText="1"/>
    </xf>
    <xf numFmtId="0" fontId="37" fillId="5" borderId="68" xfId="0" applyFont="1" applyFill="1" applyBorder="1" applyAlignment="1">
      <alignment horizontal="center" vertical="top" wrapText="1"/>
    </xf>
    <xf numFmtId="0" fontId="37" fillId="12" borderId="5" xfId="159" applyFont="1" applyFill="1" applyBorder="1" applyAlignment="1">
      <alignment horizontal="right" vertical="top"/>
    </xf>
    <xf numFmtId="0" fontId="37" fillId="12" borderId="20" xfId="159" applyFont="1" applyFill="1" applyBorder="1" applyAlignment="1">
      <alignment horizontal="right" vertical="top"/>
    </xf>
    <xf numFmtId="0" fontId="37" fillId="12" borderId="20" xfId="159" applyFont="1" applyFill="1" applyBorder="1" applyAlignment="1">
      <alignment horizontal="right" vertical="top" wrapText="1"/>
    </xf>
    <xf numFmtId="0" fontId="37" fillId="12" borderId="22" xfId="159" applyFont="1" applyFill="1" applyBorder="1" applyAlignment="1">
      <alignment horizontal="right" vertical="top"/>
    </xf>
    <xf numFmtId="0" fontId="37" fillId="12" borderId="22" xfId="159" applyFont="1" applyFill="1" applyBorder="1" applyAlignment="1">
      <alignment horizontal="right" vertical="top" wrapText="1"/>
    </xf>
    <xf numFmtId="0" fontId="37" fillId="12" borderId="21" xfId="159" applyFont="1" applyFill="1" applyBorder="1" applyAlignment="1">
      <alignment horizontal="right" vertical="top"/>
    </xf>
    <xf numFmtId="0" fontId="37" fillId="12" borderId="21" xfId="159" applyFont="1" applyFill="1" applyBorder="1" applyAlignment="1">
      <alignment horizontal="right" vertical="top" wrapText="1"/>
    </xf>
    <xf numFmtId="49" fontId="37" fillId="0" borderId="38" xfId="159" applyNumberFormat="1" applyFont="1" applyBorder="1" applyAlignment="1">
      <alignment horizontal="right" vertical="top"/>
    </xf>
    <xf numFmtId="0" fontId="37" fillId="5" borderId="21" xfId="159" applyFont="1" applyFill="1" applyBorder="1" applyAlignment="1">
      <alignment horizontal="center" vertical="top" wrapText="1"/>
    </xf>
    <xf numFmtId="0" fontId="37" fillId="0" borderId="20" xfId="159" applyFont="1" applyFill="1" applyBorder="1" applyAlignment="1">
      <alignment horizontal="justify" vertical="top" wrapText="1"/>
    </xf>
    <xf numFmtId="0" fontId="37" fillId="0" borderId="22" xfId="159" applyFont="1" applyFill="1" applyBorder="1" applyAlignment="1">
      <alignment horizontal="justify" vertical="top" wrapText="1"/>
    </xf>
    <xf numFmtId="0" fontId="37" fillId="0" borderId="21" xfId="159" applyFont="1" applyFill="1" applyBorder="1" applyAlignment="1">
      <alignment horizontal="justify" vertical="top" wrapText="1"/>
    </xf>
    <xf numFmtId="0" fontId="37" fillId="6" borderId="5" xfId="159" applyFont="1" applyFill="1" applyBorder="1" applyAlignment="1">
      <alignment horizontal="justify" vertical="top" wrapText="1"/>
    </xf>
    <xf numFmtId="0" fontId="37" fillId="5" borderId="22" xfId="159" applyFont="1" applyFill="1" applyBorder="1" applyAlignment="1">
      <alignment horizontal="center" vertical="top" wrapText="1"/>
    </xf>
    <xf numFmtId="49" fontId="37" fillId="0" borderId="20" xfId="159" applyNumberFormat="1" applyFont="1" applyFill="1" applyBorder="1" applyAlignment="1">
      <alignment horizontal="center" vertical="top" wrapText="1"/>
    </xf>
    <xf numFmtId="49" fontId="37" fillId="0" borderId="21" xfId="159" applyNumberFormat="1" applyFont="1" applyFill="1" applyBorder="1" applyAlignment="1">
      <alignment horizontal="center" vertical="top" wrapText="1"/>
    </xf>
    <xf numFmtId="49" fontId="37" fillId="0" borderId="22" xfId="159" applyNumberFormat="1" applyFont="1" applyFill="1" applyBorder="1" applyAlignment="1">
      <alignment horizontal="center" vertical="top" wrapText="1"/>
    </xf>
    <xf numFmtId="24" fontId="37" fillId="0" borderId="0" xfId="61" quotePrefix="1" applyNumberFormat="1" applyFont="1" applyFill="1" applyBorder="1" applyAlignment="1">
      <alignment horizontal="center" vertical="center" textRotation="180" wrapText="1"/>
    </xf>
    <xf numFmtId="49" fontId="41" fillId="0" borderId="0" xfId="61" applyNumberFormat="1" applyFont="1" applyFill="1" applyBorder="1" applyAlignment="1">
      <alignment horizontal="center" vertical="top" wrapText="1"/>
    </xf>
    <xf numFmtId="49" fontId="82" fillId="0" borderId="0" xfId="61" applyNumberFormat="1" applyFont="1" applyFill="1" applyBorder="1" applyAlignment="1">
      <alignment horizontal="center" vertical="top" wrapText="1"/>
    </xf>
    <xf numFmtId="0" fontId="82" fillId="0" borderId="0" xfId="61" quotePrefix="1" applyFont="1" applyFill="1" applyBorder="1" applyAlignment="1">
      <alignment horizontal="center" vertical="top" wrapText="1"/>
    </xf>
    <xf numFmtId="49" fontId="41" fillId="0" borderId="5" xfId="61" applyNumberFormat="1" applyFont="1" applyFill="1" applyBorder="1" applyAlignment="1">
      <alignment horizontal="center" vertical="top" wrapText="1"/>
    </xf>
    <xf numFmtId="49" fontId="82" fillId="5" borderId="5" xfId="61" applyNumberFormat="1" applyFont="1" applyFill="1" applyBorder="1" applyAlignment="1">
      <alignment horizontal="center" vertical="top" wrapText="1"/>
    </xf>
    <xf numFmtId="0" fontId="82" fillId="5" borderId="5" xfId="61" quotePrefix="1" applyFont="1" applyFill="1" applyBorder="1" applyAlignment="1">
      <alignment horizontal="center" vertical="top" wrapText="1"/>
    </xf>
    <xf numFmtId="0" fontId="82" fillId="8" borderId="48" xfId="61" applyFont="1" applyFill="1" applyBorder="1" applyAlignment="1">
      <alignment horizontal="center" vertical="top" wrapText="1"/>
    </xf>
    <xf numFmtId="24" fontId="38" fillId="0" borderId="38" xfId="61" applyNumberFormat="1" applyFont="1" applyFill="1" applyBorder="1" applyAlignment="1">
      <alignment horizontal="center" vertical="top" wrapText="1"/>
    </xf>
    <xf numFmtId="0" fontId="70" fillId="0" borderId="6" xfId="159" applyFont="1" applyFill="1" applyBorder="1" applyAlignment="1">
      <alignment horizontal="center" vertical="top" wrapText="1"/>
    </xf>
    <xf numFmtId="0" fontId="41" fillId="0" borderId="4" xfId="159" applyFont="1" applyFill="1" applyBorder="1" applyAlignment="1">
      <alignment horizontal="center" vertical="top" wrapText="1"/>
    </xf>
    <xf numFmtId="0" fontId="37" fillId="0" borderId="5" xfId="159" applyFont="1" applyFill="1" applyBorder="1" applyAlignment="1">
      <alignment horizontal="center" vertical="top" wrapText="1"/>
    </xf>
    <xf numFmtId="0" fontId="37" fillId="0" borderId="20" xfId="159" applyFont="1" applyFill="1" applyBorder="1" applyAlignment="1">
      <alignment horizontal="center" vertical="top" wrapText="1"/>
    </xf>
    <xf numFmtId="0" fontId="37" fillId="0" borderId="21" xfId="159" applyFont="1" applyFill="1" applyBorder="1" applyAlignment="1">
      <alignment horizontal="center" vertical="top"/>
    </xf>
    <xf numFmtId="0" fontId="37" fillId="0" borderId="22" xfId="159" applyFont="1" applyFill="1" applyBorder="1" applyAlignment="1">
      <alignment horizontal="center" vertical="top" wrapText="1"/>
    </xf>
    <xf numFmtId="0" fontId="37" fillId="0" borderId="21" xfId="159" applyFont="1" applyFill="1" applyBorder="1" applyAlignment="1">
      <alignment horizontal="center" vertical="top" wrapText="1"/>
    </xf>
    <xf numFmtId="0" fontId="37" fillId="0" borderId="21" xfId="159" quotePrefix="1" applyFont="1" applyFill="1" applyBorder="1" applyAlignment="1">
      <alignment horizontal="center" vertical="top"/>
    </xf>
    <xf numFmtId="0" fontId="37" fillId="0" borderId="20" xfId="159" applyFont="1" applyFill="1" applyBorder="1" applyAlignment="1">
      <alignment horizontal="center" vertical="top"/>
    </xf>
    <xf numFmtId="0" fontId="31" fillId="0" borderId="5" xfId="61" quotePrefix="1" applyFont="1" applyFill="1" applyBorder="1" applyAlignment="1">
      <alignment horizontal="center" vertical="top" wrapText="1"/>
    </xf>
    <xf numFmtId="49" fontId="37" fillId="0" borderId="0" xfId="61" applyNumberFormat="1" applyFont="1" applyFill="1">
      <alignment vertical="center"/>
    </xf>
    <xf numFmtId="24" fontId="31" fillId="0" borderId="44" xfId="61" applyNumberFormat="1" applyFont="1" applyFill="1" applyBorder="1" applyAlignment="1">
      <alignment horizontal="center" vertical="top" wrapText="1"/>
    </xf>
    <xf numFmtId="0" fontId="0" fillId="0" borderId="6" xfId="61" quotePrefix="1" applyFont="1" applyBorder="1" applyAlignment="1">
      <alignment vertical="top" wrapText="1"/>
    </xf>
    <xf numFmtId="49" fontId="37" fillId="0" borderId="0" xfId="61" applyNumberFormat="1" applyFont="1" applyFill="1" applyAlignment="1">
      <alignment horizontal="center" vertical="center" wrapText="1"/>
    </xf>
    <xf numFmtId="0" fontId="62" fillId="0" borderId="0" xfId="0" applyFont="1" applyFill="1">
      <alignment vertical="center"/>
    </xf>
    <xf numFmtId="49" fontId="37" fillId="0" borderId="12" xfId="61" applyNumberFormat="1" applyFont="1" applyFill="1" applyBorder="1" applyAlignment="1">
      <alignment horizontal="center" vertical="center" wrapText="1"/>
    </xf>
    <xf numFmtId="49" fontId="37" fillId="0" borderId="13" xfId="61" applyNumberFormat="1" applyFont="1" applyFill="1" applyBorder="1" applyAlignment="1">
      <alignment horizontal="center" vertical="center" wrapText="1"/>
    </xf>
    <xf numFmtId="0" fontId="37" fillId="0" borderId="6" xfId="81" applyFont="1" applyFill="1" applyBorder="1" applyAlignment="1">
      <alignment horizontal="center" vertical="top" wrapText="1"/>
    </xf>
    <xf numFmtId="0" fontId="37" fillId="0" borderId="0" xfId="61" applyFont="1" applyFill="1" applyAlignment="1">
      <alignment horizontal="center" vertical="center"/>
    </xf>
    <xf numFmtId="49" fontId="37" fillId="0" borderId="43" xfId="61" applyNumberFormat="1" applyFont="1" applyFill="1" applyBorder="1" applyAlignment="1">
      <alignment horizontal="center" vertical="center" textRotation="180" wrapText="1"/>
    </xf>
    <xf numFmtId="49" fontId="37" fillId="0" borderId="44" xfId="61" applyNumberFormat="1" applyFont="1" applyFill="1" applyBorder="1" applyAlignment="1">
      <alignment horizontal="center" vertical="center" textRotation="180" wrapText="1"/>
    </xf>
    <xf numFmtId="49" fontId="37" fillId="0" borderId="0" xfId="61" applyNumberFormat="1" applyFont="1" applyFill="1" applyAlignment="1">
      <alignment horizontal="center" vertical="center" textRotation="180" wrapText="1"/>
    </xf>
    <xf numFmtId="49" fontId="37" fillId="0" borderId="23" xfId="61" applyNumberFormat="1" applyFont="1" applyFill="1" applyBorder="1" applyAlignment="1">
      <alignment horizontal="center" vertical="center" textRotation="180" wrapText="1"/>
    </xf>
    <xf numFmtId="49" fontId="37" fillId="0" borderId="7" xfId="61" applyNumberFormat="1" applyFont="1" applyFill="1" applyBorder="1" applyAlignment="1">
      <alignment horizontal="center" vertical="top" textRotation="180" wrapText="1"/>
    </xf>
    <xf numFmtId="49" fontId="37" fillId="0" borderId="45" xfId="61" applyNumberFormat="1" applyFont="1" applyFill="1" applyBorder="1" applyAlignment="1">
      <alignment horizontal="center" vertical="top" textRotation="180" wrapText="1"/>
    </xf>
    <xf numFmtId="49" fontId="37" fillId="0" borderId="0" xfId="61" applyNumberFormat="1" applyFont="1" applyFill="1" applyBorder="1" applyAlignment="1">
      <alignment horizontal="center" vertical="top" textRotation="180" wrapText="1"/>
    </xf>
    <xf numFmtId="49" fontId="37" fillId="0" borderId="26" xfId="0" applyNumberFormat="1" applyFont="1" applyFill="1" applyBorder="1" applyAlignment="1">
      <alignment horizontal="center" vertical="top" textRotation="180" wrapText="1"/>
    </xf>
    <xf numFmtId="49" fontId="37" fillId="0" borderId="27" xfId="0" applyNumberFormat="1" applyFont="1" applyFill="1" applyBorder="1" applyAlignment="1">
      <alignment horizontal="center" vertical="top" textRotation="180" wrapText="1"/>
    </xf>
    <xf numFmtId="49" fontId="37" fillId="0" borderId="28" xfId="0" applyNumberFormat="1" applyFont="1" applyFill="1" applyBorder="1" applyAlignment="1">
      <alignment horizontal="center" vertical="top" textRotation="180" wrapText="1"/>
    </xf>
    <xf numFmtId="49" fontId="37" fillId="0" borderId="0" xfId="0" applyNumberFormat="1" applyFont="1" applyFill="1" applyAlignment="1">
      <alignment horizontal="center" textRotation="180" wrapText="1"/>
    </xf>
    <xf numFmtId="0" fontId="37" fillId="0" borderId="1" xfId="81" applyFont="1" applyFill="1" applyBorder="1" applyAlignment="1">
      <alignment horizontal="center" vertical="top" wrapText="1"/>
    </xf>
    <xf numFmtId="0" fontId="0" fillId="0" borderId="43" xfId="0" quotePrefix="1" applyFill="1" applyBorder="1" applyAlignment="1">
      <alignment horizontal="center" vertical="top" textRotation="180"/>
    </xf>
    <xf numFmtId="0" fontId="51" fillId="0" borderId="43" xfId="0" quotePrefix="1" applyFont="1" applyFill="1" applyBorder="1" applyAlignment="1">
      <alignment horizontal="center" textRotation="180"/>
    </xf>
    <xf numFmtId="0" fontId="31" fillId="0" borderId="43" xfId="61" applyFont="1" applyFill="1" applyBorder="1" applyAlignment="1">
      <alignment horizontal="center" vertical="top"/>
    </xf>
    <xf numFmtId="0" fontId="31" fillId="0" borderId="3" xfId="61" applyFont="1" applyFill="1" applyBorder="1" applyAlignment="1">
      <alignment horizontal="center" vertical="top"/>
    </xf>
    <xf numFmtId="24" fontId="51" fillId="0" borderId="43" xfId="0" applyNumberFormat="1" applyFont="1" applyFill="1" applyBorder="1" applyAlignment="1">
      <alignment horizontal="center" textRotation="180"/>
    </xf>
    <xf numFmtId="0" fontId="0" fillId="0" borderId="43" xfId="0" applyFill="1" applyBorder="1" applyAlignment="1">
      <alignment horizontal="center" vertical="top" textRotation="180"/>
    </xf>
    <xf numFmtId="0" fontId="62" fillId="0" borderId="0" xfId="159" applyFont="1" applyAlignment="1">
      <alignment horizontal="center" vertical="top"/>
    </xf>
    <xf numFmtId="0" fontId="37" fillId="0" borderId="0" xfId="81" applyFont="1" applyAlignment="1">
      <alignment horizontal="center" vertical="top" wrapText="1"/>
    </xf>
    <xf numFmtId="0" fontId="37" fillId="0" borderId="0" xfId="61" applyFont="1" applyAlignment="1">
      <alignment horizontal="left" vertical="center"/>
    </xf>
    <xf numFmtId="0" fontId="40" fillId="7" borderId="0" xfId="61" applyFont="1" applyFill="1" applyBorder="1">
      <alignment vertical="center"/>
    </xf>
    <xf numFmtId="0" fontId="37" fillId="0" borderId="5" xfId="61" applyFont="1" applyFill="1" applyBorder="1" applyAlignment="1">
      <alignment horizontal="center" vertical="center"/>
    </xf>
    <xf numFmtId="24" fontId="37" fillId="0" borderId="0" xfId="61" applyNumberFormat="1" applyFont="1" applyFill="1" applyBorder="1" applyAlignment="1">
      <alignment horizontal="left" vertical="top" wrapText="1"/>
    </xf>
    <xf numFmtId="0" fontId="37" fillId="0" borderId="0" xfId="0" applyFont="1">
      <alignment vertical="center"/>
    </xf>
    <xf numFmtId="0" fontId="37" fillId="0" borderId="0" xfId="0" applyFont="1" applyAlignment="1">
      <alignment horizontal="center" vertical="center"/>
    </xf>
    <xf numFmtId="0" fontId="37" fillId="0" borderId="0" xfId="0" quotePrefix="1" applyFont="1" applyAlignment="1">
      <alignment horizontal="center" vertical="center"/>
    </xf>
    <xf numFmtId="0" fontId="41" fillId="0" borderId="0" xfId="0" applyFont="1" applyAlignment="1">
      <alignment horizontal="center" vertical="center"/>
    </xf>
    <xf numFmtId="0" fontId="37" fillId="13" borderId="0" xfId="0" applyFont="1" applyFill="1" applyAlignment="1">
      <alignment horizontal="center" vertical="center"/>
    </xf>
    <xf numFmtId="0" fontId="37" fillId="14" borderId="0" xfId="0" applyFont="1" applyFill="1" applyAlignment="1">
      <alignment horizontal="center" vertical="center"/>
    </xf>
    <xf numFmtId="0" fontId="44" fillId="0" borderId="0" xfId="0" applyFont="1">
      <alignment vertical="center"/>
    </xf>
    <xf numFmtId="0" fontId="37" fillId="0" borderId="0" xfId="0" quotePrefix="1" applyFont="1" applyFill="1" applyAlignment="1">
      <alignment horizontal="left" vertical="center"/>
    </xf>
    <xf numFmtId="0" fontId="89" fillId="0" borderId="0" xfId="0" applyFont="1" applyAlignment="1">
      <alignment horizontal="center" vertical="center"/>
    </xf>
    <xf numFmtId="0" fontId="89" fillId="0" borderId="0" xfId="0" applyFont="1">
      <alignment vertical="center"/>
    </xf>
    <xf numFmtId="0" fontId="89" fillId="0" borderId="5" xfId="0" applyFont="1" applyBorder="1" applyAlignment="1">
      <alignment horizontal="center" vertical="center"/>
    </xf>
    <xf numFmtId="0" fontId="89" fillId="0" borderId="10" xfId="0" applyFont="1" applyBorder="1" applyAlignment="1">
      <alignment horizontal="center" vertical="center"/>
    </xf>
    <xf numFmtId="0" fontId="89" fillId="0" borderId="0" xfId="0" applyFont="1" applyBorder="1" applyAlignment="1">
      <alignment horizontal="center" vertical="center"/>
    </xf>
    <xf numFmtId="0" fontId="89" fillId="0" borderId="0" xfId="0" applyFont="1" applyBorder="1">
      <alignment vertical="center"/>
    </xf>
    <xf numFmtId="0" fontId="41" fillId="0" borderId="0" xfId="0" applyFont="1" applyBorder="1" applyAlignment="1">
      <alignment horizontal="center" vertical="center"/>
    </xf>
    <xf numFmtId="0" fontId="41" fillId="0" borderId="5" xfId="0" applyFont="1" applyBorder="1" applyAlignment="1">
      <alignment horizontal="center" vertical="center"/>
    </xf>
    <xf numFmtId="0" fontId="90" fillId="0" borderId="0" xfId="0" applyFont="1" applyAlignment="1">
      <alignment vertical="center"/>
    </xf>
    <xf numFmtId="0" fontId="37" fillId="0" borderId="0" xfId="61" applyFont="1" applyFill="1" applyBorder="1" applyAlignment="1">
      <alignment horizontal="center" vertical="top"/>
    </xf>
    <xf numFmtId="24" fontId="37" fillId="0" borderId="0" xfId="61" applyNumberFormat="1" applyFont="1" applyBorder="1" applyAlignment="1">
      <alignment horizontal="left" vertical="top" wrapText="1"/>
    </xf>
    <xf numFmtId="0" fontId="37" fillId="0" borderId="0" xfId="0" applyFont="1" applyAlignment="1">
      <alignment horizontal="center" vertical="center"/>
    </xf>
    <xf numFmtId="0" fontId="37" fillId="0" borderId="5" xfId="61" applyFont="1" applyFill="1" applyBorder="1" applyAlignment="1">
      <alignment horizontal="center" vertical="center"/>
    </xf>
    <xf numFmtId="0" fontId="37" fillId="0" borderId="0" xfId="0" applyFont="1" applyBorder="1">
      <alignment vertical="center"/>
    </xf>
    <xf numFmtId="0" fontId="37" fillId="0" borderId="0" xfId="0" applyFont="1" applyBorder="1" applyAlignment="1">
      <alignment horizontal="center" vertical="center"/>
    </xf>
    <xf numFmtId="0" fontId="37" fillId="0" borderId="5" xfId="159" applyFont="1" applyBorder="1" applyAlignment="1">
      <alignment horizontal="left" vertical="top" wrapText="1"/>
    </xf>
    <xf numFmtId="0" fontId="45" fillId="7" borderId="73" xfId="61" applyFont="1" applyFill="1" applyBorder="1" applyAlignment="1">
      <alignment horizontal="left" vertical="center" indent="1"/>
    </xf>
    <xf numFmtId="0" fontId="40" fillId="7" borderId="73" xfId="61" applyFont="1" applyFill="1" applyBorder="1" applyAlignment="1">
      <alignment horizontal="left" vertical="center" indent="1"/>
    </xf>
    <xf numFmtId="0" fontId="40" fillId="7" borderId="0" xfId="61" applyFont="1" applyFill="1" applyBorder="1" applyAlignment="1">
      <alignment horizontal="left" vertical="center" indent="1"/>
    </xf>
    <xf numFmtId="0" fontId="41" fillId="0" borderId="0" xfId="61" applyFont="1" applyBorder="1" applyAlignment="1">
      <alignment horizontal="left" vertical="center" indent="1"/>
    </xf>
    <xf numFmtId="0" fontId="37" fillId="0" borderId="0" xfId="61" applyFont="1" applyBorder="1" applyAlignment="1">
      <alignment horizontal="left" vertical="center" indent="1"/>
    </xf>
    <xf numFmtId="0" fontId="37" fillId="0" borderId="5" xfId="61" applyFont="1" applyFill="1" applyBorder="1" applyAlignment="1">
      <alignment horizontal="center" vertical="center"/>
    </xf>
    <xf numFmtId="0" fontId="37" fillId="0" borderId="0" xfId="0" applyFont="1" applyAlignment="1">
      <alignment horizontal="center" vertical="center"/>
    </xf>
    <xf numFmtId="0" fontId="91" fillId="0" borderId="0" xfId="0" applyFont="1">
      <alignment vertical="center"/>
    </xf>
    <xf numFmtId="0" fontId="41" fillId="0" borderId="0" xfId="61" applyFont="1" applyBorder="1" applyAlignment="1">
      <alignment vertical="center"/>
    </xf>
    <xf numFmtId="0" fontId="40" fillId="7" borderId="0" xfId="61" applyFont="1" applyFill="1" applyBorder="1" applyAlignment="1">
      <alignment vertical="center"/>
    </xf>
    <xf numFmtId="0" fontId="37" fillId="7" borderId="0" xfId="0" applyFont="1" applyFill="1" applyBorder="1" applyAlignment="1">
      <alignment vertical="center"/>
    </xf>
    <xf numFmtId="0" fontId="40" fillId="7" borderId="0" xfId="0" applyFont="1" applyFill="1" applyBorder="1" applyAlignment="1">
      <alignment vertical="center"/>
    </xf>
    <xf numFmtId="0" fontId="45" fillId="7" borderId="0" xfId="0" applyFont="1" applyFill="1" applyBorder="1" applyAlignment="1">
      <alignment horizontal="left" vertical="center" indent="1"/>
    </xf>
    <xf numFmtId="0" fontId="45" fillId="7" borderId="0" xfId="0" applyFont="1" applyFill="1" applyBorder="1" applyAlignment="1">
      <alignment vertical="center"/>
    </xf>
    <xf numFmtId="0" fontId="45" fillId="7" borderId="0" xfId="61" applyFont="1" applyFill="1" applyBorder="1" applyAlignment="1">
      <alignment vertical="center"/>
    </xf>
    <xf numFmtId="0" fontId="37" fillId="0" borderId="0" xfId="61" applyFont="1" applyAlignment="1">
      <alignment horizontal="left" vertical="center" indent="1"/>
    </xf>
    <xf numFmtId="0" fontId="37" fillId="7" borderId="0" xfId="0" applyFont="1" applyFill="1" applyBorder="1" applyAlignment="1">
      <alignment horizontal="left" vertical="center" indent="1"/>
    </xf>
    <xf numFmtId="0" fontId="40" fillId="7" borderId="0" xfId="0" applyFont="1" applyFill="1" applyBorder="1" applyAlignment="1">
      <alignment horizontal="left" vertical="center" indent="1"/>
    </xf>
    <xf numFmtId="0" fontId="37" fillId="0" borderId="0" xfId="61" applyFont="1" applyFill="1" applyAlignment="1">
      <alignment horizontal="left" vertical="center" indent="1"/>
    </xf>
    <xf numFmtId="0" fontId="41" fillId="0" borderId="0" xfId="61" applyFont="1" applyFill="1" applyBorder="1">
      <alignment vertical="center"/>
    </xf>
    <xf numFmtId="0" fontId="37" fillId="0" borderId="0" xfId="61" applyFont="1" applyFill="1" applyBorder="1">
      <alignment vertical="center"/>
    </xf>
    <xf numFmtId="0" fontId="40" fillId="7" borderId="75" xfId="61" applyFont="1" applyFill="1" applyBorder="1" applyAlignment="1">
      <alignment horizontal="left" vertical="center" indent="1"/>
    </xf>
    <xf numFmtId="0" fontId="45" fillId="7" borderId="75" xfId="61" applyFont="1" applyFill="1" applyBorder="1" applyAlignment="1">
      <alignment horizontal="left" vertical="center" indent="1"/>
    </xf>
    <xf numFmtId="0" fontId="40" fillId="7" borderId="75" xfId="61" applyFont="1" applyFill="1" applyBorder="1">
      <alignment vertical="center"/>
    </xf>
    <xf numFmtId="0" fontId="45" fillId="7" borderId="75" xfId="61" applyFont="1" applyFill="1" applyBorder="1" applyAlignment="1">
      <alignment vertical="center"/>
    </xf>
    <xf numFmtId="0" fontId="37" fillId="0" borderId="75" xfId="61" applyFont="1" applyBorder="1">
      <alignment vertical="center"/>
    </xf>
    <xf numFmtId="0" fontId="41" fillId="0" borderId="75" xfId="61" applyFont="1" applyBorder="1" applyAlignment="1">
      <alignment horizontal="left" vertical="center" indent="1"/>
    </xf>
    <xf numFmtId="0" fontId="41" fillId="0" borderId="75" xfId="61" applyFont="1" applyBorder="1" applyAlignment="1">
      <alignment horizontal="left" vertical="center"/>
    </xf>
    <xf numFmtId="0" fontId="40" fillId="7" borderId="75" xfId="61" applyFont="1" applyFill="1" applyBorder="1" applyAlignment="1">
      <alignment horizontal="left" vertical="center" indent="2"/>
    </xf>
    <xf numFmtId="0" fontId="37" fillId="0" borderId="76" xfId="61" applyFont="1" applyBorder="1" applyAlignment="1">
      <alignment horizontal="left" vertical="center"/>
    </xf>
    <xf numFmtId="0" fontId="41" fillId="0" borderId="76" xfId="61" applyFont="1" applyBorder="1" applyAlignment="1">
      <alignment horizontal="center" vertical="center"/>
    </xf>
    <xf numFmtId="0" fontId="40" fillId="7" borderId="76" xfId="61" applyFont="1" applyFill="1" applyBorder="1" applyAlignment="1">
      <alignment horizontal="left" vertical="center"/>
    </xf>
    <xf numFmtId="0" fontId="37" fillId="0" borderId="76" xfId="61" applyFont="1" applyBorder="1" applyAlignment="1">
      <alignment horizontal="left" vertical="top"/>
    </xf>
    <xf numFmtId="0" fontId="37" fillId="0" borderId="76" xfId="61" applyFont="1" applyFill="1" applyBorder="1" applyAlignment="1">
      <alignment horizontal="left" vertical="center" wrapText="1"/>
    </xf>
    <xf numFmtId="0" fontId="37" fillId="0" borderId="76" xfId="61" applyFont="1" applyFill="1" applyBorder="1" applyAlignment="1">
      <alignment vertical="top" wrapText="1"/>
    </xf>
    <xf numFmtId="0" fontId="37" fillId="0" borderId="76" xfId="61" applyFont="1" applyFill="1" applyBorder="1" applyAlignment="1">
      <alignment horizontal="left" vertical="top" wrapText="1" indent="1"/>
    </xf>
    <xf numFmtId="0" fontId="37" fillId="0" borderId="76" xfId="61" applyFont="1" applyBorder="1" applyAlignment="1">
      <alignment horizontal="center" vertical="center"/>
    </xf>
    <xf numFmtId="0" fontId="40" fillId="7" borderId="76" xfId="61" applyFont="1" applyFill="1" applyBorder="1" applyAlignment="1">
      <alignment horizontal="center" vertical="center"/>
    </xf>
    <xf numFmtId="0" fontId="37" fillId="0" borderId="76" xfId="61" applyFont="1" applyFill="1" applyBorder="1" applyAlignment="1">
      <alignment horizontal="center" vertical="top" wrapText="1"/>
    </xf>
    <xf numFmtId="0" fontId="62" fillId="0" borderId="0" xfId="159" applyFont="1" applyFill="1" applyBorder="1" applyAlignment="1">
      <alignment horizontal="left" vertical="top"/>
    </xf>
    <xf numFmtId="0" fontId="62" fillId="0" borderId="0" xfId="159" applyFont="1" applyBorder="1" applyAlignment="1">
      <alignment horizontal="left" vertical="top"/>
    </xf>
    <xf numFmtId="0" fontId="62" fillId="0" borderId="0" xfId="159" applyFont="1" applyFill="1" applyBorder="1" applyAlignment="1">
      <alignment horizontal="center" vertical="top"/>
    </xf>
    <xf numFmtId="0" fontId="37" fillId="0" borderId="0" xfId="159" applyFont="1" applyFill="1" applyAlignment="1">
      <alignment horizontal="center" vertical="top"/>
    </xf>
    <xf numFmtId="0" fontId="37" fillId="0" borderId="0" xfId="159" applyFont="1" applyAlignment="1">
      <alignment horizontal="center" vertical="top"/>
    </xf>
    <xf numFmtId="0" fontId="62" fillId="0" borderId="0" xfId="159" quotePrefix="1" applyFont="1" applyAlignment="1">
      <alignment horizontal="center" vertical="center"/>
    </xf>
    <xf numFmtId="49" fontId="65" fillId="7" borderId="5" xfId="61" applyNumberFormat="1" applyFont="1" applyFill="1" applyBorder="1" applyAlignment="1">
      <alignment horizontal="center" vertical="top" wrapText="1"/>
    </xf>
    <xf numFmtId="0" fontId="40" fillId="7" borderId="5" xfId="81" quotePrefix="1" applyFont="1" applyFill="1" applyBorder="1" applyAlignment="1">
      <alignment horizontal="center" vertical="top" wrapText="1"/>
    </xf>
    <xf numFmtId="0" fontId="40" fillId="7" borderId="5" xfId="0" quotePrefix="1" applyFont="1" applyFill="1" applyBorder="1" applyAlignment="1">
      <alignment horizontal="center" vertical="top" wrapText="1"/>
    </xf>
    <xf numFmtId="0" fontId="40" fillId="7" borderId="4" xfId="81" quotePrefix="1" applyFont="1" applyFill="1" applyBorder="1" applyAlignment="1">
      <alignment horizontal="center" vertical="top" wrapText="1"/>
    </xf>
    <xf numFmtId="0" fontId="65" fillId="7" borderId="5" xfId="81" quotePrefix="1" applyFont="1" applyFill="1" applyBorder="1" applyAlignment="1">
      <alignment horizontal="center" vertical="top" wrapText="1"/>
    </xf>
    <xf numFmtId="0" fontId="65" fillId="7" borderId="4" xfId="81" quotePrefix="1" applyFont="1" applyFill="1" applyBorder="1" applyAlignment="1">
      <alignment horizontal="center" vertical="top" wrapText="1"/>
    </xf>
    <xf numFmtId="0" fontId="65" fillId="7" borderId="5" xfId="61" quotePrefix="1" applyFont="1" applyFill="1" applyBorder="1" applyAlignment="1">
      <alignment horizontal="right" vertical="top" wrapText="1"/>
    </xf>
    <xf numFmtId="0" fontId="65" fillId="7" borderId="5" xfId="61" quotePrefix="1" applyFont="1" applyFill="1" applyBorder="1" applyAlignment="1">
      <alignment horizontal="center" vertical="top" wrapText="1"/>
    </xf>
    <xf numFmtId="0" fontId="57" fillId="7" borderId="5" xfId="0" applyFont="1" applyFill="1" applyBorder="1" applyAlignment="1">
      <alignment horizontal="center" vertical="top"/>
    </xf>
    <xf numFmtId="0" fontId="0" fillId="0" borderId="5" xfId="0" quotePrefix="1" applyFont="1" applyFill="1" applyBorder="1" applyAlignment="1">
      <alignment horizontal="center" vertical="top"/>
    </xf>
    <xf numFmtId="0" fontId="62" fillId="0" borderId="0" xfId="159" applyFont="1" applyBorder="1" applyAlignment="1">
      <alignment horizontal="center" vertical="top"/>
    </xf>
    <xf numFmtId="0" fontId="0" fillId="0" borderId="0" xfId="0" applyAlignment="1">
      <alignment vertical="top"/>
    </xf>
    <xf numFmtId="213" fontId="0" fillId="0" borderId="5" xfId="0" applyNumberFormat="1" applyBorder="1" applyAlignment="1">
      <alignment horizontal="center" vertical="top"/>
    </xf>
    <xf numFmtId="212" fontId="0" fillId="0" borderId="5" xfId="0" applyNumberFormat="1" applyBorder="1" applyAlignment="1">
      <alignment horizontal="center" vertical="top"/>
    </xf>
    <xf numFmtId="0" fontId="0" fillId="0" borderId="5" xfId="0" applyBorder="1" applyAlignment="1">
      <alignment horizontal="center" vertical="top" wrapText="1"/>
    </xf>
    <xf numFmtId="0" fontId="0" fillId="0" borderId="5" xfId="0" quotePrefix="1" applyBorder="1" applyAlignment="1">
      <alignment vertical="top"/>
    </xf>
    <xf numFmtId="0" fontId="31" fillId="0" borderId="23" xfId="61" applyFont="1" applyFill="1" applyBorder="1" applyAlignment="1">
      <alignment horizontal="center" vertical="top"/>
    </xf>
    <xf numFmtId="0" fontId="31" fillId="0" borderId="25" xfId="61" applyFont="1" applyFill="1" applyBorder="1" applyAlignment="1">
      <alignment horizontal="center" vertical="top"/>
    </xf>
    <xf numFmtId="0" fontId="31" fillId="0" borderId="27" xfId="61" applyFont="1" applyFill="1" applyBorder="1" applyAlignment="1">
      <alignment horizontal="center" vertical="top"/>
    </xf>
    <xf numFmtId="0" fontId="31" fillId="0" borderId="9" xfId="61" applyFont="1" applyFill="1" applyBorder="1" applyAlignment="1">
      <alignment horizontal="center" vertical="top"/>
    </xf>
    <xf numFmtId="0" fontId="31" fillId="0" borderId="11" xfId="61" applyFont="1" applyFill="1" applyBorder="1" applyAlignment="1">
      <alignment horizontal="center" vertical="top"/>
    </xf>
    <xf numFmtId="0" fontId="31" fillId="0" borderId="14" xfId="61" applyFont="1" applyFill="1" applyBorder="1" applyAlignment="1">
      <alignment horizontal="center" vertical="top"/>
    </xf>
    <xf numFmtId="0" fontId="31" fillId="0" borderId="23" xfId="61" applyFont="1" applyBorder="1" applyAlignment="1">
      <alignment horizontal="center" vertical="top"/>
    </xf>
    <xf numFmtId="0" fontId="31" fillId="5" borderId="23" xfId="61" applyFont="1" applyFill="1" applyBorder="1" applyAlignment="1">
      <alignment horizontal="center" vertical="top"/>
    </xf>
    <xf numFmtId="0" fontId="31" fillId="0" borderId="44" xfId="61" applyFont="1" applyBorder="1" applyAlignment="1">
      <alignment horizontal="center" vertical="top"/>
    </xf>
    <xf numFmtId="0" fontId="31" fillId="5" borderId="3" xfId="61" applyFont="1" applyFill="1" applyBorder="1" applyAlignment="1">
      <alignment horizontal="center" vertical="top"/>
    </xf>
    <xf numFmtId="0" fontId="31" fillId="0" borderId="25" xfId="61" applyFont="1" applyBorder="1" applyAlignment="1">
      <alignment horizontal="center" vertical="top"/>
    </xf>
    <xf numFmtId="0" fontId="31" fillId="0" borderId="27" xfId="61" applyFont="1" applyBorder="1" applyAlignment="1">
      <alignment horizontal="center" vertical="top"/>
    </xf>
    <xf numFmtId="0" fontId="31" fillId="0" borderId="45" xfId="61" applyFont="1" applyBorder="1" applyAlignment="1">
      <alignment horizontal="center" vertical="top"/>
    </xf>
    <xf numFmtId="0" fontId="31" fillId="0" borderId="28" xfId="61" applyFont="1" applyBorder="1" applyAlignment="1">
      <alignment horizontal="center" vertical="top"/>
    </xf>
    <xf numFmtId="0" fontId="31" fillId="5" borderId="44" xfId="61" applyFont="1" applyFill="1" applyBorder="1" applyAlignment="1">
      <alignment horizontal="center" vertical="top"/>
    </xf>
    <xf numFmtId="0" fontId="31" fillId="0" borderId="43" xfId="61" applyFont="1" applyBorder="1" applyAlignment="1">
      <alignment horizontal="center" vertical="top"/>
    </xf>
    <xf numFmtId="0" fontId="31" fillId="5" borderId="26" xfId="61" applyFont="1" applyFill="1" applyBorder="1" applyAlignment="1">
      <alignment horizontal="center" vertical="top"/>
    </xf>
    <xf numFmtId="0" fontId="38" fillId="0" borderId="27" xfId="61" applyFont="1" applyBorder="1" applyAlignment="1">
      <alignment horizontal="center" vertical="top"/>
    </xf>
    <xf numFmtId="0" fontId="31" fillId="8" borderId="25" xfId="61" applyFont="1" applyFill="1" applyBorder="1" applyAlignment="1">
      <alignment horizontal="center" vertical="top"/>
    </xf>
    <xf numFmtId="0" fontId="31" fillId="8" borderId="27" xfId="61" applyFont="1" applyFill="1" applyBorder="1" applyAlignment="1">
      <alignment horizontal="center" vertical="top"/>
    </xf>
    <xf numFmtId="0" fontId="31" fillId="8" borderId="64" xfId="61" applyFont="1" applyFill="1" applyBorder="1" applyAlignment="1">
      <alignment horizontal="center" vertical="top"/>
    </xf>
    <xf numFmtId="0" fontId="31" fillId="0" borderId="44" xfId="61" applyFont="1" applyFill="1" applyBorder="1" applyAlignment="1">
      <alignment horizontal="center" vertical="top"/>
    </xf>
    <xf numFmtId="0" fontId="31" fillId="8" borderId="45" xfId="61" applyFont="1" applyFill="1" applyBorder="1" applyAlignment="1">
      <alignment horizontal="center" vertical="top"/>
    </xf>
    <xf numFmtId="0" fontId="31" fillId="8" borderId="28" xfId="61" applyFont="1" applyFill="1" applyBorder="1" applyAlignment="1">
      <alignment horizontal="center" vertical="top"/>
    </xf>
    <xf numFmtId="0" fontId="31" fillId="8" borderId="44" xfId="61" applyFont="1" applyFill="1" applyBorder="1" applyAlignment="1">
      <alignment horizontal="center" vertical="top"/>
    </xf>
    <xf numFmtId="0" fontId="31" fillId="0" borderId="26" xfId="61" applyFont="1" applyBorder="1" applyAlignment="1">
      <alignment horizontal="center" vertical="top"/>
    </xf>
    <xf numFmtId="0" fontId="31" fillId="0" borderId="43" xfId="61" applyFont="1" applyBorder="1" applyAlignment="1">
      <alignment horizontal="center" vertical="top" wrapText="1"/>
    </xf>
    <xf numFmtId="0" fontId="31" fillId="0" borderId="23" xfId="61" applyFont="1" applyBorder="1" applyAlignment="1">
      <alignment horizontal="center" vertical="top" wrapText="1"/>
    </xf>
    <xf numFmtId="0" fontId="31" fillId="5" borderId="27" xfId="61" applyFont="1" applyFill="1" applyBorder="1" applyAlignment="1">
      <alignment horizontal="center" vertical="top"/>
    </xf>
    <xf numFmtId="0" fontId="31" fillId="5" borderId="28" xfId="61" applyFont="1" applyFill="1" applyBorder="1" applyAlignment="1">
      <alignment horizontal="center" vertical="top"/>
    </xf>
    <xf numFmtId="0" fontId="39" fillId="0" borderId="27" xfId="61" applyFont="1" applyBorder="1" applyAlignment="1">
      <alignment horizontal="center" vertical="top"/>
    </xf>
    <xf numFmtId="0" fontId="31" fillId="8" borderId="26" xfId="61" applyFont="1" applyFill="1" applyBorder="1" applyAlignment="1">
      <alignment horizontal="center" vertical="top"/>
    </xf>
    <xf numFmtId="0" fontId="31" fillId="0" borderId="24" xfId="61" applyFont="1" applyFill="1" applyBorder="1" applyAlignment="1">
      <alignment horizontal="center" vertical="top"/>
    </xf>
    <xf numFmtId="0" fontId="31" fillId="0" borderId="26" xfId="61" applyFont="1" applyFill="1" applyBorder="1" applyAlignment="1">
      <alignment horizontal="center" vertical="top"/>
    </xf>
    <xf numFmtId="0" fontId="35" fillId="0" borderId="27" xfId="61" applyFont="1" applyBorder="1" applyAlignment="1">
      <alignment horizontal="center" vertical="top"/>
    </xf>
    <xf numFmtId="0" fontId="31" fillId="0" borderId="45" xfId="61" applyFont="1" applyFill="1" applyBorder="1" applyAlignment="1">
      <alignment horizontal="center" vertical="top"/>
    </xf>
    <xf numFmtId="0" fontId="31" fillId="0" borderId="28" xfId="61" applyFont="1" applyFill="1" applyBorder="1" applyAlignment="1">
      <alignment horizontal="center" vertical="top"/>
    </xf>
    <xf numFmtId="0" fontId="31" fillId="0" borderId="7" xfId="61" applyFont="1" applyFill="1" applyBorder="1" applyAlignment="1">
      <alignment horizontal="center" vertical="top"/>
    </xf>
    <xf numFmtId="0" fontId="39" fillId="0" borderId="64" xfId="61" applyFont="1" applyBorder="1" applyAlignment="1">
      <alignment horizontal="center" vertical="top"/>
    </xf>
    <xf numFmtId="0" fontId="31" fillId="8" borderId="43" xfId="61" applyFont="1" applyFill="1" applyBorder="1" applyAlignment="1">
      <alignment horizontal="center" vertical="top"/>
    </xf>
    <xf numFmtId="0" fontId="39" fillId="0" borderId="62" xfId="61" applyFont="1" applyBorder="1" applyAlignment="1">
      <alignment horizontal="center" vertical="top"/>
    </xf>
    <xf numFmtId="0" fontId="31" fillId="0" borderId="64" xfId="61" applyFont="1" applyBorder="1" applyAlignment="1">
      <alignment horizontal="center" vertical="top"/>
    </xf>
    <xf numFmtId="0" fontId="31" fillId="8" borderId="23" xfId="61" applyFont="1" applyFill="1" applyBorder="1" applyAlignment="1">
      <alignment horizontal="center" vertical="top"/>
    </xf>
    <xf numFmtId="0" fontId="31" fillId="8" borderId="3" xfId="61" applyFont="1" applyFill="1" applyBorder="1" applyAlignment="1">
      <alignment horizontal="center" vertical="top"/>
    </xf>
    <xf numFmtId="0" fontId="60" fillId="0" borderId="23" xfId="61" applyFont="1" applyBorder="1" applyAlignment="1">
      <alignment horizontal="center" vertical="top"/>
    </xf>
    <xf numFmtId="0" fontId="38" fillId="0" borderId="23" xfId="61" applyFont="1" applyBorder="1" applyAlignment="1">
      <alignment horizontal="center" vertical="top"/>
    </xf>
    <xf numFmtId="0" fontId="35" fillId="0" borderId="23" xfId="61" applyFont="1" applyBorder="1" applyAlignment="1">
      <alignment horizontal="center" vertical="top"/>
    </xf>
    <xf numFmtId="0" fontId="35" fillId="0" borderId="23" xfId="61" applyFont="1" applyFill="1" applyBorder="1" applyAlignment="1">
      <alignment horizontal="center" vertical="top"/>
    </xf>
    <xf numFmtId="0" fontId="76" fillId="0" borderId="23" xfId="61" applyFont="1" applyFill="1" applyBorder="1" applyAlignment="1">
      <alignment horizontal="center" vertical="top"/>
    </xf>
    <xf numFmtId="0" fontId="76" fillId="0" borderId="23" xfId="61" applyFont="1" applyFill="1" applyBorder="1" applyAlignment="1">
      <alignment horizontal="center" vertical="top" wrapText="1"/>
    </xf>
    <xf numFmtId="0" fontId="31" fillId="0" borderId="23" xfId="61" applyFont="1" applyFill="1" applyBorder="1" applyAlignment="1">
      <alignment horizontal="center" vertical="top" wrapText="1"/>
    </xf>
    <xf numFmtId="0" fontId="35" fillId="0" borderId="23" xfId="61" applyFont="1" applyFill="1" applyBorder="1" applyAlignment="1">
      <alignment horizontal="center" vertical="top" wrapText="1"/>
    </xf>
    <xf numFmtId="0" fontId="0" fillId="0" borderId="5" xfId="61" quotePrefix="1" applyFont="1" applyFill="1" applyBorder="1" applyAlignment="1">
      <alignment horizontal="left" vertical="top" wrapText="1"/>
    </xf>
    <xf numFmtId="0" fontId="76" fillId="0" borderId="44" xfId="61" applyFont="1" applyFill="1" applyBorder="1" applyAlignment="1">
      <alignment horizontal="center" vertical="top"/>
    </xf>
    <xf numFmtId="0" fontId="37" fillId="0" borderId="33" xfId="159" applyFont="1" applyFill="1" applyBorder="1" applyAlignment="1">
      <alignment horizontal="center" vertical="top" wrapText="1"/>
    </xf>
    <xf numFmtId="0" fontId="37" fillId="0" borderId="36" xfId="159" applyFont="1" applyFill="1" applyBorder="1" applyAlignment="1">
      <alignment horizontal="center" vertical="top" wrapText="1"/>
    </xf>
    <xf numFmtId="0" fontId="62" fillId="0" borderId="33" xfId="159" applyFont="1" applyFill="1" applyBorder="1" applyAlignment="1">
      <alignment horizontal="center" vertical="top"/>
    </xf>
    <xf numFmtId="0" fontId="62" fillId="0" borderId="35" xfId="159" applyFont="1" applyFill="1" applyBorder="1" applyAlignment="1">
      <alignment horizontal="center" vertical="top"/>
    </xf>
    <xf numFmtId="0" fontId="62" fillId="0" borderId="36" xfId="159" applyFont="1" applyFill="1" applyBorder="1" applyAlignment="1">
      <alignment horizontal="center" vertical="top"/>
    </xf>
    <xf numFmtId="0" fontId="62" fillId="0" borderId="67" xfId="159" applyFont="1" applyFill="1" applyBorder="1" applyAlignment="1">
      <alignment horizontal="center" vertical="top"/>
    </xf>
    <xf numFmtId="0" fontId="62" fillId="0" borderId="0" xfId="159" applyFont="1" applyFill="1">
      <alignment vertical="center"/>
    </xf>
    <xf numFmtId="0" fontId="62" fillId="0" borderId="0" xfId="159" applyFont="1" applyFill="1" applyBorder="1">
      <alignment vertical="center"/>
    </xf>
    <xf numFmtId="0" fontId="37" fillId="0" borderId="0" xfId="159" applyFont="1" applyBorder="1">
      <alignment vertical="center"/>
    </xf>
    <xf numFmtId="0" fontId="12" fillId="0" borderId="0" xfId="0" applyFont="1" applyFill="1">
      <alignment vertical="center"/>
    </xf>
    <xf numFmtId="0" fontId="37" fillId="0" borderId="0" xfId="159" applyFont="1" applyFill="1" applyBorder="1">
      <alignment vertical="center"/>
    </xf>
    <xf numFmtId="0" fontId="37" fillId="0" borderId="0" xfId="159" applyFont="1" applyFill="1">
      <alignment vertical="center"/>
    </xf>
    <xf numFmtId="0" fontId="37" fillId="0" borderId="43" xfId="159" quotePrefix="1" applyNumberFormat="1" applyFont="1" applyFill="1" applyBorder="1" applyAlignment="1">
      <alignment horizontal="right" vertical="top" wrapText="1"/>
    </xf>
    <xf numFmtId="0" fontId="37" fillId="0" borderId="44" xfId="159" quotePrefix="1" applyNumberFormat="1" applyFont="1" applyFill="1" applyBorder="1" applyAlignment="1">
      <alignment horizontal="right" vertical="top" wrapText="1"/>
    </xf>
    <xf numFmtId="0" fontId="37" fillId="0" borderId="5" xfId="159" applyFont="1" applyFill="1" applyBorder="1" applyAlignment="1">
      <alignment horizontal="right" vertical="top" wrapText="1"/>
    </xf>
    <xf numFmtId="0" fontId="0" fillId="0" borderId="0" xfId="0" applyFont="1" applyFill="1">
      <alignment vertical="center"/>
    </xf>
    <xf numFmtId="0" fontId="71" fillId="0" borderId="0" xfId="81" applyFont="1" applyFill="1">
      <alignment vertical="center"/>
    </xf>
    <xf numFmtId="0" fontId="37" fillId="0" borderId="0" xfId="0" applyFont="1" applyFill="1">
      <alignment vertical="center"/>
    </xf>
    <xf numFmtId="0" fontId="37" fillId="0" borderId="0" xfId="0" applyFont="1" applyFill="1" applyAlignment="1">
      <alignment horizontal="left" vertical="center"/>
    </xf>
    <xf numFmtId="49" fontId="37" fillId="0" borderId="4" xfId="61" applyNumberFormat="1" applyFont="1" applyFill="1" applyBorder="1" applyAlignment="1">
      <alignment horizontal="center" wrapText="1"/>
    </xf>
    <xf numFmtId="16" fontId="37" fillId="0" borderId="20" xfId="159" quotePrefix="1" applyNumberFormat="1" applyFont="1" applyFill="1" applyBorder="1" applyAlignment="1">
      <alignment horizontal="center" vertical="top" wrapText="1"/>
    </xf>
    <xf numFmtId="0" fontId="37" fillId="0" borderId="21" xfId="159" quotePrefix="1" applyNumberFormat="1" applyFont="1" applyFill="1" applyBorder="1" applyAlignment="1">
      <alignment horizontal="center" vertical="top" wrapText="1"/>
    </xf>
    <xf numFmtId="0" fontId="37" fillId="0" borderId="20" xfId="159" quotePrefix="1" applyNumberFormat="1" applyFont="1" applyFill="1" applyBorder="1" applyAlignment="1">
      <alignment horizontal="center" vertical="top" wrapText="1"/>
    </xf>
    <xf numFmtId="0" fontId="84" fillId="0" borderId="5" xfId="159" applyFont="1" applyFill="1" applyBorder="1" applyAlignment="1">
      <alignment horizontal="center" vertical="top" wrapText="1"/>
    </xf>
    <xf numFmtId="0" fontId="84" fillId="0" borderId="20" xfId="159" applyFont="1" applyFill="1" applyBorder="1" applyAlignment="1">
      <alignment horizontal="center" vertical="top" wrapText="1"/>
    </xf>
    <xf numFmtId="0" fontId="84" fillId="0" borderId="21" xfId="159" applyFont="1" applyFill="1" applyBorder="1" applyAlignment="1">
      <alignment horizontal="center" vertical="top" wrapText="1"/>
    </xf>
    <xf numFmtId="0" fontId="62" fillId="0" borderId="0" xfId="159" applyFont="1" applyFill="1" applyAlignment="1">
      <alignment vertical="center" wrapText="1"/>
    </xf>
    <xf numFmtId="0" fontId="37" fillId="0" borderId="0" xfId="159" applyFont="1" applyFill="1" applyAlignment="1">
      <alignment vertical="center" wrapText="1"/>
    </xf>
    <xf numFmtId="0" fontId="12" fillId="0" borderId="0" xfId="0" applyFont="1" applyFill="1" applyAlignment="1"/>
    <xf numFmtId="0" fontId="37" fillId="0" borderId="20" xfId="159" applyFont="1" applyFill="1" applyBorder="1" applyAlignment="1">
      <alignment horizontal="left" vertical="top" wrapText="1"/>
    </xf>
    <xf numFmtId="0" fontId="57" fillId="7" borderId="5" xfId="0" quotePrefix="1" applyFont="1" applyFill="1" applyBorder="1" applyAlignment="1">
      <alignment vertical="top"/>
    </xf>
    <xf numFmtId="0" fontId="0" fillId="0" borderId="5" xfId="0" quotePrefix="1" applyFont="1" applyFill="1" applyBorder="1" applyAlignment="1">
      <alignment vertical="top" wrapText="1"/>
    </xf>
    <xf numFmtId="0" fontId="0" fillId="0" borderId="5" xfId="0" quotePrefix="1" applyFont="1" applyFill="1" applyBorder="1" applyAlignment="1">
      <alignment horizontal="center" vertical="top" wrapText="1"/>
    </xf>
    <xf numFmtId="212" fontId="0" fillId="0" borderId="6" xfId="0" applyNumberFormat="1" applyFont="1" applyFill="1" applyBorder="1" applyAlignment="1">
      <alignment horizontal="center" vertical="top"/>
    </xf>
    <xf numFmtId="0" fontId="0" fillId="0" borderId="6" xfId="0" applyFont="1" applyFill="1" applyBorder="1" applyAlignment="1">
      <alignment horizontal="center" vertical="top"/>
    </xf>
    <xf numFmtId="212" fontId="0" fillId="0" borderId="1" xfId="0" applyNumberFormat="1" applyFont="1" applyFill="1" applyBorder="1" applyAlignment="1">
      <alignment horizontal="center" vertical="top"/>
    </xf>
    <xf numFmtId="0" fontId="0" fillId="0" borderId="1" xfId="0" applyFont="1" applyFill="1" applyBorder="1" applyAlignment="1">
      <alignment horizontal="center" vertical="top"/>
    </xf>
    <xf numFmtId="0" fontId="0" fillId="0" borderId="6" xfId="0" quotePrefix="1" applyFont="1" applyFill="1" applyBorder="1" applyAlignment="1">
      <alignment horizontal="left" vertical="top"/>
    </xf>
    <xf numFmtId="0" fontId="0" fillId="0" borderId="1" xfId="0" quotePrefix="1" applyFont="1" applyFill="1" applyBorder="1" applyAlignment="1">
      <alignment horizontal="left" vertical="top"/>
    </xf>
    <xf numFmtId="0" fontId="0" fillId="0" borderId="4" xfId="0" quotePrefix="1" applyFont="1" applyFill="1" applyBorder="1" applyAlignment="1">
      <alignment vertical="top"/>
    </xf>
    <xf numFmtId="212" fontId="0" fillId="0" borderId="4" xfId="0" applyNumberFormat="1" applyFont="1" applyFill="1" applyBorder="1" applyAlignment="1">
      <alignment horizontal="center" vertical="top"/>
    </xf>
    <xf numFmtId="0" fontId="0" fillId="0" borderId="4" xfId="0" applyFont="1" applyFill="1" applyBorder="1" applyAlignment="1">
      <alignment horizontal="center" vertical="top"/>
    </xf>
    <xf numFmtId="0" fontId="0" fillId="0" borderId="20" xfId="61" applyFont="1" applyFill="1" applyBorder="1" applyAlignment="1">
      <alignment horizontal="left" vertical="top"/>
    </xf>
    <xf numFmtId="0" fontId="0" fillId="0" borderId="21" xfId="61" applyFont="1" applyFill="1" applyBorder="1" applyAlignment="1">
      <alignment horizontal="left" vertical="top"/>
    </xf>
    <xf numFmtId="0" fontId="31" fillId="0" borderId="29" xfId="61" applyFont="1" applyFill="1" applyBorder="1" applyAlignment="1">
      <alignment horizontal="center" vertical="top"/>
    </xf>
    <xf numFmtId="0" fontId="62" fillId="0" borderId="0" xfId="159" applyFont="1" applyFill="1" applyAlignment="1">
      <alignment vertical="top"/>
    </xf>
    <xf numFmtId="0" fontId="37" fillId="0" borderId="5" xfId="159" quotePrefix="1" applyFont="1" applyFill="1" applyBorder="1" applyAlignment="1">
      <alignment horizontal="left" vertical="top" wrapText="1"/>
    </xf>
    <xf numFmtId="0" fontId="37" fillId="0" borderId="6" xfId="159" applyFont="1" applyFill="1" applyBorder="1" applyAlignment="1">
      <alignment horizontal="left" vertical="top" wrapText="1"/>
    </xf>
    <xf numFmtId="0" fontId="37" fillId="0" borderId="20" xfId="159" quotePrefix="1" applyFont="1" applyFill="1" applyBorder="1" applyAlignment="1">
      <alignment horizontal="left" vertical="top" wrapText="1"/>
    </xf>
    <xf numFmtId="0" fontId="37" fillId="0" borderId="21" xfId="159" quotePrefix="1" applyFont="1" applyFill="1" applyBorder="1" applyAlignment="1">
      <alignment horizontal="left" vertical="top" wrapText="1"/>
    </xf>
    <xf numFmtId="0" fontId="37" fillId="0" borderId="53" xfId="159" applyFont="1" applyFill="1" applyBorder="1" applyAlignment="1">
      <alignment horizontal="left" vertical="top" wrapText="1"/>
    </xf>
    <xf numFmtId="0" fontId="37" fillId="0" borderId="22" xfId="159" applyFont="1" applyFill="1" applyBorder="1" applyAlignment="1">
      <alignment horizontal="left" vertical="top" wrapText="1"/>
    </xf>
    <xf numFmtId="0" fontId="37" fillId="0" borderId="22" xfId="159" quotePrefix="1" applyFont="1" applyFill="1" applyBorder="1" applyAlignment="1">
      <alignment horizontal="left" vertical="top" wrapText="1"/>
    </xf>
    <xf numFmtId="0" fontId="62" fillId="0" borderId="0" xfId="159" quotePrefix="1" applyFont="1" applyFill="1" applyAlignment="1">
      <alignment vertical="top"/>
    </xf>
    <xf numFmtId="0" fontId="37" fillId="0" borderId="5" xfId="159" applyFont="1" applyFill="1" applyBorder="1" applyAlignment="1">
      <alignment vertical="top"/>
    </xf>
    <xf numFmtId="0" fontId="44" fillId="0" borderId="0" xfId="159" applyFont="1" applyFill="1" applyBorder="1" applyAlignment="1">
      <alignment horizontal="center" vertical="top"/>
    </xf>
    <xf numFmtId="0" fontId="45" fillId="0" borderId="44" xfId="159" applyFont="1" applyFill="1" applyBorder="1" applyAlignment="1">
      <alignment horizontal="center" vertical="top" wrapText="1"/>
    </xf>
    <xf numFmtId="0" fontId="37" fillId="0" borderId="0" xfId="159" applyFont="1" applyFill="1" applyAlignment="1">
      <alignment horizontal="center" vertical="top" wrapText="1"/>
    </xf>
    <xf numFmtId="0" fontId="62" fillId="0" borderId="0" xfId="159" applyFont="1" applyFill="1" applyBorder="1" applyAlignment="1">
      <alignment vertical="top"/>
    </xf>
    <xf numFmtId="49" fontId="37" fillId="0" borderId="0" xfId="0" applyNumberFormat="1" applyFont="1" applyFill="1" applyBorder="1" applyAlignment="1">
      <alignment horizontal="center" vertical="top" textRotation="180" wrapText="1"/>
    </xf>
    <xf numFmtId="0" fontId="37" fillId="0" borderId="5" xfId="0" applyFont="1" applyFill="1" applyBorder="1" applyAlignment="1">
      <alignment vertical="top" wrapText="1"/>
    </xf>
    <xf numFmtId="0" fontId="41" fillId="0" borderId="0" xfId="159" applyFont="1" applyAlignment="1">
      <alignment vertical="top"/>
    </xf>
    <xf numFmtId="213" fontId="0" fillId="0" borderId="6" xfId="0" applyNumberFormat="1" applyFill="1" applyBorder="1" applyAlignment="1">
      <alignment horizontal="center" vertical="top"/>
    </xf>
    <xf numFmtId="213" fontId="0" fillId="0" borderId="1" xfId="0" applyNumberFormat="1" applyFill="1" applyBorder="1" applyAlignment="1">
      <alignment horizontal="center" vertical="top"/>
    </xf>
    <xf numFmtId="213" fontId="0" fillId="0" borderId="4" xfId="0" applyNumberFormat="1" applyFill="1" applyBorder="1" applyAlignment="1">
      <alignment horizontal="center" vertical="top"/>
    </xf>
    <xf numFmtId="213" fontId="0" fillId="0" borderId="5" xfId="0" applyNumberFormat="1" applyFill="1" applyBorder="1" applyAlignment="1">
      <alignment horizontal="center" vertical="top"/>
    </xf>
    <xf numFmtId="0" fontId="0" fillId="0" borderId="0" xfId="0" applyFont="1">
      <alignment vertical="center"/>
    </xf>
    <xf numFmtId="0" fontId="37" fillId="0" borderId="0" xfId="159" applyFont="1" applyFill="1" applyAlignment="1">
      <alignment vertical="top"/>
    </xf>
    <xf numFmtId="214" fontId="0" fillId="0" borderId="0" xfId="0" applyNumberFormat="1" applyFont="1" applyAlignment="1">
      <alignment horizontal="center" vertical="center"/>
    </xf>
    <xf numFmtId="0" fontId="0" fillId="0" borderId="0" xfId="0" applyFont="1" applyAlignment="1">
      <alignment horizontal="center" vertical="center"/>
    </xf>
    <xf numFmtId="0" fontId="45" fillId="0" borderId="21" xfId="159" quotePrefix="1" applyFont="1" applyFill="1" applyBorder="1" applyAlignment="1">
      <alignment horizontal="left" vertical="top"/>
    </xf>
    <xf numFmtId="0" fontId="31" fillId="0" borderId="0" xfId="0" applyFont="1">
      <alignment vertical="center"/>
    </xf>
    <xf numFmtId="0" fontId="31" fillId="0" borderId="0" xfId="0" applyFont="1" applyAlignment="1">
      <alignment horizontal="left" vertical="center"/>
    </xf>
    <xf numFmtId="0" fontId="62" fillId="0" borderId="0" xfId="159" applyFont="1" applyAlignment="1">
      <alignment horizontal="left" vertical="top"/>
    </xf>
    <xf numFmtId="0" fontId="37" fillId="0" borderId="5" xfId="159" quotePrefix="1" applyFont="1" applyBorder="1" applyAlignment="1">
      <alignment horizontal="center" vertical="top"/>
    </xf>
    <xf numFmtId="49" fontId="37" fillId="0" borderId="0" xfId="61" applyNumberFormat="1" applyFont="1" applyAlignment="1">
      <alignment horizontal="center" vertical="top"/>
    </xf>
    <xf numFmtId="0" fontId="37" fillId="0" borderId="0" xfId="61" quotePrefix="1" applyFont="1" applyAlignment="1">
      <alignment horizontal="center" vertical="top" wrapText="1"/>
    </xf>
    <xf numFmtId="0" fontId="62" fillId="0" borderId="0" xfId="159" applyFont="1" applyBorder="1" applyAlignment="1">
      <alignment horizontal="center" vertical="top"/>
    </xf>
    <xf numFmtId="0" fontId="37" fillId="0" borderId="5" xfId="159" applyFont="1" applyBorder="1" applyAlignment="1">
      <alignment horizontal="center" vertical="top" wrapText="1"/>
    </xf>
    <xf numFmtId="49" fontId="37" fillId="0" borderId="5" xfId="159" applyNumberFormat="1" applyFont="1" applyBorder="1" applyAlignment="1">
      <alignment horizontal="center" vertical="top" wrapText="1"/>
    </xf>
    <xf numFmtId="0" fontId="37" fillId="0" borderId="5" xfId="159" applyFont="1" applyBorder="1" applyAlignment="1">
      <alignment horizontal="center" vertical="top" wrapText="1"/>
    </xf>
    <xf numFmtId="49" fontId="37" fillId="0" borderId="5" xfId="159" applyNumberFormat="1" applyFont="1" applyBorder="1" applyAlignment="1">
      <alignment horizontal="center" vertical="top" wrapText="1"/>
    </xf>
    <xf numFmtId="0" fontId="62" fillId="0" borderId="0" xfId="159" applyFont="1" applyBorder="1" applyAlignment="1">
      <alignment horizontal="center" vertical="top"/>
    </xf>
    <xf numFmtId="0" fontId="37" fillId="0" borderId="5" xfId="159" applyFont="1" applyBorder="1" applyAlignment="1">
      <alignment horizontal="left" vertical="top" wrapText="1"/>
    </xf>
    <xf numFmtId="0" fontId="37" fillId="0" borderId="3" xfId="0" applyFont="1" applyBorder="1" applyAlignment="1">
      <alignment horizontal="right" vertical="top" wrapText="1"/>
    </xf>
    <xf numFmtId="0" fontId="37" fillId="0" borderId="5" xfId="0" applyFont="1" applyBorder="1" applyAlignment="1">
      <alignment horizontal="right" vertical="top"/>
    </xf>
    <xf numFmtId="0" fontId="37" fillId="0" borderId="5" xfId="0" applyFont="1" applyBorder="1" applyAlignment="1">
      <alignment horizontal="right" vertical="top" wrapText="1"/>
    </xf>
    <xf numFmtId="49" fontId="37" fillId="0" borderId="44" xfId="0" applyNumberFormat="1" applyFont="1" applyBorder="1" applyAlignment="1">
      <alignment horizontal="right" vertical="top" wrapText="1"/>
    </xf>
    <xf numFmtId="0" fontId="37" fillId="0" borderId="44" xfId="0" applyFont="1" applyBorder="1" applyAlignment="1">
      <alignment horizontal="right" vertical="top"/>
    </xf>
    <xf numFmtId="0" fontId="37" fillId="0" borderId="5" xfId="0" applyFont="1" applyBorder="1" applyAlignment="1">
      <alignment horizontal="justify" vertical="top" wrapText="1"/>
    </xf>
    <xf numFmtId="0" fontId="37" fillId="0" borderId="5" xfId="0" applyFont="1" applyBorder="1" applyAlignment="1">
      <alignment horizontal="left" vertical="top"/>
    </xf>
    <xf numFmtId="0" fontId="37" fillId="0" borderId="0" xfId="61" applyFont="1" applyFill="1" applyAlignment="1">
      <alignment horizontal="center" wrapText="1"/>
    </xf>
    <xf numFmtId="49" fontId="37" fillId="0" borderId="4" xfId="61" applyNumberFormat="1" applyFont="1" applyFill="1" applyBorder="1" applyAlignment="1">
      <alignment horizontal="center" vertical="top" textRotation="180" wrapText="1"/>
    </xf>
    <xf numFmtId="0" fontId="62" fillId="0" borderId="0" xfId="159" applyFont="1" applyBorder="1" applyAlignment="1">
      <alignment vertical="top" wrapText="1"/>
    </xf>
    <xf numFmtId="0" fontId="62" fillId="0" borderId="0" xfId="159" applyFont="1" applyFill="1" applyBorder="1" applyAlignment="1">
      <alignment vertical="top" wrapText="1"/>
    </xf>
    <xf numFmtId="49" fontId="37" fillId="0" borderId="23" xfId="61" applyNumberFormat="1" applyFont="1" applyFill="1" applyBorder="1" applyAlignment="1">
      <alignment horizontal="center" vertical="center" wrapText="1"/>
    </xf>
    <xf numFmtId="49" fontId="37" fillId="0" borderId="29" xfId="61" applyNumberFormat="1" applyFont="1" applyFill="1" applyBorder="1" applyAlignment="1">
      <alignment horizontal="center" vertical="top" textRotation="180" wrapText="1"/>
    </xf>
    <xf numFmtId="0" fontId="62" fillId="0" borderId="0" xfId="159" applyFont="1" applyBorder="1" applyAlignment="1">
      <alignment horizontal="center" vertical="top"/>
    </xf>
    <xf numFmtId="0" fontId="37" fillId="8" borderId="3" xfId="61" quotePrefix="1" applyFont="1" applyFill="1" applyBorder="1" applyAlignment="1">
      <alignment horizontal="center" vertical="top" wrapText="1"/>
    </xf>
    <xf numFmtId="0" fontId="37" fillId="8" borderId="12" xfId="61" quotePrefix="1" applyFont="1" applyFill="1" applyBorder="1" applyAlignment="1">
      <alignment horizontal="center" vertical="top" wrapText="1"/>
    </xf>
    <xf numFmtId="49" fontId="41" fillId="0" borderId="14" xfId="61" applyNumberFormat="1" applyFont="1" applyFill="1" applyBorder="1" applyAlignment="1">
      <alignment horizontal="center" vertical="top" wrapText="1"/>
    </xf>
    <xf numFmtId="49" fontId="37" fillId="0" borderId="14" xfId="61" applyNumberFormat="1" applyFont="1" applyFill="1" applyBorder="1" applyAlignment="1">
      <alignment horizontal="center" vertical="top" wrapText="1"/>
    </xf>
    <xf numFmtId="0" fontId="37" fillId="0" borderId="77" xfId="61" quotePrefix="1" applyFont="1" applyBorder="1" applyAlignment="1">
      <alignment horizontal="center" vertical="top" wrapText="1"/>
    </xf>
    <xf numFmtId="0" fontId="40" fillId="7" borderId="23" xfId="61" quotePrefix="1" applyFont="1" applyFill="1" applyBorder="1" applyAlignment="1">
      <alignment horizontal="center" vertical="top" wrapText="1"/>
    </xf>
    <xf numFmtId="0" fontId="37" fillId="8" borderId="69" xfId="159" applyFont="1" applyFill="1" applyBorder="1" applyAlignment="1">
      <alignment horizontal="center" vertical="top" wrapText="1"/>
    </xf>
    <xf numFmtId="0" fontId="37" fillId="8" borderId="5" xfId="159" applyFont="1" applyFill="1" applyBorder="1" applyAlignment="1">
      <alignment horizontal="center" vertical="top"/>
    </xf>
    <xf numFmtId="0" fontId="37" fillId="8" borderId="5" xfId="159" applyFont="1" applyFill="1" applyBorder="1" applyAlignment="1">
      <alignment horizontal="center" vertical="top" wrapText="1"/>
    </xf>
    <xf numFmtId="0" fontId="37" fillId="8" borderId="5" xfId="159" applyFont="1" applyFill="1" applyBorder="1" applyAlignment="1">
      <alignment horizontal="left" vertical="top" wrapText="1"/>
    </xf>
    <xf numFmtId="49" fontId="37" fillId="8" borderId="5" xfId="159" applyNumberFormat="1" applyFont="1" applyFill="1" applyBorder="1" applyAlignment="1">
      <alignment horizontal="center" vertical="top" wrapText="1"/>
    </xf>
    <xf numFmtId="0" fontId="37" fillId="8" borderId="5" xfId="159" applyFont="1" applyFill="1" applyBorder="1" applyAlignment="1">
      <alignment vertical="top" wrapText="1"/>
    </xf>
    <xf numFmtId="0" fontId="70" fillId="8" borderId="44" xfId="159" applyFont="1" applyFill="1" applyBorder="1" applyAlignment="1">
      <alignment horizontal="center" vertical="top"/>
    </xf>
    <xf numFmtId="49" fontId="41" fillId="8" borderId="5" xfId="61" applyNumberFormat="1" applyFont="1" applyFill="1" applyBorder="1" applyAlignment="1">
      <alignment horizontal="center" vertical="top" wrapText="1"/>
    </xf>
    <xf numFmtId="0" fontId="45" fillId="8" borderId="44" xfId="159" applyFont="1" applyFill="1" applyBorder="1" applyAlignment="1">
      <alignment horizontal="center" vertical="top" wrapText="1"/>
    </xf>
    <xf numFmtId="0" fontId="37" fillId="8" borderId="5" xfId="159" applyFont="1" applyFill="1" applyBorder="1" applyAlignment="1">
      <alignment horizontal="justify" vertical="top" wrapText="1"/>
    </xf>
    <xf numFmtId="0" fontId="37" fillId="8" borderId="5" xfId="159" applyFont="1" applyFill="1" applyBorder="1" applyAlignment="1">
      <alignment horizontal="left" vertical="top"/>
    </xf>
    <xf numFmtId="0" fontId="37" fillId="8" borderId="68" xfId="159" applyFont="1" applyFill="1" applyBorder="1" applyAlignment="1">
      <alignment horizontal="center" vertical="top"/>
    </xf>
    <xf numFmtId="0" fontId="37" fillId="5" borderId="5" xfId="159" applyFont="1" applyFill="1" applyBorder="1" applyAlignment="1">
      <alignment horizontal="justify" vertical="top" wrapText="1"/>
    </xf>
    <xf numFmtId="49" fontId="37" fillId="5" borderId="5" xfId="159" applyNumberFormat="1" applyFont="1" applyFill="1" applyBorder="1" applyAlignment="1">
      <alignment horizontal="center" vertical="top" wrapText="1"/>
    </xf>
    <xf numFmtId="0" fontId="37" fillId="5" borderId="5" xfId="159" applyFont="1" applyFill="1" applyBorder="1" applyAlignment="1">
      <alignment vertical="top" wrapText="1"/>
    </xf>
    <xf numFmtId="0" fontId="41" fillId="5" borderId="43" xfId="159" applyFont="1" applyFill="1" applyBorder="1" applyAlignment="1">
      <alignment horizontal="center" vertical="top" wrapText="1"/>
    </xf>
    <xf numFmtId="0" fontId="70" fillId="5" borderId="44" xfId="159" applyFont="1" applyFill="1" applyBorder="1" applyAlignment="1">
      <alignment horizontal="center" vertical="top"/>
    </xf>
    <xf numFmtId="49" fontId="41" fillId="5" borderId="5" xfId="61" applyNumberFormat="1" applyFont="1" applyFill="1" applyBorder="1" applyAlignment="1">
      <alignment horizontal="center" vertical="top" wrapText="1"/>
    </xf>
    <xf numFmtId="0" fontId="70" fillId="5" borderId="43" xfId="159" applyFont="1" applyFill="1" applyBorder="1" applyAlignment="1">
      <alignment horizontal="center" vertical="top"/>
    </xf>
    <xf numFmtId="0" fontId="45" fillId="5" borderId="44" xfId="159" applyFont="1" applyFill="1" applyBorder="1" applyAlignment="1">
      <alignment horizontal="center" vertical="top" wrapText="1"/>
    </xf>
    <xf numFmtId="0" fontId="41" fillId="5" borderId="3" xfId="159" applyFont="1" applyFill="1" applyBorder="1" applyAlignment="1">
      <alignment horizontal="center" vertical="top" wrapText="1"/>
    </xf>
    <xf numFmtId="0" fontId="86" fillId="5" borderId="44" xfId="159" applyFont="1" applyFill="1" applyBorder="1" applyAlignment="1">
      <alignment horizontal="center" vertical="top" wrapText="1"/>
    </xf>
    <xf numFmtId="0" fontId="62" fillId="5" borderId="43" xfId="159" applyFont="1" applyFill="1" applyBorder="1" applyAlignment="1">
      <alignment horizontal="center" vertical="top"/>
    </xf>
    <xf numFmtId="0" fontId="62" fillId="5" borderId="23" xfId="159" applyFont="1" applyFill="1" applyBorder="1" applyAlignment="1">
      <alignment horizontal="center" vertical="top"/>
    </xf>
    <xf numFmtId="0" fontId="62" fillId="5" borderId="44" xfId="159" applyFont="1" applyFill="1" applyBorder="1" applyAlignment="1">
      <alignment horizontal="center" vertical="top"/>
    </xf>
    <xf numFmtId="0" fontId="37" fillId="5" borderId="3" xfId="0" applyFont="1" applyFill="1" applyBorder="1" applyAlignment="1">
      <alignment horizontal="right" vertical="center" wrapText="1"/>
    </xf>
    <xf numFmtId="0" fontId="37" fillId="5" borderId="5" xfId="0" applyFont="1" applyFill="1" applyBorder="1" applyAlignment="1">
      <alignment horizontal="justify" vertical="top" wrapText="1"/>
    </xf>
    <xf numFmtId="0" fontId="37" fillId="5" borderId="5" xfId="0" applyFont="1" applyFill="1" applyBorder="1" applyAlignment="1">
      <alignment horizontal="right" vertical="top"/>
    </xf>
    <xf numFmtId="0" fontId="37" fillId="5" borderId="5" xfId="0" applyFont="1" applyFill="1" applyBorder="1" applyAlignment="1">
      <alignment horizontal="right" vertical="top" wrapText="1"/>
    </xf>
    <xf numFmtId="49" fontId="37" fillId="5" borderId="44" xfId="0" applyNumberFormat="1" applyFont="1" applyFill="1" applyBorder="1" applyAlignment="1">
      <alignment horizontal="right" vertical="top" wrapText="1"/>
    </xf>
    <xf numFmtId="0" fontId="37" fillId="5" borderId="44" xfId="0" applyFont="1" applyFill="1" applyBorder="1" applyAlignment="1">
      <alignment horizontal="right" vertical="top"/>
    </xf>
    <xf numFmtId="0" fontId="37" fillId="5" borderId="3" xfId="0" applyFont="1" applyFill="1" applyBorder="1" applyAlignment="1">
      <alignment horizontal="right" vertical="top" wrapText="1"/>
    </xf>
    <xf numFmtId="0" fontId="37" fillId="5" borderId="5" xfId="0" applyFont="1" applyFill="1" applyBorder="1" applyAlignment="1">
      <alignment horizontal="right" vertical="center"/>
    </xf>
    <xf numFmtId="0" fontId="37" fillId="5" borderId="5" xfId="0" applyFont="1" applyFill="1" applyBorder="1" applyAlignment="1">
      <alignment horizontal="right" vertical="center" wrapText="1"/>
    </xf>
    <xf numFmtId="49" fontId="37" fillId="0" borderId="3" xfId="0" applyNumberFormat="1" applyFont="1" applyBorder="1" applyAlignment="1">
      <alignment horizontal="right" vertical="top" wrapText="1"/>
    </xf>
    <xf numFmtId="49" fontId="37" fillId="5" borderId="46" xfId="0" applyNumberFormat="1" applyFont="1" applyFill="1" applyBorder="1" applyAlignment="1">
      <alignment horizontal="right" vertical="center" wrapText="1"/>
    </xf>
    <xf numFmtId="49" fontId="37" fillId="5" borderId="3" xfId="0" applyNumberFormat="1" applyFont="1" applyFill="1" applyBorder="1" applyAlignment="1">
      <alignment horizontal="right" vertical="top" wrapText="1"/>
    </xf>
    <xf numFmtId="49" fontId="37" fillId="0" borderId="3" xfId="0" applyNumberFormat="1" applyFont="1" applyBorder="1" applyAlignment="1">
      <alignment horizontal="right" vertical="top"/>
    </xf>
    <xf numFmtId="49" fontId="37" fillId="5" borderId="12" xfId="0" applyNumberFormat="1" applyFont="1" applyFill="1" applyBorder="1" applyAlignment="1">
      <alignment horizontal="right" vertical="center"/>
    </xf>
    <xf numFmtId="49" fontId="37" fillId="5" borderId="3" xfId="0" applyNumberFormat="1" applyFont="1" applyFill="1" applyBorder="1" applyAlignment="1">
      <alignment horizontal="right" vertical="top"/>
    </xf>
    <xf numFmtId="49" fontId="37" fillId="5" borderId="44" xfId="0" applyNumberFormat="1" applyFont="1" applyFill="1" applyBorder="1" applyAlignment="1">
      <alignment horizontal="right" vertical="center" wrapText="1"/>
    </xf>
    <xf numFmtId="0" fontId="37" fillId="5" borderId="48" xfId="0" applyFont="1" applyFill="1" applyBorder="1" applyAlignment="1">
      <alignment horizontal="right" vertical="center"/>
    </xf>
    <xf numFmtId="0" fontId="37" fillId="5" borderId="5" xfId="0" applyFont="1" applyFill="1" applyBorder="1" applyAlignment="1">
      <alignment horizontal="left" vertical="top"/>
    </xf>
    <xf numFmtId="0" fontId="37" fillId="5" borderId="5" xfId="159" quotePrefix="1" applyFont="1" applyFill="1" applyBorder="1" applyAlignment="1">
      <alignment horizontal="left" vertical="top"/>
    </xf>
    <xf numFmtId="0" fontId="0" fillId="0" borderId="6" xfId="0" applyFont="1" applyFill="1" applyBorder="1" applyAlignment="1">
      <alignment horizontal="center" vertical="top"/>
    </xf>
    <xf numFmtId="212" fontId="0" fillId="0" borderId="6" xfId="0" applyNumberFormat="1" applyFont="1" applyFill="1" applyBorder="1" applyAlignment="1">
      <alignment horizontal="center" vertical="top"/>
    </xf>
    <xf numFmtId="213" fontId="0" fillId="0" borderId="6" xfId="0" applyNumberFormat="1" applyFill="1" applyBorder="1" applyAlignment="1">
      <alignment horizontal="center" vertical="top"/>
    </xf>
    <xf numFmtId="0" fontId="95" fillId="0" borderId="0" xfId="0" applyFont="1">
      <alignment vertical="center"/>
    </xf>
    <xf numFmtId="0" fontId="96" fillId="0" borderId="0" xfId="0" applyFont="1">
      <alignment vertical="center"/>
    </xf>
    <xf numFmtId="0" fontId="31" fillId="0" borderId="1" xfId="61" applyFont="1" applyBorder="1" applyAlignment="1">
      <alignment vertical="top"/>
    </xf>
    <xf numFmtId="0" fontId="37" fillId="15" borderId="5" xfId="61" applyFont="1" applyFill="1" applyBorder="1" applyAlignment="1">
      <alignment horizontal="center" vertical="center"/>
    </xf>
    <xf numFmtId="0" fontId="37" fillId="15" borderId="6" xfId="61" applyFont="1" applyFill="1" applyBorder="1" applyAlignment="1">
      <alignment horizontal="center" vertical="top"/>
    </xf>
    <xf numFmtId="0" fontId="37" fillId="15" borderId="5" xfId="61" applyFont="1" applyFill="1" applyBorder="1" applyAlignment="1">
      <alignment horizontal="center" vertical="top" wrapText="1"/>
    </xf>
    <xf numFmtId="0" fontId="37" fillId="16" borderId="5" xfId="61" applyFont="1" applyFill="1" applyBorder="1" applyAlignment="1">
      <alignment horizontal="center" vertical="center"/>
    </xf>
    <xf numFmtId="0" fontId="37" fillId="16" borderId="5" xfId="61" applyFont="1" applyFill="1" applyBorder="1" applyAlignment="1">
      <alignment horizontal="center" vertical="top"/>
    </xf>
    <xf numFmtId="0" fontId="37" fillId="16" borderId="6" xfId="61" applyFont="1" applyFill="1" applyBorder="1" applyAlignment="1">
      <alignment horizontal="center" vertical="top"/>
    </xf>
    <xf numFmtId="0" fontId="37" fillId="16" borderId="5" xfId="61" applyFont="1" applyFill="1" applyBorder="1" applyAlignment="1">
      <alignment horizontal="center" vertical="top" wrapText="1"/>
    </xf>
    <xf numFmtId="0" fontId="37" fillId="0" borderId="0" xfId="159" applyFont="1" applyFill="1" applyBorder="1" applyAlignment="1">
      <alignment horizontal="center" vertical="top"/>
    </xf>
    <xf numFmtId="0" fontId="37" fillId="5" borderId="5" xfId="159" applyFont="1" applyFill="1" applyBorder="1" applyAlignment="1">
      <alignment horizontal="left" vertical="top"/>
    </xf>
    <xf numFmtId="0" fontId="0" fillId="0" borderId="5" xfId="0" applyFont="1" applyBorder="1" applyAlignment="1">
      <alignment horizontal="center" vertical="top"/>
    </xf>
    <xf numFmtId="0" fontId="0" fillId="0" borderId="5" xfId="0" applyFont="1" applyFill="1" applyBorder="1" applyAlignment="1">
      <alignment horizontal="center" vertical="top"/>
    </xf>
    <xf numFmtId="0" fontId="0" fillId="0" borderId="5" xfId="0" applyFont="1" applyBorder="1" applyAlignment="1">
      <alignment horizontal="center" vertical="top"/>
    </xf>
    <xf numFmtId="0" fontId="0" fillId="0" borderId="5" xfId="0" applyFont="1" applyFill="1" applyBorder="1" applyAlignment="1">
      <alignment horizontal="center" vertical="top"/>
    </xf>
    <xf numFmtId="0" fontId="0" fillId="0" borderId="6" xfId="0" applyFont="1" applyFill="1" applyBorder="1" applyAlignment="1">
      <alignment horizontal="center" vertical="top"/>
    </xf>
    <xf numFmtId="213" fontId="0" fillId="0" borderId="6" xfId="0" applyNumberFormat="1" applyFill="1" applyBorder="1" applyAlignment="1">
      <alignment horizontal="center" vertical="top"/>
    </xf>
    <xf numFmtId="212" fontId="0" fillId="0" borderId="6" xfId="0" applyNumberFormat="1" applyFont="1" applyFill="1" applyBorder="1" applyAlignment="1">
      <alignment horizontal="center" vertical="top"/>
    </xf>
    <xf numFmtId="212" fontId="0" fillId="0" borderId="4" xfId="0" applyNumberFormat="1" applyFont="1" applyFill="1" applyBorder="1" applyAlignment="1">
      <alignment horizontal="center" vertical="top"/>
    </xf>
    <xf numFmtId="213" fontId="0" fillId="0" borderId="5" xfId="0" applyNumberFormat="1" applyFill="1" applyBorder="1" applyAlignment="1">
      <alignment horizontal="center" vertical="top"/>
    </xf>
    <xf numFmtId="0" fontId="0" fillId="0" borderId="5" xfId="0" applyFont="1" applyFill="1" applyBorder="1" applyAlignment="1">
      <alignment horizontal="center" vertical="top"/>
    </xf>
    <xf numFmtId="0" fontId="31" fillId="0" borderId="23" xfId="61" applyFont="1" applyFill="1" applyBorder="1" applyAlignment="1">
      <alignment horizontal="center" vertical="top"/>
    </xf>
    <xf numFmtId="0" fontId="31" fillId="0" borderId="44" xfId="61" applyFont="1" applyFill="1" applyBorder="1" applyAlignment="1">
      <alignment horizontal="center" vertical="top"/>
    </xf>
    <xf numFmtId="0" fontId="37" fillId="0" borderId="5" xfId="81" applyFont="1" applyFill="1" applyBorder="1" applyAlignment="1">
      <alignment horizontal="center" vertical="top" wrapText="1"/>
    </xf>
    <xf numFmtId="0" fontId="44" fillId="0" borderId="0" xfId="159" applyFont="1" applyFill="1" applyAlignment="1">
      <alignment vertical="top"/>
    </xf>
    <xf numFmtId="0" fontId="44" fillId="0" borderId="0" xfId="159" applyFont="1" applyFill="1" applyAlignment="1">
      <alignment horizontal="center" vertical="top"/>
    </xf>
    <xf numFmtId="49" fontId="37" fillId="0" borderId="5" xfId="159" applyNumberFormat="1" applyFont="1" applyFill="1" applyBorder="1" applyAlignment="1">
      <alignment horizontal="center" vertical="top" wrapText="1"/>
    </xf>
    <xf numFmtId="0" fontId="44" fillId="0" borderId="5" xfId="159" applyFont="1" applyFill="1" applyBorder="1" applyAlignment="1">
      <alignment horizontal="justify" vertical="top" wrapText="1"/>
    </xf>
    <xf numFmtId="0" fontId="41" fillId="0" borderId="43" xfId="159" applyFont="1" applyFill="1" applyBorder="1" applyAlignment="1">
      <alignment horizontal="center" vertical="top"/>
    </xf>
    <xf numFmtId="0" fontId="41" fillId="0" borderId="44" xfId="159" applyFont="1" applyFill="1" applyBorder="1" applyAlignment="1">
      <alignment horizontal="center" vertical="top"/>
    </xf>
    <xf numFmtId="0" fontId="37" fillId="0" borderId="5" xfId="159" quotePrefix="1" applyFont="1" applyFill="1" applyBorder="1" applyAlignment="1">
      <alignment horizontal="justify" vertical="top" wrapText="1"/>
    </xf>
    <xf numFmtId="0" fontId="37" fillId="0" borderId="5" xfId="159" quotePrefix="1" applyFont="1" applyFill="1" applyBorder="1" applyAlignment="1">
      <alignment horizontal="center" vertical="top"/>
    </xf>
    <xf numFmtId="0" fontId="37" fillId="0" borderId="5" xfId="159" quotePrefix="1" applyFont="1" applyFill="1" applyBorder="1" applyAlignment="1">
      <alignment horizontal="center" vertical="top" wrapText="1"/>
    </xf>
    <xf numFmtId="0" fontId="37" fillId="0" borderId="43" xfId="159" quotePrefix="1" applyFont="1" applyFill="1" applyBorder="1" applyAlignment="1">
      <alignment horizontal="center" vertical="top" wrapText="1"/>
    </xf>
    <xf numFmtId="0" fontId="37" fillId="0" borderId="44" xfId="159" quotePrefix="1" applyFont="1" applyFill="1" applyBorder="1" applyAlignment="1">
      <alignment horizontal="center" vertical="top" wrapText="1"/>
    </xf>
    <xf numFmtId="49" fontId="37" fillId="0" borderId="43" xfId="159" quotePrefix="1" applyNumberFormat="1" applyFont="1" applyFill="1" applyBorder="1" applyAlignment="1">
      <alignment horizontal="center" vertical="top"/>
    </xf>
    <xf numFmtId="0" fontId="37" fillId="0" borderId="44" xfId="159" quotePrefix="1" applyFont="1" applyFill="1" applyBorder="1" applyAlignment="1">
      <alignment horizontal="center" vertical="top"/>
    </xf>
    <xf numFmtId="49" fontId="37" fillId="0" borderId="5" xfId="159" applyNumberFormat="1" applyFont="1" applyFill="1" applyBorder="1" applyAlignment="1">
      <alignment horizontal="right" vertical="top"/>
    </xf>
    <xf numFmtId="0" fontId="68" fillId="0" borderId="5" xfId="159" applyFont="1" applyFill="1" applyBorder="1" applyAlignment="1">
      <alignment horizontal="left" vertical="top"/>
    </xf>
    <xf numFmtId="0" fontId="44" fillId="0" borderId="5" xfId="159" applyFont="1" applyFill="1" applyBorder="1" applyAlignment="1">
      <alignment horizontal="left" vertical="top" wrapText="1"/>
    </xf>
    <xf numFmtId="0" fontId="73" fillId="0" borderId="5" xfId="159" applyFont="1" applyFill="1" applyBorder="1" applyAlignment="1">
      <alignment horizontal="left" vertical="top"/>
    </xf>
    <xf numFmtId="0" fontId="41" fillId="0" borderId="5" xfId="0" applyFont="1" applyFill="1" applyBorder="1" applyAlignment="1">
      <alignment horizontal="center" vertical="top" wrapText="1"/>
    </xf>
    <xf numFmtId="0" fontId="62" fillId="0" borderId="0" xfId="159" applyFont="1" applyFill="1" applyAlignment="1">
      <alignment horizontal="center" vertical="top"/>
    </xf>
    <xf numFmtId="0" fontId="44" fillId="0" borderId="0" xfId="159" applyFont="1" applyFill="1" applyBorder="1">
      <alignment vertical="center"/>
    </xf>
    <xf numFmtId="0" fontId="44" fillId="0" borderId="0" xfId="159" applyFont="1" applyFill="1">
      <alignment vertical="center"/>
    </xf>
    <xf numFmtId="0" fontId="0" fillId="0" borderId="0" xfId="0" applyFont="1" applyFill="1" applyAlignment="1"/>
    <xf numFmtId="49" fontId="37" fillId="0" borderId="0" xfId="159" applyNumberFormat="1" applyFont="1" applyFill="1">
      <alignment vertical="center"/>
    </xf>
    <xf numFmtId="0" fontId="37" fillId="0" borderId="0" xfId="81" applyFont="1" applyFill="1" applyAlignment="1">
      <alignment horizontal="center" vertical="top" wrapText="1"/>
    </xf>
    <xf numFmtId="0" fontId="37" fillId="0" borderId="5" xfId="0" quotePrefix="1" applyFont="1" applyFill="1" applyBorder="1" applyAlignment="1">
      <alignment horizontal="center" vertical="top" wrapText="1"/>
    </xf>
    <xf numFmtId="0" fontId="37" fillId="0" borderId="5" xfId="0" quotePrefix="1" applyFont="1" applyFill="1" applyBorder="1" applyAlignment="1">
      <alignment horizontal="left" vertical="top" wrapText="1"/>
    </xf>
    <xf numFmtId="0" fontId="37" fillId="0" borderId="0" xfId="61" quotePrefix="1" applyFont="1" applyFill="1" applyAlignment="1">
      <alignment horizontal="center" vertical="top" wrapText="1"/>
    </xf>
    <xf numFmtId="0" fontId="37" fillId="0" borderId="5" xfId="61" applyFont="1" applyFill="1" applyBorder="1">
      <alignment vertical="center"/>
    </xf>
    <xf numFmtId="0" fontId="37" fillId="0" borderId="77" xfId="61" quotePrefix="1" applyFont="1" applyFill="1" applyBorder="1" applyAlignment="1">
      <alignment horizontal="center" vertical="top" wrapText="1"/>
    </xf>
    <xf numFmtId="0" fontId="73" fillId="0" borderId="43" xfId="61" quotePrefix="1" applyFont="1" applyFill="1" applyBorder="1" applyAlignment="1">
      <alignment horizontal="center" vertical="top"/>
    </xf>
    <xf numFmtId="0" fontId="73" fillId="0" borderId="23" xfId="61" quotePrefix="1" applyFont="1" applyFill="1" applyBorder="1" applyAlignment="1">
      <alignment horizontal="center" vertical="top"/>
    </xf>
    <xf numFmtId="0" fontId="73" fillId="0" borderId="23" xfId="61" quotePrefix="1" applyFont="1" applyFill="1" applyBorder="1" applyAlignment="1">
      <alignment vertical="top"/>
    </xf>
    <xf numFmtId="0" fontId="73" fillId="0" borderId="44" xfId="61" quotePrefix="1" applyFont="1" applyFill="1" applyBorder="1" applyAlignment="1">
      <alignment vertical="top"/>
    </xf>
    <xf numFmtId="0" fontId="73" fillId="0" borderId="4" xfId="61" quotePrefix="1" applyFont="1" applyFill="1" applyBorder="1" applyAlignment="1">
      <alignment vertical="top" wrapText="1"/>
    </xf>
    <xf numFmtId="49" fontId="41" fillId="0" borderId="23" xfId="61" applyNumberFormat="1" applyFont="1" applyFill="1" applyBorder="1" applyAlignment="1">
      <alignment horizontal="center" vertical="top" wrapText="1"/>
    </xf>
    <xf numFmtId="0" fontId="81" fillId="0" borderId="0" xfId="159" applyFont="1" applyFill="1" applyAlignment="1">
      <alignment vertical="top"/>
    </xf>
    <xf numFmtId="0" fontId="81" fillId="0" borderId="0" xfId="159" applyFont="1" applyFill="1" applyAlignment="1">
      <alignment horizontal="center" vertical="top"/>
    </xf>
    <xf numFmtId="0" fontId="44" fillId="0" borderId="30" xfId="159" applyFont="1" applyFill="1" applyBorder="1" applyAlignment="1">
      <alignment horizontal="center" vertical="top"/>
    </xf>
    <xf numFmtId="0" fontId="44" fillId="0" borderId="32" xfId="159" applyFont="1" applyFill="1" applyBorder="1" applyAlignment="1">
      <alignment horizontal="center" vertical="top"/>
    </xf>
    <xf numFmtId="0" fontId="44" fillId="0" borderId="30" xfId="159" applyFont="1" applyFill="1" applyBorder="1" applyAlignment="1">
      <alignment horizontal="center" vertical="top" wrapText="1"/>
    </xf>
    <xf numFmtId="0" fontId="44" fillId="0" borderId="32" xfId="159" applyFont="1" applyFill="1" applyBorder="1" applyAlignment="1">
      <alignment horizontal="center" vertical="top" wrapText="1"/>
    </xf>
    <xf numFmtId="0" fontId="44" fillId="0" borderId="31" xfId="159" applyFont="1" applyFill="1" applyBorder="1" applyAlignment="1">
      <alignment horizontal="center" vertical="top"/>
    </xf>
    <xf numFmtId="0" fontId="44" fillId="0" borderId="20" xfId="159" applyFont="1" applyFill="1" applyBorder="1" applyAlignment="1">
      <alignment horizontal="right" vertical="top"/>
    </xf>
    <xf numFmtId="0" fontId="44" fillId="0" borderId="20" xfId="159" applyFont="1" applyFill="1" applyBorder="1" applyAlignment="1">
      <alignment horizontal="right" vertical="top" wrapText="1"/>
    </xf>
    <xf numFmtId="49" fontId="44" fillId="0" borderId="30" xfId="159" applyNumberFormat="1" applyFont="1" applyFill="1" applyBorder="1" applyAlignment="1">
      <alignment horizontal="right" vertical="top"/>
    </xf>
    <xf numFmtId="0" fontId="44" fillId="0" borderId="32" xfId="159" applyFont="1" applyFill="1" applyBorder="1" applyAlignment="1">
      <alignment horizontal="right" vertical="top"/>
    </xf>
    <xf numFmtId="0" fontId="44" fillId="0" borderId="20" xfId="159" applyFont="1" applyFill="1" applyBorder="1" applyAlignment="1">
      <alignment horizontal="justify" vertical="top" wrapText="1"/>
    </xf>
    <xf numFmtId="0" fontId="44" fillId="0" borderId="38" xfId="159" applyFont="1" applyFill="1" applyBorder="1" applyAlignment="1">
      <alignment horizontal="center" vertical="top"/>
    </xf>
    <xf numFmtId="0" fontId="44" fillId="0" borderId="40" xfId="159" applyFont="1" applyFill="1" applyBorder="1" applyAlignment="1">
      <alignment horizontal="center" vertical="top"/>
    </xf>
    <xf numFmtId="0" fontId="44" fillId="0" borderId="38" xfId="159" applyFont="1" applyFill="1" applyBorder="1" applyAlignment="1">
      <alignment horizontal="center" vertical="top" wrapText="1"/>
    </xf>
    <xf numFmtId="0" fontId="44" fillId="0" borderId="40" xfId="159" applyFont="1" applyFill="1" applyBorder="1" applyAlignment="1">
      <alignment horizontal="center" vertical="top" wrapText="1"/>
    </xf>
    <xf numFmtId="0" fontId="44" fillId="0" borderId="39" xfId="159" applyFont="1" applyFill="1" applyBorder="1" applyAlignment="1">
      <alignment horizontal="center" vertical="top"/>
    </xf>
    <xf numFmtId="0" fontId="44" fillId="0" borderId="4" xfId="159" applyFont="1" applyFill="1" applyBorder="1" applyAlignment="1">
      <alignment horizontal="justify" vertical="top" wrapText="1"/>
    </xf>
    <xf numFmtId="0" fontId="44" fillId="0" borderId="53" xfId="159" applyFont="1" applyFill="1" applyBorder="1" applyAlignment="1">
      <alignment horizontal="right" vertical="top"/>
    </xf>
    <xf numFmtId="0" fontId="44" fillId="0" borderId="53" xfId="159" applyFont="1" applyFill="1" applyBorder="1" applyAlignment="1">
      <alignment horizontal="right" vertical="top" wrapText="1"/>
    </xf>
    <xf numFmtId="49" fontId="44" fillId="0" borderId="38" xfId="159" applyNumberFormat="1" applyFont="1" applyFill="1" applyBorder="1" applyAlignment="1">
      <alignment horizontal="right" vertical="top"/>
    </xf>
    <xf numFmtId="0" fontId="44" fillId="0" borderId="40" xfId="159" applyFont="1" applyFill="1" applyBorder="1" applyAlignment="1">
      <alignment horizontal="right" vertical="top"/>
    </xf>
    <xf numFmtId="0" fontId="44" fillId="0" borderId="53" xfId="159" applyFont="1" applyFill="1" applyBorder="1" applyAlignment="1">
      <alignment horizontal="justify" vertical="top" wrapText="1"/>
    </xf>
    <xf numFmtId="0" fontId="37" fillId="0" borderId="53" xfId="159" quotePrefix="1" applyFont="1" applyFill="1" applyBorder="1" applyAlignment="1">
      <alignment horizontal="left" vertical="top" wrapText="1"/>
    </xf>
    <xf numFmtId="49" fontId="37" fillId="0" borderId="43" xfId="159" applyNumberFormat="1" applyFont="1" applyFill="1" applyBorder="1" applyAlignment="1">
      <alignment horizontal="right" vertical="top" wrapText="1"/>
    </xf>
    <xf numFmtId="49" fontId="37" fillId="0" borderId="44" xfId="159" applyNumberFormat="1" applyFont="1" applyFill="1" applyBorder="1" applyAlignment="1">
      <alignment horizontal="right" vertical="top" wrapText="1"/>
    </xf>
    <xf numFmtId="49" fontId="37" fillId="0" borderId="30" xfId="159" applyNumberFormat="1" applyFont="1" applyFill="1" applyBorder="1" applyAlignment="1">
      <alignment horizontal="right" vertical="top" wrapText="1"/>
    </xf>
    <xf numFmtId="49" fontId="37" fillId="0" borderId="32" xfId="159" applyNumberFormat="1" applyFont="1" applyFill="1" applyBorder="1" applyAlignment="1">
      <alignment horizontal="right" vertical="top" wrapText="1"/>
    </xf>
    <xf numFmtId="49" fontId="37" fillId="0" borderId="47" xfId="159" applyNumberFormat="1" applyFont="1" applyFill="1" applyBorder="1" applyAlignment="1">
      <alignment horizontal="right" vertical="top" wrapText="1"/>
    </xf>
    <xf numFmtId="49" fontId="37" fillId="0" borderId="48" xfId="159" applyNumberFormat="1" applyFont="1" applyFill="1" applyBorder="1" applyAlignment="1">
      <alignment horizontal="right" vertical="top" wrapText="1"/>
    </xf>
    <xf numFmtId="49" fontId="37" fillId="0" borderId="4" xfId="159" applyNumberFormat="1" applyFont="1" applyFill="1" applyBorder="1" applyAlignment="1">
      <alignment horizontal="center" vertical="top" wrapText="1"/>
    </xf>
    <xf numFmtId="0" fontId="12" fillId="0" borderId="20" xfId="0" quotePrefix="1" applyFont="1" applyFill="1" applyBorder="1" applyAlignment="1">
      <alignment horizontal="center" vertical="top"/>
    </xf>
    <xf numFmtId="0" fontId="12" fillId="0" borderId="1" xfId="0" quotePrefix="1" applyFont="1" applyFill="1" applyBorder="1" applyAlignment="1">
      <alignment horizontal="center" vertical="top"/>
    </xf>
    <xf numFmtId="0" fontId="37" fillId="0" borderId="30" xfId="159" applyFont="1" applyFill="1" applyBorder="1" applyAlignment="1">
      <alignment horizontal="center" vertical="top"/>
    </xf>
    <xf numFmtId="0" fontId="37" fillId="0" borderId="32" xfId="159" applyFont="1" applyFill="1" applyBorder="1" applyAlignment="1">
      <alignment horizontal="center" vertical="top"/>
    </xf>
    <xf numFmtId="0" fontId="37" fillId="0" borderId="20" xfId="159" quotePrefix="1" applyFont="1" applyFill="1" applyBorder="1" applyAlignment="1">
      <alignment horizontal="justify" vertical="top" wrapText="1"/>
    </xf>
    <xf numFmtId="0" fontId="73" fillId="0" borderId="0" xfId="159" applyFont="1" applyFill="1" applyAlignment="1">
      <alignment vertical="top"/>
    </xf>
    <xf numFmtId="0" fontId="37" fillId="0" borderId="4" xfId="159" quotePrefix="1" applyFont="1" applyFill="1" applyBorder="1" applyAlignment="1">
      <alignment horizontal="justify" vertical="top" wrapText="1"/>
    </xf>
    <xf numFmtId="0" fontId="37" fillId="0" borderId="4" xfId="159" applyFont="1" applyFill="1" applyBorder="1" applyAlignment="1">
      <alignment horizontal="center" vertical="top"/>
    </xf>
    <xf numFmtId="0" fontId="37" fillId="0" borderId="4" xfId="159" applyFont="1" applyFill="1" applyBorder="1" applyAlignment="1">
      <alignment horizontal="center" vertical="top" wrapText="1"/>
    </xf>
    <xf numFmtId="0" fontId="37" fillId="0" borderId="38" xfId="159" applyFont="1" applyFill="1" applyBorder="1" applyAlignment="1">
      <alignment horizontal="center" vertical="top"/>
    </xf>
    <xf numFmtId="0" fontId="37" fillId="0" borderId="40" xfId="159" applyFont="1" applyFill="1" applyBorder="1" applyAlignment="1">
      <alignment horizontal="center" vertical="top"/>
    </xf>
    <xf numFmtId="0" fontId="37" fillId="0" borderId="5" xfId="0" quotePrefix="1" applyFont="1" applyFill="1" applyBorder="1" applyAlignment="1">
      <alignment horizontal="left" vertical="top"/>
    </xf>
    <xf numFmtId="0" fontId="79" fillId="0" borderId="0" xfId="159" applyFont="1" applyFill="1" applyBorder="1" applyAlignment="1">
      <alignment vertical="top"/>
    </xf>
    <xf numFmtId="0" fontId="37" fillId="0" borderId="0" xfId="159" applyFont="1" applyFill="1" applyBorder="1" applyAlignment="1">
      <alignment horizontal="center" vertical="top" wrapText="1"/>
    </xf>
    <xf numFmtId="0" fontId="20" fillId="0" borderId="5" xfId="0" applyFont="1" applyFill="1" applyBorder="1" applyAlignment="1">
      <alignment horizontal="left" vertical="top" wrapText="1"/>
    </xf>
    <xf numFmtId="0" fontId="37" fillId="0" borderId="0" xfId="159" quotePrefix="1" applyFont="1" applyFill="1" applyAlignment="1">
      <alignment horizontal="center" vertical="center"/>
    </xf>
    <xf numFmtId="0" fontId="37" fillId="0" borderId="11" xfId="159" applyFont="1" applyFill="1" applyBorder="1" applyAlignment="1">
      <alignment horizontal="center" vertical="top"/>
    </xf>
    <xf numFmtId="0" fontId="73" fillId="5" borderId="5" xfId="159" applyFont="1" applyFill="1" applyBorder="1" applyAlignment="1">
      <alignment horizontal="center" vertical="top"/>
    </xf>
    <xf numFmtId="0" fontId="73" fillId="0" borderId="0" xfId="159" applyFont="1" applyFill="1" applyBorder="1" applyAlignment="1">
      <alignment vertical="top"/>
    </xf>
    <xf numFmtId="0" fontId="73" fillId="5" borderId="5" xfId="159" applyFont="1" applyFill="1" applyBorder="1" applyAlignment="1">
      <alignment horizontal="center" vertical="top" wrapText="1"/>
    </xf>
    <xf numFmtId="0" fontId="73" fillId="5" borderId="5" xfId="159" applyFont="1" applyFill="1" applyBorder="1" applyAlignment="1">
      <alignment vertical="top"/>
    </xf>
    <xf numFmtId="0" fontId="73" fillId="5" borderId="43" xfId="159" applyFont="1" applyFill="1" applyBorder="1" applyAlignment="1">
      <alignment horizontal="center" vertical="top" wrapText="1"/>
    </xf>
    <xf numFmtId="0" fontId="73" fillId="5" borderId="44" xfId="159" applyFont="1" applyFill="1" applyBorder="1" applyAlignment="1">
      <alignment horizontal="center" vertical="top"/>
    </xf>
    <xf numFmtId="0" fontId="73" fillId="0" borderId="0" xfId="159" applyFont="1" applyFill="1" applyBorder="1" applyAlignment="1">
      <alignment horizontal="center" vertical="top"/>
    </xf>
    <xf numFmtId="0" fontId="73" fillId="5" borderId="43" xfId="159" applyFont="1" applyFill="1" applyBorder="1" applyAlignment="1">
      <alignment horizontal="center" vertical="top"/>
    </xf>
    <xf numFmtId="0" fontId="73" fillId="5" borderId="44" xfId="159" applyFont="1" applyFill="1" applyBorder="1" applyAlignment="1">
      <alignment horizontal="center" vertical="top" wrapText="1"/>
    </xf>
    <xf numFmtId="0" fontId="73" fillId="5" borderId="23" xfId="159" applyFont="1" applyFill="1" applyBorder="1" applyAlignment="1">
      <alignment horizontal="center" vertical="top"/>
    </xf>
    <xf numFmtId="0" fontId="73" fillId="5" borderId="5" xfId="159" applyFont="1" applyFill="1" applyBorder="1" applyAlignment="1">
      <alignment horizontal="left" vertical="top" wrapText="1"/>
    </xf>
    <xf numFmtId="0" fontId="73" fillId="5" borderId="5" xfId="159" quotePrefix="1" applyFont="1" applyFill="1" applyBorder="1" applyAlignment="1">
      <alignment horizontal="left" vertical="top" wrapText="1"/>
    </xf>
    <xf numFmtId="0" fontId="73" fillId="5" borderId="5" xfId="159" applyFont="1" applyFill="1" applyBorder="1" applyAlignment="1">
      <alignment horizontal="right" vertical="top"/>
    </xf>
    <xf numFmtId="0" fontId="73" fillId="5" borderId="5" xfId="159" applyFont="1" applyFill="1" applyBorder="1" applyAlignment="1">
      <alignment horizontal="right" vertical="top" wrapText="1"/>
    </xf>
    <xf numFmtId="49" fontId="73" fillId="5" borderId="43" xfId="159" applyNumberFormat="1" applyFont="1" applyFill="1" applyBorder="1" applyAlignment="1">
      <alignment horizontal="right" vertical="top" wrapText="1"/>
    </xf>
    <xf numFmtId="49" fontId="73" fillId="5" borderId="44" xfId="159" applyNumberFormat="1" applyFont="1" applyFill="1" applyBorder="1" applyAlignment="1">
      <alignment horizontal="right" vertical="top" wrapText="1"/>
    </xf>
    <xf numFmtId="49" fontId="73" fillId="5" borderId="43" xfId="159" applyNumberFormat="1" applyFont="1" applyFill="1" applyBorder="1" applyAlignment="1">
      <alignment horizontal="right" vertical="top"/>
    </xf>
    <xf numFmtId="0" fontId="73" fillId="5" borderId="44" xfId="159" applyFont="1" applyFill="1" applyBorder="1" applyAlignment="1">
      <alignment horizontal="right" vertical="top"/>
    </xf>
    <xf numFmtId="176" fontId="0" fillId="0" borderId="5" xfId="0" quotePrefix="1" applyNumberFormat="1" applyFont="1" applyFill="1" applyBorder="1" applyAlignment="1">
      <alignment vertical="top"/>
    </xf>
    <xf numFmtId="0" fontId="0" fillId="0" borderId="5" xfId="0" quotePrefix="1" applyFont="1" applyFill="1" applyBorder="1" applyAlignment="1">
      <alignment horizontal="left" vertical="top"/>
    </xf>
    <xf numFmtId="0" fontId="0" fillId="0" borderId="5" xfId="0" applyFont="1" applyFill="1" applyBorder="1" applyAlignment="1">
      <alignment vertical="top"/>
    </xf>
    <xf numFmtId="0" fontId="0" fillId="0" borderId="5" xfId="0" applyFont="1" applyFill="1" applyBorder="1" applyAlignment="1">
      <alignment vertical="top" wrapText="1"/>
    </xf>
    <xf numFmtId="212" fontId="0" fillId="0" borderId="5" xfId="0" applyNumberFormat="1" applyFill="1" applyBorder="1" applyAlignment="1">
      <alignment horizontal="center" vertical="top"/>
    </xf>
    <xf numFmtId="0" fontId="0" fillId="0" borderId="5" xfId="0" applyFill="1" applyBorder="1" applyAlignment="1">
      <alignment horizontal="center" vertical="top"/>
    </xf>
    <xf numFmtId="0" fontId="0" fillId="0" borderId="5" xfId="0" quotePrefix="1" applyFill="1" applyBorder="1" applyAlignment="1">
      <alignment vertical="top" wrapText="1"/>
    </xf>
    <xf numFmtId="0" fontId="0" fillId="0" borderId="5" xfId="0" quotePrefix="1" applyFill="1" applyBorder="1" applyAlignment="1">
      <alignment vertical="top"/>
    </xf>
    <xf numFmtId="0" fontId="0" fillId="0" borderId="5" xfId="0" quotePrefix="1" applyFill="1" applyBorder="1" applyAlignment="1">
      <alignment horizontal="center" vertical="top"/>
    </xf>
    <xf numFmtId="0" fontId="81" fillId="5" borderId="5" xfId="159" applyFont="1" applyFill="1" applyBorder="1" applyAlignment="1">
      <alignment horizontal="justify" vertical="top" wrapText="1"/>
    </xf>
    <xf numFmtId="0" fontId="81" fillId="5" borderId="5" xfId="159" applyFont="1" applyFill="1" applyBorder="1" applyAlignment="1">
      <alignment horizontal="left" vertical="top" wrapText="1"/>
    </xf>
    <xf numFmtId="0" fontId="73" fillId="5" borderId="5" xfId="159" applyFont="1" applyFill="1" applyBorder="1" applyAlignment="1">
      <alignment horizontal="left" vertical="top"/>
    </xf>
    <xf numFmtId="49" fontId="73" fillId="5" borderId="5" xfId="159" applyNumberFormat="1" applyFont="1" applyFill="1" applyBorder="1" applyAlignment="1">
      <alignment horizontal="right" vertical="top"/>
    </xf>
    <xf numFmtId="0" fontId="73" fillId="5" borderId="5" xfId="159" quotePrefix="1" applyFont="1" applyFill="1" applyBorder="1" applyAlignment="1">
      <alignment horizontal="left" vertical="top"/>
    </xf>
    <xf numFmtId="0" fontId="37" fillId="5" borderId="5" xfId="159" quotePrefix="1" applyFont="1" applyFill="1" applyBorder="1" applyAlignment="1">
      <alignment horizontal="left" vertical="top" wrapText="1"/>
    </xf>
    <xf numFmtId="0" fontId="81" fillId="5" borderId="5" xfId="159" quotePrefix="1" applyFont="1" applyFill="1" applyBorder="1" applyAlignment="1">
      <alignment horizontal="center" vertical="top"/>
    </xf>
    <xf numFmtId="0" fontId="81" fillId="5" borderId="5" xfId="159" quotePrefix="1" applyFont="1" applyFill="1" applyBorder="1" applyAlignment="1">
      <alignment horizontal="center" vertical="top" wrapText="1"/>
    </xf>
    <xf numFmtId="0" fontId="81" fillId="5" borderId="43" xfId="159" quotePrefix="1" applyFont="1" applyFill="1" applyBorder="1" applyAlignment="1">
      <alignment horizontal="center" vertical="top" wrapText="1"/>
    </xf>
    <xf numFmtId="0" fontId="81" fillId="5" borderId="44" xfId="159" quotePrefix="1" applyFont="1" applyFill="1" applyBorder="1" applyAlignment="1">
      <alignment horizontal="center" vertical="top" wrapText="1"/>
    </xf>
    <xf numFmtId="49" fontId="81" fillId="5" borderId="43" xfId="159" quotePrefix="1" applyNumberFormat="1" applyFont="1" applyFill="1" applyBorder="1" applyAlignment="1">
      <alignment horizontal="center" vertical="top"/>
    </xf>
    <xf numFmtId="0" fontId="81" fillId="5" borderId="44" xfId="159" quotePrefix="1" applyFont="1" applyFill="1" applyBorder="1" applyAlignment="1">
      <alignment horizontal="center" vertical="top"/>
    </xf>
    <xf numFmtId="0" fontId="81" fillId="5" borderId="5" xfId="159" quotePrefix="1" applyFont="1" applyFill="1" applyBorder="1" applyAlignment="1">
      <alignment horizontal="justify" vertical="top" wrapText="1"/>
    </xf>
    <xf numFmtId="0" fontId="84" fillId="5" borderId="43" xfId="159" applyFont="1" applyFill="1" applyBorder="1" applyAlignment="1">
      <alignment horizontal="center" vertical="top"/>
    </xf>
    <xf numFmtId="0" fontId="84" fillId="5" borderId="44" xfId="159" applyFont="1" applyFill="1" applyBorder="1" applyAlignment="1">
      <alignment horizontal="center" vertical="top"/>
    </xf>
    <xf numFmtId="0" fontId="41" fillId="5" borderId="43" xfId="159" applyFont="1" applyFill="1" applyBorder="1" applyAlignment="1">
      <alignment horizontal="center" vertical="top"/>
    </xf>
    <xf numFmtId="0" fontId="84" fillId="5" borderId="44" xfId="159" applyFont="1" applyFill="1" applyBorder="1" applyAlignment="1">
      <alignment horizontal="center" vertical="top" wrapText="1"/>
    </xf>
    <xf numFmtId="0" fontId="45" fillId="5" borderId="5" xfId="0" applyFont="1" applyFill="1" applyBorder="1" applyAlignment="1">
      <alignment horizontal="center" vertical="top" wrapText="1"/>
    </xf>
    <xf numFmtId="49" fontId="84" fillId="5" borderId="3" xfId="61" applyNumberFormat="1" applyFont="1" applyFill="1" applyBorder="1" applyAlignment="1">
      <alignment horizontal="center" vertical="top" wrapText="1"/>
    </xf>
    <xf numFmtId="0" fontId="73" fillId="5" borderId="20" xfId="159" applyFont="1" applyFill="1" applyBorder="1" applyAlignment="1">
      <alignment horizontal="center" vertical="top"/>
    </xf>
    <xf numFmtId="0" fontId="73" fillId="5" borderId="5" xfId="159" quotePrefix="1" applyFont="1" applyFill="1" applyBorder="1" applyAlignment="1">
      <alignment horizontal="justify" vertical="top" wrapText="1"/>
    </xf>
    <xf numFmtId="0" fontId="81" fillId="5" borderId="30" xfId="159" applyFont="1" applyFill="1" applyBorder="1" applyAlignment="1">
      <alignment horizontal="center" vertical="top"/>
    </xf>
    <xf numFmtId="0" fontId="81" fillId="5" borderId="32" xfId="159" applyFont="1" applyFill="1" applyBorder="1" applyAlignment="1">
      <alignment horizontal="center" vertical="top"/>
    </xf>
    <xf numFmtId="0" fontId="73" fillId="5" borderId="30" xfId="159" applyFont="1" applyFill="1" applyBorder="1" applyAlignment="1">
      <alignment horizontal="center" vertical="top"/>
    </xf>
    <xf numFmtId="0" fontId="73" fillId="5" borderId="32" xfId="159" applyFont="1" applyFill="1" applyBorder="1" applyAlignment="1">
      <alignment horizontal="center" vertical="top"/>
    </xf>
    <xf numFmtId="0" fontId="73" fillId="5" borderId="30" xfId="159" applyFont="1" applyFill="1" applyBorder="1" applyAlignment="1">
      <alignment horizontal="center" vertical="top" wrapText="1"/>
    </xf>
    <xf numFmtId="0" fontId="73" fillId="5" borderId="32" xfId="159" applyFont="1" applyFill="1" applyBorder="1" applyAlignment="1">
      <alignment horizontal="center" vertical="top" wrapText="1"/>
    </xf>
    <xf numFmtId="0" fontId="81" fillId="5" borderId="43" xfId="159" applyFont="1" applyFill="1" applyBorder="1" applyAlignment="1">
      <alignment horizontal="center" vertical="top"/>
    </xf>
    <xf numFmtId="0" fontId="81" fillId="5" borderId="44" xfId="159" applyFont="1" applyFill="1" applyBorder="1" applyAlignment="1">
      <alignment horizontal="center" vertical="top"/>
    </xf>
    <xf numFmtId="0" fontId="81" fillId="5" borderId="31" xfId="159" applyFont="1" applyFill="1" applyBorder="1" applyAlignment="1">
      <alignment horizontal="center" vertical="top"/>
    </xf>
    <xf numFmtId="0" fontId="73" fillId="5" borderId="31" xfId="159" applyFont="1" applyFill="1" applyBorder="1" applyAlignment="1">
      <alignment horizontal="center" vertical="top"/>
    </xf>
    <xf numFmtId="0" fontId="81" fillId="5" borderId="23" xfId="159" applyFont="1" applyFill="1" applyBorder="1" applyAlignment="1">
      <alignment horizontal="center" vertical="top"/>
    </xf>
    <xf numFmtId="0" fontId="73" fillId="5" borderId="20" xfId="159" applyFont="1" applyFill="1" applyBorder="1" applyAlignment="1">
      <alignment horizontal="right" vertical="top"/>
    </xf>
    <xf numFmtId="0" fontId="73" fillId="5" borderId="20" xfId="159" applyFont="1" applyFill="1" applyBorder="1" applyAlignment="1">
      <alignment horizontal="right" vertical="top" wrapText="1"/>
    </xf>
    <xf numFmtId="49" fontId="73" fillId="5" borderId="30" xfId="159" applyNumberFormat="1" applyFont="1" applyFill="1" applyBorder="1" applyAlignment="1">
      <alignment horizontal="right" vertical="top"/>
    </xf>
    <xf numFmtId="0" fontId="73" fillId="5" borderId="32" xfId="159" applyFont="1" applyFill="1" applyBorder="1" applyAlignment="1">
      <alignment horizontal="right" vertical="top"/>
    </xf>
    <xf numFmtId="0" fontId="73" fillId="5" borderId="20" xfId="159" applyFont="1" applyFill="1" applyBorder="1" applyAlignment="1">
      <alignment horizontal="justify" vertical="top" wrapText="1"/>
    </xf>
    <xf numFmtId="0" fontId="73" fillId="5" borderId="43" xfId="159" quotePrefix="1" applyFont="1" applyFill="1" applyBorder="1" applyAlignment="1">
      <alignment horizontal="right" vertical="top" wrapText="1"/>
    </xf>
    <xf numFmtId="0" fontId="73" fillId="5" borderId="44" xfId="159" quotePrefix="1" applyFont="1" applyFill="1" applyBorder="1" applyAlignment="1">
      <alignment horizontal="right" vertical="top" wrapText="1"/>
    </xf>
    <xf numFmtId="49" fontId="73" fillId="5" borderId="30" xfId="159" quotePrefix="1" applyNumberFormat="1" applyFont="1" applyFill="1" applyBorder="1" applyAlignment="1">
      <alignment horizontal="right" vertical="top"/>
    </xf>
    <xf numFmtId="0" fontId="73" fillId="5" borderId="32" xfId="159" quotePrefix="1" applyFont="1" applyFill="1" applyBorder="1" applyAlignment="1">
      <alignment horizontal="right" vertical="top"/>
    </xf>
    <xf numFmtId="49" fontId="73" fillId="5" borderId="43" xfId="159" quotePrefix="1" applyNumberFormat="1" applyFont="1" applyFill="1" applyBorder="1" applyAlignment="1">
      <alignment horizontal="right" vertical="top"/>
    </xf>
    <xf numFmtId="0" fontId="73" fillId="5" borderId="44" xfId="159" quotePrefix="1" applyFont="1" applyFill="1" applyBorder="1" applyAlignment="1">
      <alignment horizontal="right" vertical="top"/>
    </xf>
    <xf numFmtId="0" fontId="81" fillId="5" borderId="20" xfId="159" quotePrefix="1" applyFont="1" applyFill="1" applyBorder="1" applyAlignment="1">
      <alignment horizontal="left" vertical="top" wrapText="1"/>
    </xf>
    <xf numFmtId="0" fontId="73" fillId="5" borderId="20" xfId="159" quotePrefix="1" applyFont="1" applyFill="1" applyBorder="1" applyAlignment="1">
      <alignment horizontal="left" vertical="top" wrapText="1"/>
    </xf>
    <xf numFmtId="0" fontId="81" fillId="5" borderId="5" xfId="159" quotePrefix="1" applyFont="1" applyFill="1" applyBorder="1" applyAlignment="1">
      <alignment horizontal="left" vertical="top" wrapText="1"/>
    </xf>
    <xf numFmtId="0" fontId="37" fillId="6" borderId="4" xfId="81" applyFont="1" applyFill="1" applyBorder="1" applyAlignment="1">
      <alignment vertical="top" wrapText="1"/>
    </xf>
    <xf numFmtId="0" fontId="37" fillId="0" borderId="5" xfId="159" applyFont="1" applyBorder="1" applyAlignment="1">
      <alignment horizontal="center" vertical="top" wrapText="1"/>
    </xf>
    <xf numFmtId="0" fontId="62" fillId="0" borderId="0" xfId="159" applyFont="1" applyFill="1" applyBorder="1" applyAlignment="1">
      <alignment horizontal="center" vertical="top"/>
    </xf>
    <xf numFmtId="0" fontId="0" fillId="6" borderId="5" xfId="0" quotePrefix="1" applyFont="1" applyFill="1" applyBorder="1" applyAlignment="1">
      <alignment vertical="top"/>
    </xf>
    <xf numFmtId="0" fontId="0" fillId="6" borderId="5" xfId="0" quotePrefix="1" applyFont="1" applyFill="1" applyBorder="1" applyAlignment="1">
      <alignment vertical="top" wrapText="1"/>
    </xf>
    <xf numFmtId="0" fontId="0" fillId="6" borderId="5" xfId="0" quotePrefix="1" applyFont="1" applyFill="1" applyBorder="1" applyAlignment="1">
      <alignment horizontal="center" vertical="top"/>
    </xf>
    <xf numFmtId="49" fontId="44" fillId="6" borderId="44" xfId="159" applyNumberFormat="1" applyFont="1" applyFill="1" applyBorder="1" applyAlignment="1">
      <alignment horizontal="right" vertical="top" wrapText="1"/>
    </xf>
    <xf numFmtId="0" fontId="44" fillId="6" borderId="44" xfId="159" applyFont="1" applyFill="1" applyBorder="1" applyAlignment="1">
      <alignment horizontal="right" vertical="top"/>
    </xf>
    <xf numFmtId="0" fontId="44" fillId="6" borderId="5" xfId="159" applyFont="1" applyFill="1" applyBorder="1" applyAlignment="1">
      <alignment horizontal="justify" vertical="top" wrapText="1"/>
    </xf>
    <xf numFmtId="0" fontId="37" fillId="0" borderId="6" xfId="159" applyFont="1" applyBorder="1" applyAlignment="1">
      <alignment horizontal="center" vertical="top" wrapText="1"/>
    </xf>
    <xf numFmtId="0" fontId="99" fillId="0" borderId="1" xfId="159" applyFont="1" applyBorder="1" applyAlignment="1">
      <alignment horizontal="center" vertical="top" wrapText="1"/>
    </xf>
    <xf numFmtId="0" fontId="99" fillId="0" borderId="4" xfId="159" applyFont="1" applyBorder="1" applyAlignment="1">
      <alignment horizontal="center" vertical="top" wrapText="1"/>
    </xf>
    <xf numFmtId="0" fontId="44" fillId="6" borderId="5" xfId="159" applyFont="1" applyFill="1" applyBorder="1" applyAlignment="1">
      <alignment horizontal="right" vertical="top" wrapText="1"/>
    </xf>
    <xf numFmtId="0" fontId="44" fillId="6" borderId="20" xfId="159" applyFont="1" applyFill="1" applyBorder="1" applyAlignment="1">
      <alignment horizontal="right" vertical="top" wrapText="1"/>
    </xf>
    <xf numFmtId="0" fontId="44" fillId="6" borderId="21" xfId="159" applyFont="1" applyFill="1" applyBorder="1" applyAlignment="1">
      <alignment horizontal="right" vertical="top" wrapText="1"/>
    </xf>
    <xf numFmtId="0" fontId="44" fillId="6" borderId="22" xfId="159" applyFont="1" applyFill="1" applyBorder="1" applyAlignment="1">
      <alignment horizontal="right" vertical="top" wrapText="1"/>
    </xf>
    <xf numFmtId="0" fontId="56" fillId="0" borderId="0" xfId="61" applyFont="1" applyFill="1" applyAlignment="1">
      <alignment horizontal="left" vertical="center"/>
    </xf>
    <xf numFmtId="0" fontId="37" fillId="15" borderId="32" xfId="159" applyFont="1" applyFill="1" applyBorder="1" applyAlignment="1">
      <alignment horizontal="right" vertical="top" wrapText="1"/>
    </xf>
    <xf numFmtId="0" fontId="37" fillId="15" borderId="20" xfId="159" applyFont="1" applyFill="1" applyBorder="1" applyAlignment="1">
      <alignment horizontal="justify" vertical="top" wrapText="1"/>
    </xf>
    <xf numFmtId="0" fontId="37" fillId="15" borderId="4" xfId="81" quotePrefix="1" applyFont="1" applyFill="1" applyBorder="1" applyAlignment="1">
      <alignment vertical="top" wrapText="1"/>
    </xf>
    <xf numFmtId="0" fontId="0" fillId="15" borderId="5" xfId="0" quotePrefix="1" applyFont="1" applyFill="1" applyBorder="1" applyAlignment="1">
      <alignment vertical="top"/>
    </xf>
    <xf numFmtId="0" fontId="0" fillId="15" borderId="5" xfId="0" quotePrefix="1" applyFont="1" applyFill="1" applyBorder="1" applyAlignment="1">
      <alignment vertical="top" wrapText="1"/>
    </xf>
    <xf numFmtId="0" fontId="0" fillId="15" borderId="5" xfId="0" quotePrefix="1" applyFont="1" applyFill="1" applyBorder="1" applyAlignment="1">
      <alignment horizontal="center" vertical="top"/>
    </xf>
    <xf numFmtId="212" fontId="0" fillId="6" borderId="5" xfId="0" applyNumberFormat="1" applyFont="1" applyFill="1" applyBorder="1" applyAlignment="1">
      <alignment horizontal="center" vertical="top"/>
    </xf>
    <xf numFmtId="0" fontId="0" fillId="6" borderId="5" xfId="0" applyFont="1" applyFill="1" applyBorder="1" applyAlignment="1">
      <alignment horizontal="center" vertical="top"/>
    </xf>
    <xf numFmtId="0" fontId="37" fillId="15" borderId="35" xfId="159" applyFont="1" applyFill="1" applyBorder="1" applyAlignment="1">
      <alignment horizontal="right" vertical="top" wrapText="1"/>
    </xf>
    <xf numFmtId="0" fontId="37" fillId="15" borderId="67" xfId="159" applyFont="1" applyFill="1" applyBorder="1" applyAlignment="1">
      <alignment horizontal="right" vertical="top" wrapText="1"/>
    </xf>
    <xf numFmtId="0" fontId="79" fillId="0" borderId="0" xfId="159" applyFont="1" applyFill="1" applyAlignment="1">
      <alignment horizontal="center" vertical="top"/>
    </xf>
    <xf numFmtId="215" fontId="37" fillId="15" borderId="5" xfId="61" applyNumberFormat="1" applyFont="1" applyFill="1" applyBorder="1" applyAlignment="1">
      <alignment horizontal="center" vertical="center"/>
    </xf>
    <xf numFmtId="215" fontId="37" fillId="16" borderId="5" xfId="61" applyNumberFormat="1" applyFont="1" applyFill="1" applyBorder="1" applyAlignment="1">
      <alignment horizontal="center" vertical="center"/>
    </xf>
    <xf numFmtId="0" fontId="0" fillId="17" borderId="5" xfId="0" applyFont="1" applyFill="1" applyBorder="1" applyAlignment="1">
      <alignment vertical="top"/>
    </xf>
    <xf numFmtId="0" fontId="0" fillId="17" borderId="5" xfId="0" applyFont="1" applyFill="1" applyBorder="1" applyAlignment="1">
      <alignment horizontal="center" vertical="top"/>
    </xf>
    <xf numFmtId="0" fontId="0" fillId="17" borderId="5" xfId="0" applyFont="1" applyFill="1" applyBorder="1" applyAlignment="1">
      <alignment vertical="top" wrapText="1"/>
    </xf>
    <xf numFmtId="0" fontId="0" fillId="17" borderId="5" xfId="0" quotePrefix="1" applyFont="1" applyFill="1" applyBorder="1" applyAlignment="1">
      <alignment vertical="top"/>
    </xf>
    <xf numFmtId="0" fontId="37" fillId="17" borderId="5" xfId="159" quotePrefix="1" applyFont="1" applyFill="1" applyBorder="1" applyAlignment="1">
      <alignment horizontal="left" vertical="top" wrapText="1"/>
    </xf>
    <xf numFmtId="0" fontId="0" fillId="0" borderId="5" xfId="0" applyFont="1" applyFill="1" applyBorder="1" applyAlignment="1">
      <alignment horizontal="center" vertical="top"/>
    </xf>
    <xf numFmtId="0" fontId="0" fillId="17" borderId="5" xfId="0" quotePrefix="1" applyFont="1" applyFill="1" applyBorder="1" applyAlignment="1">
      <alignment vertical="top" wrapText="1"/>
    </xf>
    <xf numFmtId="0" fontId="44" fillId="17" borderId="32" xfId="159" applyFont="1" applyFill="1" applyBorder="1" applyAlignment="1">
      <alignment horizontal="right" vertical="top" wrapText="1"/>
    </xf>
    <xf numFmtId="0" fontId="37" fillId="17" borderId="5" xfId="159" applyFont="1" applyFill="1" applyBorder="1" applyAlignment="1">
      <alignment horizontal="justify" vertical="top" wrapText="1"/>
    </xf>
    <xf numFmtId="0" fontId="37" fillId="17" borderId="20" xfId="159" applyFont="1" applyFill="1" applyBorder="1" applyAlignment="1">
      <alignment horizontal="justify" vertical="top" wrapText="1"/>
    </xf>
    <xf numFmtId="0" fontId="37" fillId="17" borderId="21" xfId="159" applyFont="1" applyFill="1" applyBorder="1" applyAlignment="1">
      <alignment horizontal="justify" vertical="top" wrapText="1"/>
    </xf>
    <xf numFmtId="0" fontId="37" fillId="17" borderId="22" xfId="159" applyFont="1" applyFill="1" applyBorder="1" applyAlignment="1">
      <alignment horizontal="justify" vertical="top" wrapText="1"/>
    </xf>
    <xf numFmtId="0" fontId="44" fillId="17" borderId="20" xfId="159" applyFont="1" applyFill="1" applyBorder="1" applyAlignment="1">
      <alignment horizontal="right" vertical="top"/>
    </xf>
    <xf numFmtId="0" fontId="44" fillId="17" borderId="20" xfId="159" applyFont="1" applyFill="1" applyBorder="1" applyAlignment="1">
      <alignment horizontal="right" vertical="top" wrapText="1"/>
    </xf>
    <xf numFmtId="0" fontId="44" fillId="17" borderId="21" xfId="159" applyFont="1" applyFill="1" applyBorder="1" applyAlignment="1">
      <alignment horizontal="right" vertical="top"/>
    </xf>
    <xf numFmtId="0" fontId="44" fillId="17" borderId="21" xfId="159" applyFont="1" applyFill="1" applyBorder="1" applyAlignment="1">
      <alignment horizontal="right" vertical="top" wrapText="1"/>
    </xf>
    <xf numFmtId="0" fontId="44" fillId="17" borderId="22" xfId="159" applyFont="1" applyFill="1" applyBorder="1" applyAlignment="1">
      <alignment horizontal="right" vertical="top"/>
    </xf>
    <xf numFmtId="0" fontId="44" fillId="17" borderId="22" xfId="159" applyFont="1" applyFill="1" applyBorder="1" applyAlignment="1">
      <alignment horizontal="right" vertical="top" wrapText="1"/>
    </xf>
    <xf numFmtId="0" fontId="44" fillId="17" borderId="5" xfId="159" applyFont="1" applyFill="1" applyBorder="1" applyAlignment="1">
      <alignment horizontal="right" vertical="top"/>
    </xf>
    <xf numFmtId="0" fontId="44" fillId="17" borderId="5" xfId="159" applyFont="1" applyFill="1" applyBorder="1" applyAlignment="1">
      <alignment horizontal="right" vertical="top" wrapText="1"/>
    </xf>
    <xf numFmtId="0" fontId="44" fillId="17" borderId="43" xfId="159" applyFont="1" applyFill="1" applyBorder="1" applyAlignment="1">
      <alignment horizontal="right" vertical="top" wrapText="1"/>
    </xf>
    <xf numFmtId="49" fontId="44" fillId="17" borderId="44" xfId="159" applyNumberFormat="1" applyFont="1" applyFill="1" applyBorder="1" applyAlignment="1">
      <alignment horizontal="right" vertical="top" wrapText="1"/>
    </xf>
    <xf numFmtId="0" fontId="44" fillId="17" borderId="44" xfId="159" applyFont="1" applyFill="1" applyBorder="1" applyAlignment="1">
      <alignment horizontal="right" vertical="top" wrapText="1"/>
    </xf>
    <xf numFmtId="0" fontId="44" fillId="17" borderId="44" xfId="159" quotePrefix="1" applyFont="1" applyFill="1" applyBorder="1" applyAlignment="1">
      <alignment horizontal="right" vertical="top" wrapText="1"/>
    </xf>
    <xf numFmtId="0" fontId="44" fillId="17" borderId="35" xfId="159" applyFont="1" applyFill="1" applyBorder="1" applyAlignment="1">
      <alignment horizontal="right" vertical="top" wrapText="1"/>
    </xf>
    <xf numFmtId="0" fontId="44" fillId="17" borderId="67" xfId="159" applyFont="1" applyFill="1" applyBorder="1" applyAlignment="1">
      <alignment horizontal="right" vertical="top" wrapText="1"/>
    </xf>
    <xf numFmtId="0" fontId="44" fillId="17" borderId="44" xfId="159" applyFont="1" applyFill="1" applyBorder="1" applyAlignment="1">
      <alignment horizontal="right" vertical="top"/>
    </xf>
    <xf numFmtId="0" fontId="44" fillId="17" borderId="32" xfId="159" applyFont="1" applyFill="1" applyBorder="1" applyAlignment="1">
      <alignment horizontal="right" vertical="top"/>
    </xf>
    <xf numFmtId="0" fontId="44" fillId="17" borderId="35" xfId="159" applyFont="1" applyFill="1" applyBorder="1" applyAlignment="1">
      <alignment horizontal="right" vertical="top"/>
    </xf>
    <xf numFmtId="0" fontId="44" fillId="17" borderId="67" xfId="159" applyFont="1" applyFill="1" applyBorder="1" applyAlignment="1">
      <alignment horizontal="right" vertical="top"/>
    </xf>
    <xf numFmtId="0" fontId="44" fillId="17" borderId="5" xfId="159" applyFont="1" applyFill="1" applyBorder="1" applyAlignment="1">
      <alignment horizontal="justify" vertical="top" wrapText="1"/>
    </xf>
    <xf numFmtId="0" fontId="44" fillId="17" borderId="20" xfId="159" applyFont="1" applyFill="1" applyBorder="1" applyAlignment="1">
      <alignment horizontal="justify" vertical="top" wrapText="1"/>
    </xf>
    <xf numFmtId="0" fontId="44" fillId="17" borderId="21" xfId="159" applyFont="1" applyFill="1" applyBorder="1" applyAlignment="1">
      <alignment horizontal="justify" vertical="top" wrapText="1"/>
    </xf>
    <xf numFmtId="0" fontId="44" fillId="17" borderId="22" xfId="159" applyFont="1" applyFill="1" applyBorder="1" applyAlignment="1">
      <alignment horizontal="justify" vertical="top" wrapText="1"/>
    </xf>
    <xf numFmtId="213" fontId="0" fillId="6" borderId="5" xfId="0" applyNumberFormat="1" applyFill="1" applyBorder="1" applyAlignment="1">
      <alignment horizontal="center" vertical="top"/>
    </xf>
    <xf numFmtId="213" fontId="0" fillId="15" borderId="5" xfId="0" applyNumberFormat="1" applyFill="1" applyBorder="1" applyAlignment="1">
      <alignment horizontal="center" vertical="top"/>
    </xf>
    <xf numFmtId="212" fontId="0" fillId="15" borderId="5" xfId="0" applyNumberFormat="1" applyFont="1" applyFill="1" applyBorder="1" applyAlignment="1">
      <alignment horizontal="center" vertical="top"/>
    </xf>
    <xf numFmtId="0" fontId="0" fillId="15" borderId="5" xfId="0" applyFont="1" applyFill="1" applyBorder="1" applyAlignment="1">
      <alignment horizontal="center" vertical="top"/>
    </xf>
    <xf numFmtId="213" fontId="0" fillId="18" borderId="5" xfId="0" applyNumberFormat="1" applyFill="1" applyBorder="1" applyAlignment="1">
      <alignment horizontal="center" vertical="top"/>
    </xf>
    <xf numFmtId="0" fontId="0" fillId="18" borderId="5" xfId="0" applyFont="1" applyFill="1" applyBorder="1" applyAlignment="1">
      <alignment horizontal="center" vertical="top"/>
    </xf>
    <xf numFmtId="0" fontId="0" fillId="18" borderId="5" xfId="0" applyFont="1" applyFill="1" applyBorder="1" applyAlignment="1">
      <alignment vertical="top"/>
    </xf>
    <xf numFmtId="0" fontId="0" fillId="18" borderId="5" xfId="0" quotePrefix="1" applyFont="1" applyFill="1" applyBorder="1" applyAlignment="1">
      <alignment vertical="top" wrapText="1"/>
    </xf>
    <xf numFmtId="0" fontId="44" fillId="18" borderId="20" xfId="159" applyFont="1" applyFill="1" applyBorder="1" applyAlignment="1">
      <alignment horizontal="left" vertical="top" wrapText="1"/>
    </xf>
    <xf numFmtId="213" fontId="0" fillId="19" borderId="5" xfId="0" applyNumberFormat="1" applyFill="1" applyBorder="1" applyAlignment="1">
      <alignment horizontal="center" vertical="top"/>
    </xf>
    <xf numFmtId="212" fontId="0" fillId="19" borderId="5" xfId="0" applyNumberFormat="1" applyFont="1" applyFill="1" applyBorder="1" applyAlignment="1">
      <alignment horizontal="center" vertical="top"/>
    </xf>
    <xf numFmtId="0" fontId="0" fillId="19" borderId="5" xfId="0" applyFont="1" applyFill="1" applyBorder="1" applyAlignment="1">
      <alignment horizontal="center" vertical="top"/>
    </xf>
    <xf numFmtId="0" fontId="0" fillId="19" borderId="5" xfId="0" applyFont="1" applyFill="1" applyBorder="1" applyAlignment="1">
      <alignment vertical="top"/>
    </xf>
    <xf numFmtId="0" fontId="0" fillId="19" borderId="5" xfId="0" quotePrefix="1" applyFont="1" applyFill="1" applyBorder="1" applyAlignment="1">
      <alignment vertical="top" wrapText="1"/>
    </xf>
    <xf numFmtId="0" fontId="0" fillId="19" borderId="5" xfId="0" applyFont="1" applyFill="1" applyBorder="1" applyAlignment="1">
      <alignment vertical="top" wrapText="1"/>
    </xf>
    <xf numFmtId="0" fontId="37" fillId="19" borderId="5" xfId="159" applyFont="1" applyFill="1" applyBorder="1" applyAlignment="1">
      <alignment horizontal="center" vertical="top"/>
    </xf>
    <xf numFmtId="0" fontId="101" fillId="19" borderId="5" xfId="159" quotePrefix="1" applyFont="1" applyFill="1" applyBorder="1" applyAlignment="1">
      <alignment horizontal="left" vertical="top" wrapText="1"/>
    </xf>
    <xf numFmtId="0" fontId="37" fillId="19" borderId="5" xfId="159" applyFont="1" applyFill="1" applyBorder="1" applyAlignment="1">
      <alignment horizontal="left" vertical="top" wrapText="1"/>
    </xf>
    <xf numFmtId="0" fontId="101" fillId="19" borderId="5" xfId="159" applyFont="1" applyFill="1" applyBorder="1" applyAlignment="1">
      <alignment horizontal="left" vertical="top" wrapText="1"/>
    </xf>
    <xf numFmtId="0" fontId="44" fillId="19" borderId="5" xfId="159" quotePrefix="1" applyFont="1" applyFill="1" applyBorder="1" applyAlignment="1">
      <alignment horizontal="left" vertical="top" wrapText="1"/>
    </xf>
    <xf numFmtId="0" fontId="37" fillId="19" borderId="5" xfId="159" quotePrefix="1" applyFont="1" applyFill="1" applyBorder="1" applyAlignment="1">
      <alignment horizontal="left" vertical="top" wrapText="1"/>
    </xf>
    <xf numFmtId="49" fontId="37" fillId="19" borderId="44" xfId="159" applyNumberFormat="1" applyFont="1" applyFill="1" applyBorder="1" applyAlignment="1">
      <alignment horizontal="right" vertical="top" wrapText="1"/>
    </xf>
    <xf numFmtId="0" fontId="37" fillId="19" borderId="44" xfId="159" applyFont="1" applyFill="1" applyBorder="1" applyAlignment="1">
      <alignment horizontal="right" vertical="top"/>
    </xf>
    <xf numFmtId="213" fontId="0" fillId="20" borderId="5" xfId="0" applyNumberFormat="1" applyFill="1" applyBorder="1" applyAlignment="1">
      <alignment horizontal="center" vertical="top"/>
    </xf>
    <xf numFmtId="0" fontId="0" fillId="20" borderId="5" xfId="0" applyFont="1" applyFill="1" applyBorder="1" applyAlignment="1">
      <alignment horizontal="center" vertical="top"/>
    </xf>
    <xf numFmtId="0" fontId="0" fillId="20" borderId="5" xfId="0" applyFont="1" applyFill="1" applyBorder="1" applyAlignment="1">
      <alignment vertical="top"/>
    </xf>
    <xf numFmtId="0" fontId="0" fillId="20" borderId="5" xfId="0" quotePrefix="1" applyFont="1" applyFill="1" applyBorder="1" applyAlignment="1">
      <alignment vertical="top" wrapText="1"/>
    </xf>
    <xf numFmtId="0" fontId="44" fillId="20" borderId="32" xfId="159" applyFont="1" applyFill="1" applyBorder="1" applyAlignment="1">
      <alignment horizontal="right" vertical="top" wrapText="1"/>
    </xf>
    <xf numFmtId="0" fontId="44" fillId="20" borderId="32" xfId="159" applyFont="1" applyFill="1" applyBorder="1" applyAlignment="1">
      <alignment horizontal="right" vertical="top"/>
    </xf>
    <xf numFmtId="0" fontId="37" fillId="20" borderId="20" xfId="159" applyFont="1" applyFill="1" applyBorder="1" applyAlignment="1">
      <alignment horizontal="justify" vertical="top" wrapText="1"/>
    </xf>
    <xf numFmtId="0" fontId="0" fillId="0" borderId="6" xfId="0" applyFont="1" applyFill="1" applyBorder="1" applyAlignment="1">
      <alignment horizontal="center" vertical="top"/>
    </xf>
    <xf numFmtId="0" fontId="0" fillId="0" borderId="1" xfId="0" applyFont="1" applyFill="1" applyBorder="1" applyAlignment="1">
      <alignment horizontal="center" vertical="top"/>
    </xf>
    <xf numFmtId="0" fontId="0" fillId="0" borderId="4" xfId="0" applyFont="1" applyFill="1" applyBorder="1" applyAlignment="1">
      <alignment horizontal="center" vertical="top"/>
    </xf>
    <xf numFmtId="213" fontId="0" fillId="15" borderId="5" xfId="0" applyNumberFormat="1" applyFill="1" applyBorder="1" applyAlignment="1">
      <alignment horizontal="center" vertical="top"/>
    </xf>
    <xf numFmtId="0" fontId="0" fillId="15" borderId="5" xfId="0" applyFont="1" applyFill="1" applyBorder="1" applyAlignment="1">
      <alignment horizontal="center" vertical="top"/>
    </xf>
    <xf numFmtId="212" fontId="0" fillId="15" borderId="5" xfId="0" applyNumberFormat="1" applyFont="1" applyFill="1" applyBorder="1" applyAlignment="1">
      <alignment horizontal="center" vertical="top"/>
    </xf>
    <xf numFmtId="212" fontId="0" fillId="0" borderId="6" xfId="0" applyNumberFormat="1" applyFont="1" applyFill="1" applyBorder="1" applyAlignment="1">
      <alignment horizontal="center" vertical="top"/>
    </xf>
    <xf numFmtId="212" fontId="0" fillId="0" borderId="4" xfId="0" applyNumberFormat="1" applyFont="1" applyFill="1" applyBorder="1" applyAlignment="1">
      <alignment horizontal="center" vertical="top"/>
    </xf>
    <xf numFmtId="213" fontId="0" fillId="0" borderId="5" xfId="0" applyNumberFormat="1" applyFont="1" applyFill="1" applyBorder="1" applyAlignment="1">
      <alignment horizontal="center" vertical="top" wrapText="1"/>
    </xf>
    <xf numFmtId="212" fontId="0" fillId="0" borderId="1" xfId="0" applyNumberFormat="1" applyFont="1" applyFill="1" applyBorder="1" applyAlignment="1">
      <alignment horizontal="center" vertical="top"/>
    </xf>
    <xf numFmtId="213" fontId="0" fillId="0" borderId="6" xfId="0" applyNumberFormat="1" applyFill="1" applyBorder="1" applyAlignment="1">
      <alignment horizontal="center" vertical="top"/>
    </xf>
    <xf numFmtId="213" fontId="0" fillId="0" borderId="1" xfId="0" applyNumberFormat="1" applyFill="1" applyBorder="1" applyAlignment="1">
      <alignment horizontal="center" vertical="top"/>
    </xf>
    <xf numFmtId="213" fontId="0" fillId="0" borderId="4" xfId="0" applyNumberFormat="1" applyFill="1" applyBorder="1" applyAlignment="1">
      <alignment horizontal="center" vertical="top"/>
    </xf>
    <xf numFmtId="0" fontId="0" fillId="0" borderId="6" xfId="0" quotePrefix="1" applyFont="1" applyFill="1" applyBorder="1" applyAlignment="1">
      <alignment horizontal="left" vertical="top"/>
    </xf>
    <xf numFmtId="0" fontId="0" fillId="0" borderId="4" xfId="0" quotePrefix="1" applyFont="1" applyFill="1" applyBorder="1" applyAlignment="1">
      <alignment horizontal="left" vertical="top"/>
    </xf>
    <xf numFmtId="213" fontId="0" fillId="0" borderId="5" xfId="0" applyNumberFormat="1" applyFill="1" applyBorder="1" applyAlignment="1">
      <alignment horizontal="center" vertical="top"/>
    </xf>
    <xf numFmtId="0" fontId="0" fillId="0" borderId="5" xfId="0" applyFont="1" applyBorder="1" applyAlignment="1">
      <alignment horizontal="center" vertical="top"/>
    </xf>
    <xf numFmtId="0" fontId="0" fillId="0" borderId="5" xfId="0" applyFont="1" applyFill="1" applyBorder="1" applyAlignment="1">
      <alignment horizontal="center" vertical="top"/>
    </xf>
    <xf numFmtId="0" fontId="0" fillId="0" borderId="6" xfId="0" quotePrefix="1" applyFont="1" applyFill="1" applyBorder="1" applyAlignment="1">
      <alignment vertical="top"/>
    </xf>
    <xf numFmtId="0" fontId="0" fillId="0" borderId="1" xfId="0" quotePrefix="1" applyFont="1" applyFill="1" applyBorder="1" applyAlignment="1">
      <alignment vertical="top"/>
    </xf>
    <xf numFmtId="0" fontId="0" fillId="0" borderId="4" xfId="0" quotePrefix="1" applyFont="1" applyFill="1" applyBorder="1" applyAlignment="1">
      <alignment vertical="top"/>
    </xf>
    <xf numFmtId="213" fontId="0" fillId="0" borderId="8" xfId="0" applyNumberFormat="1" applyFont="1" applyFill="1" applyBorder="1" applyAlignment="1">
      <alignment horizontal="center" vertical="top"/>
    </xf>
    <xf numFmtId="213" fontId="0" fillId="0" borderId="0" xfId="0" applyNumberFormat="1" applyFont="1" applyFill="1" applyBorder="1" applyAlignment="1">
      <alignment horizontal="center" vertical="top"/>
    </xf>
    <xf numFmtId="213" fontId="0" fillId="17" borderId="6" xfId="0" applyNumberFormat="1" applyFill="1" applyBorder="1" applyAlignment="1">
      <alignment horizontal="center" vertical="top"/>
    </xf>
    <xf numFmtId="213" fontId="0" fillId="17" borderId="4" xfId="0" applyNumberFormat="1" applyFill="1" applyBorder="1" applyAlignment="1">
      <alignment horizontal="center" vertical="top"/>
    </xf>
    <xf numFmtId="213" fontId="0" fillId="0" borderId="1" xfId="0" applyNumberFormat="1" applyFont="1" applyFill="1" applyBorder="1" applyAlignment="1">
      <alignment horizontal="center" vertical="top"/>
    </xf>
    <xf numFmtId="213" fontId="0" fillId="0" borderId="4" xfId="0" applyNumberFormat="1" applyFont="1" applyFill="1" applyBorder="1" applyAlignment="1">
      <alignment horizontal="center" vertical="top"/>
    </xf>
    <xf numFmtId="213" fontId="0" fillId="0" borderId="6" xfId="0" quotePrefix="1" applyNumberFormat="1" applyFill="1" applyBorder="1" applyAlignment="1">
      <alignment horizontal="center" vertical="top"/>
    </xf>
    <xf numFmtId="213" fontId="0" fillId="0" borderId="1" xfId="0" quotePrefix="1" applyNumberFormat="1" applyFill="1" applyBorder="1" applyAlignment="1">
      <alignment horizontal="center" vertical="top"/>
    </xf>
    <xf numFmtId="213" fontId="0" fillId="0" borderId="4" xfId="0" quotePrefix="1" applyNumberFormat="1" applyFill="1" applyBorder="1" applyAlignment="1">
      <alignment horizontal="center" vertical="top"/>
    </xf>
    <xf numFmtId="213" fontId="0" fillId="0" borderId="6" xfId="0" applyNumberFormat="1" applyBorder="1" applyAlignment="1">
      <alignment horizontal="center" vertical="top"/>
    </xf>
    <xf numFmtId="213" fontId="0" fillId="0" borderId="4" xfId="0" applyNumberFormat="1" applyBorder="1" applyAlignment="1">
      <alignment horizontal="center" vertical="top"/>
    </xf>
    <xf numFmtId="0" fontId="31" fillId="0" borderId="23" xfId="61" applyFont="1" applyFill="1" applyBorder="1" applyAlignment="1">
      <alignment horizontal="center" vertical="top"/>
    </xf>
    <xf numFmtId="0" fontId="31" fillId="0" borderId="25" xfId="61" applyFont="1" applyFill="1" applyBorder="1" applyAlignment="1">
      <alignment horizontal="center" vertical="top"/>
    </xf>
    <xf numFmtId="0" fontId="31" fillId="0" borderId="27" xfId="61" applyFont="1" applyFill="1" applyBorder="1" applyAlignment="1">
      <alignment horizontal="center" vertical="top"/>
    </xf>
    <xf numFmtId="49" fontId="31" fillId="0" borderId="9" xfId="61" applyNumberFormat="1" applyFont="1" applyFill="1" applyBorder="1" applyAlignment="1">
      <alignment horizontal="center" vertical="top"/>
    </xf>
    <xf numFmtId="49" fontId="31" fillId="0" borderId="11" xfId="61" applyNumberFormat="1" applyFont="1" applyFill="1" applyBorder="1" applyAlignment="1">
      <alignment horizontal="center" vertical="top"/>
    </xf>
    <xf numFmtId="0" fontId="31" fillId="0" borderId="9" xfId="61" applyFont="1" applyFill="1" applyBorder="1" applyAlignment="1">
      <alignment horizontal="center" vertical="top"/>
    </xf>
    <xf numFmtId="0" fontId="31" fillId="0" borderId="11" xfId="61" applyFont="1" applyFill="1" applyBorder="1" applyAlignment="1">
      <alignment horizontal="center" vertical="top"/>
    </xf>
    <xf numFmtId="0" fontId="31" fillId="0" borderId="14" xfId="61" applyFont="1" applyFill="1" applyBorder="1" applyAlignment="1">
      <alignment horizontal="center" vertical="top"/>
    </xf>
    <xf numFmtId="0" fontId="31" fillId="0" borderId="23" xfId="61" applyFont="1" applyBorder="1" applyAlignment="1">
      <alignment horizontal="center" vertical="top"/>
    </xf>
    <xf numFmtId="0" fontId="31" fillId="5" borderId="23" xfId="61" applyFont="1" applyFill="1" applyBorder="1" applyAlignment="1">
      <alignment horizontal="center" vertical="top"/>
    </xf>
    <xf numFmtId="0" fontId="31" fillId="0" borderId="44" xfId="61" applyFont="1" applyBorder="1" applyAlignment="1">
      <alignment horizontal="center" vertical="top"/>
    </xf>
    <xf numFmtId="0" fontId="31" fillId="5" borderId="3" xfId="61" applyFont="1" applyFill="1" applyBorder="1" applyAlignment="1">
      <alignment horizontal="center" vertical="top"/>
    </xf>
    <xf numFmtId="49" fontId="31" fillId="0" borderId="25" xfId="61" applyNumberFormat="1" applyFont="1" applyFill="1" applyBorder="1" applyAlignment="1">
      <alignment horizontal="center" vertical="top"/>
    </xf>
    <xf numFmtId="49" fontId="31" fillId="0" borderId="27" xfId="61" applyNumberFormat="1" applyFont="1" applyFill="1" applyBorder="1" applyAlignment="1">
      <alignment horizontal="center" vertical="top"/>
    </xf>
    <xf numFmtId="0" fontId="31" fillId="0" borderId="25" xfId="61" applyFont="1" applyBorder="1" applyAlignment="1">
      <alignment horizontal="center" vertical="top"/>
    </xf>
    <xf numFmtId="0" fontId="31" fillId="0" borderId="27" xfId="61" applyFont="1" applyBorder="1" applyAlignment="1">
      <alignment horizontal="center" vertical="top"/>
    </xf>
    <xf numFmtId="0" fontId="31" fillId="0" borderId="45" xfId="61" applyFont="1" applyBorder="1" applyAlignment="1">
      <alignment horizontal="center" vertical="top"/>
    </xf>
    <xf numFmtId="0" fontId="31" fillId="0" borderId="28" xfId="61" applyFont="1" applyBorder="1" applyAlignment="1">
      <alignment horizontal="center" vertical="top"/>
    </xf>
    <xf numFmtId="0" fontId="31" fillId="5" borderId="44" xfId="61" applyFont="1" applyFill="1" applyBorder="1" applyAlignment="1">
      <alignment horizontal="center" vertical="top"/>
    </xf>
    <xf numFmtId="0" fontId="31" fillId="0" borderId="43" xfId="61" applyFont="1" applyBorder="1" applyAlignment="1">
      <alignment horizontal="center" vertical="top"/>
    </xf>
    <xf numFmtId="0" fontId="31" fillId="5" borderId="24" xfId="61" applyFont="1" applyFill="1" applyBorder="1" applyAlignment="1">
      <alignment horizontal="center" vertical="top"/>
    </xf>
    <xf numFmtId="0" fontId="31" fillId="5" borderId="26" xfId="61" applyFont="1" applyFill="1" applyBorder="1" applyAlignment="1">
      <alignment horizontal="center" vertical="top"/>
    </xf>
    <xf numFmtId="0" fontId="38" fillId="0" borderId="25" xfId="61" applyFont="1" applyBorder="1" applyAlignment="1">
      <alignment horizontal="center" vertical="top"/>
    </xf>
    <xf numFmtId="0" fontId="38" fillId="0" borderId="27" xfId="61" applyFont="1" applyBorder="1" applyAlignment="1">
      <alignment horizontal="center" vertical="top"/>
    </xf>
    <xf numFmtId="0" fontId="31" fillId="8" borderId="25" xfId="61" applyFont="1" applyFill="1" applyBorder="1" applyAlignment="1">
      <alignment horizontal="center" vertical="top"/>
    </xf>
    <xf numFmtId="0" fontId="31" fillId="8" borderId="27" xfId="61" applyFont="1" applyFill="1" applyBorder="1" applyAlignment="1">
      <alignment horizontal="center" vertical="top"/>
    </xf>
    <xf numFmtId="0" fontId="31" fillId="8" borderId="64" xfId="61" applyFont="1" applyFill="1" applyBorder="1" applyAlignment="1">
      <alignment horizontal="center" vertical="top"/>
    </xf>
    <xf numFmtId="0" fontId="31" fillId="0" borderId="44" xfId="61" applyFont="1" applyFill="1" applyBorder="1" applyAlignment="1">
      <alignment horizontal="center" vertical="top"/>
    </xf>
    <xf numFmtId="0" fontId="31" fillId="8" borderId="45" xfId="61" applyFont="1" applyFill="1" applyBorder="1" applyAlignment="1">
      <alignment horizontal="center" vertical="top"/>
    </xf>
    <xf numFmtId="0" fontId="31" fillId="8" borderId="28" xfId="61" applyFont="1" applyFill="1" applyBorder="1" applyAlignment="1">
      <alignment horizontal="center" vertical="top"/>
    </xf>
    <xf numFmtId="0" fontId="31" fillId="8" borderId="44" xfId="61" applyFont="1" applyFill="1" applyBorder="1" applyAlignment="1">
      <alignment horizontal="center" vertical="top"/>
    </xf>
    <xf numFmtId="0" fontId="31" fillId="0" borderId="24" xfId="61" applyFont="1" applyBorder="1" applyAlignment="1">
      <alignment horizontal="center" vertical="top"/>
    </xf>
    <xf numFmtId="0" fontId="31" fillId="0" borderId="26" xfId="61" applyFont="1" applyBorder="1" applyAlignment="1">
      <alignment horizontal="center" vertical="top"/>
    </xf>
    <xf numFmtId="0" fontId="31" fillId="0" borderId="7" xfId="61" applyFont="1" applyBorder="1" applyAlignment="1">
      <alignment horizontal="center" vertical="top" wrapText="1"/>
    </xf>
    <xf numFmtId="0" fontId="31" fillId="0" borderId="9" xfId="61" applyFont="1" applyBorder="1" applyAlignment="1">
      <alignment horizontal="center" vertical="top" wrapText="1"/>
    </xf>
    <xf numFmtId="0" fontId="31" fillId="0" borderId="8" xfId="61" applyFont="1" applyBorder="1" applyAlignment="1">
      <alignment horizontal="center" vertical="top" wrapText="1"/>
    </xf>
    <xf numFmtId="0" fontId="31" fillId="0" borderId="3" xfId="61" applyFont="1" applyBorder="1" applyAlignment="1">
      <alignment horizontal="center" vertical="top" wrapText="1"/>
    </xf>
    <xf numFmtId="0" fontId="31" fillId="0" borderId="14" xfId="61" applyFont="1" applyBorder="1" applyAlignment="1">
      <alignment horizontal="center" vertical="top" wrapText="1"/>
    </xf>
    <xf numFmtId="0" fontId="31" fillId="0" borderId="46" xfId="61" applyFont="1" applyBorder="1" applyAlignment="1">
      <alignment horizontal="center" vertical="top" wrapText="1"/>
    </xf>
    <xf numFmtId="0" fontId="31" fillId="0" borderId="43" xfId="61" applyFont="1" applyBorder="1" applyAlignment="1">
      <alignment horizontal="center" vertical="top" wrapText="1"/>
    </xf>
    <xf numFmtId="0" fontId="31" fillId="0" borderId="23" xfId="61" applyFont="1" applyBorder="1" applyAlignment="1">
      <alignment horizontal="center" vertical="top" wrapText="1"/>
    </xf>
    <xf numFmtId="0" fontId="31" fillId="0" borderId="44" xfId="61" applyFont="1" applyBorder="1" applyAlignment="1">
      <alignment horizontal="center" vertical="top" wrapText="1"/>
    </xf>
    <xf numFmtId="0" fontId="31" fillId="0" borderId="30" xfId="61" applyFont="1" applyBorder="1" applyAlignment="1">
      <alignment horizontal="center" vertical="top"/>
    </xf>
    <xf numFmtId="0" fontId="31" fillId="0" borderId="33" xfId="61" applyFont="1" applyBorder="1" applyAlignment="1">
      <alignment horizontal="center" vertical="top"/>
    </xf>
    <xf numFmtId="0" fontId="31" fillId="0" borderId="32" xfId="61" applyFont="1" applyBorder="1" applyAlignment="1">
      <alignment horizontal="center" vertical="top"/>
    </xf>
    <xf numFmtId="0" fontId="31" fillId="0" borderId="35" xfId="61" applyFont="1" applyBorder="1" applyAlignment="1">
      <alignment horizontal="center" vertical="top"/>
    </xf>
    <xf numFmtId="49" fontId="31" fillId="0" borderId="25" xfId="61" applyNumberFormat="1" applyFont="1" applyBorder="1" applyAlignment="1">
      <alignment horizontal="center" vertical="top"/>
    </xf>
    <xf numFmtId="49" fontId="31" fillId="0" borderId="27" xfId="61" applyNumberFormat="1" applyFont="1" applyBorder="1" applyAlignment="1">
      <alignment horizontal="center" vertical="top"/>
    </xf>
    <xf numFmtId="49" fontId="39" fillId="0" borderId="25" xfId="61" applyNumberFormat="1" applyFont="1" applyFill="1" applyBorder="1" applyAlignment="1">
      <alignment horizontal="center" vertical="top"/>
    </xf>
    <xf numFmtId="49" fontId="39" fillId="0" borderId="27" xfId="61" applyNumberFormat="1" applyFont="1" applyFill="1" applyBorder="1" applyAlignment="1">
      <alignment horizontal="center" vertical="top"/>
    </xf>
    <xf numFmtId="49" fontId="31" fillId="0" borderId="45" xfId="61" applyNumberFormat="1" applyFont="1" applyBorder="1" applyAlignment="1">
      <alignment horizontal="center" vertical="top"/>
    </xf>
    <xf numFmtId="49" fontId="31" fillId="0" borderId="28" xfId="61" applyNumberFormat="1" applyFont="1" applyBorder="1" applyAlignment="1">
      <alignment horizontal="center" vertical="top"/>
    </xf>
    <xf numFmtId="49" fontId="31" fillId="8" borderId="24" xfId="61" applyNumberFormat="1" applyFont="1" applyFill="1" applyBorder="1" applyAlignment="1">
      <alignment horizontal="center" vertical="top"/>
    </xf>
    <xf numFmtId="49" fontId="31" fillId="8" borderId="26" xfId="61" applyNumberFormat="1" applyFont="1" applyFill="1" applyBorder="1" applyAlignment="1">
      <alignment horizontal="center" vertical="top"/>
    </xf>
    <xf numFmtId="0" fontId="31" fillId="0" borderId="3" xfId="61" applyFont="1" applyBorder="1" applyAlignment="1">
      <alignment horizontal="center" vertical="top"/>
    </xf>
    <xf numFmtId="0" fontId="31" fillId="0" borderId="14" xfId="61" applyFont="1" applyBorder="1" applyAlignment="1">
      <alignment horizontal="center" vertical="top"/>
    </xf>
    <xf numFmtId="24" fontId="31" fillId="0" borderId="3" xfId="61" applyNumberFormat="1" applyFont="1" applyBorder="1" applyAlignment="1">
      <alignment horizontal="center" vertical="top"/>
    </xf>
    <xf numFmtId="24" fontId="31" fillId="0" borderId="46" xfId="61" applyNumberFormat="1" applyFont="1" applyBorder="1" applyAlignment="1">
      <alignment horizontal="center" vertical="top"/>
    </xf>
    <xf numFmtId="24" fontId="31" fillId="0" borderId="14" xfId="61" applyNumberFormat="1" applyFont="1" applyBorder="1" applyAlignment="1">
      <alignment horizontal="center" vertical="top"/>
    </xf>
    <xf numFmtId="49" fontId="0" fillId="0" borderId="20" xfId="61" quotePrefix="1" applyNumberFormat="1" applyFont="1" applyBorder="1" applyAlignment="1">
      <alignment horizontal="left" vertical="top" wrapText="1"/>
    </xf>
    <xf numFmtId="49" fontId="0" fillId="0" borderId="21" xfId="61" applyNumberFormat="1" applyFont="1" applyBorder="1" applyAlignment="1">
      <alignment horizontal="left" vertical="top"/>
    </xf>
    <xf numFmtId="49" fontId="31" fillId="0" borderId="24" xfId="61" applyNumberFormat="1" applyFont="1" applyBorder="1" applyAlignment="1">
      <alignment horizontal="center" vertical="top"/>
    </xf>
    <xf numFmtId="49" fontId="31" fillId="0" borderId="26" xfId="61" applyNumberFormat="1" applyFont="1" applyBorder="1" applyAlignment="1">
      <alignment horizontal="center" vertical="top"/>
    </xf>
    <xf numFmtId="49" fontId="31" fillId="8" borderId="45" xfId="61" applyNumberFormat="1" applyFont="1" applyFill="1" applyBorder="1" applyAlignment="1">
      <alignment horizontal="center" vertical="top"/>
    </xf>
    <xf numFmtId="49" fontId="31" fillId="8" borderId="28" xfId="61" applyNumberFormat="1" applyFont="1" applyFill="1" applyBorder="1" applyAlignment="1">
      <alignment horizontal="center" vertical="top"/>
    </xf>
    <xf numFmtId="49" fontId="31" fillId="5" borderId="24" xfId="61" applyNumberFormat="1" applyFont="1" applyFill="1" applyBorder="1" applyAlignment="1">
      <alignment horizontal="center" vertical="top"/>
    </xf>
    <xf numFmtId="49" fontId="31" fillId="5" borderId="26" xfId="61" applyNumberFormat="1" applyFont="1" applyFill="1" applyBorder="1" applyAlignment="1">
      <alignment horizontal="center" vertical="top"/>
    </xf>
    <xf numFmtId="49" fontId="38" fillId="0" borderId="25" xfId="61" applyNumberFormat="1" applyFont="1" applyBorder="1" applyAlignment="1">
      <alignment horizontal="center" vertical="top"/>
    </xf>
    <xf numFmtId="49" fontId="38" fillId="0" borderId="27" xfId="61" applyNumberFormat="1" applyFont="1" applyBorder="1" applyAlignment="1">
      <alignment horizontal="center" vertical="top"/>
    </xf>
    <xf numFmtId="49" fontId="31" fillId="8" borderId="25" xfId="61" applyNumberFormat="1" applyFont="1" applyFill="1" applyBorder="1" applyAlignment="1">
      <alignment horizontal="center" vertical="top"/>
    </xf>
    <xf numFmtId="49" fontId="31" fillId="8" borderId="27" xfId="61" applyNumberFormat="1" applyFont="1" applyFill="1" applyBorder="1" applyAlignment="1">
      <alignment horizontal="center" vertical="top"/>
    </xf>
    <xf numFmtId="49" fontId="31" fillId="0" borderId="45" xfId="61" applyNumberFormat="1" applyFont="1" applyFill="1" applyBorder="1" applyAlignment="1">
      <alignment horizontal="center" vertical="top"/>
    </xf>
    <xf numFmtId="49" fontId="31" fillId="0" borderId="28" xfId="61" applyNumberFormat="1" applyFont="1" applyFill="1" applyBorder="1" applyAlignment="1">
      <alignment horizontal="center" vertical="top"/>
    </xf>
    <xf numFmtId="49" fontId="31" fillId="0" borderId="41" xfId="61" applyNumberFormat="1" applyFont="1" applyBorder="1" applyAlignment="1">
      <alignment horizontal="center" vertical="top"/>
    </xf>
    <xf numFmtId="49" fontId="31" fillId="0" borderId="56" xfId="61" applyNumberFormat="1" applyFont="1" applyBorder="1" applyAlignment="1">
      <alignment horizontal="center" vertical="top"/>
    </xf>
    <xf numFmtId="49" fontId="31" fillId="0" borderId="42" xfId="61" applyNumberFormat="1" applyFont="1" applyBorder="1" applyAlignment="1">
      <alignment horizontal="center" vertical="top"/>
    </xf>
    <xf numFmtId="49" fontId="31" fillId="0" borderId="54" xfId="61" applyNumberFormat="1" applyFont="1" applyBorder="1" applyAlignment="1">
      <alignment horizontal="center" vertical="top"/>
    </xf>
    <xf numFmtId="49" fontId="31" fillId="5" borderId="25" xfId="61" applyNumberFormat="1" applyFont="1" applyFill="1" applyBorder="1" applyAlignment="1">
      <alignment horizontal="center" vertical="top"/>
    </xf>
    <xf numFmtId="49" fontId="31" fillId="5" borderId="27" xfId="61" applyNumberFormat="1" applyFont="1" applyFill="1" applyBorder="1" applyAlignment="1">
      <alignment horizontal="center" vertical="top"/>
    </xf>
    <xf numFmtId="49" fontId="31" fillId="5" borderId="45" xfId="61" applyNumberFormat="1" applyFont="1" applyFill="1" applyBorder="1" applyAlignment="1">
      <alignment horizontal="center" vertical="top"/>
    </xf>
    <xf numFmtId="49" fontId="31" fillId="5" borderId="28" xfId="61" applyNumberFormat="1" applyFont="1" applyFill="1" applyBorder="1" applyAlignment="1">
      <alignment horizontal="center" vertical="top"/>
    </xf>
    <xf numFmtId="49" fontId="31" fillId="0" borderId="57" xfId="61" applyNumberFormat="1" applyFont="1" applyBorder="1" applyAlignment="1">
      <alignment horizontal="center" vertical="top"/>
    </xf>
    <xf numFmtId="49" fontId="31" fillId="0" borderId="55" xfId="61" applyNumberFormat="1" applyFont="1" applyBorder="1" applyAlignment="1">
      <alignment horizontal="center" vertical="top"/>
    </xf>
    <xf numFmtId="0" fontId="31" fillId="5" borderId="25" xfId="61" applyFont="1" applyFill="1" applyBorder="1" applyAlignment="1">
      <alignment horizontal="center" vertical="top"/>
    </xf>
    <xf numFmtId="0" fontId="31" fillId="5" borderId="27" xfId="61" applyFont="1" applyFill="1" applyBorder="1" applyAlignment="1">
      <alignment horizontal="center" vertical="top"/>
    </xf>
    <xf numFmtId="0" fontId="31" fillId="5" borderId="45" xfId="61" applyFont="1" applyFill="1" applyBorder="1" applyAlignment="1">
      <alignment horizontal="center" vertical="top"/>
    </xf>
    <xf numFmtId="0" fontId="31" fillId="5" borderId="28" xfId="61" applyFont="1" applyFill="1" applyBorder="1" applyAlignment="1">
      <alignment horizontal="center" vertical="top"/>
    </xf>
    <xf numFmtId="0" fontId="39" fillId="0" borderId="25" xfId="61" applyFont="1" applyBorder="1" applyAlignment="1">
      <alignment horizontal="center" vertical="top"/>
    </xf>
    <xf numFmtId="0" fontId="39" fillId="0" borderId="27" xfId="61" applyFont="1" applyBorder="1" applyAlignment="1">
      <alignment horizontal="center" vertical="top"/>
    </xf>
    <xf numFmtId="0" fontId="31" fillId="8" borderId="24" xfId="61" applyFont="1" applyFill="1" applyBorder="1" applyAlignment="1">
      <alignment horizontal="center" vertical="top"/>
    </xf>
    <xf numFmtId="0" fontId="31" fillId="8" borderId="26" xfId="61" applyFont="1" applyFill="1" applyBorder="1" applyAlignment="1">
      <alignment horizontal="center" vertical="top"/>
    </xf>
    <xf numFmtId="0" fontId="31" fillId="0" borderId="51" xfId="61" applyFont="1" applyBorder="1" applyAlignment="1">
      <alignment horizontal="center" vertical="top"/>
    </xf>
    <xf numFmtId="0" fontId="31" fillId="0" borderId="57" xfId="61" applyFont="1" applyBorder="1" applyAlignment="1">
      <alignment horizontal="center" vertical="top"/>
    </xf>
    <xf numFmtId="0" fontId="31" fillId="0" borderId="10" xfId="61" applyFont="1" applyBorder="1" applyAlignment="1">
      <alignment horizontal="center" vertical="top"/>
    </xf>
    <xf numFmtId="0" fontId="31" fillId="0" borderId="0" xfId="61" applyFont="1" applyAlignment="1">
      <alignment horizontal="center" vertical="top"/>
    </xf>
    <xf numFmtId="0" fontId="31" fillId="0" borderId="11" xfId="61" applyFont="1" applyBorder="1" applyAlignment="1">
      <alignment horizontal="center" vertical="top"/>
    </xf>
    <xf numFmtId="49" fontId="0" fillId="0" borderId="6" xfId="61" quotePrefix="1" applyNumberFormat="1" applyFont="1" applyFill="1" applyBorder="1" applyAlignment="1">
      <alignment horizontal="center" vertical="top"/>
    </xf>
    <xf numFmtId="49" fontId="0" fillId="0" borderId="1" xfId="61" quotePrefix="1" applyNumberFormat="1" applyFont="1" applyFill="1" applyBorder="1" applyAlignment="1">
      <alignment horizontal="center" vertical="top"/>
    </xf>
    <xf numFmtId="0" fontId="0" fillId="0" borderId="6" xfId="61" applyFont="1" applyFill="1" applyBorder="1" applyAlignment="1">
      <alignment horizontal="left" vertical="top"/>
    </xf>
    <xf numFmtId="0" fontId="0" fillId="0" borderId="1" xfId="61" applyFont="1" applyFill="1" applyBorder="1" applyAlignment="1">
      <alignment horizontal="left" vertical="top"/>
    </xf>
    <xf numFmtId="0" fontId="0" fillId="0" borderId="20" xfId="61" quotePrefix="1" applyFont="1" applyFill="1" applyBorder="1" applyAlignment="1">
      <alignment horizontal="center" vertical="top"/>
    </xf>
    <xf numFmtId="0" fontId="0" fillId="0" borderId="21" xfId="61" quotePrefix="1" applyFont="1" applyFill="1" applyBorder="1" applyAlignment="1">
      <alignment horizontal="center" vertical="top"/>
    </xf>
    <xf numFmtId="49" fontId="31" fillId="0" borderId="6" xfId="61" applyNumberFormat="1" applyFont="1" applyBorder="1" applyAlignment="1">
      <alignment horizontal="center" vertical="top"/>
    </xf>
    <xf numFmtId="49" fontId="31" fillId="0" borderId="1" xfId="61" applyNumberFormat="1" applyFont="1" applyBorder="1" applyAlignment="1">
      <alignment horizontal="center" vertical="top"/>
    </xf>
    <xf numFmtId="49" fontId="31" fillId="0" borderId="7" xfId="61" applyNumberFormat="1" applyFont="1" applyBorder="1" applyAlignment="1">
      <alignment horizontal="center" vertical="top"/>
    </xf>
    <xf numFmtId="49" fontId="31" fillId="0" borderId="8" xfId="61" applyNumberFormat="1" applyFont="1" applyBorder="1" applyAlignment="1">
      <alignment horizontal="center" vertical="top"/>
    </xf>
    <xf numFmtId="49" fontId="31" fillId="0" borderId="9" xfId="61" applyNumberFormat="1" applyFont="1" applyBorder="1" applyAlignment="1">
      <alignment horizontal="center" vertical="top"/>
    </xf>
    <xf numFmtId="49" fontId="31" fillId="0" borderId="10" xfId="61" applyNumberFormat="1" applyFont="1" applyBorder="1" applyAlignment="1">
      <alignment horizontal="center" vertical="top"/>
    </xf>
    <xf numFmtId="49" fontId="31" fillId="0" borderId="0" xfId="61" applyNumberFormat="1" applyFont="1" applyAlignment="1">
      <alignment horizontal="center" vertical="top"/>
    </xf>
    <xf numFmtId="49" fontId="31" fillId="0" borderId="11" xfId="61" applyNumberFormat="1" applyFont="1" applyBorder="1" applyAlignment="1">
      <alignment horizontal="center" vertical="top"/>
    </xf>
    <xf numFmtId="49" fontId="31" fillId="0" borderId="24" xfId="61" applyNumberFormat="1" applyFont="1" applyFill="1" applyBorder="1" applyAlignment="1">
      <alignment horizontal="center" vertical="top"/>
    </xf>
    <xf numFmtId="49" fontId="31" fillId="0" borderId="26" xfId="61" applyNumberFormat="1" applyFont="1" applyFill="1" applyBorder="1" applyAlignment="1">
      <alignment horizontal="center" vertical="top"/>
    </xf>
    <xf numFmtId="49" fontId="35" fillId="0" borderId="25" xfId="61" applyNumberFormat="1" applyFont="1" applyBorder="1" applyAlignment="1">
      <alignment horizontal="center" vertical="top"/>
    </xf>
    <xf numFmtId="49" fontId="35" fillId="0" borderId="27" xfId="61" applyNumberFormat="1" applyFont="1" applyBorder="1" applyAlignment="1">
      <alignment horizontal="center" vertical="top"/>
    </xf>
    <xf numFmtId="24" fontId="31" fillId="0" borderId="45" xfId="61" applyNumberFormat="1" applyFont="1" applyBorder="1" applyAlignment="1">
      <alignment horizontal="center" vertical="top"/>
    </xf>
    <xf numFmtId="24" fontId="31" fillId="0" borderId="40" xfId="61" applyNumberFormat="1" applyFont="1" applyBorder="1" applyAlignment="1">
      <alignment horizontal="center" vertical="top"/>
    </xf>
    <xf numFmtId="0" fontId="38" fillId="0" borderId="24" xfId="61" applyFont="1" applyBorder="1" applyAlignment="1">
      <alignment horizontal="center" vertical="top"/>
    </xf>
    <xf numFmtId="0" fontId="38" fillId="0" borderId="38" xfId="61" applyFont="1" applyBorder="1" applyAlignment="1">
      <alignment horizontal="center" vertical="top"/>
    </xf>
    <xf numFmtId="0" fontId="31" fillId="0" borderId="31" xfId="61" applyFont="1" applyBorder="1" applyAlignment="1">
      <alignment horizontal="center" vertical="top"/>
    </xf>
    <xf numFmtId="0" fontId="31" fillId="0" borderId="34" xfId="61" applyFont="1" applyBorder="1" applyAlignment="1">
      <alignment horizontal="center" vertical="top"/>
    </xf>
    <xf numFmtId="0" fontId="31" fillId="0" borderId="6" xfId="61" applyFont="1" applyFill="1" applyBorder="1" applyAlignment="1">
      <alignment horizontal="center" vertical="top" wrapText="1"/>
    </xf>
    <xf numFmtId="0" fontId="31" fillId="0" borderId="1" xfId="61" applyFont="1" applyFill="1" applyBorder="1" applyAlignment="1">
      <alignment horizontal="center" vertical="top"/>
    </xf>
    <xf numFmtId="0" fontId="31" fillId="0" borderId="7" xfId="61" applyFont="1" applyBorder="1" applyAlignment="1">
      <alignment horizontal="center" vertical="top"/>
    </xf>
    <xf numFmtId="0" fontId="31" fillId="0" borderId="8" xfId="61" applyFont="1" applyBorder="1" applyAlignment="1">
      <alignment horizontal="center" vertical="top"/>
    </xf>
    <xf numFmtId="0" fontId="31" fillId="0" borderId="9" xfId="61" applyFont="1" applyBorder="1" applyAlignment="1">
      <alignment horizontal="center" vertical="top"/>
    </xf>
    <xf numFmtId="0" fontId="31" fillId="0" borderId="24" xfId="61" applyFont="1" applyFill="1" applyBorder="1" applyAlignment="1">
      <alignment horizontal="center" vertical="top"/>
    </xf>
    <xf numFmtId="0" fontId="31" fillId="0" borderId="26" xfId="61" applyFont="1" applyFill="1" applyBorder="1" applyAlignment="1">
      <alignment horizontal="center" vertical="top"/>
    </xf>
    <xf numFmtId="0" fontId="35" fillId="0" borderId="25" xfId="61" applyFont="1" applyBorder="1" applyAlignment="1">
      <alignment horizontal="center" vertical="top"/>
    </xf>
    <xf numFmtId="0" fontId="35" fillId="0" borderId="27" xfId="61" applyFont="1" applyBorder="1" applyAlignment="1">
      <alignment horizontal="center" vertical="top"/>
    </xf>
    <xf numFmtId="0" fontId="0" fillId="0" borderId="6" xfId="61" quotePrefix="1" applyFont="1" applyFill="1" applyBorder="1" applyAlignment="1">
      <alignment horizontal="left" vertical="top" wrapText="1"/>
    </xf>
    <xf numFmtId="0" fontId="12" fillId="0" borderId="53" xfId="61" applyFill="1" applyBorder="1" applyAlignment="1">
      <alignment horizontal="left" vertical="top"/>
    </xf>
    <xf numFmtId="0" fontId="31" fillId="0" borderId="45" xfId="61" applyFont="1" applyFill="1" applyBorder="1" applyAlignment="1">
      <alignment horizontal="center" vertical="top"/>
    </xf>
    <xf numFmtId="0" fontId="31" fillId="0" borderId="28" xfId="61" applyFont="1" applyFill="1" applyBorder="1" applyAlignment="1">
      <alignment horizontal="center" vertical="top"/>
    </xf>
    <xf numFmtId="0" fontId="0" fillId="0" borderId="20" xfId="61" quotePrefix="1" applyFont="1" applyBorder="1" applyAlignment="1">
      <alignment horizontal="left" vertical="top" wrapText="1"/>
    </xf>
    <xf numFmtId="0" fontId="0" fillId="0" borderId="21" xfId="61" quotePrefix="1" applyFont="1" applyBorder="1" applyAlignment="1">
      <alignment horizontal="left" vertical="top" wrapText="1"/>
    </xf>
    <xf numFmtId="49" fontId="0" fillId="0" borderId="6" xfId="61" quotePrefix="1" applyNumberFormat="1" applyFont="1" applyBorder="1" applyAlignment="1">
      <alignment horizontal="center" vertical="top"/>
    </xf>
    <xf numFmtId="49" fontId="0" fillId="0" borderId="1" xfId="61" quotePrefix="1" applyNumberFormat="1" applyFont="1" applyBorder="1" applyAlignment="1">
      <alignment horizontal="center" vertical="top"/>
    </xf>
    <xf numFmtId="0" fontId="0" fillId="0" borderId="6" xfId="61" applyFont="1" applyBorder="1" applyAlignment="1">
      <alignment horizontal="left" vertical="top" wrapText="1"/>
    </xf>
    <xf numFmtId="0" fontId="0" fillId="0" borderId="1" xfId="61" applyFont="1" applyBorder="1" applyAlignment="1">
      <alignment horizontal="left" vertical="top" wrapText="1"/>
    </xf>
    <xf numFmtId="0" fontId="0" fillId="0" borderId="6" xfId="61" quotePrefix="1" applyFont="1" applyBorder="1" applyAlignment="1">
      <alignment horizontal="center" vertical="top"/>
    </xf>
    <xf numFmtId="0" fontId="0" fillId="0" borderId="1" xfId="61" applyFont="1" applyBorder="1" applyAlignment="1">
      <alignment horizontal="center" vertical="top"/>
    </xf>
    <xf numFmtId="0" fontId="31" fillId="0" borderId="38" xfId="61" applyFont="1" applyBorder="1" applyAlignment="1">
      <alignment horizontal="center" vertical="top"/>
    </xf>
    <xf numFmtId="0" fontId="31" fillId="0" borderId="45" xfId="61" applyFont="1" applyBorder="1" applyAlignment="1">
      <alignment horizontal="center" vertical="top" wrapText="1"/>
    </xf>
    <xf numFmtId="0" fontId="31" fillId="0" borderId="40" xfId="61" applyFont="1" applyBorder="1" applyAlignment="1">
      <alignment horizontal="center" vertical="top" wrapText="1"/>
    </xf>
    <xf numFmtId="0" fontId="31" fillId="0" borderId="39" xfId="61" applyFont="1" applyBorder="1" applyAlignment="1">
      <alignment horizontal="center" vertical="top"/>
    </xf>
    <xf numFmtId="0" fontId="38" fillId="0" borderId="24" xfId="61" applyFont="1" applyFill="1" applyBorder="1" applyAlignment="1">
      <alignment horizontal="center" vertical="top" wrapText="1"/>
    </xf>
    <xf numFmtId="0" fontId="38" fillId="0" borderId="38" xfId="61" applyFont="1" applyFill="1" applyBorder="1" applyAlignment="1">
      <alignment horizontal="center" vertical="top"/>
    </xf>
    <xf numFmtId="0" fontId="31" fillId="0" borderId="61" xfId="61" applyFont="1" applyFill="1" applyBorder="1" applyAlignment="1">
      <alignment horizontal="center" vertical="top" wrapText="1"/>
    </xf>
    <xf numFmtId="0" fontId="77" fillId="0" borderId="9" xfId="61" applyFont="1" applyFill="1" applyBorder="1" applyAlignment="1">
      <alignment horizontal="center" vertical="top" wrapText="1"/>
    </xf>
    <xf numFmtId="0" fontId="77" fillId="0" borderId="50" xfId="61" applyFont="1" applyFill="1" applyBorder="1" applyAlignment="1">
      <alignment horizontal="center" vertical="top" wrapText="1"/>
    </xf>
    <xf numFmtId="0" fontId="77" fillId="0" borderId="13" xfId="61" applyFont="1" applyFill="1" applyBorder="1" applyAlignment="1">
      <alignment horizontal="center" vertical="top" wrapText="1"/>
    </xf>
    <xf numFmtId="0" fontId="31" fillId="0" borderId="6" xfId="61" quotePrefix="1" applyFont="1" applyBorder="1" applyAlignment="1">
      <alignment horizontal="center" vertical="top"/>
    </xf>
    <xf numFmtId="0" fontId="31" fillId="0" borderId="1" xfId="61" applyFont="1" applyBorder="1" applyAlignment="1">
      <alignment horizontal="center" vertical="top"/>
    </xf>
    <xf numFmtId="0" fontId="31" fillId="0" borderId="7" xfId="61" applyFont="1" applyFill="1" applyBorder="1" applyAlignment="1">
      <alignment horizontal="center" vertical="top"/>
    </xf>
    <xf numFmtId="0" fontId="31" fillId="0" borderId="10" xfId="61" applyFont="1" applyFill="1" applyBorder="1" applyAlignment="1">
      <alignment horizontal="center" vertical="top"/>
    </xf>
    <xf numFmtId="0" fontId="39" fillId="0" borderId="64" xfId="61" applyFont="1" applyBorder="1" applyAlignment="1">
      <alignment horizontal="center" vertical="top"/>
    </xf>
    <xf numFmtId="0" fontId="31" fillId="8" borderId="43" xfId="61" applyFont="1" applyFill="1" applyBorder="1" applyAlignment="1">
      <alignment horizontal="center" vertical="top"/>
    </xf>
    <xf numFmtId="0" fontId="31" fillId="0" borderId="1" xfId="61" quotePrefix="1" applyFont="1" applyBorder="1" applyAlignment="1">
      <alignment horizontal="center" vertical="top"/>
    </xf>
    <xf numFmtId="0" fontId="31" fillId="0" borderId="4" xfId="61" applyFont="1" applyBorder="1" applyAlignment="1">
      <alignment horizontal="center" vertical="top"/>
    </xf>
    <xf numFmtId="0" fontId="31" fillId="0" borderId="12" xfId="61" applyFont="1" applyBorder="1" applyAlignment="1">
      <alignment horizontal="center" vertical="top"/>
    </xf>
    <xf numFmtId="0" fontId="31" fillId="0" borderId="2" xfId="61" applyFont="1" applyBorder="1" applyAlignment="1">
      <alignment horizontal="center" vertical="top"/>
    </xf>
    <xf numFmtId="0" fontId="31" fillId="0" borderId="13" xfId="61" applyFont="1" applyBorder="1" applyAlignment="1">
      <alignment horizontal="center" vertical="top"/>
    </xf>
    <xf numFmtId="0" fontId="31" fillId="0" borderId="12" xfId="61" applyFont="1" applyFill="1" applyBorder="1" applyAlignment="1">
      <alignment horizontal="center" vertical="top"/>
    </xf>
    <xf numFmtId="0" fontId="35" fillId="0" borderId="29" xfId="61" applyFont="1" applyBorder="1" applyAlignment="1">
      <alignment horizontal="center" vertical="top"/>
    </xf>
    <xf numFmtId="0" fontId="39" fillId="0" borderId="62" xfId="61" applyFont="1" applyBorder="1" applyAlignment="1">
      <alignment horizontal="center" vertical="top"/>
    </xf>
    <xf numFmtId="0" fontId="39" fillId="0" borderId="63" xfId="61" applyFont="1" applyBorder="1" applyAlignment="1">
      <alignment horizontal="center" vertical="top"/>
    </xf>
    <xf numFmtId="0" fontId="31" fillId="0" borderId="64" xfId="61" applyFont="1" applyBorder="1" applyAlignment="1">
      <alignment horizontal="center" vertical="top"/>
    </xf>
    <xf numFmtId="49" fontId="0" fillId="0" borderId="4" xfId="61" quotePrefix="1" applyNumberFormat="1" applyFont="1" applyBorder="1" applyAlignment="1">
      <alignment horizontal="center" vertical="top"/>
    </xf>
    <xf numFmtId="0" fontId="0" fillId="0" borderId="4" xfId="61" applyFont="1" applyBorder="1" applyAlignment="1">
      <alignment horizontal="left" vertical="top" wrapText="1"/>
    </xf>
    <xf numFmtId="0" fontId="0" fillId="0" borderId="4" xfId="61" applyFont="1" applyBorder="1" applyAlignment="1">
      <alignment horizontal="center" vertical="top"/>
    </xf>
    <xf numFmtId="0" fontId="31" fillId="0" borderId="47" xfId="61" applyFont="1" applyBorder="1" applyAlignment="1">
      <alignment horizontal="center" vertical="top"/>
    </xf>
    <xf numFmtId="0" fontId="31" fillId="0" borderId="48" xfId="61" applyFont="1" applyBorder="1" applyAlignment="1">
      <alignment horizontal="center" vertical="top"/>
    </xf>
    <xf numFmtId="0" fontId="38" fillId="0" borderId="30" xfId="61" applyFont="1" applyBorder="1" applyAlignment="1">
      <alignment horizontal="center" vertical="top"/>
    </xf>
    <xf numFmtId="0" fontId="38" fillId="0" borderId="36" xfId="61" applyFont="1" applyBorder="1" applyAlignment="1">
      <alignment horizontal="center" vertical="top"/>
    </xf>
    <xf numFmtId="0" fontId="31" fillId="0" borderId="37" xfId="61" applyFont="1" applyBorder="1" applyAlignment="1">
      <alignment horizontal="center" vertical="top"/>
    </xf>
    <xf numFmtId="0" fontId="38" fillId="0" borderId="30" xfId="61" applyFont="1" applyFill="1" applyBorder="1" applyAlignment="1">
      <alignment horizontal="center" vertical="top" wrapText="1"/>
    </xf>
    <xf numFmtId="0" fontId="38" fillId="0" borderId="36" xfId="61" applyFont="1" applyFill="1" applyBorder="1" applyAlignment="1">
      <alignment horizontal="center" vertical="top"/>
    </xf>
    <xf numFmtId="0" fontId="38" fillId="0" borderId="29" xfId="61" applyFont="1" applyBorder="1" applyAlignment="1">
      <alignment horizontal="center" vertical="top"/>
    </xf>
    <xf numFmtId="0" fontId="87" fillId="0" borderId="5" xfId="61" quotePrefix="1" applyFont="1" applyFill="1" applyBorder="1" applyAlignment="1">
      <alignment horizontal="left" vertical="top" wrapText="1"/>
    </xf>
    <xf numFmtId="0" fontId="12" fillId="0" borderId="5" xfId="61" applyFill="1" applyBorder="1" applyAlignment="1">
      <alignment horizontal="left" vertical="top"/>
    </xf>
    <xf numFmtId="0" fontId="31" fillId="0" borderId="46" xfId="61" applyFont="1" applyBorder="1" applyAlignment="1">
      <alignment horizontal="center" vertical="top"/>
    </xf>
    <xf numFmtId="0" fontId="31" fillId="0" borderId="29" xfId="61" applyFont="1" applyBorder="1" applyAlignment="1">
      <alignment horizontal="center" vertical="top"/>
    </xf>
    <xf numFmtId="24" fontId="31" fillId="0" borderId="24" xfId="61" applyNumberFormat="1" applyFont="1" applyBorder="1" applyAlignment="1">
      <alignment horizontal="center" vertical="top"/>
    </xf>
    <xf numFmtId="24" fontId="31" fillId="0" borderId="26" xfId="61" applyNumberFormat="1" applyFont="1" applyBorder="1" applyAlignment="1">
      <alignment horizontal="center" vertical="top"/>
    </xf>
    <xf numFmtId="24" fontId="31" fillId="0" borderId="47" xfId="61" applyNumberFormat="1" applyFont="1" applyBorder="1" applyAlignment="1">
      <alignment horizontal="center" vertical="top"/>
    </xf>
    <xf numFmtId="24" fontId="31" fillId="0" borderId="45" xfId="61" applyNumberFormat="1" applyFont="1" applyBorder="1" applyAlignment="1">
      <alignment horizontal="center" vertical="top" wrapText="1"/>
    </xf>
    <xf numFmtId="24" fontId="31" fillId="0" borderId="28" xfId="61" applyNumberFormat="1" applyFont="1" applyBorder="1" applyAlignment="1">
      <alignment horizontal="center" vertical="top" wrapText="1"/>
    </xf>
    <xf numFmtId="24" fontId="31" fillId="0" borderId="48" xfId="61" applyNumberFormat="1" applyFont="1" applyBorder="1" applyAlignment="1">
      <alignment horizontal="center" vertical="top" wrapText="1"/>
    </xf>
    <xf numFmtId="24" fontId="38" fillId="0" borderId="24" xfId="61" applyNumberFormat="1" applyFont="1" applyBorder="1" applyAlignment="1">
      <alignment horizontal="center" vertical="top"/>
    </xf>
    <xf numFmtId="24" fontId="38" fillId="0" borderId="26" xfId="61" applyNumberFormat="1" applyFont="1" applyBorder="1" applyAlignment="1">
      <alignment horizontal="center" vertical="top"/>
    </xf>
    <xf numFmtId="24" fontId="38" fillId="0" borderId="47" xfId="61" applyNumberFormat="1" applyFont="1" applyBorder="1" applyAlignment="1">
      <alignment horizontal="center" vertical="top"/>
    </xf>
    <xf numFmtId="24" fontId="31" fillId="0" borderId="25" xfId="61" applyNumberFormat="1" applyFont="1" applyBorder="1" applyAlignment="1">
      <alignment horizontal="center" vertical="top"/>
    </xf>
    <xf numFmtId="24" fontId="31" fillId="0" borderId="27" xfId="61" applyNumberFormat="1" applyFont="1" applyBorder="1" applyAlignment="1">
      <alignment horizontal="center" vertical="top"/>
    </xf>
    <xf numFmtId="24" fontId="31" fillId="0" borderId="29" xfId="61" applyNumberFormat="1" applyFont="1" applyBorder="1" applyAlignment="1">
      <alignment horizontal="center" vertical="top"/>
    </xf>
    <xf numFmtId="24" fontId="35" fillId="0" borderId="7" xfId="61" applyNumberFormat="1" applyFont="1" applyBorder="1" applyAlignment="1">
      <alignment horizontal="center" vertical="top"/>
    </xf>
    <xf numFmtId="24" fontId="35" fillId="0" borderId="8" xfId="61" applyNumberFormat="1" applyFont="1" applyBorder="1" applyAlignment="1">
      <alignment horizontal="center" vertical="top"/>
    </xf>
    <xf numFmtId="24" fontId="35" fillId="0" borderId="9" xfId="61" applyNumberFormat="1" applyFont="1" applyBorder="1" applyAlignment="1">
      <alignment horizontal="center" vertical="top"/>
    </xf>
    <xf numFmtId="24" fontId="35" fillId="0" borderId="10" xfId="61" applyNumberFormat="1" applyFont="1" applyBorder="1" applyAlignment="1">
      <alignment horizontal="center" vertical="top"/>
    </xf>
    <xf numFmtId="24" fontId="35" fillId="0" borderId="0" xfId="61" applyNumberFormat="1" applyFont="1" applyAlignment="1">
      <alignment horizontal="center" vertical="top"/>
    </xf>
    <xf numFmtId="24" fontId="35" fillId="0" borderId="11" xfId="61" applyNumberFormat="1" applyFont="1" applyBorder="1" applyAlignment="1">
      <alignment horizontal="center" vertical="top"/>
    </xf>
    <xf numFmtId="24" fontId="35" fillId="0" borderId="12" xfId="61" applyNumberFormat="1" applyFont="1" applyBorder="1" applyAlignment="1">
      <alignment horizontal="center" vertical="top"/>
    </xf>
    <xf numFmtId="24" fontId="35" fillId="0" borderId="2" xfId="61" applyNumberFormat="1" applyFont="1" applyBorder="1" applyAlignment="1">
      <alignment horizontal="center" vertical="top"/>
    </xf>
    <xf numFmtId="24" fontId="35" fillId="0" borderId="13" xfId="61" applyNumberFormat="1" applyFont="1" applyBorder="1" applyAlignment="1">
      <alignment horizontal="center" vertical="top"/>
    </xf>
    <xf numFmtId="24" fontId="35" fillId="0" borderId="3" xfId="61" applyNumberFormat="1" applyFont="1" applyBorder="1" applyAlignment="1">
      <alignment horizontal="center" vertical="top"/>
    </xf>
    <xf numFmtId="24" fontId="35" fillId="0" borderId="46" xfId="61" applyNumberFormat="1" applyFont="1" applyBorder="1" applyAlignment="1">
      <alignment horizontal="center" vertical="top"/>
    </xf>
    <xf numFmtId="24" fontId="35" fillId="0" borderId="14" xfId="61" applyNumberFormat="1" applyFont="1" applyBorder="1" applyAlignment="1">
      <alignment horizontal="center" vertical="top"/>
    </xf>
    <xf numFmtId="0" fontId="12" fillId="0" borderId="5" xfId="61" quotePrefix="1" applyBorder="1" applyAlignment="1">
      <alignment horizontal="left" vertical="top" wrapText="1"/>
    </xf>
    <xf numFmtId="0" fontId="12" fillId="0" borderId="5" xfId="61" applyBorder="1" applyAlignment="1">
      <alignment horizontal="left" vertical="top"/>
    </xf>
    <xf numFmtId="24" fontId="35" fillId="0" borderId="41" xfId="61" quotePrefix="1" applyNumberFormat="1" applyFont="1" applyBorder="1" applyAlignment="1">
      <alignment horizontal="center" vertical="top"/>
    </xf>
    <xf numFmtId="24" fontId="35" fillId="0" borderId="56" xfId="61" quotePrefix="1" applyNumberFormat="1" applyFont="1" applyBorder="1" applyAlignment="1">
      <alignment horizontal="center" vertical="top"/>
    </xf>
    <xf numFmtId="24" fontId="35" fillId="0" borderId="57" xfId="61" quotePrefix="1" applyNumberFormat="1" applyFont="1" applyBorder="1" applyAlignment="1">
      <alignment horizontal="center" vertical="top"/>
    </xf>
    <xf numFmtId="0" fontId="35" fillId="0" borderId="25" xfId="61" applyFont="1" applyFill="1" applyBorder="1" applyAlignment="1">
      <alignment horizontal="center" vertical="top"/>
    </xf>
    <xf numFmtId="0" fontId="35" fillId="0" borderId="27" xfId="61" applyFont="1" applyFill="1" applyBorder="1" applyAlignment="1">
      <alignment horizontal="center" vertical="top"/>
    </xf>
    <xf numFmtId="0" fontId="35" fillId="0" borderId="29" xfId="61" applyFont="1" applyFill="1" applyBorder="1" applyAlignment="1">
      <alignment horizontal="center" vertical="top"/>
    </xf>
    <xf numFmtId="0" fontId="31" fillId="8" borderId="23" xfId="61" applyFont="1" applyFill="1" applyBorder="1" applyAlignment="1">
      <alignment horizontal="center" vertical="top"/>
    </xf>
    <xf numFmtId="0" fontId="76" fillId="0" borderId="23" xfId="61" applyFont="1" applyFill="1" applyBorder="1" applyAlignment="1">
      <alignment horizontal="center" vertical="top"/>
    </xf>
    <xf numFmtId="0" fontId="31" fillId="8" borderId="3" xfId="61" applyFont="1" applyFill="1" applyBorder="1" applyAlignment="1">
      <alignment horizontal="center" vertical="top"/>
    </xf>
    <xf numFmtId="0" fontId="60" fillId="0" borderId="23" xfId="61" applyFont="1" applyBorder="1" applyAlignment="1">
      <alignment horizontal="center" vertical="top"/>
    </xf>
    <xf numFmtId="0" fontId="38" fillId="0" borderId="23" xfId="61" applyFont="1" applyBorder="1" applyAlignment="1">
      <alignment horizontal="center" vertical="top"/>
    </xf>
    <xf numFmtId="24" fontId="35" fillId="0" borderId="41" xfId="61" applyNumberFormat="1" applyFont="1" applyBorder="1" applyAlignment="1">
      <alignment horizontal="center" vertical="top"/>
    </xf>
    <xf numFmtId="24" fontId="35" fillId="0" borderId="56" xfId="61" applyNumberFormat="1" applyFont="1" applyBorder="1" applyAlignment="1">
      <alignment horizontal="center" vertical="top"/>
    </xf>
    <xf numFmtId="24" fontId="35" fillId="0" borderId="57" xfId="61" applyNumberFormat="1" applyFont="1" applyBorder="1" applyAlignment="1">
      <alignment horizontal="center" vertical="top"/>
    </xf>
    <xf numFmtId="0" fontId="35" fillId="0" borderId="23" xfId="61" applyFont="1" applyFill="1" applyBorder="1" applyAlignment="1">
      <alignment horizontal="center" vertical="top"/>
    </xf>
    <xf numFmtId="0" fontId="31" fillId="0" borderId="49" xfId="61" applyFont="1" applyFill="1" applyBorder="1" applyAlignment="1">
      <alignment horizontal="center" vertical="top" wrapText="1"/>
    </xf>
    <xf numFmtId="0" fontId="31" fillId="0" borderId="14" xfId="61" applyFont="1" applyFill="1" applyBorder="1" applyAlignment="1">
      <alignment horizontal="center" vertical="top" wrapText="1"/>
    </xf>
    <xf numFmtId="0" fontId="31" fillId="0" borderId="40" xfId="61" applyFont="1" applyBorder="1" applyAlignment="1">
      <alignment horizontal="center" vertical="top"/>
    </xf>
    <xf numFmtId="24" fontId="35" fillId="0" borderId="59" xfId="61" applyNumberFormat="1" applyFont="1" applyBorder="1" applyAlignment="1">
      <alignment horizontal="center" vertical="top"/>
    </xf>
    <xf numFmtId="24" fontId="35" fillId="0" borderId="60" xfId="61" applyNumberFormat="1" applyFont="1" applyBorder="1" applyAlignment="1">
      <alignment horizontal="center" vertical="top"/>
    </xf>
    <xf numFmtId="24" fontId="35" fillId="0" borderId="58" xfId="61" applyNumberFormat="1" applyFont="1" applyBorder="1" applyAlignment="1">
      <alignment horizontal="center" vertical="top"/>
    </xf>
    <xf numFmtId="49" fontId="0" fillId="0" borderId="20" xfId="61" quotePrefix="1" applyNumberFormat="1" applyFont="1" applyBorder="1" applyAlignment="1">
      <alignment horizontal="center" vertical="top" wrapText="1"/>
    </xf>
    <xf numFmtId="49" fontId="0" fillId="0" borderId="53" xfId="61" quotePrefix="1" applyNumberFormat="1" applyFont="1" applyBorder="1" applyAlignment="1">
      <alignment horizontal="center" vertical="top" wrapText="1"/>
    </xf>
    <xf numFmtId="0" fontId="0" fillId="0" borderId="56" xfId="61" applyFont="1" applyBorder="1" applyAlignment="1">
      <alignment horizontal="left" vertical="top" wrapText="1"/>
    </xf>
    <xf numFmtId="0" fontId="0" fillId="0" borderId="60" xfId="61" applyFont="1" applyBorder="1" applyAlignment="1">
      <alignment horizontal="left" vertical="top" wrapText="1"/>
    </xf>
    <xf numFmtId="0" fontId="0" fillId="0" borderId="1" xfId="61" quotePrefix="1" applyFont="1" applyBorder="1" applyAlignment="1">
      <alignment horizontal="center" vertical="top"/>
    </xf>
    <xf numFmtId="24" fontId="31" fillId="0" borderId="32" xfId="61" applyNumberFormat="1" applyFont="1" applyBorder="1" applyAlignment="1">
      <alignment horizontal="center" vertical="top"/>
    </xf>
    <xf numFmtId="24" fontId="31" fillId="0" borderId="35" xfId="61" applyNumberFormat="1" applyFont="1" applyBorder="1" applyAlignment="1">
      <alignment horizontal="center" vertical="top"/>
    </xf>
    <xf numFmtId="24" fontId="38" fillId="0" borderId="30" xfId="61" applyNumberFormat="1" applyFont="1" applyBorder="1" applyAlignment="1">
      <alignment horizontal="center" vertical="top"/>
    </xf>
    <xf numFmtId="24" fontId="38" fillId="0" borderId="33" xfId="61" applyNumberFormat="1" applyFont="1" applyBorder="1" applyAlignment="1">
      <alignment horizontal="center" vertical="top"/>
    </xf>
    <xf numFmtId="24" fontId="35" fillId="0" borderId="30" xfId="61" applyNumberFormat="1" applyFont="1" applyBorder="1" applyAlignment="1">
      <alignment horizontal="center" vertical="top"/>
    </xf>
    <xf numFmtId="24" fontId="35" fillId="0" borderId="31" xfId="61" applyNumberFormat="1" applyFont="1" applyBorder="1" applyAlignment="1">
      <alignment horizontal="center" vertical="top"/>
    </xf>
    <xf numFmtId="24" fontId="35" fillId="0" borderId="32" xfId="61" applyNumberFormat="1" applyFont="1" applyBorder="1" applyAlignment="1">
      <alignment horizontal="center" vertical="top"/>
    </xf>
    <xf numFmtId="24" fontId="35" fillId="0" borderId="33" xfId="61" applyNumberFormat="1" applyFont="1" applyBorder="1" applyAlignment="1">
      <alignment horizontal="center" vertical="top"/>
    </xf>
    <xf numFmtId="24" fontId="35" fillId="0" borderId="34" xfId="61" applyNumberFormat="1" applyFont="1" applyBorder="1" applyAlignment="1">
      <alignment horizontal="center" vertical="top"/>
    </xf>
    <xf numFmtId="24" fontId="35" fillId="0" borderId="35" xfId="61" applyNumberFormat="1" applyFont="1" applyBorder="1" applyAlignment="1">
      <alignment horizontal="center" vertical="top"/>
    </xf>
    <xf numFmtId="0" fontId="31" fillId="0" borderId="6" xfId="61" applyFont="1" applyBorder="1" applyAlignment="1">
      <alignment horizontal="center" vertical="top" wrapText="1"/>
    </xf>
    <xf numFmtId="0" fontId="31" fillId="0" borderId="1" xfId="61" applyFont="1" applyBorder="1" applyAlignment="1">
      <alignment horizontal="center" vertical="top" wrapText="1"/>
    </xf>
    <xf numFmtId="0" fontId="60" fillId="0" borderId="25" xfId="61" applyFont="1" applyBorder="1" applyAlignment="1">
      <alignment horizontal="center" vertical="top"/>
    </xf>
    <xf numFmtId="0" fontId="60" fillId="0" borderId="27" xfId="61" applyFont="1" applyBorder="1" applyAlignment="1">
      <alignment horizontal="center" vertical="top"/>
    </xf>
    <xf numFmtId="0" fontId="0" fillId="0" borderId="1" xfId="61" quotePrefix="1" applyFont="1" applyFill="1" applyBorder="1" applyAlignment="1">
      <alignment horizontal="left" vertical="top" wrapText="1"/>
    </xf>
    <xf numFmtId="0" fontId="0" fillId="0" borderId="5" xfId="61" applyFont="1" applyBorder="1" applyAlignment="1">
      <alignment horizontal="left" vertical="top" wrapText="1"/>
    </xf>
    <xf numFmtId="24" fontId="35" fillId="9" borderId="3" xfId="61" applyNumberFormat="1" applyFont="1" applyFill="1" applyBorder="1" applyAlignment="1">
      <alignment horizontal="center" vertical="top"/>
    </xf>
    <xf numFmtId="24" fontId="35" fillId="9" borderId="14" xfId="61" applyNumberFormat="1" applyFont="1" applyFill="1" applyBorder="1" applyAlignment="1">
      <alignment horizontal="center" vertical="top"/>
    </xf>
    <xf numFmtId="0" fontId="38" fillId="9" borderId="3" xfId="61" applyFont="1" applyFill="1" applyBorder="1" applyAlignment="1">
      <alignment horizontal="center" vertical="top"/>
    </xf>
    <xf numFmtId="0" fontId="38" fillId="9" borderId="64" xfId="61" applyFont="1" applyFill="1" applyBorder="1" applyAlignment="1">
      <alignment horizontal="center" vertical="top"/>
    </xf>
    <xf numFmtId="0" fontId="38" fillId="0" borderId="23" xfId="61" applyFont="1" applyFill="1" applyBorder="1" applyAlignment="1">
      <alignment horizontal="center" vertical="top"/>
    </xf>
    <xf numFmtId="0" fontId="35" fillId="0" borderId="23" xfId="61" applyFont="1" applyBorder="1" applyAlignment="1">
      <alignment horizontal="center" vertical="top"/>
    </xf>
    <xf numFmtId="24" fontId="38" fillId="0" borderId="24" xfId="61" applyNumberFormat="1" applyFont="1" applyFill="1" applyBorder="1" applyAlignment="1">
      <alignment horizontal="center" vertical="top" wrapText="1"/>
    </xf>
    <xf numFmtId="24" fontId="38" fillId="0" borderId="26" xfId="61" applyNumberFormat="1" applyFont="1" applyFill="1" applyBorder="1" applyAlignment="1">
      <alignment horizontal="center" vertical="top"/>
    </xf>
    <xf numFmtId="0" fontId="31" fillId="0" borderId="6" xfId="61" quotePrefix="1" applyFont="1" applyFill="1" applyBorder="1" applyAlignment="1">
      <alignment horizontal="center" vertical="top"/>
    </xf>
    <xf numFmtId="24" fontId="31" fillId="0" borderId="28" xfId="61" applyNumberFormat="1" applyFont="1" applyBorder="1" applyAlignment="1">
      <alignment horizontal="center" vertical="top"/>
    </xf>
    <xf numFmtId="24" fontId="88" fillId="0" borderId="24" xfId="61" applyNumberFormat="1" applyFont="1" applyFill="1" applyBorder="1" applyAlignment="1">
      <alignment horizontal="center" vertical="top" wrapText="1"/>
    </xf>
    <xf numFmtId="24" fontId="88" fillId="0" borderId="47" xfId="61" applyNumberFormat="1" applyFont="1" applyFill="1" applyBorder="1" applyAlignment="1">
      <alignment horizontal="center" vertical="top" wrapText="1"/>
    </xf>
    <xf numFmtId="24" fontId="31" fillId="0" borderId="61" xfId="61" applyNumberFormat="1" applyFont="1" applyFill="1" applyBorder="1" applyAlignment="1">
      <alignment horizontal="center" vertical="top" wrapText="1"/>
    </xf>
    <xf numFmtId="24" fontId="31" fillId="0" borderId="9" xfId="61" applyNumberFormat="1" applyFont="1" applyFill="1" applyBorder="1" applyAlignment="1">
      <alignment horizontal="center" vertical="top" wrapText="1"/>
    </xf>
    <xf numFmtId="176" fontId="39" fillId="0" borderId="78" xfId="61" applyNumberFormat="1" applyFont="1" applyFill="1" applyBorder="1" applyAlignment="1">
      <alignment horizontal="center" vertical="top"/>
    </xf>
    <xf numFmtId="0" fontId="39" fillId="0" borderId="79" xfId="61" applyFont="1" applyFill="1" applyBorder="1" applyAlignment="1">
      <alignment horizontal="center" vertical="top"/>
    </xf>
    <xf numFmtId="49" fontId="37" fillId="0" borderId="7" xfId="61" applyNumberFormat="1" applyFont="1" applyBorder="1" applyAlignment="1">
      <alignment horizontal="center" vertical="center" wrapText="1"/>
    </xf>
    <xf numFmtId="49" fontId="37" fillId="0" borderId="8" xfId="61" applyNumberFormat="1" applyFont="1" applyBorder="1" applyAlignment="1">
      <alignment horizontal="center" vertical="center" wrapText="1"/>
    </xf>
    <xf numFmtId="49" fontId="37" fillId="0" borderId="9" xfId="61" applyNumberFormat="1" applyFont="1" applyBorder="1" applyAlignment="1">
      <alignment horizontal="center" vertical="center" wrapText="1"/>
    </xf>
    <xf numFmtId="49" fontId="37" fillId="0" borderId="12" xfId="61" applyNumberFormat="1" applyFont="1" applyBorder="1" applyAlignment="1">
      <alignment horizontal="center" vertical="center" wrapText="1"/>
    </xf>
    <xf numFmtId="49" fontId="37" fillId="0" borderId="13" xfId="61" applyNumberFormat="1" applyFont="1" applyBorder="1" applyAlignment="1">
      <alignment horizontal="center" vertical="center" wrapText="1"/>
    </xf>
    <xf numFmtId="49" fontId="37" fillId="0" borderId="2" xfId="61" applyNumberFormat="1" applyFont="1" applyBorder="1" applyAlignment="1">
      <alignment horizontal="center" vertical="center" wrapText="1"/>
    </xf>
    <xf numFmtId="0" fontId="37" fillId="0" borderId="5" xfId="159" applyFont="1" applyBorder="1" applyAlignment="1">
      <alignment horizontal="left" vertical="top" wrapText="1"/>
    </xf>
    <xf numFmtId="0" fontId="62" fillId="0" borderId="5" xfId="159" applyFont="1" applyBorder="1" applyAlignment="1">
      <alignment horizontal="left" vertical="top" wrapText="1"/>
    </xf>
    <xf numFmtId="0" fontId="41" fillId="0" borderId="5" xfId="159" applyFont="1" applyFill="1" applyBorder="1" applyAlignment="1">
      <alignment horizontal="center" vertical="center" wrapText="1"/>
    </xf>
    <xf numFmtId="49" fontId="37" fillId="0" borderId="43" xfId="61" applyNumberFormat="1" applyFont="1" applyBorder="1" applyAlignment="1">
      <alignment horizontal="center" vertical="center" wrapText="1"/>
    </xf>
    <xf numFmtId="49" fontId="37" fillId="0" borderId="44" xfId="61" applyNumberFormat="1" applyFont="1" applyBorder="1" applyAlignment="1">
      <alignment horizontal="center" vertical="center" wrapText="1"/>
    </xf>
    <xf numFmtId="49" fontId="37" fillId="0" borderId="6" xfId="61" applyNumberFormat="1" applyFont="1" applyBorder="1" applyAlignment="1">
      <alignment horizontal="center" vertical="center" wrapText="1"/>
    </xf>
    <xf numFmtId="49" fontId="37" fillId="0" borderId="1" xfId="61" applyNumberFormat="1" applyFont="1" applyBorder="1" applyAlignment="1">
      <alignment horizontal="center" vertical="center" wrapText="1"/>
    </xf>
    <xf numFmtId="49" fontId="37" fillId="0" borderId="3" xfId="61" applyNumberFormat="1" applyFont="1" applyBorder="1" applyAlignment="1">
      <alignment horizontal="center" vertical="center" wrapText="1"/>
    </xf>
    <xf numFmtId="49" fontId="37" fillId="0" borderId="46" xfId="61" applyNumberFormat="1" applyFont="1" applyBorder="1" applyAlignment="1">
      <alignment horizontal="center" vertical="center" wrapText="1"/>
    </xf>
    <xf numFmtId="49" fontId="37" fillId="0" borderId="14" xfId="61" applyNumberFormat="1" applyFont="1" applyBorder="1" applyAlignment="1">
      <alignment horizontal="center" vertical="center" wrapText="1"/>
    </xf>
    <xf numFmtId="0" fontId="37" fillId="0" borderId="6" xfId="159" applyFont="1" applyFill="1" applyBorder="1" applyAlignment="1">
      <alignment horizontal="center" vertical="top" wrapText="1"/>
    </xf>
    <xf numFmtId="0" fontId="37" fillId="0" borderId="4" xfId="159" applyFont="1" applyFill="1" applyBorder="1" applyAlignment="1">
      <alignment horizontal="center" vertical="top" wrapText="1"/>
    </xf>
    <xf numFmtId="0" fontId="37" fillId="0" borderId="6" xfId="159" applyFont="1" applyFill="1" applyBorder="1" applyAlignment="1">
      <alignment horizontal="left" vertical="top" wrapText="1"/>
    </xf>
    <xf numFmtId="0" fontId="37" fillId="0" borderId="4" xfId="159" applyFont="1" applyFill="1" applyBorder="1" applyAlignment="1">
      <alignment horizontal="left" vertical="top" wrapText="1"/>
    </xf>
    <xf numFmtId="49" fontId="37" fillId="0" borderId="6" xfId="159" applyNumberFormat="1" applyFont="1" applyFill="1" applyBorder="1" applyAlignment="1">
      <alignment horizontal="center" vertical="top" wrapText="1"/>
    </xf>
    <xf numFmtId="49" fontId="37" fillId="0" borderId="4" xfId="159" applyNumberFormat="1" applyFont="1" applyFill="1" applyBorder="1" applyAlignment="1">
      <alignment horizontal="center" vertical="top" wrapText="1"/>
    </xf>
    <xf numFmtId="49" fontId="37" fillId="0" borderId="5" xfId="159" applyNumberFormat="1" applyFont="1" applyBorder="1" applyAlignment="1">
      <alignment horizontal="center" vertical="top" wrapText="1"/>
    </xf>
    <xf numFmtId="0" fontId="37" fillId="0" borderId="5" xfId="159" applyFont="1" applyBorder="1" applyAlignment="1">
      <alignment horizontal="center" vertical="top" wrapText="1"/>
    </xf>
    <xf numFmtId="0" fontId="62" fillId="0" borderId="2" xfId="159" applyFont="1" applyBorder="1" applyAlignment="1">
      <alignment horizontal="center" vertical="center"/>
    </xf>
    <xf numFmtId="0" fontId="70" fillId="0" borderId="5" xfId="159" applyFont="1" applyFill="1" applyBorder="1" applyAlignment="1">
      <alignment horizontal="center" vertical="center" wrapText="1"/>
    </xf>
    <xf numFmtId="0" fontId="70" fillId="0" borderId="43" xfId="159" applyFont="1" applyFill="1" applyBorder="1" applyAlignment="1">
      <alignment horizontal="center" vertical="center" wrapText="1"/>
    </xf>
    <xf numFmtId="0" fontId="70" fillId="0" borderId="44" xfId="159" applyFont="1" applyFill="1" applyBorder="1" applyAlignment="1">
      <alignment horizontal="center" vertical="center" wrapText="1"/>
    </xf>
    <xf numFmtId="0" fontId="41" fillId="0" borderId="10" xfId="159" applyFont="1" applyBorder="1" applyAlignment="1">
      <alignment horizontal="center" vertical="top" wrapText="1"/>
    </xf>
    <xf numFmtId="0" fontId="41" fillId="0" borderId="12" xfId="159" applyFont="1" applyBorder="1" applyAlignment="1">
      <alignment horizontal="center" vertical="top" wrapText="1"/>
    </xf>
    <xf numFmtId="0" fontId="41" fillId="0" borderId="1" xfId="159" applyFont="1" applyBorder="1" applyAlignment="1">
      <alignment horizontal="center" vertical="top" wrapText="1"/>
    </xf>
    <xf numFmtId="0" fontId="41" fillId="0" borderId="4" xfId="159" applyFont="1" applyBorder="1" applyAlignment="1">
      <alignment horizontal="center" vertical="top" wrapText="1"/>
    </xf>
    <xf numFmtId="0" fontId="70" fillId="0" borderId="5" xfId="159" applyFont="1" applyBorder="1" applyAlignment="1">
      <alignment horizontal="center" vertical="top"/>
    </xf>
    <xf numFmtId="0" fontId="37" fillId="0" borderId="5" xfId="81" applyFont="1" applyFill="1" applyBorder="1" applyAlignment="1">
      <alignment horizontal="center" vertical="top" wrapText="1"/>
    </xf>
    <xf numFmtId="0" fontId="37" fillId="0" borderId="6" xfId="81" applyFont="1" applyFill="1" applyBorder="1" applyAlignment="1">
      <alignment horizontal="center" vertical="top" wrapText="1"/>
    </xf>
    <xf numFmtId="0" fontId="70" fillId="0" borderId="6" xfId="159" applyFont="1" applyBorder="1" applyAlignment="1">
      <alignment horizontal="center" vertical="top" wrapText="1"/>
    </xf>
    <xf numFmtId="0" fontId="70" fillId="0" borderId="1" xfId="159" applyFont="1" applyBorder="1" applyAlignment="1">
      <alignment horizontal="center" vertical="top" wrapText="1"/>
    </xf>
    <xf numFmtId="0" fontId="70" fillId="0" borderId="5" xfId="159" applyFont="1" applyBorder="1" applyAlignment="1">
      <alignment horizontal="center" vertical="top" wrapText="1"/>
    </xf>
    <xf numFmtId="0" fontId="70" fillId="0" borderId="5" xfId="159" applyFont="1" applyBorder="1" applyAlignment="1">
      <alignment horizontal="center" vertical="center" wrapText="1"/>
    </xf>
    <xf numFmtId="0" fontId="70" fillId="0" borderId="5" xfId="159" applyFont="1" applyBorder="1" applyAlignment="1">
      <alignment horizontal="center" vertical="center"/>
    </xf>
    <xf numFmtId="0" fontId="41" fillId="0" borderId="5" xfId="159" applyFont="1" applyBorder="1" applyAlignment="1">
      <alignment horizontal="center" vertical="top" wrapText="1"/>
    </xf>
    <xf numFmtId="0" fontId="37" fillId="0" borderId="7" xfId="81" applyFont="1" applyFill="1" applyBorder="1" applyAlignment="1">
      <alignment horizontal="center" vertical="top" wrapText="1"/>
    </xf>
    <xf numFmtId="0" fontId="37" fillId="0" borderId="8" xfId="81" applyFont="1" applyFill="1" applyBorder="1" applyAlignment="1">
      <alignment horizontal="center" vertical="top" wrapText="1"/>
    </xf>
    <xf numFmtId="0" fontId="37" fillId="0" borderId="9" xfId="81" applyFont="1" applyFill="1" applyBorder="1" applyAlignment="1">
      <alignment horizontal="center" vertical="top" wrapText="1"/>
    </xf>
    <xf numFmtId="0" fontId="37" fillId="0" borderId="12" xfId="81" applyFont="1" applyFill="1" applyBorder="1" applyAlignment="1">
      <alignment horizontal="center" vertical="top" wrapText="1"/>
    </xf>
    <xf numFmtId="0" fontId="37" fillId="0" borderId="2" xfId="81" applyFont="1" applyFill="1" applyBorder="1" applyAlignment="1">
      <alignment horizontal="center" vertical="top" wrapText="1"/>
    </xf>
    <xf numFmtId="0" fontId="37" fillId="0" borderId="13" xfId="81" applyFont="1" applyFill="1" applyBorder="1" applyAlignment="1">
      <alignment horizontal="center" vertical="top" wrapText="1"/>
    </xf>
    <xf numFmtId="0" fontId="37" fillId="0" borderId="6" xfId="81" applyFont="1" applyFill="1" applyBorder="1" applyAlignment="1">
      <alignment horizontal="center" vertical="top" textRotation="180" wrapText="1"/>
    </xf>
    <xf numFmtId="0" fontId="37" fillId="0" borderId="1" xfId="81" applyFont="1" applyFill="1" applyBorder="1" applyAlignment="1">
      <alignment horizontal="center" vertical="top" textRotation="180" wrapText="1"/>
    </xf>
    <xf numFmtId="49" fontId="37" fillId="0" borderId="12" xfId="61" applyNumberFormat="1" applyFont="1" applyFill="1" applyBorder="1" applyAlignment="1">
      <alignment horizontal="center" vertical="center" wrapText="1"/>
    </xf>
    <xf numFmtId="49" fontId="37" fillId="0" borderId="13" xfId="61" applyNumberFormat="1" applyFont="1" applyFill="1" applyBorder="1" applyAlignment="1">
      <alignment horizontal="center" vertical="center" wrapText="1"/>
    </xf>
    <xf numFmtId="49" fontId="37" fillId="0" borderId="2" xfId="61" applyNumberFormat="1" applyFont="1" applyFill="1" applyBorder="1" applyAlignment="1">
      <alignment horizontal="center" vertical="center" wrapText="1"/>
    </xf>
    <xf numFmtId="49" fontId="37" fillId="0" borderId="7" xfId="61" applyNumberFormat="1" applyFont="1" applyFill="1" applyBorder="1" applyAlignment="1">
      <alignment horizontal="center" vertical="center" wrapText="1"/>
    </xf>
    <xf numFmtId="49" fontId="37" fillId="0" borderId="9" xfId="61" applyNumberFormat="1" applyFont="1" applyFill="1" applyBorder="1" applyAlignment="1">
      <alignment horizontal="center" vertical="center" wrapText="1"/>
    </xf>
    <xf numFmtId="49" fontId="37" fillId="0" borderId="3" xfId="61" applyNumberFormat="1" applyFont="1" applyFill="1" applyBorder="1" applyAlignment="1">
      <alignment horizontal="center" vertical="center" wrapText="1"/>
    </xf>
    <xf numFmtId="49" fontId="37" fillId="0" borderId="46" xfId="61" applyNumberFormat="1" applyFont="1" applyFill="1" applyBorder="1" applyAlignment="1">
      <alignment horizontal="center" vertical="center" wrapText="1"/>
    </xf>
    <xf numFmtId="49" fontId="37" fillId="0" borderId="14" xfId="61" applyNumberFormat="1" applyFont="1" applyFill="1" applyBorder="1" applyAlignment="1">
      <alignment horizontal="center" vertical="center" wrapText="1"/>
    </xf>
    <xf numFmtId="49" fontId="37" fillId="0" borderId="10" xfId="61" applyNumberFormat="1" applyFont="1" applyFill="1" applyBorder="1" applyAlignment="1">
      <alignment horizontal="center" vertical="center" wrapText="1"/>
    </xf>
    <xf numFmtId="49" fontId="37" fillId="0" borderId="11" xfId="61" applyNumberFormat="1" applyFont="1" applyFill="1" applyBorder="1" applyAlignment="1">
      <alignment horizontal="center" vertical="center" wrapText="1"/>
    </xf>
    <xf numFmtId="49" fontId="37" fillId="0" borderId="8" xfId="61" applyNumberFormat="1" applyFont="1" applyFill="1" applyBorder="1" applyAlignment="1">
      <alignment horizontal="center" vertical="center" wrapText="1"/>
    </xf>
    <xf numFmtId="24" fontId="37" fillId="0" borderId="6" xfId="61" quotePrefix="1" applyNumberFormat="1" applyFont="1" applyFill="1" applyBorder="1" applyAlignment="1">
      <alignment horizontal="center" vertical="center" textRotation="180" wrapText="1"/>
    </xf>
    <xf numFmtId="24" fontId="37" fillId="0" borderId="1" xfId="61" quotePrefix="1" applyNumberFormat="1" applyFont="1" applyFill="1" applyBorder="1" applyAlignment="1">
      <alignment horizontal="center" vertical="center" textRotation="180" wrapText="1"/>
    </xf>
    <xf numFmtId="0" fontId="37" fillId="0" borderId="32" xfId="61" applyFont="1" applyFill="1" applyBorder="1" applyAlignment="1">
      <alignment horizontal="center" vertical="top"/>
    </xf>
    <xf numFmtId="0" fontId="37" fillId="0" borderId="20" xfId="61" applyFont="1" applyFill="1" applyBorder="1" applyAlignment="1">
      <alignment horizontal="center" vertical="top"/>
    </xf>
    <xf numFmtId="0" fontId="37" fillId="0" borderId="5" xfId="61" applyFont="1" applyFill="1" applyBorder="1" applyAlignment="1">
      <alignment horizontal="center" vertical="top"/>
    </xf>
    <xf numFmtId="0" fontId="37" fillId="0" borderId="24" xfId="61" applyFont="1" applyFill="1" applyBorder="1" applyAlignment="1">
      <alignment horizontal="center" vertical="top" textRotation="180"/>
    </xf>
    <xf numFmtId="0" fontId="37" fillId="0" borderId="26" xfId="61" applyFont="1" applyFill="1" applyBorder="1" applyAlignment="1">
      <alignment horizontal="center" vertical="top" textRotation="180"/>
    </xf>
    <xf numFmtId="0" fontId="37" fillId="0" borderId="25" xfId="61" applyFont="1" applyFill="1" applyBorder="1" applyAlignment="1">
      <alignment horizontal="center" vertical="top" textRotation="180"/>
    </xf>
    <xf numFmtId="0" fontId="37" fillId="0" borderId="27" xfId="61" applyFont="1" applyFill="1" applyBorder="1" applyAlignment="1">
      <alignment horizontal="center" vertical="top" textRotation="180"/>
    </xf>
    <xf numFmtId="0" fontId="37" fillId="0" borderId="61" xfId="61" applyFont="1" applyFill="1" applyBorder="1" applyAlignment="1">
      <alignment horizontal="center" vertical="top" textRotation="180"/>
    </xf>
    <xf numFmtId="0" fontId="37" fillId="0" borderId="65" xfId="61" applyFont="1" applyFill="1" applyBorder="1" applyAlignment="1">
      <alignment horizontal="center" vertical="top" textRotation="180"/>
    </xf>
    <xf numFmtId="49" fontId="37" fillId="0" borderId="5" xfId="61" applyNumberFormat="1" applyFont="1" applyFill="1" applyBorder="1" applyAlignment="1">
      <alignment horizontal="center" vertical="center" textRotation="90" wrapText="1"/>
    </xf>
    <xf numFmtId="49" fontId="37" fillId="0" borderId="6" xfId="61" applyNumberFormat="1" applyFont="1" applyBorder="1" applyAlignment="1">
      <alignment horizontal="center" vertical="center"/>
    </xf>
    <xf numFmtId="49" fontId="37" fillId="0" borderId="1" xfId="61" applyNumberFormat="1" applyFont="1" applyBorder="1" applyAlignment="1">
      <alignment horizontal="center" vertical="center"/>
    </xf>
    <xf numFmtId="49" fontId="37" fillId="0" borderId="10" xfId="61" applyNumberFormat="1" applyFont="1" applyBorder="1" applyAlignment="1">
      <alignment horizontal="center" vertical="center" wrapText="1"/>
    </xf>
    <xf numFmtId="49" fontId="37" fillId="0" borderId="11" xfId="61" applyNumberFormat="1" applyFont="1" applyBorder="1" applyAlignment="1">
      <alignment horizontal="center" vertical="center" wrapText="1"/>
    </xf>
    <xf numFmtId="49" fontId="37" fillId="0" borderId="5" xfId="61" applyNumberFormat="1" applyFont="1" applyBorder="1" applyAlignment="1">
      <alignment horizontal="center" vertical="center" wrapText="1"/>
    </xf>
    <xf numFmtId="49" fontId="37" fillId="0" borderId="0" xfId="61" applyNumberFormat="1" applyFont="1" applyBorder="1" applyAlignment="1">
      <alignment horizontal="center" vertical="center" wrapText="1"/>
    </xf>
    <xf numFmtId="49" fontId="37" fillId="0" borderId="20" xfId="159" applyNumberFormat="1" applyFont="1" applyBorder="1" applyAlignment="1">
      <alignment horizontal="center" vertical="top" wrapText="1"/>
    </xf>
    <xf numFmtId="49" fontId="37" fillId="0" borderId="21" xfId="159" applyNumberFormat="1" applyFont="1" applyBorder="1" applyAlignment="1">
      <alignment horizontal="center" vertical="top" wrapText="1"/>
    </xf>
    <xf numFmtId="49" fontId="37" fillId="0" borderId="69" xfId="159" applyNumberFormat="1" applyFont="1" applyBorder="1" applyAlignment="1">
      <alignment horizontal="center" vertical="top" wrapText="1"/>
    </xf>
    <xf numFmtId="49" fontId="37" fillId="0" borderId="1" xfId="159" applyNumberFormat="1" applyFont="1" applyBorder="1" applyAlignment="1">
      <alignment horizontal="center" vertical="top" wrapText="1"/>
    </xf>
    <xf numFmtId="0" fontId="70" fillId="0" borderId="3" xfId="159" applyFont="1" applyFill="1" applyBorder="1" applyAlignment="1">
      <alignment horizontal="center" vertical="top"/>
    </xf>
    <xf numFmtId="0" fontId="70" fillId="0" borderId="46" xfId="159" applyFont="1" applyFill="1" applyBorder="1" applyAlignment="1">
      <alignment horizontal="center" vertical="top"/>
    </xf>
    <xf numFmtId="0" fontId="70" fillId="0" borderId="14" xfId="159" applyFont="1" applyFill="1" applyBorder="1" applyAlignment="1">
      <alignment horizontal="center" vertical="top"/>
    </xf>
    <xf numFmtId="0" fontId="70" fillId="0" borderId="20" xfId="159" applyFont="1" applyFill="1" applyBorder="1" applyAlignment="1">
      <alignment horizontal="center" vertical="top" wrapText="1"/>
    </xf>
    <xf numFmtId="0" fontId="70" fillId="0" borderId="20" xfId="159" applyFont="1" applyFill="1" applyBorder="1" applyAlignment="1">
      <alignment horizontal="center" vertical="top"/>
    </xf>
    <xf numFmtId="0" fontId="37" fillId="15" borderId="6" xfId="61" applyFont="1" applyFill="1" applyBorder="1" applyAlignment="1">
      <alignment horizontal="center" vertical="top"/>
    </xf>
    <xf numFmtId="0" fontId="37" fillId="15" borderId="4" xfId="61" applyFont="1" applyFill="1" applyBorder="1" applyAlignment="1">
      <alignment horizontal="center" vertical="top"/>
    </xf>
    <xf numFmtId="24" fontId="37" fillId="5" borderId="23" xfId="61" applyNumberFormat="1" applyFont="1" applyFill="1" applyBorder="1" applyAlignment="1">
      <alignment horizontal="left" vertical="top" wrapText="1"/>
    </xf>
    <xf numFmtId="24" fontId="37" fillId="0" borderId="23" xfId="61" applyNumberFormat="1" applyFont="1" applyBorder="1" applyAlignment="1">
      <alignment horizontal="left" vertical="top" wrapText="1"/>
    </xf>
    <xf numFmtId="0" fontId="37" fillId="15" borderId="5" xfId="61" applyFont="1" applyFill="1" applyBorder="1" applyAlignment="1">
      <alignment horizontal="center" vertical="top"/>
    </xf>
    <xf numFmtId="0" fontId="37" fillId="0" borderId="76" xfId="61" applyFont="1" applyFill="1" applyBorder="1" applyAlignment="1">
      <alignment horizontal="left" vertical="top" wrapText="1" indent="1"/>
    </xf>
    <xf numFmtId="0" fontId="37" fillId="0" borderId="3" xfId="61" applyFont="1" applyFill="1" applyBorder="1" applyAlignment="1">
      <alignment horizontal="left" vertical="center"/>
    </xf>
    <xf numFmtId="0" fontId="37" fillId="0" borderId="46" xfId="61" applyFont="1" applyFill="1" applyBorder="1" applyAlignment="1">
      <alignment horizontal="left" vertical="center"/>
    </xf>
    <xf numFmtId="0" fontId="37" fillId="0" borderId="14" xfId="61" applyFont="1" applyFill="1" applyBorder="1" applyAlignment="1">
      <alignment horizontal="left" vertical="center"/>
    </xf>
    <xf numFmtId="0" fontId="37" fillId="15" borderId="6" xfId="61" applyFont="1" applyFill="1" applyBorder="1" applyAlignment="1">
      <alignment horizontal="center" vertical="center" wrapText="1"/>
    </xf>
    <xf numFmtId="0" fontId="37" fillId="15" borderId="4" xfId="61" applyFont="1" applyFill="1" applyBorder="1" applyAlignment="1">
      <alignment horizontal="center" vertical="center"/>
    </xf>
    <xf numFmtId="0" fontId="37" fillId="0" borderId="7" xfId="61" applyFont="1" applyFill="1" applyBorder="1" applyAlignment="1">
      <alignment horizontal="left" vertical="top"/>
    </xf>
    <xf numFmtId="0" fontId="37" fillId="0" borderId="8" xfId="61" applyFont="1" applyFill="1" applyBorder="1" applyAlignment="1">
      <alignment horizontal="left" vertical="top"/>
    </xf>
    <xf numFmtId="0" fontId="37" fillId="0" borderId="9" xfId="61" applyFont="1" applyFill="1" applyBorder="1" applyAlignment="1">
      <alignment horizontal="left" vertical="top"/>
    </xf>
    <xf numFmtId="0" fontId="37" fillId="0" borderId="12" xfId="61" applyFont="1" applyFill="1" applyBorder="1" applyAlignment="1">
      <alignment horizontal="left" vertical="top"/>
    </xf>
    <xf numFmtId="0" fontId="37" fillId="0" borderId="2" xfId="61" applyFont="1" applyFill="1" applyBorder="1" applyAlignment="1">
      <alignment horizontal="left" vertical="top"/>
    </xf>
    <xf numFmtId="0" fontId="37" fillId="0" borderId="13" xfId="61" applyFont="1" applyFill="1" applyBorder="1" applyAlignment="1">
      <alignment horizontal="left" vertical="top"/>
    </xf>
    <xf numFmtId="0" fontId="37" fillId="16" borderId="6" xfId="61" applyFont="1" applyFill="1" applyBorder="1" applyAlignment="1">
      <alignment horizontal="center" vertical="center" wrapText="1"/>
    </xf>
    <xf numFmtId="0" fontId="37" fillId="16" borderId="4" xfId="61" applyFont="1" applyFill="1" applyBorder="1" applyAlignment="1">
      <alignment horizontal="center" vertical="center"/>
    </xf>
    <xf numFmtId="0" fontId="37" fillId="16" borderId="6" xfId="61" applyFont="1" applyFill="1" applyBorder="1" applyAlignment="1">
      <alignment horizontal="center" vertical="top"/>
    </xf>
    <xf numFmtId="0" fontId="37" fillId="16" borderId="4" xfId="61" applyFont="1" applyFill="1" applyBorder="1" applyAlignment="1">
      <alignment horizontal="center" vertical="top"/>
    </xf>
    <xf numFmtId="24" fontId="37" fillId="0" borderId="5" xfId="61" applyNumberFormat="1" applyFont="1" applyFill="1" applyBorder="1" applyAlignment="1">
      <alignment horizontal="left" vertical="center"/>
    </xf>
    <xf numFmtId="0" fontId="37" fillId="0" borderId="5" xfId="61" applyFont="1" applyFill="1" applyBorder="1" applyAlignment="1">
      <alignment horizontal="left" vertical="center"/>
    </xf>
    <xf numFmtId="24" fontId="37" fillId="0" borderId="5" xfId="61" applyNumberFormat="1" applyFont="1" applyFill="1" applyBorder="1" applyAlignment="1">
      <alignment horizontal="left" vertical="top"/>
    </xf>
    <xf numFmtId="24" fontId="37" fillId="5" borderId="14" xfId="61" applyNumberFormat="1" applyFont="1" applyFill="1" applyBorder="1" applyAlignment="1">
      <alignment horizontal="left" vertical="top" wrapText="1"/>
    </xf>
    <xf numFmtId="0" fontId="37" fillId="16" borderId="5" xfId="61" applyFont="1" applyFill="1" applyBorder="1" applyAlignment="1">
      <alignment horizontal="center" vertical="top"/>
    </xf>
    <xf numFmtId="0" fontId="37" fillId="16" borderId="6" xfId="61" applyFont="1" applyFill="1" applyBorder="1" applyAlignment="1">
      <alignment horizontal="center" vertical="top" wrapText="1"/>
    </xf>
    <xf numFmtId="24" fontId="45" fillId="0" borderId="7" xfId="61" applyNumberFormat="1" applyFont="1" applyFill="1" applyBorder="1" applyAlignment="1">
      <alignment horizontal="left" vertical="top" wrapText="1"/>
    </xf>
    <xf numFmtId="24" fontId="45" fillId="0" borderId="8" xfId="61" applyNumberFormat="1" applyFont="1" applyFill="1" applyBorder="1" applyAlignment="1">
      <alignment horizontal="left" vertical="top" wrapText="1"/>
    </xf>
    <xf numFmtId="24" fontId="45" fillId="0" borderId="9" xfId="61" applyNumberFormat="1" applyFont="1" applyFill="1" applyBorder="1" applyAlignment="1">
      <alignment horizontal="left" vertical="top" wrapText="1"/>
    </xf>
    <xf numFmtId="24" fontId="45" fillId="0" borderId="12" xfId="61" applyNumberFormat="1" applyFont="1" applyFill="1" applyBorder="1" applyAlignment="1">
      <alignment horizontal="left" vertical="top" wrapText="1"/>
    </xf>
    <xf numFmtId="24" fontId="45" fillId="0" borderId="2" xfId="61" applyNumberFormat="1" applyFont="1" applyFill="1" applyBorder="1" applyAlignment="1">
      <alignment horizontal="left" vertical="top" wrapText="1"/>
    </xf>
    <xf numFmtId="24" fontId="45" fillId="0" borderId="13" xfId="61" applyNumberFormat="1" applyFont="1" applyFill="1" applyBorder="1" applyAlignment="1">
      <alignment horizontal="left" vertical="top" wrapText="1"/>
    </xf>
    <xf numFmtId="24" fontId="37" fillId="0" borderId="43" xfId="61" applyNumberFormat="1" applyFont="1" applyBorder="1" applyAlignment="1">
      <alignment horizontal="left" vertical="top" wrapText="1"/>
    </xf>
    <xf numFmtId="24" fontId="37" fillId="0" borderId="25" xfId="61" applyNumberFormat="1" applyFont="1" applyBorder="1" applyAlignment="1">
      <alignment horizontal="left" vertical="top" wrapText="1"/>
    </xf>
    <xf numFmtId="24" fontId="37" fillId="0" borderId="29" xfId="61" applyNumberFormat="1" applyFont="1" applyBorder="1" applyAlignment="1">
      <alignment horizontal="left" vertical="top" wrapText="1"/>
    </xf>
    <xf numFmtId="24" fontId="37" fillId="5" borderId="25" xfId="61" applyNumberFormat="1" applyFont="1" applyFill="1" applyBorder="1" applyAlignment="1">
      <alignment horizontal="left" vertical="top" wrapText="1"/>
    </xf>
    <xf numFmtId="24" fontId="37" fillId="5" borderId="29" xfId="61" applyNumberFormat="1" applyFont="1" applyFill="1" applyBorder="1" applyAlignment="1">
      <alignment horizontal="left" vertical="top" wrapText="1"/>
    </xf>
    <xf numFmtId="24" fontId="37" fillId="5" borderId="45" xfId="61" applyNumberFormat="1" applyFont="1" applyFill="1" applyBorder="1" applyAlignment="1">
      <alignment horizontal="left" vertical="top" wrapText="1"/>
    </xf>
    <xf numFmtId="24" fontId="37" fillId="5" borderId="48" xfId="61" applyNumberFormat="1" applyFont="1" applyFill="1" applyBorder="1" applyAlignment="1">
      <alignment horizontal="left" vertical="top" wrapText="1"/>
    </xf>
    <xf numFmtId="24" fontId="37" fillId="0" borderId="7" xfId="61" applyNumberFormat="1" applyFont="1" applyFill="1" applyBorder="1" applyAlignment="1">
      <alignment horizontal="left" vertical="top" wrapText="1"/>
    </xf>
    <xf numFmtId="24" fontId="37" fillId="0" borderId="8" xfId="61" applyNumberFormat="1" applyFont="1" applyFill="1" applyBorder="1" applyAlignment="1">
      <alignment horizontal="left" vertical="top" wrapText="1"/>
    </xf>
    <xf numFmtId="24" fontId="37" fillId="0" borderId="9" xfId="61" applyNumberFormat="1" applyFont="1" applyFill="1" applyBorder="1" applyAlignment="1">
      <alignment horizontal="left" vertical="top" wrapText="1"/>
    </xf>
    <xf numFmtId="24" fontId="37" fillId="0" borderId="12" xfId="61" applyNumberFormat="1" applyFont="1" applyFill="1" applyBorder="1" applyAlignment="1">
      <alignment horizontal="left" vertical="top" wrapText="1"/>
    </xf>
    <xf numFmtId="24" fontId="37" fillId="0" borderId="2" xfId="61" applyNumberFormat="1" applyFont="1" applyFill="1" applyBorder="1" applyAlignment="1">
      <alignment horizontal="left" vertical="top" wrapText="1"/>
    </xf>
    <xf numFmtId="24" fontId="37" fillId="0" borderId="13" xfId="61" applyNumberFormat="1" applyFont="1" applyFill="1" applyBorder="1" applyAlignment="1">
      <alignment horizontal="left" vertical="top" wrapText="1"/>
    </xf>
    <xf numFmtId="0" fontId="37" fillId="0" borderId="76" xfId="61" applyFont="1" applyFill="1" applyBorder="1" applyAlignment="1">
      <alignment horizontal="left" vertical="top" wrapText="1"/>
    </xf>
    <xf numFmtId="24" fontId="37" fillId="0" borderId="3" xfId="61" applyNumberFormat="1" applyFont="1" applyFill="1" applyBorder="1" applyAlignment="1">
      <alignment horizontal="left" vertical="top"/>
    </xf>
    <xf numFmtId="24" fontId="37" fillId="0" borderId="46" xfId="61" applyNumberFormat="1" applyFont="1" applyFill="1" applyBorder="1" applyAlignment="1">
      <alignment horizontal="left" vertical="top"/>
    </xf>
    <xf numFmtId="24" fontId="37" fillId="0" borderId="14" xfId="61" applyNumberFormat="1" applyFont="1" applyFill="1" applyBorder="1" applyAlignment="1">
      <alignment horizontal="left" vertical="top"/>
    </xf>
    <xf numFmtId="24" fontId="37" fillId="0" borderId="3" xfId="61" applyNumberFormat="1" applyFont="1" applyFill="1" applyBorder="1" applyAlignment="1">
      <alignment horizontal="left" vertical="center"/>
    </xf>
    <xf numFmtId="24" fontId="37" fillId="0" borderId="46" xfId="61" applyNumberFormat="1" applyFont="1" applyFill="1" applyBorder="1" applyAlignment="1">
      <alignment horizontal="left" vertical="center"/>
    </xf>
    <xf numFmtId="24" fontId="37" fillId="0" borderId="14" xfId="61" applyNumberFormat="1" applyFont="1" applyFill="1" applyBorder="1" applyAlignment="1">
      <alignment horizontal="left" vertical="center"/>
    </xf>
    <xf numFmtId="0" fontId="40" fillId="7" borderId="75" xfId="61" applyFont="1" applyFill="1" applyBorder="1" applyAlignment="1">
      <alignment horizontal="left" vertical="center" indent="1"/>
    </xf>
    <xf numFmtId="0" fontId="40" fillId="7" borderId="0" xfId="61" applyFont="1" applyFill="1" applyBorder="1" applyAlignment="1">
      <alignment horizontal="left" vertical="center" indent="1"/>
    </xf>
    <xf numFmtId="0" fontId="41" fillId="0" borderId="75" xfId="61" applyFont="1" applyBorder="1" applyAlignment="1">
      <alignment horizontal="left" vertical="center"/>
    </xf>
    <xf numFmtId="0" fontId="41" fillId="0" borderId="0" xfId="61" applyFont="1" applyBorder="1" applyAlignment="1">
      <alignment horizontal="left" vertical="center"/>
    </xf>
    <xf numFmtId="0" fontId="37" fillId="15" borderId="76" xfId="61" applyFont="1" applyFill="1" applyBorder="1" applyAlignment="1">
      <alignment horizontal="left" vertical="top" wrapText="1"/>
    </xf>
    <xf numFmtId="0" fontId="37" fillId="15" borderId="6" xfId="61" applyFont="1" applyFill="1" applyBorder="1" applyAlignment="1">
      <alignment horizontal="center" vertical="top" wrapText="1"/>
    </xf>
    <xf numFmtId="24" fontId="37" fillId="0" borderId="5" xfId="61" applyNumberFormat="1" applyFont="1" applyFill="1" applyBorder="1" applyAlignment="1">
      <alignment horizontal="center" vertical="center"/>
    </xf>
    <xf numFmtId="0" fontId="37" fillId="0" borderId="5" xfId="61" applyFont="1" applyFill="1" applyBorder="1" applyAlignment="1">
      <alignment horizontal="center" vertical="center"/>
    </xf>
    <xf numFmtId="0" fontId="37" fillId="0" borderId="0" xfId="0" applyFont="1" applyAlignment="1">
      <alignment horizontal="center" vertical="center"/>
    </xf>
    <xf numFmtId="0" fontId="40" fillId="7" borderId="73" xfId="61" applyFont="1" applyFill="1" applyBorder="1" applyAlignment="1">
      <alignment horizontal="left" vertical="center" indent="1"/>
    </xf>
    <xf numFmtId="0" fontId="40" fillId="7" borderId="74" xfId="61" applyFont="1" applyFill="1" applyBorder="1" applyAlignment="1">
      <alignment horizontal="left" vertical="center" indent="1"/>
    </xf>
    <xf numFmtId="0" fontId="37" fillId="0" borderId="0" xfId="0" applyFont="1" applyBorder="1" applyAlignment="1">
      <alignment horizontal="left" vertical="center" indent="1"/>
    </xf>
    <xf numFmtId="0" fontId="37" fillId="0" borderId="74" xfId="0" applyFont="1" applyBorder="1" applyAlignment="1">
      <alignment horizontal="left" vertical="center" indent="1"/>
    </xf>
    <xf numFmtId="213" fontId="0" fillId="21" borderId="5" xfId="0" applyNumberFormat="1" applyFill="1" applyBorder="1" applyAlignment="1">
      <alignment horizontal="center" vertical="top"/>
    </xf>
    <xf numFmtId="212" fontId="0" fillId="21" borderId="5" xfId="0" applyNumberFormat="1" applyFont="1" applyFill="1" applyBorder="1" applyAlignment="1">
      <alignment horizontal="center" vertical="top"/>
    </xf>
    <xf numFmtId="0" fontId="0" fillId="21" borderId="5" xfId="0" applyFont="1" applyFill="1" applyBorder="1" applyAlignment="1">
      <alignment horizontal="center" vertical="top"/>
    </xf>
    <xf numFmtId="0" fontId="0" fillId="21" borderId="5" xfId="0" applyFont="1" applyFill="1" applyBorder="1" applyAlignment="1">
      <alignment vertical="top"/>
    </xf>
    <xf numFmtId="0" fontId="0" fillId="21" borderId="5" xfId="0" applyFont="1" applyFill="1" applyBorder="1" applyAlignment="1">
      <alignment horizontal="left" vertical="top"/>
    </xf>
    <xf numFmtId="0" fontId="0" fillId="21" borderId="5" xfId="0" quotePrefix="1" applyFont="1" applyFill="1" applyBorder="1" applyAlignment="1">
      <alignment horizontal="left" vertical="top"/>
    </xf>
    <xf numFmtId="0" fontId="44" fillId="21" borderId="5" xfId="159" quotePrefix="1" applyFont="1" applyFill="1" applyBorder="1" applyAlignment="1">
      <alignment horizontal="left" vertical="top" wrapText="1"/>
    </xf>
    <xf numFmtId="0" fontId="37" fillId="21" borderId="5" xfId="159" applyFont="1" applyFill="1" applyBorder="1" applyAlignment="1">
      <alignment horizontal="justify" vertical="top" wrapText="1"/>
    </xf>
    <xf numFmtId="49" fontId="37" fillId="21" borderId="44" xfId="159" applyNumberFormat="1" applyFont="1" applyFill="1" applyBorder="1" applyAlignment="1">
      <alignment horizontal="right" vertical="top" wrapText="1"/>
    </xf>
  </cellXfs>
  <cellStyles count="162">
    <cellStyle name="△a" xfId="1" xr:uid="{00000000-0005-0000-0000-000000000000}"/>
    <cellStyle name="△a 2" xfId="2" xr:uid="{00000000-0005-0000-0000-000001000000}"/>
    <cellStyle name="△b" xfId="3" xr:uid="{00000000-0005-0000-0000-000002000000}"/>
    <cellStyle name="△c" xfId="4" xr:uid="{00000000-0005-0000-0000-000003000000}"/>
    <cellStyle name="△d" xfId="5" xr:uid="{00000000-0005-0000-0000-000004000000}"/>
    <cellStyle name="△d 2" xfId="6" xr:uid="{00000000-0005-0000-0000-000005000000}"/>
    <cellStyle name="△e" xfId="7" xr:uid="{00000000-0005-0000-0000-000006000000}"/>
    <cellStyle name="△f" xfId="8" xr:uid="{00000000-0005-0000-0000-000007000000}"/>
    <cellStyle name="△g" xfId="9" xr:uid="{00000000-0005-0000-0000-000008000000}"/>
    <cellStyle name="△h" xfId="10" xr:uid="{00000000-0005-0000-0000-000009000000}"/>
    <cellStyle name="△i" xfId="11" xr:uid="{00000000-0005-0000-0000-00000A000000}"/>
    <cellStyle name="△j" xfId="12" xr:uid="{00000000-0005-0000-0000-00000B000000}"/>
    <cellStyle name="△k" xfId="13" xr:uid="{00000000-0005-0000-0000-00000C000000}"/>
    <cellStyle name="△l" xfId="14" xr:uid="{00000000-0005-0000-0000-00000D000000}"/>
    <cellStyle name="△m" xfId="15" xr:uid="{00000000-0005-0000-0000-00000E000000}"/>
    <cellStyle name="△n" xfId="16" xr:uid="{00000000-0005-0000-0000-00000F000000}"/>
    <cellStyle name="△o" xfId="17" xr:uid="{00000000-0005-0000-0000-000010000000}"/>
    <cellStyle name="△p" xfId="18" xr:uid="{00000000-0005-0000-0000-000011000000}"/>
    <cellStyle name="△q" xfId="19" xr:uid="{00000000-0005-0000-0000-000012000000}"/>
    <cellStyle name="△r" xfId="20" xr:uid="{00000000-0005-0000-0000-000013000000}"/>
    <cellStyle name="△s" xfId="21" xr:uid="{00000000-0005-0000-0000-000014000000}"/>
    <cellStyle name="△t" xfId="22" xr:uid="{00000000-0005-0000-0000-000015000000}"/>
    <cellStyle name="△u" xfId="23" xr:uid="{00000000-0005-0000-0000-000016000000}"/>
    <cellStyle name="△v" xfId="24" xr:uid="{00000000-0005-0000-0000-000017000000}"/>
    <cellStyle name="△w" xfId="25" xr:uid="{00000000-0005-0000-0000-000018000000}"/>
    <cellStyle name="△x" xfId="26" xr:uid="{00000000-0005-0000-0000-000019000000}"/>
    <cellStyle name="△y" xfId="27" xr:uid="{00000000-0005-0000-0000-00001A000000}"/>
    <cellStyle name="△z" xfId="28" xr:uid="{00000000-0005-0000-0000-00001B000000}"/>
    <cellStyle name="AutoFormat-Optionen 2" xfId="29" xr:uid="{00000000-0005-0000-0000-00001C000000}"/>
    <cellStyle name="comma zerodec" xfId="30" xr:uid="{00000000-0005-0000-0000-00001D000000}"/>
    <cellStyle name="comma zerodec 2" xfId="31" xr:uid="{00000000-0005-0000-0000-00001E000000}"/>
    <cellStyle name="comma zerodec 3" xfId="32" xr:uid="{00000000-0005-0000-0000-00001F000000}"/>
    <cellStyle name="Currency1" xfId="33" xr:uid="{00000000-0005-0000-0000-000020000000}"/>
    <cellStyle name="Currency1 2" xfId="34" xr:uid="{00000000-0005-0000-0000-000021000000}"/>
    <cellStyle name="Dollar (zero dec)" xfId="35" xr:uid="{00000000-0005-0000-0000-000022000000}"/>
    <cellStyle name="Dollar (zero dec) 2" xfId="36" xr:uid="{00000000-0005-0000-0000-000023000000}"/>
    <cellStyle name="Dollar (zero dec) 3" xfId="37" xr:uid="{00000000-0005-0000-0000-000024000000}"/>
    <cellStyle name="Grey" xfId="38" xr:uid="{00000000-0005-0000-0000-000025000000}"/>
    <cellStyle name="Input [yellow]" xfId="39" xr:uid="{00000000-0005-0000-0000-000026000000}"/>
    <cellStyle name="Milliers [0]_AR1194" xfId="40" xr:uid="{00000000-0005-0000-0000-000027000000}"/>
    <cellStyle name="Milliers_AR1194" xfId="41" xr:uid="{00000000-0005-0000-0000-000028000000}"/>
    <cellStyle name="Moeda [0]_aola" xfId="42" xr:uid="{00000000-0005-0000-0000-000029000000}"/>
    <cellStyle name="Moeda_aola" xfId="43" xr:uid="{00000000-0005-0000-0000-00002A000000}"/>
    <cellStyle name="Mon騁aire [0]_AR1194" xfId="44" xr:uid="{00000000-0005-0000-0000-00002B000000}"/>
    <cellStyle name="Mon騁aire_AR1194" xfId="45" xr:uid="{00000000-0005-0000-0000-00002C000000}"/>
    <cellStyle name="no dec" xfId="46" xr:uid="{00000000-0005-0000-0000-00002D000000}"/>
    <cellStyle name="Normal - Style1" xfId="47" xr:uid="{00000000-0005-0000-0000-00002F000000}"/>
    <cellStyle name="Normal - Style1 2" xfId="48" xr:uid="{00000000-0005-0000-0000-000030000000}"/>
    <cellStyle name="Normal 2" xfId="49" xr:uid="{00000000-0005-0000-0000-000031000000}"/>
    <cellStyle name="Normal 3" xfId="65" xr:uid="{00000000-0005-0000-0000-000032000000}"/>
    <cellStyle name="Normal 4" xfId="81" xr:uid="{00000000-0005-0000-0000-000033000000}"/>
    <cellStyle name="Percent [2]" xfId="50" xr:uid="{00000000-0005-0000-0000-000034000000}"/>
    <cellStyle name="Quantity" xfId="51" xr:uid="{00000000-0005-0000-0000-000035000000}"/>
    <cellStyle name="Separador de milhares [0]_Person" xfId="52" xr:uid="{00000000-0005-0000-0000-000036000000}"/>
    <cellStyle name="Separador de milhares_Person" xfId="53" xr:uid="{00000000-0005-0000-0000-000037000000}"/>
    <cellStyle name="ハイパーリンク 2" xfId="54" xr:uid="{00000000-0005-0000-0000-000038000000}"/>
    <cellStyle name="ハイパーリンク 3" xfId="55" xr:uid="{00000000-0005-0000-0000-000039000000}"/>
    <cellStyle name="標準" xfId="0" builtinId="0"/>
    <cellStyle name="標準 10" xfId="158" xr:uid="{26011632-09E0-45B1-BF4E-EA6D1CE565BA}"/>
    <cellStyle name="標準 11" xfId="159" xr:uid="{8D8CC830-3545-4457-A395-6117BDA71F55}"/>
    <cellStyle name="標準 110" xfId="67" xr:uid="{00000000-0005-0000-0000-00003A000000}"/>
    <cellStyle name="標準 110 2" xfId="70" xr:uid="{00000000-0005-0000-0000-00003B000000}"/>
    <cellStyle name="標準 110 2 2" xfId="76" xr:uid="{00000000-0005-0000-0000-00003C000000}"/>
    <cellStyle name="標準 110 2 2 2" xfId="93" xr:uid="{00000000-0005-0000-0000-00003D000000}"/>
    <cellStyle name="標準 110 2 2 2 2" xfId="139" xr:uid="{00000000-0005-0000-0000-00003E000000}"/>
    <cellStyle name="標準 110 2 2 3" xfId="108" xr:uid="{00000000-0005-0000-0000-00003F000000}"/>
    <cellStyle name="標準 110 2 2 3 2" xfId="154" xr:uid="{00000000-0005-0000-0000-000040000000}"/>
    <cellStyle name="標準 110 2 2 4" xfId="124" xr:uid="{00000000-0005-0000-0000-000041000000}"/>
    <cellStyle name="標準 110 2 3" xfId="87" xr:uid="{00000000-0005-0000-0000-000042000000}"/>
    <cellStyle name="標準 110 2 3 2" xfId="133" xr:uid="{00000000-0005-0000-0000-000043000000}"/>
    <cellStyle name="標準 110 2 4" xfId="102" xr:uid="{00000000-0005-0000-0000-000044000000}"/>
    <cellStyle name="標準 110 2 4 2" xfId="148" xr:uid="{00000000-0005-0000-0000-000045000000}"/>
    <cellStyle name="標準 110 2 5" xfId="118" xr:uid="{00000000-0005-0000-0000-000046000000}"/>
    <cellStyle name="標準 110 3" xfId="73" xr:uid="{00000000-0005-0000-0000-000047000000}"/>
    <cellStyle name="標準 110 3 2" xfId="90" xr:uid="{00000000-0005-0000-0000-000048000000}"/>
    <cellStyle name="標準 110 3 2 2" xfId="136" xr:uid="{00000000-0005-0000-0000-000049000000}"/>
    <cellStyle name="標準 110 3 3" xfId="105" xr:uid="{00000000-0005-0000-0000-00004A000000}"/>
    <cellStyle name="標準 110 3 3 2" xfId="151" xr:uid="{00000000-0005-0000-0000-00004B000000}"/>
    <cellStyle name="標準 110 3 4" xfId="121" xr:uid="{00000000-0005-0000-0000-00004C000000}"/>
    <cellStyle name="標準 110 4" xfId="84" xr:uid="{00000000-0005-0000-0000-00004D000000}"/>
    <cellStyle name="標準 110 4 2" xfId="130" xr:uid="{00000000-0005-0000-0000-00004E000000}"/>
    <cellStyle name="標準 110 5" xfId="99" xr:uid="{00000000-0005-0000-0000-00004F000000}"/>
    <cellStyle name="標準 110 5 2" xfId="145" xr:uid="{00000000-0005-0000-0000-000050000000}"/>
    <cellStyle name="標準 110 6" xfId="115" xr:uid="{00000000-0005-0000-0000-000051000000}"/>
    <cellStyle name="標準 12" xfId="160" xr:uid="{8830533A-5CF4-4FF3-A6FB-1B9413EF41F6}"/>
    <cellStyle name="標準 13" xfId="161" xr:uid="{BE663DC0-C385-4F8D-A478-2F206FC3907E}"/>
    <cellStyle name="標準 17" xfId="78" xr:uid="{00000000-0005-0000-0000-000052000000}"/>
    <cellStyle name="標準 17 2" xfId="95" xr:uid="{00000000-0005-0000-0000-000053000000}"/>
    <cellStyle name="標準 17 2 2" xfId="141" xr:uid="{00000000-0005-0000-0000-000054000000}"/>
    <cellStyle name="標準 17 3" xfId="110" xr:uid="{00000000-0005-0000-0000-000055000000}"/>
    <cellStyle name="標準 17 3 2" xfId="156" xr:uid="{00000000-0005-0000-0000-000056000000}"/>
    <cellStyle name="標準 17 4" xfId="126" xr:uid="{00000000-0005-0000-0000-000057000000}"/>
    <cellStyle name="標準 2" xfId="56" xr:uid="{00000000-0005-0000-0000-000058000000}"/>
    <cellStyle name="標準 2 2" xfId="57" xr:uid="{00000000-0005-0000-0000-000059000000}"/>
    <cellStyle name="標準 2 3" xfId="61" xr:uid="{00000000-0005-0000-0000-00005A000000}"/>
    <cellStyle name="標準 3" xfId="58" xr:uid="{00000000-0005-0000-0000-00005B000000}"/>
    <cellStyle name="標準 4" xfId="59" xr:uid="{00000000-0005-0000-0000-00005C000000}"/>
    <cellStyle name="標準 4 2" xfId="62" xr:uid="{00000000-0005-0000-0000-00005D000000}"/>
    <cellStyle name="標準 4 2 2" xfId="63" xr:uid="{00000000-0005-0000-0000-00005E000000}"/>
    <cellStyle name="標準 4 2 2 2" xfId="69" xr:uid="{00000000-0005-0000-0000-00005F000000}"/>
    <cellStyle name="標準 4 2 2 2 2" xfId="75" xr:uid="{00000000-0005-0000-0000-000060000000}"/>
    <cellStyle name="標準 4 2 2 2 2 2" xfId="92" xr:uid="{00000000-0005-0000-0000-000061000000}"/>
    <cellStyle name="標準 4 2 2 2 2 2 2" xfId="138" xr:uid="{00000000-0005-0000-0000-000062000000}"/>
    <cellStyle name="標準 4 2 2 2 2 3" xfId="107" xr:uid="{00000000-0005-0000-0000-000063000000}"/>
    <cellStyle name="標準 4 2 2 2 2 3 2" xfId="153" xr:uid="{00000000-0005-0000-0000-000064000000}"/>
    <cellStyle name="標準 4 2 2 2 2 4" xfId="123" xr:uid="{00000000-0005-0000-0000-000065000000}"/>
    <cellStyle name="標準 4 2 2 2 3" xfId="86" xr:uid="{00000000-0005-0000-0000-000066000000}"/>
    <cellStyle name="標準 4 2 2 2 3 2" xfId="132" xr:uid="{00000000-0005-0000-0000-000067000000}"/>
    <cellStyle name="標準 4 2 2 2 4" xfId="101" xr:uid="{00000000-0005-0000-0000-000068000000}"/>
    <cellStyle name="標準 4 2 2 2 4 2" xfId="147" xr:uid="{00000000-0005-0000-0000-000069000000}"/>
    <cellStyle name="標準 4 2 2 2 5" xfId="117" xr:uid="{00000000-0005-0000-0000-00006A000000}"/>
    <cellStyle name="標準 4 2 2 3" xfId="72" xr:uid="{00000000-0005-0000-0000-00006B000000}"/>
    <cellStyle name="標準 4 2 2 3 2" xfId="89" xr:uid="{00000000-0005-0000-0000-00006C000000}"/>
    <cellStyle name="標準 4 2 2 3 2 2" xfId="135" xr:uid="{00000000-0005-0000-0000-00006D000000}"/>
    <cellStyle name="標準 4 2 2 3 3" xfId="104" xr:uid="{00000000-0005-0000-0000-00006E000000}"/>
    <cellStyle name="標準 4 2 2 3 3 2" xfId="150" xr:uid="{00000000-0005-0000-0000-00006F000000}"/>
    <cellStyle name="標準 4 2 2 3 4" xfId="120" xr:uid="{00000000-0005-0000-0000-000070000000}"/>
    <cellStyle name="標準 4 2 2 4" xfId="83" xr:uid="{00000000-0005-0000-0000-000071000000}"/>
    <cellStyle name="標準 4 2 2 4 2" xfId="129" xr:uid="{00000000-0005-0000-0000-000072000000}"/>
    <cellStyle name="標準 4 2 2 5" xfId="98" xr:uid="{00000000-0005-0000-0000-000073000000}"/>
    <cellStyle name="標準 4 2 2 5 2" xfId="144" xr:uid="{00000000-0005-0000-0000-000074000000}"/>
    <cellStyle name="標準 4 2 2 6" xfId="114" xr:uid="{00000000-0005-0000-0000-000075000000}"/>
    <cellStyle name="標準 4 2 3" xfId="68" xr:uid="{00000000-0005-0000-0000-000076000000}"/>
    <cellStyle name="標準 4 2 3 2" xfId="74" xr:uid="{00000000-0005-0000-0000-000077000000}"/>
    <cellStyle name="標準 4 2 3 2 2" xfId="91" xr:uid="{00000000-0005-0000-0000-000078000000}"/>
    <cellStyle name="標準 4 2 3 2 2 2" xfId="137" xr:uid="{00000000-0005-0000-0000-000079000000}"/>
    <cellStyle name="標準 4 2 3 2 3" xfId="106" xr:uid="{00000000-0005-0000-0000-00007A000000}"/>
    <cellStyle name="標準 4 2 3 2 3 2" xfId="152" xr:uid="{00000000-0005-0000-0000-00007B000000}"/>
    <cellStyle name="標準 4 2 3 2 4" xfId="122" xr:uid="{00000000-0005-0000-0000-00007C000000}"/>
    <cellStyle name="標準 4 2 3 3" xfId="85" xr:uid="{00000000-0005-0000-0000-00007D000000}"/>
    <cellStyle name="標準 4 2 3 3 2" xfId="131" xr:uid="{00000000-0005-0000-0000-00007E000000}"/>
    <cellStyle name="標準 4 2 3 4" xfId="100" xr:uid="{00000000-0005-0000-0000-00007F000000}"/>
    <cellStyle name="標準 4 2 3 4 2" xfId="146" xr:uid="{00000000-0005-0000-0000-000080000000}"/>
    <cellStyle name="標準 4 2 3 5" xfId="116" xr:uid="{00000000-0005-0000-0000-000081000000}"/>
    <cellStyle name="標準 4 2 4" xfId="71" xr:uid="{00000000-0005-0000-0000-000082000000}"/>
    <cellStyle name="標準 4 2 4 2" xfId="88" xr:uid="{00000000-0005-0000-0000-000083000000}"/>
    <cellStyle name="標準 4 2 4 2 2" xfId="134" xr:uid="{00000000-0005-0000-0000-000084000000}"/>
    <cellStyle name="標準 4 2 4 3" xfId="103" xr:uid="{00000000-0005-0000-0000-000085000000}"/>
    <cellStyle name="標準 4 2 4 3 2" xfId="149" xr:uid="{00000000-0005-0000-0000-000086000000}"/>
    <cellStyle name="標準 4 2 4 4" xfId="119" xr:uid="{00000000-0005-0000-0000-000087000000}"/>
    <cellStyle name="標準 4 2 5" xfId="82" xr:uid="{00000000-0005-0000-0000-000088000000}"/>
    <cellStyle name="標準 4 2 5 2" xfId="128" xr:uid="{00000000-0005-0000-0000-000089000000}"/>
    <cellStyle name="標準 4 2 6" xfId="97" xr:uid="{00000000-0005-0000-0000-00008A000000}"/>
    <cellStyle name="標準 4 2 6 2" xfId="143" xr:uid="{00000000-0005-0000-0000-00008B000000}"/>
    <cellStyle name="標準 4 2 7" xfId="113" xr:uid="{00000000-0005-0000-0000-00008C000000}"/>
    <cellStyle name="標準 5" xfId="77" xr:uid="{00000000-0005-0000-0000-00008D000000}"/>
    <cellStyle name="標準 5 2" xfId="94" xr:uid="{00000000-0005-0000-0000-00008E000000}"/>
    <cellStyle name="標準 5 2 2" xfId="140" xr:uid="{00000000-0005-0000-0000-00008F000000}"/>
    <cellStyle name="標準 5 3" xfId="109" xr:uid="{00000000-0005-0000-0000-000090000000}"/>
    <cellStyle name="標準 5 3 2" xfId="155" xr:uid="{00000000-0005-0000-0000-000091000000}"/>
    <cellStyle name="標準 5 4" xfId="80" xr:uid="{00000000-0005-0000-0000-000092000000}"/>
    <cellStyle name="標準 5 4 2" xfId="96" xr:uid="{00000000-0005-0000-0000-000093000000}"/>
    <cellStyle name="標準 5 4 2 2" xfId="142" xr:uid="{00000000-0005-0000-0000-000094000000}"/>
    <cellStyle name="標準 5 4 3" xfId="111" xr:uid="{00000000-0005-0000-0000-000095000000}"/>
    <cellStyle name="標準 5 4 3 2" xfId="157" xr:uid="{00000000-0005-0000-0000-000096000000}"/>
    <cellStyle name="標準 5 4 4" xfId="127" xr:uid="{00000000-0005-0000-0000-000097000000}"/>
    <cellStyle name="標準 5 5" xfId="125" xr:uid="{00000000-0005-0000-0000-000098000000}"/>
    <cellStyle name="標準 6" xfId="79" xr:uid="{00000000-0005-0000-0000-000099000000}"/>
    <cellStyle name="標準 7" xfId="64" xr:uid="{00000000-0005-0000-0000-00009A000000}"/>
    <cellStyle name="標準 8" xfId="66" xr:uid="{00000000-0005-0000-0000-00009B000000}"/>
    <cellStyle name="標準 9" xfId="112" xr:uid="{00000000-0005-0000-0000-00009C000000}"/>
    <cellStyle name="㼿" xfId="60" xr:uid="{00000000-0005-0000-0000-00009D000000}"/>
  </cellStyles>
  <dxfs count="184">
    <dxf>
      <font>
        <b val="0"/>
        <i val="0"/>
        <strike val="0"/>
        <color theme="0"/>
      </font>
      <fill>
        <patternFill patternType="solid">
          <bgColor theme="1"/>
        </patternFill>
      </fill>
    </dxf>
    <dxf>
      <font>
        <b val="0"/>
        <i val="0"/>
        <strike val="0"/>
        <color theme="0"/>
      </font>
      <fill>
        <patternFill patternType="solid">
          <bgColor theme="1"/>
        </patternFill>
      </fill>
    </dxf>
    <dxf>
      <font>
        <b val="0"/>
        <i val="0"/>
        <strike val="0"/>
        <color theme="0"/>
      </font>
      <fill>
        <patternFill patternType="solid">
          <bgColor theme="1"/>
        </patternFill>
      </fill>
    </dxf>
    <dxf>
      <font>
        <color theme="0" tint="-0.24994659260841701"/>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mruColors>
      <color rgb="FFFFCCFF"/>
      <color rgb="FF0000FF"/>
      <color rgb="FFCCFFFF"/>
      <color rgb="FF00FFCC"/>
      <color rgb="FF66FF99"/>
      <color rgb="FFCCFF33"/>
      <color rgb="FFC4D79B"/>
      <color rgb="FFFFCC66"/>
      <color rgb="FFFFC000"/>
      <color rgb="FFCCFF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externalLink" Target="externalLinks/externalLink14.xml"/><Relationship Id="rId21" Type="http://schemas.openxmlformats.org/officeDocument/2006/relationships/externalLink" Target="externalLinks/externalLink9.xml"/><Relationship Id="rId42" Type="http://schemas.openxmlformats.org/officeDocument/2006/relationships/externalLink" Target="externalLinks/externalLink30.xml"/><Relationship Id="rId47" Type="http://schemas.openxmlformats.org/officeDocument/2006/relationships/externalLink" Target="externalLinks/externalLink35.xml"/><Relationship Id="rId63" Type="http://schemas.openxmlformats.org/officeDocument/2006/relationships/externalLink" Target="externalLinks/externalLink51.xml"/><Relationship Id="rId68" Type="http://schemas.microsoft.com/office/2017/10/relationships/person" Target="persons/person.xml"/><Relationship Id="rId2" Type="http://schemas.openxmlformats.org/officeDocument/2006/relationships/worksheet" Target="worksheets/sheet2.xml"/><Relationship Id="rId16" Type="http://schemas.openxmlformats.org/officeDocument/2006/relationships/externalLink" Target="externalLinks/externalLink4.xml"/><Relationship Id="rId29" Type="http://schemas.openxmlformats.org/officeDocument/2006/relationships/externalLink" Target="externalLinks/externalLink17.xml"/><Relationship Id="rId11" Type="http://schemas.openxmlformats.org/officeDocument/2006/relationships/worksheet" Target="worksheets/sheet11.xml"/><Relationship Id="rId24" Type="http://schemas.openxmlformats.org/officeDocument/2006/relationships/externalLink" Target="externalLinks/externalLink12.xml"/><Relationship Id="rId32" Type="http://schemas.openxmlformats.org/officeDocument/2006/relationships/externalLink" Target="externalLinks/externalLink20.xml"/><Relationship Id="rId37" Type="http://schemas.openxmlformats.org/officeDocument/2006/relationships/externalLink" Target="externalLinks/externalLink25.xml"/><Relationship Id="rId40" Type="http://schemas.openxmlformats.org/officeDocument/2006/relationships/externalLink" Target="externalLinks/externalLink28.xml"/><Relationship Id="rId45" Type="http://schemas.openxmlformats.org/officeDocument/2006/relationships/externalLink" Target="externalLinks/externalLink33.xml"/><Relationship Id="rId53" Type="http://schemas.openxmlformats.org/officeDocument/2006/relationships/externalLink" Target="externalLinks/externalLink41.xml"/><Relationship Id="rId58" Type="http://schemas.openxmlformats.org/officeDocument/2006/relationships/externalLink" Target="externalLinks/externalLink46.xml"/><Relationship Id="rId66" Type="http://schemas.openxmlformats.org/officeDocument/2006/relationships/styles" Target="styles.xml"/><Relationship Id="rId74" Type="http://schemas.microsoft.com/office/2006/relationships/vbaProject" Target="vbaProject.bin"/><Relationship Id="rId5" Type="http://schemas.openxmlformats.org/officeDocument/2006/relationships/worksheet" Target="worksheets/sheet5.xml"/><Relationship Id="rId61" Type="http://schemas.openxmlformats.org/officeDocument/2006/relationships/externalLink" Target="externalLinks/externalLink49.xml"/><Relationship Id="rId19" Type="http://schemas.openxmlformats.org/officeDocument/2006/relationships/externalLink" Target="externalLinks/externalLink7.xml"/><Relationship Id="rId14" Type="http://schemas.openxmlformats.org/officeDocument/2006/relationships/externalLink" Target="externalLinks/externalLink2.xml"/><Relationship Id="rId22" Type="http://schemas.openxmlformats.org/officeDocument/2006/relationships/externalLink" Target="externalLinks/externalLink10.xml"/><Relationship Id="rId27" Type="http://schemas.openxmlformats.org/officeDocument/2006/relationships/externalLink" Target="externalLinks/externalLink15.xml"/><Relationship Id="rId30" Type="http://schemas.openxmlformats.org/officeDocument/2006/relationships/externalLink" Target="externalLinks/externalLink18.xml"/><Relationship Id="rId35" Type="http://schemas.openxmlformats.org/officeDocument/2006/relationships/externalLink" Target="externalLinks/externalLink23.xml"/><Relationship Id="rId43" Type="http://schemas.openxmlformats.org/officeDocument/2006/relationships/externalLink" Target="externalLinks/externalLink31.xml"/><Relationship Id="rId48" Type="http://schemas.openxmlformats.org/officeDocument/2006/relationships/externalLink" Target="externalLinks/externalLink36.xml"/><Relationship Id="rId56" Type="http://schemas.openxmlformats.org/officeDocument/2006/relationships/externalLink" Target="externalLinks/externalLink44.xml"/><Relationship Id="rId64" Type="http://schemas.openxmlformats.org/officeDocument/2006/relationships/externalLink" Target="externalLinks/externalLink52.xml"/><Relationship Id="rId69"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externalLink" Target="externalLinks/externalLink39.xml"/><Relationship Id="rId72"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externalLink" Target="externalLinks/externalLink5.xml"/><Relationship Id="rId25" Type="http://schemas.openxmlformats.org/officeDocument/2006/relationships/externalLink" Target="externalLinks/externalLink13.xml"/><Relationship Id="rId33" Type="http://schemas.openxmlformats.org/officeDocument/2006/relationships/externalLink" Target="externalLinks/externalLink21.xml"/><Relationship Id="rId38" Type="http://schemas.openxmlformats.org/officeDocument/2006/relationships/externalLink" Target="externalLinks/externalLink26.xml"/><Relationship Id="rId46" Type="http://schemas.openxmlformats.org/officeDocument/2006/relationships/externalLink" Target="externalLinks/externalLink34.xml"/><Relationship Id="rId59" Type="http://schemas.openxmlformats.org/officeDocument/2006/relationships/externalLink" Target="externalLinks/externalLink47.xml"/><Relationship Id="rId67" Type="http://schemas.openxmlformats.org/officeDocument/2006/relationships/sharedStrings" Target="sharedStrings.xml"/><Relationship Id="rId20" Type="http://schemas.openxmlformats.org/officeDocument/2006/relationships/externalLink" Target="externalLinks/externalLink8.xml"/><Relationship Id="rId41" Type="http://schemas.openxmlformats.org/officeDocument/2006/relationships/externalLink" Target="externalLinks/externalLink29.xml"/><Relationship Id="rId54" Type="http://schemas.openxmlformats.org/officeDocument/2006/relationships/externalLink" Target="externalLinks/externalLink42.xml"/><Relationship Id="rId62" Type="http://schemas.openxmlformats.org/officeDocument/2006/relationships/externalLink" Target="externalLinks/externalLink50.xml"/><Relationship Id="rId70"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externalLink" Target="externalLinks/externalLink3.xml"/><Relationship Id="rId23" Type="http://schemas.openxmlformats.org/officeDocument/2006/relationships/externalLink" Target="externalLinks/externalLink11.xml"/><Relationship Id="rId28" Type="http://schemas.openxmlformats.org/officeDocument/2006/relationships/externalLink" Target="externalLinks/externalLink16.xml"/><Relationship Id="rId36" Type="http://schemas.openxmlformats.org/officeDocument/2006/relationships/externalLink" Target="externalLinks/externalLink24.xml"/><Relationship Id="rId49" Type="http://schemas.openxmlformats.org/officeDocument/2006/relationships/externalLink" Target="externalLinks/externalLink37.xml"/><Relationship Id="rId57" Type="http://schemas.openxmlformats.org/officeDocument/2006/relationships/externalLink" Target="externalLinks/externalLink45.xml"/><Relationship Id="rId10" Type="http://schemas.openxmlformats.org/officeDocument/2006/relationships/worksheet" Target="worksheets/sheet10.xml"/><Relationship Id="rId31" Type="http://schemas.openxmlformats.org/officeDocument/2006/relationships/externalLink" Target="externalLinks/externalLink19.xml"/><Relationship Id="rId44" Type="http://schemas.openxmlformats.org/officeDocument/2006/relationships/externalLink" Target="externalLinks/externalLink32.xml"/><Relationship Id="rId52" Type="http://schemas.openxmlformats.org/officeDocument/2006/relationships/externalLink" Target="externalLinks/externalLink40.xml"/><Relationship Id="rId60" Type="http://schemas.openxmlformats.org/officeDocument/2006/relationships/externalLink" Target="externalLinks/externalLink48.xml"/><Relationship Id="rId65" Type="http://schemas.openxmlformats.org/officeDocument/2006/relationships/theme" Target="theme/theme1.xml"/><Relationship Id="rId73" Type="http://schemas.openxmlformats.org/officeDocument/2006/relationships/customXml" Target="../customXml/item4.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externalLink" Target="externalLinks/externalLink1.xml"/><Relationship Id="rId18" Type="http://schemas.openxmlformats.org/officeDocument/2006/relationships/externalLink" Target="externalLinks/externalLink6.xml"/><Relationship Id="rId39" Type="http://schemas.openxmlformats.org/officeDocument/2006/relationships/externalLink" Target="externalLinks/externalLink27.xml"/><Relationship Id="rId34" Type="http://schemas.openxmlformats.org/officeDocument/2006/relationships/externalLink" Target="externalLinks/externalLink22.xml"/><Relationship Id="rId50" Type="http://schemas.openxmlformats.org/officeDocument/2006/relationships/externalLink" Target="externalLinks/externalLink38.xml"/><Relationship Id="rId55" Type="http://schemas.openxmlformats.org/officeDocument/2006/relationships/externalLink" Target="externalLinks/externalLink43.xml"/><Relationship Id="rId7" Type="http://schemas.openxmlformats.org/officeDocument/2006/relationships/worksheet" Target="worksheets/sheet7.xml"/><Relationship Id="rId71" Type="http://schemas.openxmlformats.org/officeDocument/2006/relationships/customXml" Target="../customXml/item2.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0</xdr:colOff>
          <xdr:row>1</xdr:row>
          <xdr:rowOff>38100</xdr:rowOff>
        </xdr:from>
        <xdr:to>
          <xdr:col>3</xdr:col>
          <xdr:colOff>594360</xdr:colOff>
          <xdr:row>2</xdr:row>
          <xdr:rowOff>76200</xdr:rowOff>
        </xdr:to>
        <xdr:sp macro="" textlink="">
          <xdr:nvSpPr>
            <xdr:cNvPr id="179202" name="Button 2" hidden="1">
              <a:extLst>
                <a:ext uri="{63B3BB69-23CF-44E3-9099-C40C66FF867C}">
                  <a14:compatExt spid="_x0000_s179202"/>
                </a:ext>
                <a:ext uri="{FF2B5EF4-FFF2-40B4-BE49-F238E27FC236}">
                  <a16:creationId xmlns:a16="http://schemas.microsoft.com/office/drawing/2014/main" id="{00000000-0008-0000-0100-000002BC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ja-JP" altLang="en-US" sz="900" b="0" i="0" u="none" strike="noStrike" baseline="0">
                  <a:solidFill>
                    <a:srgbClr val="000000"/>
                  </a:solidFill>
                  <a:latin typeface="Tahoma"/>
                  <a:cs typeface="Tahoma"/>
                </a:rPr>
                <a:t>Compact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640080</xdr:colOff>
          <xdr:row>1</xdr:row>
          <xdr:rowOff>38100</xdr:rowOff>
        </xdr:from>
        <xdr:to>
          <xdr:col>3</xdr:col>
          <xdr:colOff>1226820</xdr:colOff>
          <xdr:row>2</xdr:row>
          <xdr:rowOff>76200</xdr:rowOff>
        </xdr:to>
        <xdr:sp macro="" textlink="">
          <xdr:nvSpPr>
            <xdr:cNvPr id="179203" name="Button 3" hidden="1">
              <a:extLst>
                <a:ext uri="{63B3BB69-23CF-44E3-9099-C40C66FF867C}">
                  <a14:compatExt spid="_x0000_s179203"/>
                </a:ext>
                <a:ext uri="{FF2B5EF4-FFF2-40B4-BE49-F238E27FC236}">
                  <a16:creationId xmlns:a16="http://schemas.microsoft.com/office/drawing/2014/main" id="{00000000-0008-0000-0100-000003BC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ja-JP" altLang="en-US" sz="900" b="0" i="0" u="none" strike="noStrike" baseline="0">
                  <a:solidFill>
                    <a:srgbClr val="000000"/>
                  </a:solidFill>
                  <a:latin typeface="Tahoma"/>
                  <a:cs typeface="Tahoma"/>
                </a:rPr>
                <a:t>Auto Fit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xdr:col>
      <xdr:colOff>0</xdr:colOff>
      <xdr:row>15</xdr:row>
      <xdr:rowOff>0</xdr:rowOff>
    </xdr:from>
    <xdr:to>
      <xdr:col>44</xdr:col>
      <xdr:colOff>172891</xdr:colOff>
      <xdr:row>19</xdr:row>
      <xdr:rowOff>0</xdr:rowOff>
    </xdr:to>
    <xdr:sp macro="" textlink="">
      <xdr:nvSpPr>
        <xdr:cNvPr id="2" name="正方形/長方形 1">
          <a:extLst>
            <a:ext uri="{FF2B5EF4-FFF2-40B4-BE49-F238E27FC236}">
              <a16:creationId xmlns:a16="http://schemas.microsoft.com/office/drawing/2014/main" id="{00000000-0008-0000-0300-000002000000}"/>
            </a:ext>
          </a:extLst>
        </xdr:cNvPr>
        <xdr:cNvSpPr/>
      </xdr:nvSpPr>
      <xdr:spPr>
        <a:xfrm>
          <a:off x="1243853" y="5233147"/>
          <a:ext cx="31650214" cy="1042147"/>
        </a:xfrm>
        <a:prstGeom prst="rect">
          <a:avLst/>
        </a:prstGeom>
        <a:solidFill>
          <a:schemeClr val="tx1">
            <a:alpha val="7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36000" tIns="36000" rIns="36000" bIns="36000" rtlCol="0" anchor="t"/>
        <a:lstStyle/>
        <a:p>
          <a:pPr algn="l"/>
          <a:r>
            <a:rPr kumimoji="1" lang="en-US" altLang="ja-JP" sz="1400">
              <a:solidFill>
                <a:srgbClr val="FF0000"/>
              </a:solidFill>
              <a:latin typeface="Tahoma" panose="020B0604030504040204" pitchFamily="34" charset="0"/>
              <a:ea typeface="Tahoma" panose="020B0604030504040204" pitchFamily="34" charset="0"/>
              <a:cs typeface="Tahoma" panose="020B0604030504040204" pitchFamily="34" charset="0"/>
            </a:rPr>
            <a:t>Moved to sheet: DID</a:t>
          </a:r>
          <a:endParaRPr kumimoji="1" lang="ja-JP" altLang="en-US" sz="1400">
            <a:solidFill>
              <a:srgbClr val="FF0000"/>
            </a:solidFill>
            <a:latin typeface="Tahoma" panose="020B0604030504040204" pitchFamily="34" charset="0"/>
            <a:cs typeface="Tahoma" panose="020B0604030504040204" pitchFamily="34" charset="0"/>
          </a:endParaRPr>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0</xdr:colOff>
          <xdr:row>1</xdr:row>
          <xdr:rowOff>0</xdr:rowOff>
        </xdr:from>
        <xdr:to>
          <xdr:col>2</xdr:col>
          <xdr:colOff>0</xdr:colOff>
          <xdr:row>2</xdr:row>
          <xdr:rowOff>0</xdr:rowOff>
        </xdr:to>
        <xdr:sp macro="" textlink="">
          <xdr:nvSpPr>
            <xdr:cNvPr id="188418" name="Button 2" hidden="1">
              <a:extLst>
                <a:ext uri="{63B3BB69-23CF-44E3-9099-C40C66FF867C}">
                  <a14:compatExt spid="_x0000_s188418"/>
                </a:ext>
                <a:ext uri="{FF2B5EF4-FFF2-40B4-BE49-F238E27FC236}">
                  <a16:creationId xmlns:a16="http://schemas.microsoft.com/office/drawing/2014/main" id="{00000000-0008-0000-0400-000002E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ja-JP" altLang="en-US" sz="900" b="0" i="0" u="none" strike="noStrike" baseline="0">
                  <a:solidFill>
                    <a:srgbClr val="000000"/>
                  </a:solidFill>
                  <a:latin typeface="Tahoma"/>
                  <a:cs typeface="Tahoma"/>
                </a:rPr>
                <a:t>Slim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45720</xdr:colOff>
          <xdr:row>1</xdr:row>
          <xdr:rowOff>0</xdr:rowOff>
        </xdr:from>
        <xdr:to>
          <xdr:col>2</xdr:col>
          <xdr:colOff>640080</xdr:colOff>
          <xdr:row>2</xdr:row>
          <xdr:rowOff>0</xdr:rowOff>
        </xdr:to>
        <xdr:sp macro="" textlink="">
          <xdr:nvSpPr>
            <xdr:cNvPr id="188419" name="Button 3" hidden="1">
              <a:extLst>
                <a:ext uri="{63B3BB69-23CF-44E3-9099-C40C66FF867C}">
                  <a14:compatExt spid="_x0000_s188419"/>
                </a:ext>
                <a:ext uri="{FF2B5EF4-FFF2-40B4-BE49-F238E27FC236}">
                  <a16:creationId xmlns:a16="http://schemas.microsoft.com/office/drawing/2014/main" id="{00000000-0008-0000-0400-000003E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ja-JP" altLang="en-US" sz="900" b="0" i="0" u="none" strike="noStrike" baseline="0">
                  <a:solidFill>
                    <a:srgbClr val="000000"/>
                  </a:solidFill>
                  <a:latin typeface="Tahoma"/>
                  <a:cs typeface="Tahoma"/>
                </a:rPr>
                <a:t>Auto Fit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1</xdr:col>
      <xdr:colOff>1</xdr:colOff>
      <xdr:row>7</xdr:row>
      <xdr:rowOff>0</xdr:rowOff>
    </xdr:from>
    <xdr:to>
      <xdr:col>44</xdr:col>
      <xdr:colOff>1</xdr:colOff>
      <xdr:row>8</xdr:row>
      <xdr:rowOff>0</xdr:rowOff>
    </xdr:to>
    <xdr:sp macro="" textlink="">
      <xdr:nvSpPr>
        <xdr:cNvPr id="2" name="正方形/長方形 1">
          <a:extLst>
            <a:ext uri="{FF2B5EF4-FFF2-40B4-BE49-F238E27FC236}">
              <a16:creationId xmlns:a16="http://schemas.microsoft.com/office/drawing/2014/main" id="{00000000-0008-0000-0600-000002000000}"/>
            </a:ext>
          </a:extLst>
        </xdr:cNvPr>
        <xdr:cNvSpPr/>
      </xdr:nvSpPr>
      <xdr:spPr>
        <a:xfrm>
          <a:off x="1347108" y="1959429"/>
          <a:ext cx="31650214" cy="326571"/>
        </a:xfrm>
        <a:prstGeom prst="rect">
          <a:avLst/>
        </a:prstGeom>
        <a:solidFill>
          <a:schemeClr val="tx1">
            <a:alpha val="7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36000" tIns="36000" rIns="36000" bIns="36000" rtlCol="0" anchor="t"/>
        <a:lstStyle/>
        <a:p>
          <a:pPr algn="l"/>
          <a:r>
            <a:rPr kumimoji="1" lang="en-US" altLang="ja-JP" sz="1400">
              <a:solidFill>
                <a:srgbClr val="FF0000"/>
              </a:solidFill>
              <a:latin typeface="Tahoma" panose="020B0604030504040204" pitchFamily="34" charset="0"/>
              <a:ea typeface="Tahoma" panose="020B0604030504040204" pitchFamily="34" charset="0"/>
              <a:cs typeface="Tahoma" panose="020B0604030504040204" pitchFamily="34" charset="0"/>
            </a:rPr>
            <a:t>Moved to sheet: DID</a:t>
          </a:r>
          <a:endParaRPr kumimoji="1" lang="ja-JP" altLang="en-US" sz="1400">
            <a:solidFill>
              <a:srgbClr val="FF0000"/>
            </a:solidFill>
            <a:latin typeface="Tahoma" panose="020B0604030504040204" pitchFamily="34" charset="0"/>
            <a:cs typeface="Tahoma" panose="020B0604030504040204" pitchFamily="34" charset="0"/>
          </a:endParaRPr>
        </a:p>
      </xdr:txBody>
    </xdr:sp>
    <xdr:clientData/>
  </xdr:twoCellAnchor>
  <xdr:twoCellAnchor>
    <xdr:from>
      <xdr:col>1</xdr:col>
      <xdr:colOff>1</xdr:colOff>
      <xdr:row>31</xdr:row>
      <xdr:rowOff>1</xdr:rowOff>
    </xdr:from>
    <xdr:to>
      <xdr:col>44</xdr:col>
      <xdr:colOff>0</xdr:colOff>
      <xdr:row>32</xdr:row>
      <xdr:rowOff>1</xdr:rowOff>
    </xdr:to>
    <xdr:sp macro="" textlink="">
      <xdr:nvSpPr>
        <xdr:cNvPr id="3" name="正方形/長方形 2">
          <a:extLst>
            <a:ext uri="{FF2B5EF4-FFF2-40B4-BE49-F238E27FC236}">
              <a16:creationId xmlns:a16="http://schemas.microsoft.com/office/drawing/2014/main" id="{00000000-0008-0000-0600-000003000000}"/>
            </a:ext>
          </a:extLst>
        </xdr:cNvPr>
        <xdr:cNvSpPr/>
      </xdr:nvSpPr>
      <xdr:spPr>
        <a:xfrm>
          <a:off x="1347108" y="8558894"/>
          <a:ext cx="31650213" cy="340178"/>
        </a:xfrm>
        <a:prstGeom prst="rect">
          <a:avLst/>
        </a:prstGeom>
        <a:solidFill>
          <a:schemeClr val="tx1">
            <a:alpha val="7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36000" tIns="36000" rIns="36000" bIns="36000" rtlCol="0" anchor="t"/>
        <a:lstStyle/>
        <a:p>
          <a:pPr algn="l"/>
          <a:r>
            <a:rPr kumimoji="1" lang="en-US" altLang="ja-JP" sz="1400">
              <a:solidFill>
                <a:srgbClr val="FF0000"/>
              </a:solidFill>
              <a:latin typeface="Tahoma" panose="020B0604030504040204" pitchFamily="34" charset="0"/>
              <a:ea typeface="Tahoma" panose="020B0604030504040204" pitchFamily="34" charset="0"/>
              <a:cs typeface="Tahoma" panose="020B0604030504040204" pitchFamily="34" charset="0"/>
            </a:rPr>
            <a:t>Moved to sheet: DID</a:t>
          </a:r>
          <a:endParaRPr kumimoji="1" lang="ja-JP" altLang="en-US" sz="1400">
            <a:solidFill>
              <a:srgbClr val="FF0000"/>
            </a:solidFill>
            <a:latin typeface="Tahoma" panose="020B0604030504040204" pitchFamily="34" charset="0"/>
            <a:cs typeface="Tahoma" panose="020B0604030504040204" pitchFamily="34" charset="0"/>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1</xdr:colOff>
      <xdr:row>99</xdr:row>
      <xdr:rowOff>0</xdr:rowOff>
    </xdr:from>
    <xdr:to>
      <xdr:col>28</xdr:col>
      <xdr:colOff>0</xdr:colOff>
      <xdr:row>122</xdr:row>
      <xdr:rowOff>0</xdr:rowOff>
    </xdr:to>
    <xdr:sp macro="" textlink="">
      <xdr:nvSpPr>
        <xdr:cNvPr id="2" name="正方形/長方形 1">
          <a:extLst>
            <a:ext uri="{FF2B5EF4-FFF2-40B4-BE49-F238E27FC236}">
              <a16:creationId xmlns:a16="http://schemas.microsoft.com/office/drawing/2014/main" id="{00000000-0008-0000-0700-000002000000}"/>
            </a:ext>
          </a:extLst>
        </xdr:cNvPr>
        <xdr:cNvSpPr/>
      </xdr:nvSpPr>
      <xdr:spPr>
        <a:xfrm>
          <a:off x="353787" y="16287750"/>
          <a:ext cx="16791213" cy="3755571"/>
        </a:xfrm>
        <a:prstGeom prst="rect">
          <a:avLst/>
        </a:prstGeom>
        <a:solidFill>
          <a:schemeClr val="tx1">
            <a:alpha val="40000"/>
          </a:schemeClr>
        </a:solidFill>
        <a:ln>
          <a:noFill/>
        </a:ln>
        <a:effectLst>
          <a:softEdge rad="63500"/>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360000" tIns="360000" rIns="360000" bIns="360000" rtlCol="0" anchor="t"/>
        <a:lstStyle/>
        <a:p>
          <a:pPr algn="l"/>
          <a:r>
            <a:rPr kumimoji="1" lang="en-US" altLang="ja-JP" sz="6000">
              <a:solidFill>
                <a:srgbClr val="FF0000"/>
              </a:solidFill>
              <a:latin typeface="Tahoma" panose="020B0604030504040204" pitchFamily="34" charset="0"/>
              <a:ea typeface="Tahoma" panose="020B0604030504040204" pitchFamily="34" charset="0"/>
              <a:cs typeface="Tahoma" panose="020B0604030504040204" pitchFamily="34" charset="0"/>
            </a:rPr>
            <a:t>Only applied to</a:t>
          </a:r>
          <a:r>
            <a:rPr kumimoji="1" lang="en-US" altLang="ja-JP" sz="6000" baseline="0">
              <a:solidFill>
                <a:srgbClr val="FF0000"/>
              </a:solidFill>
              <a:latin typeface="Tahoma" panose="020B0604030504040204" pitchFamily="34" charset="0"/>
              <a:ea typeface="Tahoma" panose="020B0604030504040204" pitchFamily="34" charset="0"/>
              <a:cs typeface="Tahoma" panose="020B0604030504040204" pitchFamily="34" charset="0"/>
            </a:rPr>
            <a:t> Bus project</a:t>
          </a:r>
          <a:endParaRPr kumimoji="1" lang="ja-JP" altLang="en-US" sz="6000">
            <a:solidFill>
              <a:srgbClr val="FF0000"/>
            </a:solidFill>
            <a:latin typeface="Tahoma" panose="020B0604030504040204" pitchFamily="34" charset="0"/>
            <a:cs typeface="Tahoma" panose="020B0604030504040204" pitchFamily="34" charset="0"/>
          </a:endParaRP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xdr:col>
      <xdr:colOff>1</xdr:colOff>
      <xdr:row>74</xdr:row>
      <xdr:rowOff>0</xdr:rowOff>
    </xdr:from>
    <xdr:to>
      <xdr:col>40</xdr:col>
      <xdr:colOff>1</xdr:colOff>
      <xdr:row>113</xdr:row>
      <xdr:rowOff>0</xdr:rowOff>
    </xdr:to>
    <xdr:sp macro="" textlink="">
      <xdr:nvSpPr>
        <xdr:cNvPr id="3" name="正方形/長方形 2">
          <a:extLst>
            <a:ext uri="{FF2B5EF4-FFF2-40B4-BE49-F238E27FC236}">
              <a16:creationId xmlns:a16="http://schemas.microsoft.com/office/drawing/2014/main" id="{00000000-0008-0000-0900-000003000000}"/>
            </a:ext>
          </a:extLst>
        </xdr:cNvPr>
        <xdr:cNvSpPr/>
      </xdr:nvSpPr>
      <xdr:spPr>
        <a:xfrm>
          <a:off x="176894" y="14409964"/>
          <a:ext cx="21145500" cy="6449786"/>
        </a:xfrm>
        <a:prstGeom prst="rect">
          <a:avLst/>
        </a:prstGeom>
        <a:solidFill>
          <a:schemeClr val="tx1">
            <a:alpha val="40000"/>
          </a:schemeClr>
        </a:solidFill>
        <a:ln>
          <a:noFill/>
        </a:ln>
        <a:effectLst>
          <a:softEdge rad="63500"/>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360000" tIns="360000" rIns="360000" bIns="360000" rtlCol="0" anchor="t"/>
        <a:lstStyle/>
        <a:p>
          <a:pPr algn="l"/>
          <a:r>
            <a:rPr kumimoji="1" lang="en-US" altLang="ja-JP" sz="6000">
              <a:solidFill>
                <a:srgbClr val="FF0000"/>
              </a:solidFill>
              <a:latin typeface="Tahoma" panose="020B0604030504040204" pitchFamily="34" charset="0"/>
              <a:ea typeface="Tahoma" panose="020B0604030504040204" pitchFamily="34" charset="0"/>
              <a:cs typeface="Tahoma" panose="020B0604030504040204" pitchFamily="34" charset="0"/>
            </a:rPr>
            <a:t>Only applied to</a:t>
          </a:r>
          <a:r>
            <a:rPr kumimoji="1" lang="en-US" altLang="ja-JP" sz="6000" baseline="0">
              <a:solidFill>
                <a:srgbClr val="FF0000"/>
              </a:solidFill>
              <a:latin typeface="Tahoma" panose="020B0604030504040204" pitchFamily="34" charset="0"/>
              <a:ea typeface="Tahoma" panose="020B0604030504040204" pitchFamily="34" charset="0"/>
              <a:cs typeface="Tahoma" panose="020B0604030504040204" pitchFamily="34" charset="0"/>
            </a:rPr>
            <a:t> Bus project</a:t>
          </a:r>
          <a:endParaRPr kumimoji="1" lang="ja-JP" altLang="en-US" sz="6000">
            <a:solidFill>
              <a:srgbClr val="FF0000"/>
            </a:solidFill>
            <a:latin typeface="Tahoma" panose="020B0604030504040204" pitchFamily="34" charset="0"/>
            <a:cs typeface="Tahoma" panose="020B0604030504040204" pitchFamily="34" charset="0"/>
          </a:endParaRP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21</xdr:col>
      <xdr:colOff>201704</xdr:colOff>
      <xdr:row>32</xdr:row>
      <xdr:rowOff>0</xdr:rowOff>
    </xdr:from>
    <xdr:to>
      <xdr:col>22</xdr:col>
      <xdr:colOff>201705</xdr:colOff>
      <xdr:row>34</xdr:row>
      <xdr:rowOff>0</xdr:rowOff>
    </xdr:to>
    <xdr:sp macro="" textlink="">
      <xdr:nvSpPr>
        <xdr:cNvPr id="2" name="稲妻 1">
          <a:extLst>
            <a:ext uri="{FF2B5EF4-FFF2-40B4-BE49-F238E27FC236}">
              <a16:creationId xmlns:a16="http://schemas.microsoft.com/office/drawing/2014/main" id="{00000000-0008-0000-0A00-000002000000}"/>
            </a:ext>
          </a:extLst>
        </xdr:cNvPr>
        <xdr:cNvSpPr/>
      </xdr:nvSpPr>
      <xdr:spPr>
        <a:xfrm flipH="1">
          <a:off x="4402229" y="5381625"/>
          <a:ext cx="200026" cy="323850"/>
        </a:xfrm>
        <a:prstGeom prst="lightningBolt">
          <a:avLst/>
        </a:prstGeom>
        <a:solidFill>
          <a:schemeClr val="bg1">
            <a:lumMod val="75000"/>
          </a:schemeClr>
        </a:solidFill>
        <a:ln>
          <a:solidFill>
            <a:schemeClr val="bg1">
              <a:lumMod val="6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latin typeface="Tahoma" panose="020B0604030504040204" pitchFamily="34" charset="0"/>
            <a:ea typeface="Meiryo UI" panose="020B0604030504040204" pitchFamily="50" charset="-128"/>
            <a:cs typeface="Tahoma" panose="020B0604030504040204" pitchFamily="34" charset="0"/>
          </a:endParaRPr>
        </a:p>
      </xdr:txBody>
    </xdr:sp>
    <xdr:clientData/>
  </xdr:twoCellAnchor>
  <xdr:twoCellAnchor>
    <xdr:from>
      <xdr:col>11</xdr:col>
      <xdr:colOff>200024</xdr:colOff>
      <xdr:row>34</xdr:row>
      <xdr:rowOff>0</xdr:rowOff>
    </xdr:from>
    <xdr:to>
      <xdr:col>12</xdr:col>
      <xdr:colOff>0</xdr:colOff>
      <xdr:row>35</xdr:row>
      <xdr:rowOff>0</xdr:rowOff>
    </xdr:to>
    <xdr:cxnSp macro="">
      <xdr:nvCxnSpPr>
        <xdr:cNvPr id="3" name="直線コネクタ 2">
          <a:extLst>
            <a:ext uri="{FF2B5EF4-FFF2-40B4-BE49-F238E27FC236}">
              <a16:creationId xmlns:a16="http://schemas.microsoft.com/office/drawing/2014/main" id="{00000000-0008-0000-0A00-000003000000}"/>
            </a:ext>
          </a:extLst>
        </xdr:cNvPr>
        <xdr:cNvCxnSpPr/>
      </xdr:nvCxnSpPr>
      <xdr:spPr>
        <a:xfrm flipV="1">
          <a:off x="2400299" y="5705475"/>
          <a:ext cx="1" cy="161925"/>
        </a:xfrm>
        <a:prstGeom prst="line">
          <a:avLst/>
        </a:prstGeom>
        <a:ln w="38100" cap="sq">
          <a:miter lim="800000"/>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2</xdr:colOff>
      <xdr:row>34</xdr:row>
      <xdr:rowOff>0</xdr:rowOff>
    </xdr:from>
    <xdr:to>
      <xdr:col>13</xdr:col>
      <xdr:colOff>0</xdr:colOff>
      <xdr:row>34</xdr:row>
      <xdr:rowOff>0</xdr:rowOff>
    </xdr:to>
    <xdr:cxnSp macro="">
      <xdr:nvCxnSpPr>
        <xdr:cNvPr id="4" name="直線コネクタ 3">
          <a:extLst>
            <a:ext uri="{FF2B5EF4-FFF2-40B4-BE49-F238E27FC236}">
              <a16:creationId xmlns:a16="http://schemas.microsoft.com/office/drawing/2014/main" id="{00000000-0008-0000-0A00-000004000000}"/>
            </a:ext>
          </a:extLst>
        </xdr:cNvPr>
        <xdr:cNvCxnSpPr/>
      </xdr:nvCxnSpPr>
      <xdr:spPr>
        <a:xfrm flipH="1">
          <a:off x="2400302" y="5705475"/>
          <a:ext cx="200023" cy="0"/>
        </a:xfrm>
        <a:prstGeom prst="line">
          <a:avLst/>
        </a:prstGeom>
        <a:ln w="38100" cap="sq">
          <a:miter lim="800000"/>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34</xdr:row>
      <xdr:rowOff>0</xdr:rowOff>
    </xdr:from>
    <xdr:to>
      <xdr:col>13</xdr:col>
      <xdr:colOff>0</xdr:colOff>
      <xdr:row>35</xdr:row>
      <xdr:rowOff>0</xdr:rowOff>
    </xdr:to>
    <xdr:cxnSp macro="">
      <xdr:nvCxnSpPr>
        <xdr:cNvPr id="5" name="直線コネクタ 4">
          <a:extLst>
            <a:ext uri="{FF2B5EF4-FFF2-40B4-BE49-F238E27FC236}">
              <a16:creationId xmlns:a16="http://schemas.microsoft.com/office/drawing/2014/main" id="{00000000-0008-0000-0A00-000005000000}"/>
            </a:ext>
          </a:extLst>
        </xdr:cNvPr>
        <xdr:cNvCxnSpPr/>
      </xdr:nvCxnSpPr>
      <xdr:spPr>
        <a:xfrm flipV="1">
          <a:off x="2600325" y="5705475"/>
          <a:ext cx="0" cy="161925"/>
        </a:xfrm>
        <a:prstGeom prst="line">
          <a:avLst/>
        </a:prstGeom>
        <a:ln w="38100" cap="sq">
          <a:miter lim="800000"/>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35</xdr:row>
      <xdr:rowOff>0</xdr:rowOff>
    </xdr:from>
    <xdr:to>
      <xdr:col>15</xdr:col>
      <xdr:colOff>0</xdr:colOff>
      <xdr:row>35</xdr:row>
      <xdr:rowOff>0</xdr:rowOff>
    </xdr:to>
    <xdr:cxnSp macro="">
      <xdr:nvCxnSpPr>
        <xdr:cNvPr id="6" name="直線コネクタ 5">
          <a:extLst>
            <a:ext uri="{FF2B5EF4-FFF2-40B4-BE49-F238E27FC236}">
              <a16:creationId xmlns:a16="http://schemas.microsoft.com/office/drawing/2014/main" id="{00000000-0008-0000-0A00-000006000000}"/>
            </a:ext>
          </a:extLst>
        </xdr:cNvPr>
        <xdr:cNvCxnSpPr/>
      </xdr:nvCxnSpPr>
      <xdr:spPr>
        <a:xfrm flipH="1">
          <a:off x="2600325" y="5867400"/>
          <a:ext cx="400050" cy="0"/>
        </a:xfrm>
        <a:prstGeom prst="line">
          <a:avLst/>
        </a:prstGeom>
        <a:ln w="38100" cap="sq">
          <a:miter lim="800000"/>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1360</xdr:colOff>
      <xdr:row>35</xdr:row>
      <xdr:rowOff>0</xdr:rowOff>
    </xdr:from>
    <xdr:to>
      <xdr:col>12</xdr:col>
      <xdr:colOff>0</xdr:colOff>
      <xdr:row>35</xdr:row>
      <xdr:rowOff>0</xdr:rowOff>
    </xdr:to>
    <xdr:cxnSp macro="">
      <xdr:nvCxnSpPr>
        <xdr:cNvPr id="7" name="直線コネクタ 6">
          <a:extLst>
            <a:ext uri="{FF2B5EF4-FFF2-40B4-BE49-F238E27FC236}">
              <a16:creationId xmlns:a16="http://schemas.microsoft.com/office/drawing/2014/main" id="{00000000-0008-0000-0A00-000007000000}"/>
            </a:ext>
          </a:extLst>
        </xdr:cNvPr>
        <xdr:cNvCxnSpPr/>
      </xdr:nvCxnSpPr>
      <xdr:spPr>
        <a:xfrm>
          <a:off x="1801585" y="5867400"/>
          <a:ext cx="598715" cy="0"/>
        </a:xfrm>
        <a:prstGeom prst="line">
          <a:avLst/>
        </a:prstGeom>
        <a:ln w="38100" cap="sq">
          <a:miter lim="800000"/>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4579</xdr:colOff>
      <xdr:row>35</xdr:row>
      <xdr:rowOff>0</xdr:rowOff>
    </xdr:from>
    <xdr:to>
      <xdr:col>12</xdr:col>
      <xdr:colOff>0</xdr:colOff>
      <xdr:row>36</xdr:row>
      <xdr:rowOff>0</xdr:rowOff>
    </xdr:to>
    <xdr:sp macro="" textlink="">
      <xdr:nvSpPr>
        <xdr:cNvPr id="8" name="稲妻 7">
          <a:extLst>
            <a:ext uri="{FF2B5EF4-FFF2-40B4-BE49-F238E27FC236}">
              <a16:creationId xmlns:a16="http://schemas.microsoft.com/office/drawing/2014/main" id="{00000000-0008-0000-0A00-000008000000}"/>
            </a:ext>
          </a:extLst>
        </xdr:cNvPr>
        <xdr:cNvSpPr/>
      </xdr:nvSpPr>
      <xdr:spPr>
        <a:xfrm flipV="1">
          <a:off x="2204854" y="5867400"/>
          <a:ext cx="195446" cy="161925"/>
        </a:xfrm>
        <a:prstGeom prst="lightningBol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latin typeface="Tahoma" panose="020B0604030504040204" pitchFamily="34" charset="0"/>
            <a:ea typeface="Meiryo UI" panose="020B0604030504040204" pitchFamily="50" charset="-128"/>
            <a:cs typeface="Tahoma" panose="020B0604030504040204" pitchFamily="34" charset="0"/>
          </a:endParaRPr>
        </a:p>
      </xdr:txBody>
    </xdr:sp>
    <xdr:clientData/>
  </xdr:twoCellAnchor>
  <xdr:twoCellAnchor>
    <xdr:from>
      <xdr:col>9</xdr:col>
      <xdr:colOff>0</xdr:colOff>
      <xdr:row>38</xdr:row>
      <xdr:rowOff>0</xdr:rowOff>
    </xdr:from>
    <xdr:to>
      <xdr:col>34</xdr:col>
      <xdr:colOff>0</xdr:colOff>
      <xdr:row>38</xdr:row>
      <xdr:rowOff>0</xdr:rowOff>
    </xdr:to>
    <xdr:cxnSp macro="">
      <xdr:nvCxnSpPr>
        <xdr:cNvPr id="9" name="直線コネクタ 8">
          <a:extLst>
            <a:ext uri="{FF2B5EF4-FFF2-40B4-BE49-F238E27FC236}">
              <a16:creationId xmlns:a16="http://schemas.microsoft.com/office/drawing/2014/main" id="{00000000-0008-0000-0A00-000009000000}"/>
            </a:ext>
          </a:extLst>
        </xdr:cNvPr>
        <xdr:cNvCxnSpPr/>
      </xdr:nvCxnSpPr>
      <xdr:spPr>
        <a:xfrm>
          <a:off x="1800225" y="6353175"/>
          <a:ext cx="5000625" cy="0"/>
        </a:xfrm>
        <a:prstGeom prst="line">
          <a:avLst/>
        </a:prstGeom>
        <a:ln w="38100" cap="sq">
          <a:miter lim="800000"/>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41</xdr:row>
      <xdr:rowOff>1</xdr:rowOff>
    </xdr:from>
    <xdr:to>
      <xdr:col>21</xdr:col>
      <xdr:colOff>0</xdr:colOff>
      <xdr:row>41</xdr:row>
      <xdr:rowOff>1</xdr:rowOff>
    </xdr:to>
    <xdr:cxnSp macro="">
      <xdr:nvCxnSpPr>
        <xdr:cNvPr id="10" name="直線コネクタ 9">
          <a:extLst>
            <a:ext uri="{FF2B5EF4-FFF2-40B4-BE49-F238E27FC236}">
              <a16:creationId xmlns:a16="http://schemas.microsoft.com/office/drawing/2014/main" id="{00000000-0008-0000-0A00-00000A000000}"/>
            </a:ext>
          </a:extLst>
        </xdr:cNvPr>
        <xdr:cNvCxnSpPr/>
      </xdr:nvCxnSpPr>
      <xdr:spPr>
        <a:xfrm>
          <a:off x="3000375" y="6838951"/>
          <a:ext cx="1200150" cy="0"/>
        </a:xfrm>
        <a:prstGeom prst="line">
          <a:avLst/>
        </a:prstGeom>
        <a:ln w="38100" cap="sq">
          <a:miter lim="800000"/>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40</xdr:row>
      <xdr:rowOff>0</xdr:rowOff>
    </xdr:from>
    <xdr:to>
      <xdr:col>34</xdr:col>
      <xdr:colOff>0</xdr:colOff>
      <xdr:row>40</xdr:row>
      <xdr:rowOff>0</xdr:rowOff>
    </xdr:to>
    <xdr:cxnSp macro="">
      <xdr:nvCxnSpPr>
        <xdr:cNvPr id="11" name="直線コネクタ 10">
          <a:extLst>
            <a:ext uri="{FF2B5EF4-FFF2-40B4-BE49-F238E27FC236}">
              <a16:creationId xmlns:a16="http://schemas.microsoft.com/office/drawing/2014/main" id="{00000000-0008-0000-0A00-00000B000000}"/>
            </a:ext>
          </a:extLst>
        </xdr:cNvPr>
        <xdr:cNvCxnSpPr/>
      </xdr:nvCxnSpPr>
      <xdr:spPr>
        <a:xfrm>
          <a:off x="1800225" y="6677025"/>
          <a:ext cx="5000625" cy="0"/>
        </a:xfrm>
        <a:prstGeom prst="line">
          <a:avLst/>
        </a:prstGeom>
        <a:ln>
          <a:prstDash val="dash"/>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44</xdr:row>
      <xdr:rowOff>0</xdr:rowOff>
    </xdr:from>
    <xdr:to>
      <xdr:col>15</xdr:col>
      <xdr:colOff>0</xdr:colOff>
      <xdr:row>44</xdr:row>
      <xdr:rowOff>0</xdr:rowOff>
    </xdr:to>
    <xdr:cxnSp macro="">
      <xdr:nvCxnSpPr>
        <xdr:cNvPr id="12" name="直線コネクタ 11">
          <a:extLst>
            <a:ext uri="{FF2B5EF4-FFF2-40B4-BE49-F238E27FC236}">
              <a16:creationId xmlns:a16="http://schemas.microsoft.com/office/drawing/2014/main" id="{00000000-0008-0000-0A00-00000C000000}"/>
            </a:ext>
          </a:extLst>
        </xdr:cNvPr>
        <xdr:cNvCxnSpPr/>
      </xdr:nvCxnSpPr>
      <xdr:spPr>
        <a:xfrm>
          <a:off x="1800225" y="7324725"/>
          <a:ext cx="1200150" cy="0"/>
        </a:xfrm>
        <a:prstGeom prst="line">
          <a:avLst/>
        </a:prstGeom>
        <a:ln w="38100" cap="sq">
          <a:miter lim="800000"/>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43</xdr:row>
      <xdr:rowOff>0</xdr:rowOff>
    </xdr:from>
    <xdr:to>
      <xdr:col>15</xdr:col>
      <xdr:colOff>0</xdr:colOff>
      <xdr:row>44</xdr:row>
      <xdr:rowOff>0</xdr:rowOff>
    </xdr:to>
    <xdr:cxnSp macro="">
      <xdr:nvCxnSpPr>
        <xdr:cNvPr id="13" name="直線コネクタ 12">
          <a:extLst>
            <a:ext uri="{FF2B5EF4-FFF2-40B4-BE49-F238E27FC236}">
              <a16:creationId xmlns:a16="http://schemas.microsoft.com/office/drawing/2014/main" id="{00000000-0008-0000-0A00-00000D000000}"/>
            </a:ext>
          </a:extLst>
        </xdr:cNvPr>
        <xdr:cNvCxnSpPr/>
      </xdr:nvCxnSpPr>
      <xdr:spPr>
        <a:xfrm flipV="1">
          <a:off x="3000375" y="7162800"/>
          <a:ext cx="0" cy="161925"/>
        </a:xfrm>
        <a:prstGeom prst="line">
          <a:avLst/>
        </a:prstGeom>
        <a:ln w="38100" cap="sq">
          <a:miter lim="800000"/>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4</xdr:colOff>
      <xdr:row>43</xdr:row>
      <xdr:rowOff>0</xdr:rowOff>
    </xdr:from>
    <xdr:to>
      <xdr:col>22</xdr:col>
      <xdr:colOff>0</xdr:colOff>
      <xdr:row>43</xdr:row>
      <xdr:rowOff>0</xdr:rowOff>
    </xdr:to>
    <xdr:cxnSp macro="">
      <xdr:nvCxnSpPr>
        <xdr:cNvPr id="14" name="直線コネクタ 13">
          <a:extLst>
            <a:ext uri="{FF2B5EF4-FFF2-40B4-BE49-F238E27FC236}">
              <a16:creationId xmlns:a16="http://schemas.microsoft.com/office/drawing/2014/main" id="{00000000-0008-0000-0A00-00000E000000}"/>
            </a:ext>
          </a:extLst>
        </xdr:cNvPr>
        <xdr:cNvCxnSpPr/>
      </xdr:nvCxnSpPr>
      <xdr:spPr>
        <a:xfrm flipH="1">
          <a:off x="3000379" y="7162800"/>
          <a:ext cx="1400171" cy="0"/>
        </a:xfrm>
        <a:prstGeom prst="line">
          <a:avLst/>
        </a:prstGeom>
        <a:ln w="38100" cap="sq">
          <a:miter lim="800000"/>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22</xdr:col>
      <xdr:colOff>0</xdr:colOff>
      <xdr:row>44</xdr:row>
      <xdr:rowOff>0</xdr:rowOff>
    </xdr:from>
    <xdr:to>
      <xdr:col>34</xdr:col>
      <xdr:colOff>0</xdr:colOff>
      <xdr:row>44</xdr:row>
      <xdr:rowOff>0</xdr:rowOff>
    </xdr:to>
    <xdr:cxnSp macro="">
      <xdr:nvCxnSpPr>
        <xdr:cNvPr id="15" name="直線コネクタ 14">
          <a:extLst>
            <a:ext uri="{FF2B5EF4-FFF2-40B4-BE49-F238E27FC236}">
              <a16:creationId xmlns:a16="http://schemas.microsoft.com/office/drawing/2014/main" id="{00000000-0008-0000-0A00-00000F000000}"/>
            </a:ext>
          </a:extLst>
        </xdr:cNvPr>
        <xdr:cNvCxnSpPr/>
      </xdr:nvCxnSpPr>
      <xdr:spPr>
        <a:xfrm flipH="1">
          <a:off x="4400550" y="7324725"/>
          <a:ext cx="2400300" cy="0"/>
        </a:xfrm>
        <a:prstGeom prst="line">
          <a:avLst/>
        </a:prstGeom>
        <a:ln w="38100" cap="flat">
          <a:solidFill>
            <a:schemeClr val="bg1">
              <a:lumMod val="75000"/>
            </a:schemeClr>
          </a:solidFill>
          <a:miter lim="800000"/>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197823</xdr:colOff>
      <xdr:row>33</xdr:row>
      <xdr:rowOff>0</xdr:rowOff>
    </xdr:from>
    <xdr:to>
      <xdr:col>13</xdr:col>
      <xdr:colOff>201705</xdr:colOff>
      <xdr:row>34</xdr:row>
      <xdr:rowOff>0</xdr:rowOff>
    </xdr:to>
    <xdr:sp macro="" textlink="">
      <xdr:nvSpPr>
        <xdr:cNvPr id="16" name="稲妻 15">
          <a:extLst>
            <a:ext uri="{FF2B5EF4-FFF2-40B4-BE49-F238E27FC236}">
              <a16:creationId xmlns:a16="http://schemas.microsoft.com/office/drawing/2014/main" id="{00000000-0008-0000-0A00-000010000000}"/>
            </a:ext>
          </a:extLst>
        </xdr:cNvPr>
        <xdr:cNvSpPr/>
      </xdr:nvSpPr>
      <xdr:spPr>
        <a:xfrm flipH="1">
          <a:off x="2598123" y="5543550"/>
          <a:ext cx="203907" cy="161925"/>
        </a:xfrm>
        <a:prstGeom prst="lightningBol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latin typeface="Tahoma" panose="020B0604030504040204" pitchFamily="34" charset="0"/>
            <a:ea typeface="Meiryo UI" panose="020B0604030504040204" pitchFamily="50" charset="-128"/>
            <a:cs typeface="Tahoma" panose="020B0604030504040204" pitchFamily="34" charset="0"/>
          </a:endParaRPr>
        </a:p>
      </xdr:txBody>
    </xdr:sp>
    <xdr:clientData/>
  </xdr:twoCellAnchor>
  <xdr:twoCellAnchor>
    <xdr:from>
      <xdr:col>21</xdr:col>
      <xdr:colOff>0</xdr:colOff>
      <xdr:row>39</xdr:row>
      <xdr:rowOff>0</xdr:rowOff>
    </xdr:from>
    <xdr:to>
      <xdr:col>23</xdr:col>
      <xdr:colOff>0</xdr:colOff>
      <xdr:row>41</xdr:row>
      <xdr:rowOff>0</xdr:rowOff>
    </xdr:to>
    <xdr:cxnSp macro="">
      <xdr:nvCxnSpPr>
        <xdr:cNvPr id="17" name="直線コネクタ 16">
          <a:extLst>
            <a:ext uri="{FF2B5EF4-FFF2-40B4-BE49-F238E27FC236}">
              <a16:creationId xmlns:a16="http://schemas.microsoft.com/office/drawing/2014/main" id="{00000000-0008-0000-0A00-000011000000}"/>
            </a:ext>
          </a:extLst>
        </xdr:cNvPr>
        <xdr:cNvCxnSpPr/>
      </xdr:nvCxnSpPr>
      <xdr:spPr>
        <a:xfrm flipV="1">
          <a:off x="4200525" y="6515100"/>
          <a:ext cx="400050" cy="323850"/>
        </a:xfrm>
        <a:prstGeom prst="line">
          <a:avLst/>
        </a:prstGeom>
        <a:ln w="38100" cap="sq">
          <a:solidFill>
            <a:srgbClr val="FF0000"/>
          </a:solidFill>
          <a:miter lim="800000"/>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0</xdr:colOff>
      <xdr:row>39</xdr:row>
      <xdr:rowOff>0</xdr:rowOff>
    </xdr:from>
    <xdr:to>
      <xdr:col>34</xdr:col>
      <xdr:colOff>0</xdr:colOff>
      <xdr:row>39</xdr:row>
      <xdr:rowOff>0</xdr:rowOff>
    </xdr:to>
    <xdr:cxnSp macro="">
      <xdr:nvCxnSpPr>
        <xdr:cNvPr id="18" name="直線コネクタ 17">
          <a:extLst>
            <a:ext uri="{FF2B5EF4-FFF2-40B4-BE49-F238E27FC236}">
              <a16:creationId xmlns:a16="http://schemas.microsoft.com/office/drawing/2014/main" id="{00000000-0008-0000-0A00-000012000000}"/>
            </a:ext>
          </a:extLst>
        </xdr:cNvPr>
        <xdr:cNvCxnSpPr/>
      </xdr:nvCxnSpPr>
      <xdr:spPr>
        <a:xfrm>
          <a:off x="4600575" y="6515100"/>
          <a:ext cx="2200275" cy="0"/>
        </a:xfrm>
        <a:prstGeom prst="line">
          <a:avLst/>
        </a:prstGeom>
        <a:ln w="38100" cap="sq">
          <a:solidFill>
            <a:srgbClr val="FF0000"/>
          </a:solidFill>
          <a:miter lim="800000"/>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22</xdr:col>
      <xdr:colOff>0</xdr:colOff>
      <xdr:row>43</xdr:row>
      <xdr:rowOff>0</xdr:rowOff>
    </xdr:from>
    <xdr:to>
      <xdr:col>22</xdr:col>
      <xdr:colOff>0</xdr:colOff>
      <xdr:row>44</xdr:row>
      <xdr:rowOff>0</xdr:rowOff>
    </xdr:to>
    <xdr:cxnSp macro="">
      <xdr:nvCxnSpPr>
        <xdr:cNvPr id="19" name="直線コネクタ 18">
          <a:extLst>
            <a:ext uri="{FF2B5EF4-FFF2-40B4-BE49-F238E27FC236}">
              <a16:creationId xmlns:a16="http://schemas.microsoft.com/office/drawing/2014/main" id="{00000000-0008-0000-0A00-000013000000}"/>
            </a:ext>
          </a:extLst>
        </xdr:cNvPr>
        <xdr:cNvCxnSpPr/>
      </xdr:nvCxnSpPr>
      <xdr:spPr>
        <a:xfrm>
          <a:off x="4400550" y="7162800"/>
          <a:ext cx="0" cy="161925"/>
        </a:xfrm>
        <a:prstGeom prst="line">
          <a:avLst/>
        </a:prstGeom>
        <a:ln w="38100" cap="sq">
          <a:solidFill>
            <a:schemeClr val="bg1">
              <a:lumMod val="75000"/>
            </a:schemeClr>
          </a:solidFill>
          <a:miter lim="800000"/>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50</xdr:row>
      <xdr:rowOff>0</xdr:rowOff>
    </xdr:from>
    <xdr:to>
      <xdr:col>15</xdr:col>
      <xdr:colOff>1</xdr:colOff>
      <xdr:row>51</xdr:row>
      <xdr:rowOff>0</xdr:rowOff>
    </xdr:to>
    <xdr:cxnSp macro="">
      <xdr:nvCxnSpPr>
        <xdr:cNvPr id="20" name="直線コネクタ 19">
          <a:extLst>
            <a:ext uri="{FF2B5EF4-FFF2-40B4-BE49-F238E27FC236}">
              <a16:creationId xmlns:a16="http://schemas.microsoft.com/office/drawing/2014/main" id="{00000000-0008-0000-0A00-000014000000}"/>
            </a:ext>
          </a:extLst>
        </xdr:cNvPr>
        <xdr:cNvCxnSpPr/>
      </xdr:nvCxnSpPr>
      <xdr:spPr>
        <a:xfrm flipV="1">
          <a:off x="3000375" y="8362950"/>
          <a:ext cx="1" cy="161925"/>
        </a:xfrm>
        <a:prstGeom prst="line">
          <a:avLst/>
        </a:prstGeom>
        <a:ln w="38100" cap="sq">
          <a:miter lim="800000"/>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xdr:colOff>
      <xdr:row>50</xdr:row>
      <xdr:rowOff>0</xdr:rowOff>
    </xdr:from>
    <xdr:to>
      <xdr:col>22</xdr:col>
      <xdr:colOff>0</xdr:colOff>
      <xdr:row>50</xdr:row>
      <xdr:rowOff>0</xdr:rowOff>
    </xdr:to>
    <xdr:cxnSp macro="">
      <xdr:nvCxnSpPr>
        <xdr:cNvPr id="21" name="直線コネクタ 20">
          <a:extLst>
            <a:ext uri="{FF2B5EF4-FFF2-40B4-BE49-F238E27FC236}">
              <a16:creationId xmlns:a16="http://schemas.microsoft.com/office/drawing/2014/main" id="{00000000-0008-0000-0A00-000015000000}"/>
            </a:ext>
          </a:extLst>
        </xdr:cNvPr>
        <xdr:cNvCxnSpPr/>
      </xdr:nvCxnSpPr>
      <xdr:spPr>
        <a:xfrm flipH="1">
          <a:off x="3000376" y="8362950"/>
          <a:ext cx="1400174" cy="0"/>
        </a:xfrm>
        <a:prstGeom prst="line">
          <a:avLst/>
        </a:prstGeom>
        <a:ln w="38100" cap="sq">
          <a:miter lim="800000"/>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22</xdr:col>
      <xdr:colOff>0</xdr:colOff>
      <xdr:row>50</xdr:row>
      <xdr:rowOff>0</xdr:rowOff>
    </xdr:from>
    <xdr:to>
      <xdr:col>22</xdr:col>
      <xdr:colOff>0</xdr:colOff>
      <xdr:row>51</xdr:row>
      <xdr:rowOff>0</xdr:rowOff>
    </xdr:to>
    <xdr:cxnSp macro="">
      <xdr:nvCxnSpPr>
        <xdr:cNvPr id="22" name="直線コネクタ 21">
          <a:extLst>
            <a:ext uri="{FF2B5EF4-FFF2-40B4-BE49-F238E27FC236}">
              <a16:creationId xmlns:a16="http://schemas.microsoft.com/office/drawing/2014/main" id="{00000000-0008-0000-0A00-000016000000}"/>
            </a:ext>
          </a:extLst>
        </xdr:cNvPr>
        <xdr:cNvCxnSpPr/>
      </xdr:nvCxnSpPr>
      <xdr:spPr>
        <a:xfrm flipV="1">
          <a:off x="4400550" y="8362950"/>
          <a:ext cx="0" cy="161925"/>
        </a:xfrm>
        <a:prstGeom prst="line">
          <a:avLst/>
        </a:prstGeom>
        <a:ln w="38100" cap="sq">
          <a:miter lim="800000"/>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22</xdr:col>
      <xdr:colOff>1</xdr:colOff>
      <xdr:row>51</xdr:row>
      <xdr:rowOff>0</xdr:rowOff>
    </xdr:from>
    <xdr:to>
      <xdr:col>26</xdr:col>
      <xdr:colOff>0</xdr:colOff>
      <xdr:row>51</xdr:row>
      <xdr:rowOff>0</xdr:rowOff>
    </xdr:to>
    <xdr:cxnSp macro="">
      <xdr:nvCxnSpPr>
        <xdr:cNvPr id="23" name="直線コネクタ 22">
          <a:extLst>
            <a:ext uri="{FF2B5EF4-FFF2-40B4-BE49-F238E27FC236}">
              <a16:creationId xmlns:a16="http://schemas.microsoft.com/office/drawing/2014/main" id="{00000000-0008-0000-0A00-000017000000}"/>
            </a:ext>
          </a:extLst>
        </xdr:cNvPr>
        <xdr:cNvCxnSpPr/>
      </xdr:nvCxnSpPr>
      <xdr:spPr>
        <a:xfrm flipH="1">
          <a:off x="4400551" y="8524875"/>
          <a:ext cx="800099" cy="0"/>
        </a:xfrm>
        <a:prstGeom prst="line">
          <a:avLst/>
        </a:prstGeom>
        <a:ln w="38100" cap="sq">
          <a:miter lim="800000"/>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201385</xdr:colOff>
      <xdr:row>51</xdr:row>
      <xdr:rowOff>0</xdr:rowOff>
    </xdr:from>
    <xdr:to>
      <xdr:col>15</xdr:col>
      <xdr:colOff>0</xdr:colOff>
      <xdr:row>51</xdr:row>
      <xdr:rowOff>0</xdr:rowOff>
    </xdr:to>
    <xdr:cxnSp macro="">
      <xdr:nvCxnSpPr>
        <xdr:cNvPr id="24" name="直線コネクタ 23">
          <a:extLst>
            <a:ext uri="{FF2B5EF4-FFF2-40B4-BE49-F238E27FC236}">
              <a16:creationId xmlns:a16="http://schemas.microsoft.com/office/drawing/2014/main" id="{00000000-0008-0000-0A00-000018000000}"/>
            </a:ext>
          </a:extLst>
        </xdr:cNvPr>
        <xdr:cNvCxnSpPr/>
      </xdr:nvCxnSpPr>
      <xdr:spPr>
        <a:xfrm>
          <a:off x="1801585" y="8524875"/>
          <a:ext cx="1198790" cy="0"/>
        </a:xfrm>
        <a:prstGeom prst="line">
          <a:avLst/>
        </a:prstGeom>
        <a:ln w="38100" cap="sq">
          <a:miter lim="800000"/>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4579</xdr:colOff>
      <xdr:row>49</xdr:row>
      <xdr:rowOff>-1</xdr:rowOff>
    </xdr:from>
    <xdr:to>
      <xdr:col>15</xdr:col>
      <xdr:colOff>0</xdr:colOff>
      <xdr:row>50</xdr:row>
      <xdr:rowOff>0</xdr:rowOff>
    </xdr:to>
    <xdr:sp macro="" textlink="">
      <xdr:nvSpPr>
        <xdr:cNvPr id="25" name="稲妻 24">
          <a:extLst>
            <a:ext uri="{FF2B5EF4-FFF2-40B4-BE49-F238E27FC236}">
              <a16:creationId xmlns:a16="http://schemas.microsoft.com/office/drawing/2014/main" id="{00000000-0008-0000-0A00-000019000000}"/>
            </a:ext>
          </a:extLst>
        </xdr:cNvPr>
        <xdr:cNvSpPr/>
      </xdr:nvSpPr>
      <xdr:spPr>
        <a:xfrm>
          <a:off x="2804929" y="8201024"/>
          <a:ext cx="195446" cy="161926"/>
        </a:xfrm>
        <a:prstGeom prst="lightningBol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latin typeface="Tahoma" panose="020B0604030504040204" pitchFamily="34" charset="0"/>
            <a:ea typeface="Meiryo UI" panose="020B0604030504040204" pitchFamily="50" charset="-128"/>
            <a:cs typeface="Tahoma" panose="020B0604030504040204" pitchFamily="34" charset="0"/>
          </a:endParaRPr>
        </a:p>
      </xdr:txBody>
    </xdr:sp>
    <xdr:clientData/>
  </xdr:twoCellAnchor>
  <xdr:twoCellAnchor>
    <xdr:from>
      <xdr:col>9</xdr:col>
      <xdr:colOff>1360</xdr:colOff>
      <xdr:row>54</xdr:row>
      <xdr:rowOff>0</xdr:rowOff>
    </xdr:from>
    <xdr:to>
      <xdr:col>21</xdr:col>
      <xdr:colOff>0</xdr:colOff>
      <xdr:row>54</xdr:row>
      <xdr:rowOff>0</xdr:rowOff>
    </xdr:to>
    <xdr:cxnSp macro="">
      <xdr:nvCxnSpPr>
        <xdr:cNvPr id="26" name="直線コネクタ 25">
          <a:extLst>
            <a:ext uri="{FF2B5EF4-FFF2-40B4-BE49-F238E27FC236}">
              <a16:creationId xmlns:a16="http://schemas.microsoft.com/office/drawing/2014/main" id="{00000000-0008-0000-0A00-00001A000000}"/>
            </a:ext>
          </a:extLst>
        </xdr:cNvPr>
        <xdr:cNvCxnSpPr/>
      </xdr:nvCxnSpPr>
      <xdr:spPr>
        <a:xfrm>
          <a:off x="1801585" y="9010650"/>
          <a:ext cx="2398940" cy="0"/>
        </a:xfrm>
        <a:prstGeom prst="line">
          <a:avLst/>
        </a:prstGeom>
        <a:ln w="38100" cap="sq">
          <a:miter lim="800000"/>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57</xdr:row>
      <xdr:rowOff>0</xdr:rowOff>
    </xdr:from>
    <xdr:to>
      <xdr:col>24</xdr:col>
      <xdr:colOff>0</xdr:colOff>
      <xdr:row>57</xdr:row>
      <xdr:rowOff>0</xdr:rowOff>
    </xdr:to>
    <xdr:cxnSp macro="">
      <xdr:nvCxnSpPr>
        <xdr:cNvPr id="27" name="直線コネクタ 26">
          <a:extLst>
            <a:ext uri="{FF2B5EF4-FFF2-40B4-BE49-F238E27FC236}">
              <a16:creationId xmlns:a16="http://schemas.microsoft.com/office/drawing/2014/main" id="{00000000-0008-0000-0A00-00001B000000}"/>
            </a:ext>
          </a:extLst>
        </xdr:cNvPr>
        <xdr:cNvCxnSpPr/>
      </xdr:nvCxnSpPr>
      <xdr:spPr>
        <a:xfrm>
          <a:off x="1800225" y="9496425"/>
          <a:ext cx="3000375" cy="0"/>
        </a:xfrm>
        <a:prstGeom prst="line">
          <a:avLst/>
        </a:prstGeom>
        <a:ln w="38100" cap="sq">
          <a:miter lim="800000"/>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56</xdr:row>
      <xdr:rowOff>0</xdr:rowOff>
    </xdr:from>
    <xdr:to>
      <xdr:col>34</xdr:col>
      <xdr:colOff>0</xdr:colOff>
      <xdr:row>56</xdr:row>
      <xdr:rowOff>0</xdr:rowOff>
    </xdr:to>
    <xdr:cxnSp macro="">
      <xdr:nvCxnSpPr>
        <xdr:cNvPr id="28" name="直線コネクタ 27">
          <a:extLst>
            <a:ext uri="{FF2B5EF4-FFF2-40B4-BE49-F238E27FC236}">
              <a16:creationId xmlns:a16="http://schemas.microsoft.com/office/drawing/2014/main" id="{00000000-0008-0000-0A00-00001C000000}"/>
            </a:ext>
          </a:extLst>
        </xdr:cNvPr>
        <xdr:cNvCxnSpPr/>
      </xdr:nvCxnSpPr>
      <xdr:spPr>
        <a:xfrm>
          <a:off x="1800225" y="9334500"/>
          <a:ext cx="5000625" cy="0"/>
        </a:xfrm>
        <a:prstGeom prst="line">
          <a:avLst/>
        </a:prstGeom>
        <a:ln>
          <a:prstDash val="dash"/>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201385</xdr:colOff>
      <xdr:row>63</xdr:row>
      <xdr:rowOff>0</xdr:rowOff>
    </xdr:from>
    <xdr:to>
      <xdr:col>15</xdr:col>
      <xdr:colOff>0</xdr:colOff>
      <xdr:row>63</xdr:row>
      <xdr:rowOff>2</xdr:rowOff>
    </xdr:to>
    <xdr:cxnSp macro="">
      <xdr:nvCxnSpPr>
        <xdr:cNvPr id="29" name="直線コネクタ 28">
          <a:extLst>
            <a:ext uri="{FF2B5EF4-FFF2-40B4-BE49-F238E27FC236}">
              <a16:creationId xmlns:a16="http://schemas.microsoft.com/office/drawing/2014/main" id="{00000000-0008-0000-0A00-00001D000000}"/>
            </a:ext>
          </a:extLst>
        </xdr:cNvPr>
        <xdr:cNvCxnSpPr/>
      </xdr:nvCxnSpPr>
      <xdr:spPr>
        <a:xfrm flipV="1">
          <a:off x="1801585" y="10467975"/>
          <a:ext cx="1198790" cy="2"/>
        </a:xfrm>
        <a:prstGeom prst="line">
          <a:avLst/>
        </a:prstGeom>
        <a:ln w="38100" cap="sq">
          <a:miter lim="800000"/>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62</xdr:row>
      <xdr:rowOff>0</xdr:rowOff>
    </xdr:from>
    <xdr:to>
      <xdr:col>15</xdr:col>
      <xdr:colOff>0</xdr:colOff>
      <xdr:row>63</xdr:row>
      <xdr:rowOff>0</xdr:rowOff>
    </xdr:to>
    <xdr:cxnSp macro="">
      <xdr:nvCxnSpPr>
        <xdr:cNvPr id="30" name="直線コネクタ 29">
          <a:extLst>
            <a:ext uri="{FF2B5EF4-FFF2-40B4-BE49-F238E27FC236}">
              <a16:creationId xmlns:a16="http://schemas.microsoft.com/office/drawing/2014/main" id="{00000000-0008-0000-0A00-00001E000000}"/>
            </a:ext>
          </a:extLst>
        </xdr:cNvPr>
        <xdr:cNvCxnSpPr/>
      </xdr:nvCxnSpPr>
      <xdr:spPr>
        <a:xfrm flipV="1">
          <a:off x="3000375" y="10306050"/>
          <a:ext cx="0" cy="161925"/>
        </a:xfrm>
        <a:prstGeom prst="line">
          <a:avLst/>
        </a:prstGeom>
        <a:ln w="38100" cap="sq">
          <a:miter lim="800000"/>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2</xdr:colOff>
      <xdr:row>62</xdr:row>
      <xdr:rowOff>0</xdr:rowOff>
    </xdr:from>
    <xdr:to>
      <xdr:col>22</xdr:col>
      <xdr:colOff>0</xdr:colOff>
      <xdr:row>62</xdr:row>
      <xdr:rowOff>0</xdr:rowOff>
    </xdr:to>
    <xdr:cxnSp macro="">
      <xdr:nvCxnSpPr>
        <xdr:cNvPr id="31" name="直線コネクタ 30">
          <a:extLst>
            <a:ext uri="{FF2B5EF4-FFF2-40B4-BE49-F238E27FC236}">
              <a16:creationId xmlns:a16="http://schemas.microsoft.com/office/drawing/2014/main" id="{00000000-0008-0000-0A00-00001F000000}"/>
            </a:ext>
          </a:extLst>
        </xdr:cNvPr>
        <xdr:cNvCxnSpPr/>
      </xdr:nvCxnSpPr>
      <xdr:spPr>
        <a:xfrm flipH="1">
          <a:off x="3000377" y="10306050"/>
          <a:ext cx="1400173" cy="0"/>
        </a:xfrm>
        <a:prstGeom prst="line">
          <a:avLst/>
        </a:prstGeom>
        <a:ln w="38100" cap="sq">
          <a:miter lim="800000"/>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22</xdr:col>
      <xdr:colOff>0</xdr:colOff>
      <xdr:row>62</xdr:row>
      <xdr:rowOff>0</xdr:rowOff>
    </xdr:from>
    <xdr:to>
      <xdr:col>26</xdr:col>
      <xdr:colOff>0</xdr:colOff>
      <xdr:row>62</xdr:row>
      <xdr:rowOff>0</xdr:rowOff>
    </xdr:to>
    <xdr:cxnSp macro="">
      <xdr:nvCxnSpPr>
        <xdr:cNvPr id="32" name="直線コネクタ 31">
          <a:extLst>
            <a:ext uri="{FF2B5EF4-FFF2-40B4-BE49-F238E27FC236}">
              <a16:creationId xmlns:a16="http://schemas.microsoft.com/office/drawing/2014/main" id="{00000000-0008-0000-0A00-000020000000}"/>
            </a:ext>
          </a:extLst>
        </xdr:cNvPr>
        <xdr:cNvCxnSpPr/>
      </xdr:nvCxnSpPr>
      <xdr:spPr>
        <a:xfrm flipH="1">
          <a:off x="4400550" y="10306050"/>
          <a:ext cx="800100" cy="0"/>
        </a:xfrm>
        <a:prstGeom prst="line">
          <a:avLst/>
        </a:prstGeom>
        <a:ln w="38100" cap="flat">
          <a:solidFill>
            <a:srgbClr val="FF0000"/>
          </a:solidFill>
          <a:miter lim="800000"/>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22</xdr:col>
      <xdr:colOff>0</xdr:colOff>
      <xdr:row>51</xdr:row>
      <xdr:rowOff>0</xdr:rowOff>
    </xdr:from>
    <xdr:to>
      <xdr:col>22</xdr:col>
      <xdr:colOff>0</xdr:colOff>
      <xdr:row>62</xdr:row>
      <xdr:rowOff>0</xdr:rowOff>
    </xdr:to>
    <xdr:cxnSp macro="">
      <xdr:nvCxnSpPr>
        <xdr:cNvPr id="33" name="直線コネクタ 32">
          <a:extLst>
            <a:ext uri="{FF2B5EF4-FFF2-40B4-BE49-F238E27FC236}">
              <a16:creationId xmlns:a16="http://schemas.microsoft.com/office/drawing/2014/main" id="{00000000-0008-0000-0A00-000021000000}"/>
            </a:ext>
          </a:extLst>
        </xdr:cNvPr>
        <xdr:cNvCxnSpPr/>
      </xdr:nvCxnSpPr>
      <xdr:spPr>
        <a:xfrm>
          <a:off x="4400550" y="8524875"/>
          <a:ext cx="0" cy="1781175"/>
        </a:xfrm>
        <a:prstGeom prst="line">
          <a:avLst/>
        </a:prstGeom>
        <a:ln>
          <a:solidFill>
            <a:srgbClr val="FF0000"/>
          </a:solidFill>
          <a:prstDash val="dash"/>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0</xdr:colOff>
      <xdr:row>51</xdr:row>
      <xdr:rowOff>0</xdr:rowOff>
    </xdr:from>
    <xdr:to>
      <xdr:col>21</xdr:col>
      <xdr:colOff>195447</xdr:colOff>
      <xdr:row>52</xdr:row>
      <xdr:rowOff>0</xdr:rowOff>
    </xdr:to>
    <xdr:sp macro="" textlink="">
      <xdr:nvSpPr>
        <xdr:cNvPr id="34" name="稲妻 33">
          <a:extLst>
            <a:ext uri="{FF2B5EF4-FFF2-40B4-BE49-F238E27FC236}">
              <a16:creationId xmlns:a16="http://schemas.microsoft.com/office/drawing/2014/main" id="{00000000-0008-0000-0A00-000022000000}"/>
            </a:ext>
          </a:extLst>
        </xdr:cNvPr>
        <xdr:cNvSpPr/>
      </xdr:nvSpPr>
      <xdr:spPr>
        <a:xfrm flipV="1">
          <a:off x="4200525" y="8524875"/>
          <a:ext cx="195447" cy="161925"/>
        </a:xfrm>
        <a:prstGeom prst="lightningBol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latin typeface="Tahoma" panose="020B0604030504040204" pitchFamily="34" charset="0"/>
            <a:ea typeface="Meiryo UI" panose="020B0604030504040204" pitchFamily="50" charset="-128"/>
            <a:cs typeface="Tahoma" panose="020B0604030504040204" pitchFamily="34" charset="0"/>
          </a:endParaRPr>
        </a:p>
      </xdr:txBody>
    </xdr:sp>
    <xdr:clientData/>
  </xdr:twoCellAnchor>
  <xdr:twoCellAnchor>
    <xdr:from>
      <xdr:col>9</xdr:col>
      <xdr:colOff>0</xdr:colOff>
      <xdr:row>59</xdr:row>
      <xdr:rowOff>0</xdr:rowOff>
    </xdr:from>
    <xdr:to>
      <xdr:col>22</xdr:col>
      <xdr:colOff>0</xdr:colOff>
      <xdr:row>59</xdr:row>
      <xdr:rowOff>0</xdr:rowOff>
    </xdr:to>
    <xdr:cxnSp macro="">
      <xdr:nvCxnSpPr>
        <xdr:cNvPr id="35" name="直線コネクタ 34">
          <a:extLst>
            <a:ext uri="{FF2B5EF4-FFF2-40B4-BE49-F238E27FC236}">
              <a16:creationId xmlns:a16="http://schemas.microsoft.com/office/drawing/2014/main" id="{00000000-0008-0000-0A00-000023000000}"/>
            </a:ext>
          </a:extLst>
        </xdr:cNvPr>
        <xdr:cNvCxnSpPr/>
      </xdr:nvCxnSpPr>
      <xdr:spPr>
        <a:xfrm>
          <a:off x="1800225" y="9820275"/>
          <a:ext cx="2600325" cy="0"/>
        </a:xfrm>
        <a:prstGeom prst="line">
          <a:avLst/>
        </a:prstGeom>
        <a:ln w="38100" cap="sq">
          <a:miter lim="800000"/>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42</xdr:col>
      <xdr:colOff>0</xdr:colOff>
      <xdr:row>1</xdr:row>
      <xdr:rowOff>194546</xdr:rowOff>
    </xdr:from>
    <xdr:ext cx="4968599" cy="2696572"/>
    <xdr:sp macro="" textlink="">
      <xdr:nvSpPr>
        <xdr:cNvPr id="36" name="吹き出し: 線 (強調線付き) 35">
          <a:extLst>
            <a:ext uri="{FF2B5EF4-FFF2-40B4-BE49-F238E27FC236}">
              <a16:creationId xmlns:a16="http://schemas.microsoft.com/office/drawing/2014/main" id="{00000000-0008-0000-0A00-000024000000}"/>
            </a:ext>
          </a:extLst>
        </xdr:cNvPr>
        <xdr:cNvSpPr/>
      </xdr:nvSpPr>
      <xdr:spPr>
        <a:xfrm>
          <a:off x="8471647" y="351428"/>
          <a:ext cx="4968599" cy="2696572"/>
        </a:xfrm>
        <a:prstGeom prst="accentCallout1">
          <a:avLst>
            <a:gd name="adj1" fmla="val 25307"/>
            <a:gd name="adj2" fmla="val -1942"/>
            <a:gd name="adj3" fmla="val 82639"/>
            <a:gd name="adj4" fmla="val -49743"/>
          </a:avLst>
        </a:prstGeom>
        <a:solidFill>
          <a:sysClr val="window" lastClr="FFFFFF"/>
        </a:solid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36000" tIns="0" rIns="0" bIns="0" rtlCol="0" anchor="t">
          <a:spAutoFit/>
        </a:bodyPr>
        <a:lstStyle/>
        <a:p>
          <a:r>
            <a:rPr kumimoji="1" lang="en-US" altLang="ja-JP" sz="1100" baseline="0">
              <a:solidFill>
                <a:sysClr val="windowText" lastClr="000000"/>
              </a:solidFill>
              <a:effectLst/>
              <a:latin typeface="Tahoma" panose="020B0604030504040204" pitchFamily="34" charset="0"/>
              <a:ea typeface="Tahoma" panose="020B0604030504040204" pitchFamily="34" charset="0"/>
              <a:cs typeface="Tahoma" panose="020B0604030504040204" pitchFamily="34" charset="0"/>
            </a:rPr>
            <a:t>Is it ok to keep On after sending Positive Response?</a:t>
          </a:r>
        </a:p>
        <a:p>
          <a:r>
            <a:rPr kumimoji="1" lang="ja-JP" altLang="en-US" sz="1100" baseline="0">
              <a:solidFill>
                <a:sysClr val="windowText" lastClr="000000"/>
              </a:solidFill>
              <a:effectLst/>
              <a:latin typeface="Tahoma" panose="020B0604030504040204" pitchFamily="34" charset="0"/>
              <a:ea typeface="Tahoma" panose="020B0604030504040204" pitchFamily="34" charset="0"/>
              <a:cs typeface="Tahoma" panose="020B0604030504040204" pitchFamily="34" charset="0"/>
            </a:rPr>
            <a:t>　</a:t>
          </a:r>
          <a:r>
            <a:rPr kumimoji="1" lang="en-US" altLang="ja-JP" sz="1100" baseline="0">
              <a:solidFill>
                <a:sysClr val="windowText" lastClr="000000"/>
              </a:solidFill>
              <a:effectLst/>
              <a:latin typeface="Tahoma" panose="020B0604030504040204" pitchFamily="34" charset="0"/>
              <a:ea typeface="Tahoma" panose="020B0604030504040204" pitchFamily="34" charset="0"/>
              <a:cs typeface="Tahoma" panose="020B0604030504040204" pitchFamily="34" charset="0"/>
            </a:rPr>
            <a:t>--&gt; Actual concern is how understand "TOOL Request"</a:t>
          </a:r>
        </a:p>
        <a:p>
          <a:r>
            <a:rPr kumimoji="1" lang="en-US" altLang="ja-JP" sz="1100" baseline="0">
              <a:solidFill>
                <a:sysClr val="windowText" lastClr="000000"/>
              </a:solidFill>
              <a:effectLst/>
              <a:latin typeface="Tahoma" panose="020B0604030504040204" pitchFamily="34" charset="0"/>
              <a:ea typeface="Tahoma" panose="020B0604030504040204" pitchFamily="34" charset="0"/>
              <a:cs typeface="Tahoma" panose="020B0604030504040204" pitchFamily="34" charset="0"/>
            </a:rPr>
            <a:t>        If it's "HV Cut is under processing flag", "TOOL Request" should be Off.</a:t>
          </a:r>
        </a:p>
        <a:p>
          <a:r>
            <a:rPr kumimoji="1" lang="en-US" altLang="ja-JP" sz="1100" baseline="0">
              <a:solidFill>
                <a:sysClr val="windowText" lastClr="000000"/>
              </a:solidFill>
              <a:effectLst/>
              <a:latin typeface="Tahoma" panose="020B0604030504040204" pitchFamily="34" charset="0"/>
              <a:ea typeface="Tahoma" panose="020B0604030504040204" pitchFamily="34" charset="0"/>
              <a:cs typeface="Tahoma" panose="020B0604030504040204" pitchFamily="34" charset="0"/>
            </a:rPr>
            <a:t>        If it's "HV Cut is succeeded flag", "TOOL Request" should be kept On.</a:t>
          </a:r>
        </a:p>
        <a:p>
          <a:endParaRPr kumimoji="1" lang="en-US" altLang="ja-JP" sz="1100" baseline="0">
            <a:solidFill>
              <a:sysClr val="windowText" lastClr="000000"/>
            </a:solidFill>
            <a:effectLst/>
            <a:latin typeface="Tahoma" panose="020B0604030504040204" pitchFamily="34" charset="0"/>
            <a:ea typeface="Tahoma" panose="020B0604030504040204" pitchFamily="34" charset="0"/>
            <a:cs typeface="Tahoma" panose="020B0604030504040204" pitchFamily="34" charset="0"/>
          </a:endParaRPr>
        </a:p>
        <a:p>
          <a:r>
            <a:rPr kumimoji="1" lang="ja-JP" altLang="en-US" sz="1100" baseline="0">
              <a:solidFill>
                <a:srgbClr val="0070C0"/>
              </a:solidFill>
              <a:effectLst/>
              <a:latin typeface="Tahoma" panose="020B0604030504040204" pitchFamily="34" charset="0"/>
              <a:ea typeface="Tahoma" panose="020B0604030504040204" pitchFamily="34" charset="0"/>
              <a:cs typeface="Tahoma" panose="020B0604030504040204" pitchFamily="34" charset="0"/>
            </a:rPr>
            <a:t>ポジレス後も</a:t>
          </a:r>
          <a:r>
            <a:rPr kumimoji="1" lang="en-US" altLang="ja-JP" sz="1100" baseline="0">
              <a:solidFill>
                <a:srgbClr val="0070C0"/>
              </a:solidFill>
              <a:effectLst/>
              <a:latin typeface="Tahoma" panose="020B0604030504040204" pitchFamily="34" charset="0"/>
              <a:ea typeface="Tahoma" panose="020B0604030504040204" pitchFamily="34" charset="0"/>
              <a:cs typeface="Tahoma" panose="020B0604030504040204" pitchFamily="34" charset="0"/>
            </a:rPr>
            <a:t>On</a:t>
          </a:r>
          <a:r>
            <a:rPr kumimoji="1" lang="ja-JP" altLang="en-US" sz="1100" baseline="0">
              <a:solidFill>
                <a:srgbClr val="0070C0"/>
              </a:solidFill>
              <a:effectLst/>
              <a:latin typeface="Tahoma" panose="020B0604030504040204" pitchFamily="34" charset="0"/>
              <a:ea typeface="Tahoma" panose="020B0604030504040204" pitchFamily="34" charset="0"/>
              <a:cs typeface="Tahoma" panose="020B0604030504040204" pitchFamily="34" charset="0"/>
            </a:rPr>
            <a:t>は維持したままで良いか？</a:t>
          </a:r>
        </a:p>
        <a:p>
          <a:r>
            <a:rPr kumimoji="1" lang="ja-JP" altLang="en-US" sz="1100" baseline="0">
              <a:solidFill>
                <a:srgbClr val="0070C0"/>
              </a:solidFill>
              <a:effectLst/>
              <a:latin typeface="Tahoma" panose="020B0604030504040204" pitchFamily="34" charset="0"/>
              <a:ea typeface="Tahoma" panose="020B0604030504040204" pitchFamily="34" charset="0"/>
              <a:cs typeface="Tahoma" panose="020B0604030504040204" pitchFamily="34" charset="0"/>
            </a:rPr>
            <a:t>　→ </a:t>
          </a:r>
          <a:r>
            <a:rPr kumimoji="1" lang="en-US" altLang="ja-JP" sz="1100" baseline="0">
              <a:solidFill>
                <a:srgbClr val="0070C0"/>
              </a:solidFill>
              <a:effectLst/>
              <a:latin typeface="Tahoma" panose="020B0604030504040204" pitchFamily="34" charset="0"/>
              <a:ea typeface="Tahoma" panose="020B0604030504040204" pitchFamily="34" charset="0"/>
              <a:cs typeface="Tahoma" panose="020B0604030504040204" pitchFamily="34" charset="0"/>
            </a:rPr>
            <a:t>TOOL Request</a:t>
          </a:r>
          <a:r>
            <a:rPr kumimoji="1" lang="ja-JP" altLang="en-US" sz="1100" baseline="0">
              <a:solidFill>
                <a:srgbClr val="0070C0"/>
              </a:solidFill>
              <a:effectLst/>
              <a:latin typeface="Tahoma" panose="020B0604030504040204" pitchFamily="34" charset="0"/>
              <a:ea typeface="Tahoma" panose="020B0604030504040204" pitchFamily="34" charset="0"/>
              <a:cs typeface="Tahoma" panose="020B0604030504040204" pitchFamily="34" charset="0"/>
            </a:rPr>
            <a:t>は「</a:t>
          </a:r>
          <a:r>
            <a:rPr kumimoji="1" lang="en-US" altLang="ja-JP" sz="1100" baseline="0">
              <a:solidFill>
                <a:srgbClr val="0070C0"/>
              </a:solidFill>
              <a:effectLst/>
              <a:latin typeface="Tahoma" panose="020B0604030504040204" pitchFamily="34" charset="0"/>
              <a:ea typeface="Tahoma" panose="020B0604030504040204" pitchFamily="34" charset="0"/>
              <a:cs typeface="Tahoma" panose="020B0604030504040204" pitchFamily="34" charset="0"/>
            </a:rPr>
            <a:t>HV Cut</a:t>
          </a:r>
          <a:r>
            <a:rPr kumimoji="1" lang="ja-JP" altLang="en-US" sz="1100" baseline="0">
              <a:solidFill>
                <a:srgbClr val="0070C0"/>
              </a:solidFill>
              <a:effectLst/>
              <a:latin typeface="Tahoma" panose="020B0604030504040204" pitchFamily="34" charset="0"/>
              <a:ea typeface="Tahoma" panose="020B0604030504040204" pitchFamily="34" charset="0"/>
              <a:cs typeface="Tahoma" panose="020B0604030504040204" pitchFamily="34" charset="0"/>
            </a:rPr>
            <a:t>実施成功フラグ」ではなく、</a:t>
          </a:r>
        </a:p>
        <a:p>
          <a:r>
            <a:rPr kumimoji="1" lang="ja-JP" altLang="en-US" sz="1100" baseline="0">
              <a:solidFill>
                <a:srgbClr val="0070C0"/>
              </a:solidFill>
              <a:effectLst/>
              <a:latin typeface="Tahoma" panose="020B0604030504040204" pitchFamily="34" charset="0"/>
              <a:ea typeface="Tahoma" panose="020B0604030504040204" pitchFamily="34" charset="0"/>
              <a:cs typeface="Tahoma" panose="020B0604030504040204" pitchFamily="34" charset="0"/>
            </a:rPr>
            <a:t>　　　「実施中フラグ」であるならば、</a:t>
          </a:r>
          <a:r>
            <a:rPr kumimoji="1" lang="en-US" altLang="ja-JP" sz="1100" baseline="0">
              <a:solidFill>
                <a:srgbClr val="0070C0"/>
              </a:solidFill>
              <a:effectLst/>
              <a:latin typeface="Tahoma" panose="020B0604030504040204" pitchFamily="34" charset="0"/>
              <a:ea typeface="Tahoma" panose="020B0604030504040204" pitchFamily="34" charset="0"/>
              <a:cs typeface="Tahoma" panose="020B0604030504040204" pitchFamily="34" charset="0"/>
            </a:rPr>
            <a:t>Off</a:t>
          </a:r>
          <a:r>
            <a:rPr kumimoji="1" lang="ja-JP" altLang="en-US" sz="1100" baseline="0">
              <a:solidFill>
                <a:srgbClr val="0070C0"/>
              </a:solidFill>
              <a:effectLst/>
              <a:latin typeface="Tahoma" panose="020B0604030504040204" pitchFamily="34" charset="0"/>
              <a:ea typeface="Tahoma" panose="020B0604030504040204" pitchFamily="34" charset="0"/>
              <a:cs typeface="Tahoma" panose="020B0604030504040204" pitchFamily="34" charset="0"/>
            </a:rPr>
            <a:t>にすべきか考える。</a:t>
          </a:r>
        </a:p>
        <a:p>
          <a:endParaRPr kumimoji="1" lang="ja-JP" altLang="en-US" sz="1100" baseline="0">
            <a:solidFill>
              <a:sysClr val="windowText" lastClr="000000"/>
            </a:solidFill>
            <a:effectLst/>
            <a:latin typeface="Tahoma" panose="020B0604030504040204" pitchFamily="34" charset="0"/>
            <a:ea typeface="Tahoma" panose="020B0604030504040204" pitchFamily="34" charset="0"/>
            <a:cs typeface="Tahoma" panose="020B0604030504040204" pitchFamily="34" charset="0"/>
          </a:endParaRPr>
        </a:p>
        <a:p>
          <a:r>
            <a:rPr kumimoji="1" lang="en-US" altLang="ja-JP" sz="1100" u="sng" baseline="0">
              <a:solidFill>
                <a:sysClr val="windowText" lastClr="000000"/>
              </a:solidFill>
              <a:effectLst/>
              <a:latin typeface="Tahoma" panose="020B0604030504040204" pitchFamily="34" charset="0"/>
              <a:ea typeface="Tahoma" panose="020B0604030504040204" pitchFamily="34" charset="0"/>
              <a:cs typeface="Tahoma" panose="020B0604030504040204" pitchFamily="34" charset="0"/>
            </a:rPr>
            <a:t>[09.Dec] Customer Feedback</a:t>
          </a:r>
        </a:p>
        <a:p>
          <a:r>
            <a:rPr kumimoji="1" lang="en-US" altLang="ja-JP" sz="1100" baseline="0">
              <a:solidFill>
                <a:sysClr val="windowText" lastClr="000000"/>
              </a:solidFill>
              <a:effectLst/>
              <a:latin typeface="Tahoma" panose="020B0604030504040204" pitchFamily="34" charset="0"/>
              <a:ea typeface="Tahoma" panose="020B0604030504040204" pitchFamily="34" charset="0"/>
              <a:cs typeface="Tahoma" panose="020B0604030504040204" pitchFamily="34" charset="0"/>
            </a:rPr>
            <a:t>Please keep On.</a:t>
          </a:r>
        </a:p>
        <a:p>
          <a:r>
            <a:rPr kumimoji="1" lang="en-US" altLang="ja-JP" sz="1100" baseline="0">
              <a:solidFill>
                <a:sysClr val="windowText" lastClr="000000"/>
              </a:solidFill>
              <a:effectLst/>
              <a:latin typeface="Tahoma" panose="020B0604030504040204" pitchFamily="34" charset="0"/>
              <a:ea typeface="Tahoma" panose="020B0604030504040204" pitchFamily="34" charset="0"/>
              <a:cs typeface="Tahoma" panose="020B0604030504040204" pitchFamily="34" charset="0"/>
            </a:rPr>
            <a:t>  --&gt; If change to Off, it will be out of the tool process and not be as expected.</a:t>
          </a:r>
        </a:p>
        <a:p>
          <a:endParaRPr kumimoji="1" lang="en-US" altLang="ja-JP" sz="1100" baseline="0">
            <a:solidFill>
              <a:sysClr val="windowText" lastClr="000000"/>
            </a:solidFill>
            <a:effectLst/>
            <a:latin typeface="Tahoma" panose="020B0604030504040204" pitchFamily="34" charset="0"/>
            <a:ea typeface="Tahoma" panose="020B0604030504040204" pitchFamily="34" charset="0"/>
            <a:cs typeface="Tahoma" panose="020B0604030504040204" pitchFamily="34" charset="0"/>
          </a:endParaRPr>
        </a:p>
        <a:p>
          <a:r>
            <a:rPr kumimoji="1" lang="en-US" altLang="ja-JP" sz="1100" baseline="0">
              <a:solidFill>
                <a:srgbClr val="0070C0"/>
              </a:solidFill>
              <a:effectLst/>
              <a:latin typeface="Tahoma" panose="020B0604030504040204" pitchFamily="34" charset="0"/>
              <a:ea typeface="Tahoma" panose="020B0604030504040204" pitchFamily="34" charset="0"/>
              <a:cs typeface="Tahoma" panose="020B0604030504040204" pitchFamily="34" charset="0"/>
            </a:rPr>
            <a:t>On</a:t>
          </a:r>
          <a:r>
            <a:rPr kumimoji="1" lang="ja-JP" altLang="en-US" sz="1100" baseline="0">
              <a:solidFill>
                <a:srgbClr val="0070C0"/>
              </a:solidFill>
              <a:effectLst/>
              <a:latin typeface="Tahoma" panose="020B0604030504040204" pitchFamily="34" charset="0"/>
              <a:ea typeface="Tahoma" panose="020B0604030504040204" pitchFamily="34" charset="0"/>
              <a:cs typeface="Tahoma" panose="020B0604030504040204" pitchFamily="34" charset="0"/>
            </a:rPr>
            <a:t>したままで良い。</a:t>
          </a:r>
          <a:r>
            <a:rPr kumimoji="1" lang="en-US" altLang="ja-JP" sz="1100" baseline="0">
              <a:solidFill>
                <a:srgbClr val="0070C0"/>
              </a:solidFill>
              <a:effectLst/>
              <a:latin typeface="Tahoma" panose="020B0604030504040204" pitchFamily="34" charset="0"/>
              <a:ea typeface="Tahoma" panose="020B0604030504040204" pitchFamily="34" charset="0"/>
              <a:cs typeface="Tahoma" panose="020B0604030504040204" pitchFamily="34" charset="0"/>
            </a:rPr>
            <a:t>(Off</a:t>
          </a:r>
          <a:r>
            <a:rPr kumimoji="1" lang="ja-JP" altLang="en-US" sz="1100" baseline="0">
              <a:solidFill>
                <a:srgbClr val="0070C0"/>
              </a:solidFill>
              <a:effectLst/>
              <a:latin typeface="Tahoma" panose="020B0604030504040204" pitchFamily="34" charset="0"/>
              <a:ea typeface="Tahoma" panose="020B0604030504040204" pitchFamily="34" charset="0"/>
              <a:cs typeface="Tahoma" panose="020B0604030504040204" pitchFamily="34" charset="0"/>
            </a:rPr>
            <a:t>にするとツールプロセスから抜けてしまい期待通りでなくなる</a:t>
          </a:r>
          <a:r>
            <a:rPr kumimoji="1" lang="en-US" altLang="ja-JP" sz="1100" baseline="0">
              <a:solidFill>
                <a:srgbClr val="0070C0"/>
              </a:solidFill>
              <a:effectLst/>
              <a:latin typeface="Tahoma" panose="020B0604030504040204" pitchFamily="34" charset="0"/>
              <a:ea typeface="Tahoma" panose="020B0604030504040204" pitchFamily="34" charset="0"/>
              <a:cs typeface="Tahoma" panose="020B0604030504040204" pitchFamily="34" charset="0"/>
            </a:rPr>
            <a:t>)</a:t>
          </a:r>
        </a:p>
      </xdr:txBody>
    </xdr:sp>
    <xdr:clientData/>
  </xdr:oneCellAnchor>
  <xdr:oneCellAnchor>
    <xdr:from>
      <xdr:col>26</xdr:col>
      <xdr:colOff>0</xdr:colOff>
      <xdr:row>65</xdr:row>
      <xdr:rowOff>0</xdr:rowOff>
    </xdr:from>
    <xdr:ext cx="2907074" cy="1487202"/>
    <xdr:sp macro="" textlink="">
      <xdr:nvSpPr>
        <xdr:cNvPr id="37" name="吹き出し: 線 (強調線付き) 36">
          <a:extLst>
            <a:ext uri="{FF2B5EF4-FFF2-40B4-BE49-F238E27FC236}">
              <a16:creationId xmlns:a16="http://schemas.microsoft.com/office/drawing/2014/main" id="{00000000-0008-0000-0A00-000025000000}"/>
            </a:ext>
          </a:extLst>
        </xdr:cNvPr>
        <xdr:cNvSpPr/>
      </xdr:nvSpPr>
      <xdr:spPr>
        <a:xfrm>
          <a:off x="5244353" y="10466294"/>
          <a:ext cx="2907074" cy="1487202"/>
        </a:xfrm>
        <a:prstGeom prst="accentCallout1">
          <a:avLst>
            <a:gd name="adj1" fmla="val 25307"/>
            <a:gd name="adj2" fmla="val -1942"/>
            <a:gd name="adj3" fmla="val -25523"/>
            <a:gd name="adj4" fmla="val -25407"/>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36000" tIns="0" rIns="0" bIns="0" rtlCol="0" anchor="t">
          <a:spAutoFit/>
        </a:bodyPr>
        <a:lstStyle/>
        <a:p>
          <a:r>
            <a:rPr kumimoji="1" lang="en-US" altLang="ja-JP" sz="1100">
              <a:solidFill>
                <a:sysClr val="windowText" lastClr="000000"/>
              </a:solidFill>
              <a:effectLst/>
              <a:latin typeface="Tahoma" panose="020B0604030504040204" pitchFamily="34" charset="0"/>
              <a:ea typeface="Tahoma" panose="020B0604030504040204" pitchFamily="34" charset="0"/>
              <a:cs typeface="Tahoma" panose="020B0604030504040204" pitchFamily="34" charset="0"/>
            </a:rPr>
            <a:t>Is it ok to keep "On" after respnding NRC$F0?</a:t>
          </a:r>
        </a:p>
        <a:p>
          <a:endParaRPr kumimoji="1" lang="en-US" altLang="ja-JP" sz="1100">
            <a:solidFill>
              <a:sysClr val="windowText" lastClr="000000"/>
            </a:solidFill>
            <a:effectLst/>
            <a:latin typeface="Tahoma" panose="020B0604030504040204" pitchFamily="34" charset="0"/>
            <a:ea typeface="Tahoma" panose="020B0604030504040204" pitchFamily="34" charset="0"/>
            <a:cs typeface="Tahoma" panose="020B0604030504040204" pitchFamily="34" charset="0"/>
          </a:endParaRPr>
        </a:p>
        <a:p>
          <a:r>
            <a:rPr kumimoji="1" lang="en-US" altLang="ja-JP" sz="1100">
              <a:solidFill>
                <a:srgbClr val="0070C0"/>
              </a:solidFill>
              <a:effectLst/>
              <a:latin typeface="Tahoma" panose="020B0604030504040204" pitchFamily="34" charset="0"/>
              <a:ea typeface="Tahoma" panose="020B0604030504040204" pitchFamily="34" charset="0"/>
              <a:cs typeface="Tahoma" panose="020B0604030504040204" pitchFamily="34" charset="0"/>
            </a:rPr>
            <a:t>NRC$F0</a:t>
          </a:r>
          <a:r>
            <a:rPr kumimoji="1" lang="ja-JP" altLang="en-US" sz="1100">
              <a:solidFill>
                <a:srgbClr val="0070C0"/>
              </a:solidFill>
              <a:effectLst/>
              <a:latin typeface="Tahoma" panose="020B0604030504040204" pitchFamily="34" charset="0"/>
              <a:ea typeface="Meiryo UI" panose="020B0604030504040204" pitchFamily="50" charset="-128"/>
              <a:cs typeface="Tahoma" panose="020B0604030504040204" pitchFamily="34" charset="0"/>
            </a:rPr>
            <a:t>後も</a:t>
          </a:r>
          <a:r>
            <a:rPr kumimoji="1" lang="en-US" altLang="ja-JP" sz="1100">
              <a:solidFill>
                <a:srgbClr val="0070C0"/>
              </a:solidFill>
              <a:effectLst/>
              <a:latin typeface="Tahoma" panose="020B0604030504040204" pitchFamily="34" charset="0"/>
              <a:ea typeface="Tahoma" panose="020B0604030504040204" pitchFamily="34" charset="0"/>
              <a:cs typeface="Tahoma" panose="020B0604030504040204" pitchFamily="34" charset="0"/>
            </a:rPr>
            <a:t>On</a:t>
          </a:r>
          <a:r>
            <a:rPr kumimoji="1" lang="ja-JP" altLang="en-US" sz="1100">
              <a:solidFill>
                <a:srgbClr val="0070C0"/>
              </a:solidFill>
              <a:effectLst/>
              <a:latin typeface="Tahoma" panose="020B0604030504040204" pitchFamily="34" charset="0"/>
              <a:ea typeface="Meiryo UI" panose="020B0604030504040204" pitchFamily="50" charset="-128"/>
              <a:cs typeface="Tahoma" panose="020B0604030504040204" pitchFamily="34" charset="0"/>
            </a:rPr>
            <a:t>は維持したままで良いか？</a:t>
          </a:r>
          <a:endParaRPr kumimoji="1" lang="en-US" altLang="ja-JP" sz="1100">
            <a:solidFill>
              <a:srgbClr val="0070C0"/>
            </a:solidFill>
            <a:effectLst/>
            <a:latin typeface="Tahoma" panose="020B0604030504040204" pitchFamily="34" charset="0"/>
            <a:ea typeface="Tahoma" panose="020B0604030504040204" pitchFamily="34" charset="0"/>
            <a:cs typeface="Tahoma" panose="020B0604030504040204" pitchFamily="34" charset="0"/>
          </a:endParaRPr>
        </a:p>
        <a:p>
          <a:endParaRPr kumimoji="1" lang="en-US" altLang="ja-JP" sz="1100">
            <a:solidFill>
              <a:sysClr val="windowText" lastClr="000000"/>
            </a:solidFill>
            <a:effectLst/>
            <a:latin typeface="Tahoma" panose="020B0604030504040204" pitchFamily="34" charset="0"/>
            <a:ea typeface="Tahoma" panose="020B0604030504040204" pitchFamily="34" charset="0"/>
            <a:cs typeface="Tahoma" panose="020B0604030504040204" pitchFamily="34" charset="0"/>
          </a:endParaRPr>
        </a:p>
        <a:p>
          <a:r>
            <a:rPr kumimoji="1" lang="en-US" altLang="ja-JP" sz="1100">
              <a:solidFill>
                <a:sysClr val="windowText" lastClr="000000"/>
              </a:solidFill>
              <a:effectLst/>
              <a:latin typeface="Tahoma" panose="020B0604030504040204" pitchFamily="34" charset="0"/>
              <a:ea typeface="Tahoma" panose="020B0604030504040204" pitchFamily="34" charset="0"/>
              <a:cs typeface="Tahoma" panose="020B0604030504040204" pitchFamily="34" charset="0"/>
            </a:rPr>
            <a:t>[09.Dec] Customer Feedback</a:t>
          </a:r>
        </a:p>
        <a:p>
          <a:r>
            <a:rPr kumimoji="1" lang="en-US" altLang="ja-JP" sz="1100">
              <a:solidFill>
                <a:sysClr val="windowText" lastClr="000000"/>
              </a:solidFill>
              <a:effectLst/>
              <a:latin typeface="Tahoma" panose="020B0604030504040204" pitchFamily="34" charset="0"/>
              <a:ea typeface="Tahoma" panose="020B0604030504040204" pitchFamily="34" charset="0"/>
              <a:cs typeface="Tahoma" panose="020B0604030504040204" pitchFamily="34" charset="0"/>
            </a:rPr>
            <a:t>Yes, please keep "On".</a:t>
          </a:r>
        </a:p>
        <a:p>
          <a:endParaRPr kumimoji="1" lang="en-US" altLang="ja-JP" sz="1100">
            <a:solidFill>
              <a:sysClr val="windowText" lastClr="000000"/>
            </a:solidFill>
            <a:effectLst/>
            <a:latin typeface="Tahoma" panose="020B0604030504040204" pitchFamily="34" charset="0"/>
            <a:ea typeface="Tahoma" panose="020B0604030504040204" pitchFamily="34" charset="0"/>
            <a:cs typeface="Tahoma" panose="020B0604030504040204" pitchFamily="34" charset="0"/>
          </a:endParaRPr>
        </a:p>
        <a:p>
          <a:r>
            <a:rPr kumimoji="1" lang="en-US" altLang="ja-JP" sz="1100">
              <a:solidFill>
                <a:srgbClr val="0070C0"/>
              </a:solidFill>
              <a:effectLst/>
              <a:latin typeface="Tahoma" panose="020B0604030504040204" pitchFamily="34" charset="0"/>
              <a:ea typeface="Tahoma" panose="020B0604030504040204" pitchFamily="34" charset="0"/>
              <a:cs typeface="Tahoma" panose="020B0604030504040204" pitchFamily="34" charset="0"/>
            </a:rPr>
            <a:t>On</a:t>
          </a:r>
          <a:r>
            <a:rPr kumimoji="1" lang="ja-JP" altLang="en-US" sz="1100">
              <a:solidFill>
                <a:srgbClr val="0070C0"/>
              </a:solidFill>
              <a:effectLst/>
              <a:latin typeface="Tahoma" panose="020B0604030504040204" pitchFamily="34" charset="0"/>
              <a:ea typeface="Meiryo UI" panose="020B0604030504040204" pitchFamily="50" charset="-128"/>
              <a:cs typeface="Tahoma" panose="020B0604030504040204" pitchFamily="34" charset="0"/>
            </a:rPr>
            <a:t>のままで良い。</a:t>
          </a:r>
        </a:p>
      </xdr:txBody>
    </xdr:sp>
    <xdr:clientData/>
  </xdr:oneCellAnchor>
  <xdr:oneCellAnchor>
    <xdr:from>
      <xdr:col>42</xdr:col>
      <xdr:colOff>66209</xdr:colOff>
      <xdr:row>31</xdr:row>
      <xdr:rowOff>0</xdr:rowOff>
    </xdr:from>
    <xdr:ext cx="7598615" cy="2526333"/>
    <xdr:sp macro="" textlink="">
      <xdr:nvSpPr>
        <xdr:cNvPr id="38" name="吹き出し: 線 (強調線付き) 37">
          <a:extLst>
            <a:ext uri="{FF2B5EF4-FFF2-40B4-BE49-F238E27FC236}">
              <a16:creationId xmlns:a16="http://schemas.microsoft.com/office/drawing/2014/main" id="{00000000-0008-0000-0A00-000026000000}"/>
            </a:ext>
          </a:extLst>
        </xdr:cNvPr>
        <xdr:cNvSpPr/>
      </xdr:nvSpPr>
      <xdr:spPr>
        <a:xfrm>
          <a:off x="8537856" y="4997824"/>
          <a:ext cx="7598615" cy="2526333"/>
        </a:xfrm>
        <a:prstGeom prst="accentCallout1">
          <a:avLst>
            <a:gd name="adj1" fmla="val 25307"/>
            <a:gd name="adj2" fmla="val -1942"/>
            <a:gd name="adj3" fmla="val 6320"/>
            <a:gd name="adj4" fmla="val -46792"/>
          </a:avLst>
        </a:prstGeom>
        <a:solidFill>
          <a:sysClr val="window" lastClr="FFFFFF"/>
        </a:solid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36000" tIns="0" rIns="0" bIns="0" rtlCol="0" anchor="t">
          <a:spAutoFit/>
        </a:bodyPr>
        <a:lstStyle/>
        <a:p>
          <a:r>
            <a:rPr kumimoji="1" lang="en-US" altLang="ja-JP" sz="1100">
              <a:solidFill>
                <a:sysClr val="windowText" lastClr="000000"/>
              </a:solidFill>
              <a:effectLst/>
              <a:latin typeface="Tahoma" panose="020B0604030504040204" pitchFamily="34" charset="0"/>
              <a:ea typeface="Meiryo UI" panose="020B0604030504040204" pitchFamily="50" charset="-128"/>
              <a:cs typeface="Tahoma" panose="020B0604030504040204" pitchFamily="34" charset="0"/>
            </a:rPr>
            <a:t>If NRC$22 required condition(vehicle speed, KASO mode) is applied after starting routine control as monitoring condition,</a:t>
          </a:r>
        </a:p>
        <a:p>
          <a:r>
            <a:rPr kumimoji="1" lang="en-US" altLang="ja-JP" sz="1100">
              <a:solidFill>
                <a:sysClr val="windowText" lastClr="000000"/>
              </a:solidFill>
              <a:effectLst/>
              <a:latin typeface="Tahoma" panose="020B0604030504040204" pitchFamily="34" charset="0"/>
              <a:ea typeface="Meiryo UI" panose="020B0604030504040204" pitchFamily="50" charset="-128"/>
              <a:cs typeface="Tahoma" panose="020B0604030504040204" pitchFamily="34" charset="0"/>
            </a:rPr>
            <a:t>here's expectation is NRC$F0(Conditions Violation)?</a:t>
          </a:r>
        </a:p>
        <a:p>
          <a:endParaRPr kumimoji="1" lang="en-US" altLang="ja-JP" sz="1100">
            <a:solidFill>
              <a:sysClr val="windowText" lastClr="000000"/>
            </a:solidFill>
            <a:effectLst/>
            <a:latin typeface="Tahoma" panose="020B0604030504040204" pitchFamily="34" charset="0"/>
            <a:ea typeface="Meiryo UI" panose="020B0604030504040204" pitchFamily="50" charset="-128"/>
            <a:cs typeface="Tahoma" panose="020B0604030504040204" pitchFamily="34" charset="0"/>
          </a:endParaRPr>
        </a:p>
        <a:p>
          <a:r>
            <a:rPr kumimoji="1" lang="ja-JP" altLang="en-US" sz="1100">
              <a:solidFill>
                <a:srgbClr val="0070C0"/>
              </a:solidFill>
              <a:effectLst/>
              <a:latin typeface="Tahoma" panose="020B0604030504040204" pitchFamily="34" charset="0"/>
              <a:ea typeface="Meiryo UI" panose="020B0604030504040204" pitchFamily="50" charset="-128"/>
              <a:cs typeface="Tahoma" panose="020B0604030504040204" pitchFamily="34" charset="0"/>
            </a:rPr>
            <a:t>仕様上は車速条件不成立時は</a:t>
          </a:r>
          <a:r>
            <a:rPr kumimoji="1" lang="en-US" altLang="ja-JP" sz="1100">
              <a:solidFill>
                <a:srgbClr val="0070C0"/>
              </a:solidFill>
              <a:effectLst/>
              <a:latin typeface="Tahoma" panose="020B0604030504040204" pitchFamily="34" charset="0"/>
              <a:ea typeface="Tahoma" panose="020B0604030504040204" pitchFamily="34" charset="0"/>
              <a:cs typeface="Tahoma" panose="020B0604030504040204" pitchFamily="34" charset="0"/>
            </a:rPr>
            <a:t>NRC$22</a:t>
          </a:r>
          <a:r>
            <a:rPr kumimoji="1" lang="ja-JP" altLang="en-US" sz="1100">
              <a:solidFill>
                <a:srgbClr val="0070C0"/>
              </a:solidFill>
              <a:effectLst/>
              <a:latin typeface="Tahoma" panose="020B0604030504040204" pitchFamily="34" charset="0"/>
              <a:ea typeface="Meiryo UI" panose="020B0604030504040204" pitchFamily="50" charset="-128"/>
              <a:cs typeface="Tahoma" panose="020B0604030504040204" pitchFamily="34" charset="0"/>
            </a:rPr>
            <a:t>が期待であるように見える。</a:t>
          </a:r>
          <a:endParaRPr kumimoji="1" lang="en-US" altLang="ja-JP" sz="1100">
            <a:solidFill>
              <a:srgbClr val="0070C0"/>
            </a:solidFill>
            <a:effectLst/>
            <a:latin typeface="Tahoma" panose="020B0604030504040204" pitchFamily="34" charset="0"/>
            <a:ea typeface="Tahoma" panose="020B0604030504040204" pitchFamily="34" charset="0"/>
            <a:cs typeface="Tahoma" panose="020B0604030504040204" pitchFamily="34" charset="0"/>
          </a:endParaRPr>
        </a:p>
        <a:p>
          <a:r>
            <a:rPr kumimoji="1" lang="ja-JP" altLang="en-US" sz="1100">
              <a:solidFill>
                <a:srgbClr val="0070C0"/>
              </a:solidFill>
              <a:effectLst/>
              <a:latin typeface="Tahoma" panose="020B0604030504040204" pitchFamily="34" charset="0"/>
              <a:ea typeface="Meiryo UI" panose="020B0604030504040204" pitchFamily="50" charset="-128"/>
              <a:cs typeface="Tahoma" panose="020B0604030504040204" pitchFamily="34" charset="0"/>
            </a:rPr>
            <a:t>一方、</a:t>
          </a:r>
          <a:r>
            <a:rPr kumimoji="1" lang="en-US" altLang="ja-JP" sz="1100">
              <a:solidFill>
                <a:srgbClr val="0070C0"/>
              </a:solidFill>
              <a:effectLst/>
              <a:latin typeface="Tahoma" panose="020B0604030504040204" pitchFamily="34" charset="0"/>
              <a:ea typeface="Tahoma" panose="020B0604030504040204" pitchFamily="34" charset="0"/>
              <a:cs typeface="Tahoma" panose="020B0604030504040204" pitchFamily="34" charset="0"/>
            </a:rPr>
            <a:t>NRC$22</a:t>
          </a:r>
          <a:r>
            <a:rPr kumimoji="1" lang="ja-JP" altLang="en-US" sz="1100">
              <a:solidFill>
                <a:srgbClr val="0070C0"/>
              </a:solidFill>
              <a:effectLst/>
              <a:latin typeface="Tahoma" panose="020B0604030504040204" pitchFamily="34" charset="0"/>
              <a:ea typeface="Meiryo UI" panose="020B0604030504040204" pitchFamily="50" charset="-128"/>
              <a:cs typeface="Tahoma" panose="020B0604030504040204" pitchFamily="34" charset="0"/>
            </a:rPr>
            <a:t>は各</a:t>
          </a:r>
          <a:r>
            <a:rPr kumimoji="1" lang="en-US" altLang="ja-JP" sz="1100">
              <a:solidFill>
                <a:srgbClr val="0070C0"/>
              </a:solidFill>
              <a:effectLst/>
              <a:latin typeface="Tahoma" panose="020B0604030504040204" pitchFamily="34" charset="0"/>
              <a:ea typeface="Tahoma" panose="020B0604030504040204" pitchFamily="34" charset="0"/>
              <a:cs typeface="Tahoma" panose="020B0604030504040204" pitchFamily="34" charset="0"/>
            </a:rPr>
            <a:t>RID</a:t>
          </a:r>
          <a:r>
            <a:rPr kumimoji="1" lang="ja-JP" altLang="en-US" sz="1100">
              <a:solidFill>
                <a:srgbClr val="0070C0"/>
              </a:solidFill>
              <a:effectLst/>
              <a:latin typeface="Tahoma" panose="020B0604030504040204" pitchFamily="34" charset="0"/>
              <a:ea typeface="Meiryo UI" panose="020B0604030504040204" pitchFamily="50" charset="-128"/>
              <a:cs typeface="Tahoma" panose="020B0604030504040204" pitchFamily="34" charset="0"/>
            </a:rPr>
            <a:t>の</a:t>
          </a:r>
          <a:r>
            <a:rPr kumimoji="1" lang="en-US" altLang="ja-JP" sz="1100">
              <a:solidFill>
                <a:srgbClr val="0070C0"/>
              </a:solidFill>
              <a:effectLst/>
              <a:latin typeface="Tahoma" panose="020B0604030504040204" pitchFamily="34" charset="0"/>
              <a:ea typeface="Tahoma" panose="020B0604030504040204" pitchFamily="34" charset="0"/>
              <a:cs typeface="Tahoma" panose="020B0604030504040204" pitchFamily="34" charset="0"/>
            </a:rPr>
            <a:t>Entry Condition</a:t>
          </a:r>
          <a:r>
            <a:rPr kumimoji="1" lang="ja-JP" altLang="en-US" sz="1100">
              <a:solidFill>
                <a:srgbClr val="0070C0"/>
              </a:solidFill>
              <a:effectLst/>
              <a:latin typeface="Tahoma" panose="020B0604030504040204" pitchFamily="34" charset="0"/>
              <a:ea typeface="Meiryo UI" panose="020B0604030504040204" pitchFamily="50" charset="-128"/>
              <a:cs typeface="Tahoma" panose="020B0604030504040204" pitchFamily="34" charset="0"/>
            </a:rPr>
            <a:t>不成立時に返すと仮定した場合、ここで返すべきは</a:t>
          </a:r>
          <a:r>
            <a:rPr kumimoji="1" lang="en-US" altLang="ja-JP" sz="1100">
              <a:solidFill>
                <a:srgbClr val="0070C0"/>
              </a:solidFill>
              <a:effectLst/>
              <a:latin typeface="Tahoma" panose="020B0604030504040204" pitchFamily="34" charset="0"/>
              <a:ea typeface="Tahoma" panose="020B0604030504040204" pitchFamily="34" charset="0"/>
              <a:cs typeface="Tahoma" panose="020B0604030504040204" pitchFamily="34" charset="0"/>
            </a:rPr>
            <a:t>NRC$F0(Conditions Violation)</a:t>
          </a:r>
          <a:r>
            <a:rPr kumimoji="1" lang="ja-JP" altLang="en-US" sz="1100">
              <a:solidFill>
                <a:srgbClr val="0070C0"/>
              </a:solidFill>
              <a:effectLst/>
              <a:latin typeface="Tahoma" panose="020B0604030504040204" pitchFamily="34" charset="0"/>
              <a:ea typeface="Meiryo UI" panose="020B0604030504040204" pitchFamily="50" charset="-128"/>
              <a:cs typeface="Tahoma" panose="020B0604030504040204" pitchFamily="34" charset="0"/>
            </a:rPr>
            <a:t>では？</a:t>
          </a:r>
          <a:endParaRPr kumimoji="1" lang="en-US" altLang="ja-JP" sz="1100">
            <a:solidFill>
              <a:srgbClr val="0070C0"/>
            </a:solidFill>
            <a:effectLst/>
            <a:latin typeface="Tahoma" panose="020B0604030504040204" pitchFamily="34" charset="0"/>
            <a:ea typeface="Tahoma" panose="020B0604030504040204" pitchFamily="34" charset="0"/>
            <a:cs typeface="Tahoma" panose="020B0604030504040204" pitchFamily="34" charset="0"/>
          </a:endParaRPr>
        </a:p>
        <a:p>
          <a:endParaRPr kumimoji="1" lang="en-US" altLang="ja-JP" sz="1100">
            <a:solidFill>
              <a:sysClr val="windowText" lastClr="000000"/>
            </a:solidFill>
            <a:effectLst/>
            <a:latin typeface="Tahoma" panose="020B0604030504040204" pitchFamily="34" charset="0"/>
            <a:ea typeface="Tahoma" panose="020B0604030504040204" pitchFamily="34" charset="0"/>
            <a:cs typeface="Tahoma" panose="020B0604030504040204" pitchFamily="34" charset="0"/>
          </a:endParaRPr>
        </a:p>
        <a:p>
          <a:r>
            <a:rPr kumimoji="1" lang="en-US" altLang="ja-JP" sz="1100" u="sng">
              <a:solidFill>
                <a:sysClr val="windowText" lastClr="000000"/>
              </a:solidFill>
              <a:effectLst/>
              <a:latin typeface="Tahoma" panose="020B0604030504040204" pitchFamily="34" charset="0"/>
              <a:ea typeface="Tahoma" panose="020B0604030504040204" pitchFamily="34" charset="0"/>
              <a:cs typeface="Tahoma" panose="020B0604030504040204" pitchFamily="34" charset="0"/>
            </a:rPr>
            <a:t>[09.Dec] Customer Feedback</a:t>
          </a:r>
        </a:p>
        <a:p>
          <a:r>
            <a:rPr kumimoji="1" lang="en-US" altLang="ja-JP" sz="1100">
              <a:solidFill>
                <a:sysClr val="windowText" lastClr="000000"/>
              </a:solidFill>
              <a:effectLst/>
              <a:latin typeface="Tahoma" panose="020B0604030504040204" pitchFamily="34" charset="0"/>
              <a:ea typeface="Tahoma" panose="020B0604030504040204" pitchFamily="34" charset="0"/>
              <a:cs typeface="Tahoma" panose="020B0604030504040204" pitchFamily="34" charset="0"/>
            </a:rPr>
            <a:t>NRC$22 required condition(vehicle speed, KASO mode) should be applied only before starting routine.</a:t>
          </a:r>
        </a:p>
        <a:p>
          <a:r>
            <a:rPr kumimoji="1" lang="en-US" altLang="ja-JP" sz="1100">
              <a:solidFill>
                <a:sysClr val="windowText" lastClr="000000"/>
              </a:solidFill>
              <a:effectLst/>
              <a:latin typeface="Tahoma" panose="020B0604030504040204" pitchFamily="34" charset="0"/>
              <a:ea typeface="Tahoma" panose="020B0604030504040204" pitchFamily="34" charset="0"/>
              <a:cs typeface="Tahoma" panose="020B0604030504040204" pitchFamily="34" charset="0"/>
            </a:rPr>
            <a:t>(Please don’t use them as monitoring condition.)</a:t>
          </a:r>
        </a:p>
        <a:p>
          <a:endParaRPr kumimoji="1" lang="en-US" altLang="ja-JP" sz="1100">
            <a:solidFill>
              <a:sysClr val="windowText" lastClr="000000"/>
            </a:solidFill>
            <a:effectLst/>
            <a:latin typeface="Tahoma" panose="020B0604030504040204" pitchFamily="34" charset="0"/>
            <a:ea typeface="Tahoma" panose="020B0604030504040204" pitchFamily="34" charset="0"/>
            <a:cs typeface="Tahoma" panose="020B0604030504040204" pitchFamily="34" charset="0"/>
          </a:endParaRPr>
        </a:p>
        <a:p>
          <a:r>
            <a:rPr kumimoji="1" lang="en-US" altLang="ja-JP" sz="1100">
              <a:solidFill>
                <a:srgbClr val="0070C0"/>
              </a:solidFill>
              <a:effectLst/>
              <a:latin typeface="Tahoma" panose="020B0604030504040204" pitchFamily="34" charset="0"/>
              <a:ea typeface="Tahoma" panose="020B0604030504040204" pitchFamily="34" charset="0"/>
              <a:cs typeface="Tahoma" panose="020B0604030504040204" pitchFamily="34" charset="0"/>
            </a:rPr>
            <a:t>KASO Mode</a:t>
          </a:r>
          <a:r>
            <a:rPr kumimoji="1" lang="ja-JP" altLang="en-US" sz="1100">
              <a:solidFill>
                <a:srgbClr val="0070C0"/>
              </a:solidFill>
              <a:effectLst/>
              <a:latin typeface="Tahoma" panose="020B0604030504040204" pitchFamily="34" charset="0"/>
              <a:ea typeface="Meiryo UI" panose="020B0604030504040204" pitchFamily="50" charset="-128"/>
              <a:cs typeface="Tahoma" panose="020B0604030504040204" pitchFamily="34" charset="0"/>
            </a:rPr>
            <a:t>と車速条件は</a:t>
          </a:r>
          <a:r>
            <a:rPr kumimoji="1" lang="en-US" altLang="ja-JP" sz="1100">
              <a:solidFill>
                <a:srgbClr val="0070C0"/>
              </a:solidFill>
              <a:effectLst/>
              <a:latin typeface="Tahoma" panose="020B0604030504040204" pitchFamily="34" charset="0"/>
              <a:ea typeface="Tahoma" panose="020B0604030504040204" pitchFamily="34" charset="0"/>
              <a:cs typeface="Tahoma" panose="020B0604030504040204" pitchFamily="34" charset="0"/>
            </a:rPr>
            <a:t>Entry Condition</a:t>
          </a:r>
          <a:r>
            <a:rPr kumimoji="1" lang="ja-JP" altLang="en-US" sz="1100">
              <a:solidFill>
                <a:srgbClr val="0070C0"/>
              </a:solidFill>
              <a:effectLst/>
              <a:latin typeface="Tahoma" panose="020B0604030504040204" pitchFamily="34" charset="0"/>
              <a:ea typeface="Meiryo UI" panose="020B0604030504040204" pitchFamily="50" charset="-128"/>
              <a:cs typeface="Tahoma" panose="020B0604030504040204" pitchFamily="34" charset="0"/>
            </a:rPr>
            <a:t>との扱いで良く、</a:t>
          </a:r>
          <a:endParaRPr kumimoji="1" lang="en-US" altLang="ja-JP" sz="1100">
            <a:solidFill>
              <a:srgbClr val="0070C0"/>
            </a:solidFill>
            <a:effectLst/>
            <a:latin typeface="Tahoma" panose="020B0604030504040204" pitchFamily="34" charset="0"/>
            <a:ea typeface="Tahoma" panose="020B0604030504040204" pitchFamily="34" charset="0"/>
            <a:cs typeface="Tahoma" panose="020B0604030504040204" pitchFamily="34" charset="0"/>
          </a:endParaRPr>
        </a:p>
        <a:p>
          <a:r>
            <a:rPr kumimoji="1" lang="ja-JP" altLang="en-US" sz="1100">
              <a:solidFill>
                <a:srgbClr val="0070C0"/>
              </a:solidFill>
              <a:effectLst/>
              <a:latin typeface="Tahoma" panose="020B0604030504040204" pitchFamily="34" charset="0"/>
              <a:ea typeface="Meiryo UI" panose="020B0604030504040204" pitchFamily="50" charset="-128"/>
              <a:cs typeface="Tahoma" panose="020B0604030504040204" pitchFamily="34" charset="0"/>
            </a:rPr>
            <a:t>その後、それら条件を</a:t>
          </a:r>
          <a:r>
            <a:rPr kumimoji="1" lang="en-US" altLang="ja-JP" sz="1100">
              <a:solidFill>
                <a:srgbClr val="0070C0"/>
              </a:solidFill>
              <a:effectLst/>
              <a:latin typeface="Tahoma" panose="020B0604030504040204" pitchFamily="34" charset="0"/>
              <a:ea typeface="Tahoma" panose="020B0604030504040204" pitchFamily="34" charset="0"/>
              <a:cs typeface="Tahoma" panose="020B0604030504040204" pitchFamily="34" charset="0"/>
            </a:rPr>
            <a:t>Monitoring Condition(=</a:t>
          </a:r>
          <a:r>
            <a:rPr kumimoji="1" lang="ja-JP" altLang="en-US" sz="1100">
              <a:solidFill>
                <a:srgbClr val="0070C0"/>
              </a:solidFill>
              <a:effectLst/>
              <a:latin typeface="Tahoma" panose="020B0604030504040204" pitchFamily="34" charset="0"/>
              <a:ea typeface="Meiryo UI" panose="020B0604030504040204" pitchFamily="50" charset="-128"/>
              <a:cs typeface="Tahoma" panose="020B0604030504040204" pitchFamily="34" charset="0"/>
            </a:rPr>
            <a:t>中断条件</a:t>
          </a:r>
          <a:r>
            <a:rPr kumimoji="1" lang="en-US" altLang="ja-JP" sz="1100">
              <a:solidFill>
                <a:srgbClr val="0070C0"/>
              </a:solidFill>
              <a:effectLst/>
              <a:latin typeface="Tahoma" panose="020B0604030504040204" pitchFamily="34" charset="0"/>
              <a:ea typeface="Tahoma" panose="020B0604030504040204" pitchFamily="34" charset="0"/>
              <a:cs typeface="Tahoma" panose="020B0604030504040204" pitchFamily="34" charset="0"/>
            </a:rPr>
            <a:t>)</a:t>
          </a:r>
          <a:r>
            <a:rPr kumimoji="1" lang="ja-JP" altLang="en-US" sz="1100">
              <a:solidFill>
                <a:srgbClr val="0070C0"/>
              </a:solidFill>
              <a:effectLst/>
              <a:latin typeface="Tahoma" panose="020B0604030504040204" pitchFamily="34" charset="0"/>
              <a:ea typeface="Meiryo UI" panose="020B0604030504040204" pitchFamily="50" charset="-128"/>
              <a:cs typeface="Tahoma" panose="020B0604030504040204" pitchFamily="34" charset="0"/>
            </a:rPr>
            <a:t>として見る必要は無い。</a:t>
          </a:r>
          <a:endParaRPr kumimoji="1" lang="en-US" altLang="ja-JP" sz="1100">
            <a:solidFill>
              <a:srgbClr val="0070C0"/>
            </a:solidFill>
            <a:effectLst/>
            <a:latin typeface="Tahoma" panose="020B0604030504040204" pitchFamily="34" charset="0"/>
            <a:ea typeface="Tahoma" panose="020B0604030504040204" pitchFamily="34" charset="0"/>
            <a:cs typeface="Tahoma" panose="020B0604030504040204" pitchFamily="34" charset="0"/>
          </a:endParaRPr>
        </a:p>
        <a:p>
          <a:r>
            <a:rPr kumimoji="1" lang="ja-JP" altLang="en-US" sz="1100">
              <a:solidFill>
                <a:srgbClr val="0070C0"/>
              </a:solidFill>
              <a:effectLst/>
              <a:latin typeface="Tahoma" panose="020B0604030504040204" pitchFamily="34" charset="0"/>
              <a:ea typeface="Meiryo UI" panose="020B0604030504040204" pitchFamily="50" charset="-128"/>
              <a:cs typeface="Tahoma" panose="020B0604030504040204" pitchFamily="34" charset="0"/>
            </a:rPr>
            <a:t>よって、そもそも</a:t>
          </a:r>
          <a:r>
            <a:rPr kumimoji="1" lang="en-US" altLang="ja-JP" sz="1100">
              <a:solidFill>
                <a:srgbClr val="0070C0"/>
              </a:solidFill>
              <a:effectLst/>
              <a:latin typeface="Tahoma" panose="020B0604030504040204" pitchFamily="34" charset="0"/>
              <a:ea typeface="Tahoma" panose="020B0604030504040204" pitchFamily="34" charset="0"/>
              <a:cs typeface="Tahoma" panose="020B0604030504040204" pitchFamily="34" charset="0"/>
            </a:rPr>
            <a:t>NRC$22</a:t>
          </a:r>
          <a:r>
            <a:rPr kumimoji="1" lang="ja-JP" altLang="en-US" sz="1100">
              <a:solidFill>
                <a:srgbClr val="0070C0"/>
              </a:solidFill>
              <a:effectLst/>
              <a:latin typeface="Tahoma" panose="020B0604030504040204" pitchFamily="34" charset="0"/>
              <a:ea typeface="Meiryo UI" panose="020B0604030504040204" pitchFamily="50" charset="-128"/>
              <a:cs typeface="Tahoma" panose="020B0604030504040204" pitchFamily="34" charset="0"/>
            </a:rPr>
            <a:t>も＄</a:t>
          </a:r>
          <a:r>
            <a:rPr kumimoji="1" lang="en-US" altLang="ja-JP" sz="1100">
              <a:solidFill>
                <a:srgbClr val="0070C0"/>
              </a:solidFill>
              <a:effectLst/>
              <a:latin typeface="Tahoma" panose="020B0604030504040204" pitchFamily="34" charset="0"/>
              <a:ea typeface="Tahoma" panose="020B0604030504040204" pitchFamily="34" charset="0"/>
              <a:cs typeface="Tahoma" panose="020B0604030504040204" pitchFamily="34" charset="0"/>
            </a:rPr>
            <a:t>F0</a:t>
          </a:r>
          <a:r>
            <a:rPr kumimoji="1" lang="ja-JP" altLang="en-US" sz="1100">
              <a:solidFill>
                <a:srgbClr val="0070C0"/>
              </a:solidFill>
              <a:effectLst/>
              <a:latin typeface="Tahoma" panose="020B0604030504040204" pitchFamily="34" charset="0"/>
              <a:ea typeface="Meiryo UI" panose="020B0604030504040204" pitchFamily="50" charset="-128"/>
              <a:cs typeface="Tahoma" panose="020B0604030504040204" pitchFamily="34" charset="0"/>
            </a:rPr>
            <a:t>もこのケースでは返す必要が無い。</a:t>
          </a:r>
        </a:p>
      </xdr:txBody>
    </xdr:sp>
    <xdr:clientData/>
  </xdr:oneCellAnchor>
  <xdr:twoCellAnchor>
    <xdr:from>
      <xdr:col>15</xdr:col>
      <xdr:colOff>0</xdr:colOff>
      <xdr:row>4</xdr:row>
      <xdr:rowOff>0</xdr:rowOff>
    </xdr:from>
    <xdr:to>
      <xdr:col>15</xdr:col>
      <xdr:colOff>1</xdr:colOff>
      <xdr:row>5</xdr:row>
      <xdr:rowOff>0</xdr:rowOff>
    </xdr:to>
    <xdr:cxnSp macro="">
      <xdr:nvCxnSpPr>
        <xdr:cNvPr id="39" name="直線コネクタ 38">
          <a:extLst>
            <a:ext uri="{FF2B5EF4-FFF2-40B4-BE49-F238E27FC236}">
              <a16:creationId xmlns:a16="http://schemas.microsoft.com/office/drawing/2014/main" id="{00000000-0008-0000-0A00-000027000000}"/>
            </a:ext>
          </a:extLst>
        </xdr:cNvPr>
        <xdr:cNvCxnSpPr/>
      </xdr:nvCxnSpPr>
      <xdr:spPr>
        <a:xfrm flipV="1">
          <a:off x="3000375" y="714375"/>
          <a:ext cx="1" cy="161925"/>
        </a:xfrm>
        <a:prstGeom prst="line">
          <a:avLst/>
        </a:prstGeom>
        <a:ln w="38100" cap="sq">
          <a:miter lim="800000"/>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xdr:colOff>
      <xdr:row>4</xdr:row>
      <xdr:rowOff>0</xdr:rowOff>
    </xdr:from>
    <xdr:to>
      <xdr:col>27</xdr:col>
      <xdr:colOff>0</xdr:colOff>
      <xdr:row>4</xdr:row>
      <xdr:rowOff>0</xdr:rowOff>
    </xdr:to>
    <xdr:cxnSp macro="">
      <xdr:nvCxnSpPr>
        <xdr:cNvPr id="40" name="直線コネクタ 39">
          <a:extLst>
            <a:ext uri="{FF2B5EF4-FFF2-40B4-BE49-F238E27FC236}">
              <a16:creationId xmlns:a16="http://schemas.microsoft.com/office/drawing/2014/main" id="{00000000-0008-0000-0A00-000028000000}"/>
            </a:ext>
          </a:extLst>
        </xdr:cNvPr>
        <xdr:cNvCxnSpPr/>
      </xdr:nvCxnSpPr>
      <xdr:spPr>
        <a:xfrm flipH="1">
          <a:off x="3000376" y="714375"/>
          <a:ext cx="2400299" cy="0"/>
        </a:xfrm>
        <a:prstGeom prst="line">
          <a:avLst/>
        </a:prstGeom>
        <a:ln w="38100" cap="sq">
          <a:miter lim="800000"/>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0</xdr:colOff>
      <xdr:row>4</xdr:row>
      <xdr:rowOff>0</xdr:rowOff>
    </xdr:from>
    <xdr:to>
      <xdr:col>27</xdr:col>
      <xdr:colOff>0</xdr:colOff>
      <xdr:row>5</xdr:row>
      <xdr:rowOff>0</xdr:rowOff>
    </xdr:to>
    <xdr:cxnSp macro="">
      <xdr:nvCxnSpPr>
        <xdr:cNvPr id="41" name="直線コネクタ 40">
          <a:extLst>
            <a:ext uri="{FF2B5EF4-FFF2-40B4-BE49-F238E27FC236}">
              <a16:creationId xmlns:a16="http://schemas.microsoft.com/office/drawing/2014/main" id="{00000000-0008-0000-0A00-000029000000}"/>
            </a:ext>
          </a:extLst>
        </xdr:cNvPr>
        <xdr:cNvCxnSpPr/>
      </xdr:nvCxnSpPr>
      <xdr:spPr>
        <a:xfrm flipV="1">
          <a:off x="5400675" y="714375"/>
          <a:ext cx="0" cy="161925"/>
        </a:xfrm>
        <a:prstGeom prst="line">
          <a:avLst/>
        </a:prstGeom>
        <a:ln w="38100" cap="sq">
          <a:miter lim="800000"/>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0</xdr:colOff>
      <xdr:row>5</xdr:row>
      <xdr:rowOff>0</xdr:rowOff>
    </xdr:from>
    <xdr:to>
      <xdr:col>34</xdr:col>
      <xdr:colOff>2381</xdr:colOff>
      <xdr:row>5</xdr:row>
      <xdr:rowOff>0</xdr:rowOff>
    </xdr:to>
    <xdr:cxnSp macro="">
      <xdr:nvCxnSpPr>
        <xdr:cNvPr id="42" name="直線コネクタ 41">
          <a:extLst>
            <a:ext uri="{FF2B5EF4-FFF2-40B4-BE49-F238E27FC236}">
              <a16:creationId xmlns:a16="http://schemas.microsoft.com/office/drawing/2014/main" id="{00000000-0008-0000-0A00-00002A000000}"/>
            </a:ext>
          </a:extLst>
        </xdr:cNvPr>
        <xdr:cNvCxnSpPr/>
      </xdr:nvCxnSpPr>
      <xdr:spPr>
        <a:xfrm flipH="1">
          <a:off x="5400675" y="876300"/>
          <a:ext cx="1402556" cy="0"/>
        </a:xfrm>
        <a:prstGeom prst="line">
          <a:avLst/>
        </a:prstGeom>
        <a:ln w="38100" cap="sq">
          <a:miter lim="800000"/>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2</xdr:row>
      <xdr:rowOff>0</xdr:rowOff>
    </xdr:from>
    <xdr:to>
      <xdr:col>15</xdr:col>
      <xdr:colOff>0</xdr:colOff>
      <xdr:row>4</xdr:row>
      <xdr:rowOff>0</xdr:rowOff>
    </xdr:to>
    <xdr:cxnSp macro="">
      <xdr:nvCxnSpPr>
        <xdr:cNvPr id="43" name="直線コネクタ 42">
          <a:extLst>
            <a:ext uri="{FF2B5EF4-FFF2-40B4-BE49-F238E27FC236}">
              <a16:creationId xmlns:a16="http://schemas.microsoft.com/office/drawing/2014/main" id="{00000000-0008-0000-0A00-00002B000000}"/>
            </a:ext>
          </a:extLst>
        </xdr:cNvPr>
        <xdr:cNvCxnSpPr/>
      </xdr:nvCxnSpPr>
      <xdr:spPr>
        <a:xfrm>
          <a:off x="3000375" y="390525"/>
          <a:ext cx="0" cy="323850"/>
        </a:xfrm>
        <a:prstGeom prst="line">
          <a:avLst/>
        </a:prstGeom>
        <a:ln>
          <a:prstDash val="dash"/>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0</xdr:colOff>
      <xdr:row>2</xdr:row>
      <xdr:rowOff>0</xdr:rowOff>
    </xdr:from>
    <xdr:to>
      <xdr:col>29</xdr:col>
      <xdr:colOff>0</xdr:colOff>
      <xdr:row>5</xdr:row>
      <xdr:rowOff>0</xdr:rowOff>
    </xdr:to>
    <xdr:cxnSp macro="">
      <xdr:nvCxnSpPr>
        <xdr:cNvPr id="44" name="直線コネクタ 43">
          <a:extLst>
            <a:ext uri="{FF2B5EF4-FFF2-40B4-BE49-F238E27FC236}">
              <a16:creationId xmlns:a16="http://schemas.microsoft.com/office/drawing/2014/main" id="{00000000-0008-0000-0A00-00002C000000}"/>
            </a:ext>
          </a:extLst>
        </xdr:cNvPr>
        <xdr:cNvCxnSpPr/>
      </xdr:nvCxnSpPr>
      <xdr:spPr>
        <a:xfrm>
          <a:off x="5800725" y="390525"/>
          <a:ext cx="0" cy="485775"/>
        </a:xfrm>
        <a:prstGeom prst="line">
          <a:avLst/>
        </a:prstGeom>
        <a:ln>
          <a:prstDash val="dash"/>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3</xdr:row>
      <xdr:rowOff>0</xdr:rowOff>
    </xdr:from>
    <xdr:to>
      <xdr:col>29</xdr:col>
      <xdr:colOff>0</xdr:colOff>
      <xdr:row>3</xdr:row>
      <xdr:rowOff>0</xdr:rowOff>
    </xdr:to>
    <xdr:cxnSp macro="">
      <xdr:nvCxnSpPr>
        <xdr:cNvPr id="45" name="直線矢印コネクタ 44">
          <a:extLst>
            <a:ext uri="{FF2B5EF4-FFF2-40B4-BE49-F238E27FC236}">
              <a16:creationId xmlns:a16="http://schemas.microsoft.com/office/drawing/2014/main" id="{00000000-0008-0000-0A00-00002D000000}"/>
            </a:ext>
          </a:extLst>
        </xdr:cNvPr>
        <xdr:cNvCxnSpPr/>
      </xdr:nvCxnSpPr>
      <xdr:spPr>
        <a:xfrm>
          <a:off x="3000375" y="552450"/>
          <a:ext cx="2800350" cy="0"/>
        </a:xfrm>
        <a:prstGeom prst="straightConnector1">
          <a:avLst/>
        </a:prstGeom>
        <a:ln>
          <a:headEnd type="arrow"/>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201385</xdr:colOff>
      <xdr:row>5</xdr:row>
      <xdr:rowOff>0</xdr:rowOff>
    </xdr:from>
    <xdr:to>
      <xdr:col>15</xdr:col>
      <xdr:colOff>0</xdr:colOff>
      <xdr:row>5</xdr:row>
      <xdr:rowOff>0</xdr:rowOff>
    </xdr:to>
    <xdr:cxnSp macro="">
      <xdr:nvCxnSpPr>
        <xdr:cNvPr id="46" name="直線コネクタ 45">
          <a:extLst>
            <a:ext uri="{FF2B5EF4-FFF2-40B4-BE49-F238E27FC236}">
              <a16:creationId xmlns:a16="http://schemas.microsoft.com/office/drawing/2014/main" id="{00000000-0008-0000-0A00-00002E000000}"/>
            </a:ext>
          </a:extLst>
        </xdr:cNvPr>
        <xdr:cNvCxnSpPr/>
      </xdr:nvCxnSpPr>
      <xdr:spPr>
        <a:xfrm>
          <a:off x="1801585" y="876300"/>
          <a:ext cx="1198790" cy="0"/>
        </a:xfrm>
        <a:prstGeom prst="line">
          <a:avLst/>
        </a:prstGeom>
        <a:ln w="38100" cap="sq">
          <a:miter lim="800000"/>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204106</xdr:colOff>
      <xdr:row>5</xdr:row>
      <xdr:rowOff>0</xdr:rowOff>
    </xdr:from>
    <xdr:to>
      <xdr:col>14</xdr:col>
      <xdr:colOff>204106</xdr:colOff>
      <xdr:row>6</xdr:row>
      <xdr:rowOff>0</xdr:rowOff>
    </xdr:to>
    <xdr:sp macro="" textlink="">
      <xdr:nvSpPr>
        <xdr:cNvPr id="47" name="稲妻 46">
          <a:extLst>
            <a:ext uri="{FF2B5EF4-FFF2-40B4-BE49-F238E27FC236}">
              <a16:creationId xmlns:a16="http://schemas.microsoft.com/office/drawing/2014/main" id="{00000000-0008-0000-0A00-00002F000000}"/>
            </a:ext>
          </a:extLst>
        </xdr:cNvPr>
        <xdr:cNvSpPr/>
      </xdr:nvSpPr>
      <xdr:spPr>
        <a:xfrm flipV="1">
          <a:off x="2804431" y="876300"/>
          <a:ext cx="200025" cy="161925"/>
        </a:xfrm>
        <a:prstGeom prst="lightningBol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latin typeface="Tahoma" panose="020B0604030504040204" pitchFamily="34" charset="0"/>
            <a:ea typeface="Meiryo UI" panose="020B0604030504040204" pitchFamily="50" charset="-128"/>
            <a:cs typeface="Tahoma" panose="020B0604030504040204" pitchFamily="34" charset="0"/>
          </a:endParaRPr>
        </a:p>
      </xdr:txBody>
    </xdr:sp>
    <xdr:clientData/>
  </xdr:twoCellAnchor>
  <xdr:twoCellAnchor>
    <xdr:from>
      <xdr:col>8</xdr:col>
      <xdr:colOff>201385</xdr:colOff>
      <xdr:row>8</xdr:row>
      <xdr:rowOff>0</xdr:rowOff>
    </xdr:from>
    <xdr:to>
      <xdr:col>34</xdr:col>
      <xdr:colOff>0</xdr:colOff>
      <xdr:row>8</xdr:row>
      <xdr:rowOff>0</xdr:rowOff>
    </xdr:to>
    <xdr:cxnSp macro="">
      <xdr:nvCxnSpPr>
        <xdr:cNvPr id="48" name="直線コネクタ 47">
          <a:extLst>
            <a:ext uri="{FF2B5EF4-FFF2-40B4-BE49-F238E27FC236}">
              <a16:creationId xmlns:a16="http://schemas.microsoft.com/office/drawing/2014/main" id="{00000000-0008-0000-0A00-000030000000}"/>
            </a:ext>
          </a:extLst>
        </xdr:cNvPr>
        <xdr:cNvCxnSpPr/>
      </xdr:nvCxnSpPr>
      <xdr:spPr>
        <a:xfrm>
          <a:off x="1801585" y="1362075"/>
          <a:ext cx="4999265" cy="0"/>
        </a:xfrm>
        <a:prstGeom prst="line">
          <a:avLst/>
        </a:prstGeom>
        <a:ln w="38100" cap="sq">
          <a:miter lim="800000"/>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11</xdr:row>
      <xdr:rowOff>0</xdr:rowOff>
    </xdr:from>
    <xdr:to>
      <xdr:col>34</xdr:col>
      <xdr:colOff>0</xdr:colOff>
      <xdr:row>11</xdr:row>
      <xdr:rowOff>0</xdr:rowOff>
    </xdr:to>
    <xdr:cxnSp macro="">
      <xdr:nvCxnSpPr>
        <xdr:cNvPr id="49" name="直線コネクタ 48">
          <a:extLst>
            <a:ext uri="{FF2B5EF4-FFF2-40B4-BE49-F238E27FC236}">
              <a16:creationId xmlns:a16="http://schemas.microsoft.com/office/drawing/2014/main" id="{00000000-0008-0000-0A00-000031000000}"/>
            </a:ext>
          </a:extLst>
        </xdr:cNvPr>
        <xdr:cNvCxnSpPr/>
      </xdr:nvCxnSpPr>
      <xdr:spPr>
        <a:xfrm>
          <a:off x="1800225" y="1847850"/>
          <a:ext cx="5000625" cy="0"/>
        </a:xfrm>
        <a:prstGeom prst="line">
          <a:avLst/>
        </a:prstGeom>
        <a:ln w="38100" cap="sq">
          <a:miter lim="800000"/>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10</xdr:row>
      <xdr:rowOff>0</xdr:rowOff>
    </xdr:from>
    <xdr:to>
      <xdr:col>34</xdr:col>
      <xdr:colOff>0</xdr:colOff>
      <xdr:row>10</xdr:row>
      <xdr:rowOff>0</xdr:rowOff>
    </xdr:to>
    <xdr:cxnSp macro="">
      <xdr:nvCxnSpPr>
        <xdr:cNvPr id="50" name="直線コネクタ 49">
          <a:extLst>
            <a:ext uri="{FF2B5EF4-FFF2-40B4-BE49-F238E27FC236}">
              <a16:creationId xmlns:a16="http://schemas.microsoft.com/office/drawing/2014/main" id="{00000000-0008-0000-0A00-000032000000}"/>
            </a:ext>
          </a:extLst>
        </xdr:cNvPr>
        <xdr:cNvCxnSpPr/>
      </xdr:nvCxnSpPr>
      <xdr:spPr>
        <a:xfrm>
          <a:off x="1800225" y="1685925"/>
          <a:ext cx="5000625" cy="0"/>
        </a:xfrm>
        <a:prstGeom prst="line">
          <a:avLst/>
        </a:prstGeom>
        <a:ln>
          <a:prstDash val="dash"/>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201385</xdr:colOff>
      <xdr:row>17</xdr:row>
      <xdr:rowOff>0</xdr:rowOff>
    </xdr:from>
    <xdr:to>
      <xdr:col>15</xdr:col>
      <xdr:colOff>0</xdr:colOff>
      <xdr:row>17</xdr:row>
      <xdr:rowOff>2</xdr:rowOff>
    </xdr:to>
    <xdr:cxnSp macro="">
      <xdr:nvCxnSpPr>
        <xdr:cNvPr id="51" name="直線コネクタ 50">
          <a:extLst>
            <a:ext uri="{FF2B5EF4-FFF2-40B4-BE49-F238E27FC236}">
              <a16:creationId xmlns:a16="http://schemas.microsoft.com/office/drawing/2014/main" id="{00000000-0008-0000-0A00-000033000000}"/>
            </a:ext>
          </a:extLst>
        </xdr:cNvPr>
        <xdr:cNvCxnSpPr/>
      </xdr:nvCxnSpPr>
      <xdr:spPr>
        <a:xfrm flipV="1">
          <a:off x="1801585" y="2819400"/>
          <a:ext cx="1198790" cy="2"/>
        </a:xfrm>
        <a:prstGeom prst="line">
          <a:avLst/>
        </a:prstGeom>
        <a:ln w="38100" cap="sq">
          <a:miter lim="800000"/>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16</xdr:row>
      <xdr:rowOff>0</xdr:rowOff>
    </xdr:from>
    <xdr:to>
      <xdr:col>15</xdr:col>
      <xdr:colOff>0</xdr:colOff>
      <xdr:row>17</xdr:row>
      <xdr:rowOff>0</xdr:rowOff>
    </xdr:to>
    <xdr:cxnSp macro="">
      <xdr:nvCxnSpPr>
        <xdr:cNvPr id="52" name="直線コネクタ 51">
          <a:extLst>
            <a:ext uri="{FF2B5EF4-FFF2-40B4-BE49-F238E27FC236}">
              <a16:creationId xmlns:a16="http://schemas.microsoft.com/office/drawing/2014/main" id="{00000000-0008-0000-0A00-000034000000}"/>
            </a:ext>
          </a:extLst>
        </xdr:cNvPr>
        <xdr:cNvCxnSpPr/>
      </xdr:nvCxnSpPr>
      <xdr:spPr>
        <a:xfrm flipV="1">
          <a:off x="3000375" y="2657475"/>
          <a:ext cx="0" cy="161925"/>
        </a:xfrm>
        <a:prstGeom prst="line">
          <a:avLst/>
        </a:prstGeom>
        <a:ln w="38100" cap="sq">
          <a:miter lim="800000"/>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xdr:colOff>
      <xdr:row>16</xdr:row>
      <xdr:rowOff>0</xdr:rowOff>
    </xdr:from>
    <xdr:to>
      <xdr:col>27</xdr:col>
      <xdr:colOff>0</xdr:colOff>
      <xdr:row>16</xdr:row>
      <xdr:rowOff>0</xdr:rowOff>
    </xdr:to>
    <xdr:cxnSp macro="">
      <xdr:nvCxnSpPr>
        <xdr:cNvPr id="53" name="直線コネクタ 52">
          <a:extLst>
            <a:ext uri="{FF2B5EF4-FFF2-40B4-BE49-F238E27FC236}">
              <a16:creationId xmlns:a16="http://schemas.microsoft.com/office/drawing/2014/main" id="{00000000-0008-0000-0A00-000035000000}"/>
            </a:ext>
          </a:extLst>
        </xdr:cNvPr>
        <xdr:cNvCxnSpPr/>
      </xdr:nvCxnSpPr>
      <xdr:spPr>
        <a:xfrm flipH="1">
          <a:off x="3000378" y="2657475"/>
          <a:ext cx="2400297" cy="0"/>
        </a:xfrm>
        <a:prstGeom prst="line">
          <a:avLst/>
        </a:prstGeom>
        <a:ln w="38100" cap="sq">
          <a:miter lim="800000"/>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0</xdr:colOff>
      <xdr:row>16</xdr:row>
      <xdr:rowOff>0</xdr:rowOff>
    </xdr:from>
    <xdr:to>
      <xdr:col>30</xdr:col>
      <xdr:colOff>0</xdr:colOff>
      <xdr:row>16</xdr:row>
      <xdr:rowOff>0</xdr:rowOff>
    </xdr:to>
    <xdr:cxnSp macro="">
      <xdr:nvCxnSpPr>
        <xdr:cNvPr id="54" name="直線コネクタ 53">
          <a:extLst>
            <a:ext uri="{FF2B5EF4-FFF2-40B4-BE49-F238E27FC236}">
              <a16:creationId xmlns:a16="http://schemas.microsoft.com/office/drawing/2014/main" id="{00000000-0008-0000-0A00-000036000000}"/>
            </a:ext>
          </a:extLst>
        </xdr:cNvPr>
        <xdr:cNvCxnSpPr/>
      </xdr:nvCxnSpPr>
      <xdr:spPr>
        <a:xfrm flipH="1">
          <a:off x="5400675" y="2657475"/>
          <a:ext cx="600075" cy="0"/>
        </a:xfrm>
        <a:prstGeom prst="line">
          <a:avLst/>
        </a:prstGeom>
        <a:ln w="38100" cap="flat">
          <a:solidFill>
            <a:srgbClr val="FF0000"/>
          </a:solidFill>
          <a:miter lim="800000"/>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0</xdr:colOff>
      <xdr:row>5</xdr:row>
      <xdr:rowOff>0</xdr:rowOff>
    </xdr:from>
    <xdr:to>
      <xdr:col>27</xdr:col>
      <xdr:colOff>0</xdr:colOff>
      <xdr:row>16</xdr:row>
      <xdr:rowOff>0</xdr:rowOff>
    </xdr:to>
    <xdr:cxnSp macro="">
      <xdr:nvCxnSpPr>
        <xdr:cNvPr id="55" name="直線コネクタ 54">
          <a:extLst>
            <a:ext uri="{FF2B5EF4-FFF2-40B4-BE49-F238E27FC236}">
              <a16:creationId xmlns:a16="http://schemas.microsoft.com/office/drawing/2014/main" id="{00000000-0008-0000-0A00-000037000000}"/>
            </a:ext>
          </a:extLst>
        </xdr:cNvPr>
        <xdr:cNvCxnSpPr/>
      </xdr:nvCxnSpPr>
      <xdr:spPr>
        <a:xfrm>
          <a:off x="5400675" y="876300"/>
          <a:ext cx="0" cy="1781175"/>
        </a:xfrm>
        <a:prstGeom prst="line">
          <a:avLst/>
        </a:prstGeom>
        <a:ln>
          <a:solidFill>
            <a:srgbClr val="FF0000"/>
          </a:solidFill>
          <a:prstDash val="dash"/>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6259</xdr:colOff>
      <xdr:row>5</xdr:row>
      <xdr:rowOff>0</xdr:rowOff>
    </xdr:from>
    <xdr:to>
      <xdr:col>27</xdr:col>
      <xdr:colOff>0</xdr:colOff>
      <xdr:row>6</xdr:row>
      <xdr:rowOff>0</xdr:rowOff>
    </xdr:to>
    <xdr:sp macro="" textlink="">
      <xdr:nvSpPr>
        <xdr:cNvPr id="56" name="稲妻 55">
          <a:extLst>
            <a:ext uri="{FF2B5EF4-FFF2-40B4-BE49-F238E27FC236}">
              <a16:creationId xmlns:a16="http://schemas.microsoft.com/office/drawing/2014/main" id="{00000000-0008-0000-0A00-000038000000}"/>
            </a:ext>
          </a:extLst>
        </xdr:cNvPr>
        <xdr:cNvSpPr/>
      </xdr:nvSpPr>
      <xdr:spPr>
        <a:xfrm flipV="1">
          <a:off x="5206909" y="876300"/>
          <a:ext cx="193766" cy="161925"/>
        </a:xfrm>
        <a:prstGeom prst="lightningBol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latin typeface="Tahoma" panose="020B0604030504040204" pitchFamily="34" charset="0"/>
            <a:ea typeface="Meiryo UI" panose="020B0604030504040204" pitchFamily="50" charset="-128"/>
            <a:cs typeface="Tahoma" panose="020B0604030504040204" pitchFamily="34" charset="0"/>
          </a:endParaRPr>
        </a:p>
      </xdr:txBody>
    </xdr:sp>
    <xdr:clientData/>
  </xdr:twoCellAnchor>
  <xdr:twoCellAnchor>
    <xdr:from>
      <xdr:col>9</xdr:col>
      <xdr:colOff>0</xdr:colOff>
      <xdr:row>13</xdr:row>
      <xdr:rowOff>0</xdr:rowOff>
    </xdr:from>
    <xdr:to>
      <xdr:col>30</xdr:col>
      <xdr:colOff>0</xdr:colOff>
      <xdr:row>13</xdr:row>
      <xdr:rowOff>0</xdr:rowOff>
    </xdr:to>
    <xdr:cxnSp macro="">
      <xdr:nvCxnSpPr>
        <xdr:cNvPr id="57" name="直線コネクタ 56">
          <a:extLst>
            <a:ext uri="{FF2B5EF4-FFF2-40B4-BE49-F238E27FC236}">
              <a16:creationId xmlns:a16="http://schemas.microsoft.com/office/drawing/2014/main" id="{00000000-0008-0000-0A00-000039000000}"/>
            </a:ext>
          </a:extLst>
        </xdr:cNvPr>
        <xdr:cNvCxnSpPr/>
      </xdr:nvCxnSpPr>
      <xdr:spPr>
        <a:xfrm>
          <a:off x="1800225" y="2171700"/>
          <a:ext cx="4200525" cy="0"/>
        </a:xfrm>
        <a:prstGeom prst="line">
          <a:avLst/>
        </a:prstGeom>
        <a:ln w="38100" cap="sq">
          <a:miter lim="800000"/>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0</xdr:colOff>
      <xdr:row>13</xdr:row>
      <xdr:rowOff>0</xdr:rowOff>
    </xdr:from>
    <xdr:to>
      <xdr:col>30</xdr:col>
      <xdr:colOff>0</xdr:colOff>
      <xdr:row>14</xdr:row>
      <xdr:rowOff>0</xdr:rowOff>
    </xdr:to>
    <xdr:cxnSp macro="">
      <xdr:nvCxnSpPr>
        <xdr:cNvPr id="58" name="直線コネクタ 57">
          <a:extLst>
            <a:ext uri="{FF2B5EF4-FFF2-40B4-BE49-F238E27FC236}">
              <a16:creationId xmlns:a16="http://schemas.microsoft.com/office/drawing/2014/main" id="{00000000-0008-0000-0A00-00003A000000}"/>
            </a:ext>
          </a:extLst>
        </xdr:cNvPr>
        <xdr:cNvCxnSpPr/>
      </xdr:nvCxnSpPr>
      <xdr:spPr>
        <a:xfrm>
          <a:off x="6000750" y="2171700"/>
          <a:ext cx="0" cy="161925"/>
        </a:xfrm>
        <a:prstGeom prst="line">
          <a:avLst/>
        </a:prstGeom>
        <a:ln w="38100" cap="sq">
          <a:miter lim="800000"/>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0</xdr:colOff>
      <xdr:row>14</xdr:row>
      <xdr:rowOff>0</xdr:rowOff>
    </xdr:from>
    <xdr:to>
      <xdr:col>34</xdr:col>
      <xdr:colOff>0</xdr:colOff>
      <xdr:row>14</xdr:row>
      <xdr:rowOff>0</xdr:rowOff>
    </xdr:to>
    <xdr:cxnSp macro="">
      <xdr:nvCxnSpPr>
        <xdr:cNvPr id="59" name="直線コネクタ 58">
          <a:extLst>
            <a:ext uri="{FF2B5EF4-FFF2-40B4-BE49-F238E27FC236}">
              <a16:creationId xmlns:a16="http://schemas.microsoft.com/office/drawing/2014/main" id="{00000000-0008-0000-0A00-00003B000000}"/>
            </a:ext>
          </a:extLst>
        </xdr:cNvPr>
        <xdr:cNvCxnSpPr/>
      </xdr:nvCxnSpPr>
      <xdr:spPr>
        <a:xfrm>
          <a:off x="6000750" y="2333625"/>
          <a:ext cx="800100" cy="0"/>
        </a:xfrm>
        <a:prstGeom prst="line">
          <a:avLst/>
        </a:prstGeom>
        <a:ln w="38100" cap="sq">
          <a:miter lim="800000"/>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0</xdr:colOff>
      <xdr:row>16</xdr:row>
      <xdr:rowOff>0</xdr:rowOff>
    </xdr:from>
    <xdr:to>
      <xdr:col>30</xdr:col>
      <xdr:colOff>0</xdr:colOff>
      <xdr:row>17</xdr:row>
      <xdr:rowOff>0</xdr:rowOff>
    </xdr:to>
    <xdr:cxnSp macro="">
      <xdr:nvCxnSpPr>
        <xdr:cNvPr id="60" name="直線コネクタ 59">
          <a:extLst>
            <a:ext uri="{FF2B5EF4-FFF2-40B4-BE49-F238E27FC236}">
              <a16:creationId xmlns:a16="http://schemas.microsoft.com/office/drawing/2014/main" id="{00000000-0008-0000-0A00-00003C000000}"/>
            </a:ext>
          </a:extLst>
        </xdr:cNvPr>
        <xdr:cNvCxnSpPr/>
      </xdr:nvCxnSpPr>
      <xdr:spPr>
        <a:xfrm>
          <a:off x="6000750" y="2657475"/>
          <a:ext cx="0" cy="161925"/>
        </a:xfrm>
        <a:prstGeom prst="line">
          <a:avLst/>
        </a:prstGeom>
        <a:ln w="38100" cap="sq">
          <a:miter lim="800000"/>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0</xdr:colOff>
      <xdr:row>17</xdr:row>
      <xdr:rowOff>0</xdr:rowOff>
    </xdr:from>
    <xdr:to>
      <xdr:col>34</xdr:col>
      <xdr:colOff>0</xdr:colOff>
      <xdr:row>17</xdr:row>
      <xdr:rowOff>0</xdr:rowOff>
    </xdr:to>
    <xdr:cxnSp macro="">
      <xdr:nvCxnSpPr>
        <xdr:cNvPr id="61" name="直線コネクタ 60">
          <a:extLst>
            <a:ext uri="{FF2B5EF4-FFF2-40B4-BE49-F238E27FC236}">
              <a16:creationId xmlns:a16="http://schemas.microsoft.com/office/drawing/2014/main" id="{00000000-0008-0000-0A00-00003D000000}"/>
            </a:ext>
          </a:extLst>
        </xdr:cNvPr>
        <xdr:cNvCxnSpPr/>
      </xdr:nvCxnSpPr>
      <xdr:spPr>
        <a:xfrm>
          <a:off x="6000750" y="2819400"/>
          <a:ext cx="800100" cy="0"/>
        </a:xfrm>
        <a:prstGeom prst="line">
          <a:avLst/>
        </a:prstGeom>
        <a:ln w="38100" cap="sq">
          <a:miter lim="800000"/>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0</xdr:colOff>
      <xdr:row>14</xdr:row>
      <xdr:rowOff>0</xdr:rowOff>
    </xdr:from>
    <xdr:to>
      <xdr:col>30</xdr:col>
      <xdr:colOff>0</xdr:colOff>
      <xdr:row>16</xdr:row>
      <xdr:rowOff>0</xdr:rowOff>
    </xdr:to>
    <xdr:cxnSp macro="">
      <xdr:nvCxnSpPr>
        <xdr:cNvPr id="62" name="直線コネクタ 61">
          <a:extLst>
            <a:ext uri="{FF2B5EF4-FFF2-40B4-BE49-F238E27FC236}">
              <a16:creationId xmlns:a16="http://schemas.microsoft.com/office/drawing/2014/main" id="{00000000-0008-0000-0A00-00003E000000}"/>
            </a:ext>
          </a:extLst>
        </xdr:cNvPr>
        <xdr:cNvCxnSpPr/>
      </xdr:nvCxnSpPr>
      <xdr:spPr>
        <a:xfrm>
          <a:off x="6000750" y="2333625"/>
          <a:ext cx="0" cy="323850"/>
        </a:xfrm>
        <a:prstGeom prst="line">
          <a:avLst/>
        </a:prstGeom>
        <a:ln>
          <a:solidFill>
            <a:srgbClr val="FF0000"/>
          </a:solidFill>
          <a:prstDash val="dash"/>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204105</xdr:colOff>
      <xdr:row>49</xdr:row>
      <xdr:rowOff>0</xdr:rowOff>
    </xdr:from>
    <xdr:to>
      <xdr:col>26</xdr:col>
      <xdr:colOff>204106</xdr:colOff>
      <xdr:row>50</xdr:row>
      <xdr:rowOff>0</xdr:rowOff>
    </xdr:to>
    <xdr:sp macro="" textlink="">
      <xdr:nvSpPr>
        <xdr:cNvPr id="63" name="稲妻 62">
          <a:extLst>
            <a:ext uri="{FF2B5EF4-FFF2-40B4-BE49-F238E27FC236}">
              <a16:creationId xmlns:a16="http://schemas.microsoft.com/office/drawing/2014/main" id="{00000000-0008-0000-0A00-00003F000000}"/>
            </a:ext>
          </a:extLst>
        </xdr:cNvPr>
        <xdr:cNvSpPr/>
      </xdr:nvSpPr>
      <xdr:spPr>
        <a:xfrm flipH="1">
          <a:off x="5204730" y="8201025"/>
          <a:ext cx="200026" cy="161925"/>
        </a:xfrm>
        <a:prstGeom prst="lightningBol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latin typeface="Tahoma" panose="020B0604030504040204" pitchFamily="34" charset="0"/>
            <a:ea typeface="Meiryo UI" panose="020B0604030504040204" pitchFamily="50" charset="-128"/>
            <a:cs typeface="Tahoma" panose="020B0604030504040204" pitchFamily="34" charset="0"/>
          </a:endParaRPr>
        </a:p>
      </xdr:txBody>
    </xdr:sp>
    <xdr:clientData/>
  </xdr:twoCellAnchor>
  <xdr:twoCellAnchor>
    <xdr:from>
      <xdr:col>26</xdr:col>
      <xdr:colOff>0</xdr:colOff>
      <xdr:row>50</xdr:row>
      <xdr:rowOff>0</xdr:rowOff>
    </xdr:from>
    <xdr:to>
      <xdr:col>26</xdr:col>
      <xdr:colOff>0</xdr:colOff>
      <xdr:row>51</xdr:row>
      <xdr:rowOff>0</xdr:rowOff>
    </xdr:to>
    <xdr:cxnSp macro="">
      <xdr:nvCxnSpPr>
        <xdr:cNvPr id="64" name="直線コネクタ 63">
          <a:extLst>
            <a:ext uri="{FF2B5EF4-FFF2-40B4-BE49-F238E27FC236}">
              <a16:creationId xmlns:a16="http://schemas.microsoft.com/office/drawing/2014/main" id="{00000000-0008-0000-0A00-000040000000}"/>
            </a:ext>
          </a:extLst>
        </xdr:cNvPr>
        <xdr:cNvCxnSpPr/>
      </xdr:nvCxnSpPr>
      <xdr:spPr>
        <a:xfrm>
          <a:off x="5200650" y="8362950"/>
          <a:ext cx="0" cy="161925"/>
        </a:xfrm>
        <a:prstGeom prst="line">
          <a:avLst/>
        </a:prstGeom>
        <a:ln w="38100" cap="sq">
          <a:miter lim="800000"/>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0</xdr:colOff>
      <xdr:row>50</xdr:row>
      <xdr:rowOff>0</xdr:rowOff>
    </xdr:from>
    <xdr:to>
      <xdr:col>27</xdr:col>
      <xdr:colOff>0</xdr:colOff>
      <xdr:row>50</xdr:row>
      <xdr:rowOff>0</xdr:rowOff>
    </xdr:to>
    <xdr:cxnSp macro="">
      <xdr:nvCxnSpPr>
        <xdr:cNvPr id="65" name="直線コネクタ 64">
          <a:extLst>
            <a:ext uri="{FF2B5EF4-FFF2-40B4-BE49-F238E27FC236}">
              <a16:creationId xmlns:a16="http://schemas.microsoft.com/office/drawing/2014/main" id="{00000000-0008-0000-0A00-000041000000}"/>
            </a:ext>
          </a:extLst>
        </xdr:cNvPr>
        <xdr:cNvCxnSpPr/>
      </xdr:nvCxnSpPr>
      <xdr:spPr>
        <a:xfrm>
          <a:off x="5200650" y="8362950"/>
          <a:ext cx="200025" cy="0"/>
        </a:xfrm>
        <a:prstGeom prst="line">
          <a:avLst/>
        </a:prstGeom>
        <a:ln w="38100" cap="sq">
          <a:miter lim="800000"/>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0</xdr:colOff>
      <xdr:row>50</xdr:row>
      <xdr:rowOff>0</xdr:rowOff>
    </xdr:from>
    <xdr:to>
      <xdr:col>27</xdr:col>
      <xdr:colOff>0</xdr:colOff>
      <xdr:row>51</xdr:row>
      <xdr:rowOff>0</xdr:rowOff>
    </xdr:to>
    <xdr:cxnSp macro="">
      <xdr:nvCxnSpPr>
        <xdr:cNvPr id="66" name="直線コネクタ 65">
          <a:extLst>
            <a:ext uri="{FF2B5EF4-FFF2-40B4-BE49-F238E27FC236}">
              <a16:creationId xmlns:a16="http://schemas.microsoft.com/office/drawing/2014/main" id="{00000000-0008-0000-0A00-000042000000}"/>
            </a:ext>
          </a:extLst>
        </xdr:cNvPr>
        <xdr:cNvCxnSpPr/>
      </xdr:nvCxnSpPr>
      <xdr:spPr>
        <a:xfrm flipV="1">
          <a:off x="5400675" y="8362950"/>
          <a:ext cx="0" cy="161925"/>
        </a:xfrm>
        <a:prstGeom prst="line">
          <a:avLst/>
        </a:prstGeom>
        <a:ln w="38100" cap="sq">
          <a:miter lim="800000"/>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0</xdr:colOff>
      <xdr:row>51</xdr:row>
      <xdr:rowOff>0</xdr:rowOff>
    </xdr:from>
    <xdr:to>
      <xdr:col>34</xdr:col>
      <xdr:colOff>0</xdr:colOff>
      <xdr:row>51</xdr:row>
      <xdr:rowOff>0</xdr:rowOff>
    </xdr:to>
    <xdr:cxnSp macro="">
      <xdr:nvCxnSpPr>
        <xdr:cNvPr id="67" name="直線コネクタ 66">
          <a:extLst>
            <a:ext uri="{FF2B5EF4-FFF2-40B4-BE49-F238E27FC236}">
              <a16:creationId xmlns:a16="http://schemas.microsoft.com/office/drawing/2014/main" id="{00000000-0008-0000-0A00-000043000000}"/>
            </a:ext>
          </a:extLst>
        </xdr:cNvPr>
        <xdr:cNvCxnSpPr/>
      </xdr:nvCxnSpPr>
      <xdr:spPr>
        <a:xfrm flipH="1">
          <a:off x="5400675" y="8524875"/>
          <a:ext cx="1400175" cy="0"/>
        </a:xfrm>
        <a:prstGeom prst="line">
          <a:avLst/>
        </a:prstGeom>
        <a:ln w="38100" cap="sq">
          <a:miter lim="800000"/>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0</xdr:colOff>
      <xdr:row>51</xdr:row>
      <xdr:rowOff>0</xdr:rowOff>
    </xdr:from>
    <xdr:to>
      <xdr:col>28</xdr:col>
      <xdr:colOff>0</xdr:colOff>
      <xdr:row>52</xdr:row>
      <xdr:rowOff>0</xdr:rowOff>
    </xdr:to>
    <xdr:sp macro="" textlink="">
      <xdr:nvSpPr>
        <xdr:cNvPr id="68" name="稲妻 67">
          <a:extLst>
            <a:ext uri="{FF2B5EF4-FFF2-40B4-BE49-F238E27FC236}">
              <a16:creationId xmlns:a16="http://schemas.microsoft.com/office/drawing/2014/main" id="{00000000-0008-0000-0A00-000044000000}"/>
            </a:ext>
          </a:extLst>
        </xdr:cNvPr>
        <xdr:cNvSpPr/>
      </xdr:nvSpPr>
      <xdr:spPr>
        <a:xfrm flipH="1" flipV="1">
          <a:off x="5400675" y="8524875"/>
          <a:ext cx="200025" cy="161925"/>
        </a:xfrm>
        <a:prstGeom prst="lightningBol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latin typeface="Tahoma" panose="020B0604030504040204" pitchFamily="34" charset="0"/>
            <a:ea typeface="Meiryo UI" panose="020B0604030504040204" pitchFamily="50" charset="-128"/>
            <a:cs typeface="Tahoma" panose="020B0604030504040204" pitchFamily="34" charset="0"/>
          </a:endParaRPr>
        </a:p>
      </xdr:txBody>
    </xdr:sp>
    <xdr:clientData/>
  </xdr:twoCellAnchor>
  <xdr:twoCellAnchor>
    <xdr:from>
      <xdr:col>26</xdr:col>
      <xdr:colOff>0</xdr:colOff>
      <xdr:row>62</xdr:row>
      <xdr:rowOff>0</xdr:rowOff>
    </xdr:from>
    <xdr:to>
      <xdr:col>34</xdr:col>
      <xdr:colOff>1</xdr:colOff>
      <xdr:row>62</xdr:row>
      <xdr:rowOff>0</xdr:rowOff>
    </xdr:to>
    <xdr:cxnSp macro="">
      <xdr:nvCxnSpPr>
        <xdr:cNvPr id="69" name="直線コネクタ 68">
          <a:extLst>
            <a:ext uri="{FF2B5EF4-FFF2-40B4-BE49-F238E27FC236}">
              <a16:creationId xmlns:a16="http://schemas.microsoft.com/office/drawing/2014/main" id="{00000000-0008-0000-0A00-000045000000}"/>
            </a:ext>
          </a:extLst>
        </xdr:cNvPr>
        <xdr:cNvCxnSpPr/>
      </xdr:nvCxnSpPr>
      <xdr:spPr>
        <a:xfrm flipH="1">
          <a:off x="5200650" y="10306050"/>
          <a:ext cx="1600201" cy="0"/>
        </a:xfrm>
        <a:prstGeom prst="line">
          <a:avLst/>
        </a:prstGeom>
        <a:ln w="38100" cap="flat">
          <a:solidFill>
            <a:srgbClr val="92D050"/>
          </a:solidFill>
          <a:miter lim="800000"/>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0</xdr:colOff>
      <xdr:row>51</xdr:row>
      <xdr:rowOff>0</xdr:rowOff>
    </xdr:from>
    <xdr:to>
      <xdr:col>26</xdr:col>
      <xdr:colOff>0</xdr:colOff>
      <xdr:row>62</xdr:row>
      <xdr:rowOff>0</xdr:rowOff>
    </xdr:to>
    <xdr:cxnSp macro="">
      <xdr:nvCxnSpPr>
        <xdr:cNvPr id="70" name="直線コネクタ 69">
          <a:extLst>
            <a:ext uri="{FF2B5EF4-FFF2-40B4-BE49-F238E27FC236}">
              <a16:creationId xmlns:a16="http://schemas.microsoft.com/office/drawing/2014/main" id="{00000000-0008-0000-0A00-000046000000}"/>
            </a:ext>
          </a:extLst>
        </xdr:cNvPr>
        <xdr:cNvCxnSpPr/>
      </xdr:nvCxnSpPr>
      <xdr:spPr>
        <a:xfrm>
          <a:off x="5200650" y="8524875"/>
          <a:ext cx="0" cy="1781175"/>
        </a:xfrm>
        <a:prstGeom prst="line">
          <a:avLst/>
        </a:prstGeom>
        <a:ln>
          <a:solidFill>
            <a:srgbClr val="92D050"/>
          </a:solidFill>
          <a:prstDash val="dash"/>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42</xdr:col>
      <xdr:colOff>24451</xdr:colOff>
      <xdr:row>47</xdr:row>
      <xdr:rowOff>199424</xdr:rowOff>
    </xdr:from>
    <xdr:ext cx="6228431" cy="3162341"/>
    <xdr:sp macro="" textlink="">
      <xdr:nvSpPr>
        <xdr:cNvPr id="71" name="吹き出し: 線 (強調線付き) 70">
          <a:extLst>
            <a:ext uri="{FF2B5EF4-FFF2-40B4-BE49-F238E27FC236}">
              <a16:creationId xmlns:a16="http://schemas.microsoft.com/office/drawing/2014/main" id="{00000000-0008-0000-0A00-000047000000}"/>
            </a:ext>
          </a:extLst>
        </xdr:cNvPr>
        <xdr:cNvSpPr/>
      </xdr:nvSpPr>
      <xdr:spPr>
        <a:xfrm>
          <a:off x="8496098" y="7774600"/>
          <a:ext cx="6228431" cy="3162341"/>
        </a:xfrm>
        <a:prstGeom prst="accentCallout1">
          <a:avLst>
            <a:gd name="adj1" fmla="val 25307"/>
            <a:gd name="adj2" fmla="val -1942"/>
            <a:gd name="adj3" fmla="val 69314"/>
            <a:gd name="adj4" fmla="val -51268"/>
          </a:avLst>
        </a:prstGeom>
        <a:solidFill>
          <a:sysClr val="window" lastClr="FFFFFF"/>
        </a:solidFill>
        <a:ln>
          <a:solidFill>
            <a:srgbClr val="92D05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36000" tIns="0" rIns="0" bIns="0" rtlCol="0" anchor="t">
          <a:spAutoFit/>
        </a:bodyPr>
        <a:lstStyle/>
        <a:p>
          <a:r>
            <a:rPr kumimoji="1" lang="en-US" altLang="ja-JP" sz="1100">
              <a:solidFill>
                <a:sysClr val="windowText" lastClr="000000"/>
              </a:solidFill>
              <a:effectLst/>
              <a:latin typeface="Tahoma" panose="020B0604030504040204" pitchFamily="34" charset="0"/>
              <a:ea typeface="Meiryo UI" panose="020B0604030504040204" pitchFamily="50" charset="-128"/>
              <a:cs typeface="Tahoma" panose="020B0604030504040204" pitchFamily="34" charset="0"/>
            </a:rPr>
            <a:t>Step1. TOOL Request is On with Positive Response.</a:t>
          </a:r>
        </a:p>
        <a:p>
          <a:r>
            <a:rPr kumimoji="1" lang="en-US" altLang="ja-JP" sz="1100">
              <a:solidFill>
                <a:sysClr val="windowText" lastClr="000000"/>
              </a:solidFill>
              <a:effectLst/>
              <a:latin typeface="Tahoma" panose="020B0604030504040204" pitchFamily="34" charset="0"/>
              <a:ea typeface="Meiryo UI" panose="020B0604030504040204" pitchFamily="50" charset="-128"/>
              <a:cs typeface="Tahoma" panose="020B0604030504040204" pitchFamily="34" charset="0"/>
            </a:rPr>
            <a:t>Step2. RID$1500 is requested again, but entry condition is not satisfied then NRC$22 is responded.</a:t>
          </a:r>
        </a:p>
        <a:p>
          <a:r>
            <a:rPr kumimoji="1" lang="en-US" altLang="ja-JP" sz="1100">
              <a:solidFill>
                <a:sysClr val="windowText" lastClr="000000"/>
              </a:solidFill>
              <a:effectLst/>
              <a:latin typeface="Tahoma" panose="020B0604030504040204" pitchFamily="34" charset="0"/>
              <a:ea typeface="Meiryo UI" panose="020B0604030504040204" pitchFamily="50" charset="-128"/>
              <a:cs typeface="Tahoma" panose="020B0604030504040204" pitchFamily="34" charset="0"/>
            </a:rPr>
            <a:t>            *...At this timing, is it ok to keep "On"? </a:t>
          </a:r>
        </a:p>
        <a:p>
          <a:endParaRPr kumimoji="1" lang="en-US" altLang="ja-JP" sz="1100">
            <a:solidFill>
              <a:sysClr val="windowText" lastClr="000000"/>
            </a:solidFill>
            <a:effectLst/>
            <a:latin typeface="Tahoma" panose="020B0604030504040204" pitchFamily="34" charset="0"/>
            <a:ea typeface="Meiryo UI" panose="020B0604030504040204" pitchFamily="50" charset="-128"/>
            <a:cs typeface="Tahoma" panose="020B0604030504040204" pitchFamily="34" charset="0"/>
          </a:endParaRPr>
        </a:p>
        <a:p>
          <a:r>
            <a:rPr kumimoji="1" lang="ja-JP" altLang="en-US" sz="1100">
              <a:solidFill>
                <a:srgbClr val="0070C0"/>
              </a:solidFill>
              <a:effectLst/>
              <a:latin typeface="Tahoma" panose="020B0604030504040204" pitchFamily="34" charset="0"/>
              <a:ea typeface="Meiryo UI" panose="020B0604030504040204" pitchFamily="50" charset="-128"/>
              <a:cs typeface="Tahoma" panose="020B0604030504040204" pitchFamily="34" charset="0"/>
            </a:rPr>
            <a:t>一旦、</a:t>
          </a:r>
          <a:r>
            <a:rPr kumimoji="1" lang="en-US" altLang="ja-JP" sz="1100">
              <a:solidFill>
                <a:srgbClr val="0070C0"/>
              </a:solidFill>
              <a:effectLst/>
              <a:latin typeface="Tahoma" panose="020B0604030504040204" pitchFamily="34" charset="0"/>
              <a:ea typeface="Tahoma" panose="020B0604030504040204" pitchFamily="34" charset="0"/>
              <a:cs typeface="Tahoma" panose="020B0604030504040204" pitchFamily="34" charset="0"/>
            </a:rPr>
            <a:t>TOOL Request</a:t>
          </a:r>
          <a:r>
            <a:rPr kumimoji="1" lang="ja-JP" altLang="en-US" sz="1100">
              <a:solidFill>
                <a:srgbClr val="0070C0"/>
              </a:solidFill>
              <a:effectLst/>
              <a:latin typeface="Tahoma" panose="020B0604030504040204" pitchFamily="34" charset="0"/>
              <a:ea typeface="Meiryo UI" panose="020B0604030504040204" pitchFamily="50" charset="-128"/>
              <a:cs typeface="Tahoma" panose="020B0604030504040204" pitchFamily="34" charset="0"/>
            </a:rPr>
            <a:t>が</a:t>
          </a:r>
          <a:r>
            <a:rPr kumimoji="1" lang="en-US" altLang="ja-JP" sz="1100">
              <a:solidFill>
                <a:srgbClr val="0070C0"/>
              </a:solidFill>
              <a:effectLst/>
              <a:latin typeface="Tahoma" panose="020B0604030504040204" pitchFamily="34" charset="0"/>
              <a:ea typeface="Tahoma" panose="020B0604030504040204" pitchFamily="34" charset="0"/>
              <a:cs typeface="Tahoma" panose="020B0604030504040204" pitchFamily="34" charset="0"/>
            </a:rPr>
            <a:t>On</a:t>
          </a:r>
          <a:r>
            <a:rPr kumimoji="1" lang="ja-JP" altLang="en-US" sz="1100">
              <a:solidFill>
                <a:srgbClr val="0070C0"/>
              </a:solidFill>
              <a:effectLst/>
              <a:latin typeface="Tahoma" panose="020B0604030504040204" pitchFamily="34" charset="0"/>
              <a:ea typeface="Meiryo UI" panose="020B0604030504040204" pitchFamily="50" charset="-128"/>
              <a:cs typeface="Tahoma" panose="020B0604030504040204" pitchFamily="34" charset="0"/>
            </a:rPr>
            <a:t>になり、仮にその後、</a:t>
          </a:r>
          <a:endParaRPr kumimoji="1" lang="en-US" altLang="ja-JP" sz="1100">
            <a:solidFill>
              <a:srgbClr val="0070C0"/>
            </a:solidFill>
            <a:effectLst/>
            <a:latin typeface="Tahoma" panose="020B0604030504040204" pitchFamily="34" charset="0"/>
            <a:ea typeface="Tahoma" panose="020B0604030504040204" pitchFamily="34" charset="0"/>
            <a:cs typeface="Tahoma" panose="020B0604030504040204" pitchFamily="34" charset="0"/>
          </a:endParaRPr>
        </a:p>
        <a:p>
          <a:r>
            <a:rPr kumimoji="1" lang="ja-JP" altLang="en-US" sz="1100">
              <a:solidFill>
                <a:srgbClr val="0070C0"/>
              </a:solidFill>
              <a:effectLst/>
              <a:latin typeface="Tahoma" panose="020B0604030504040204" pitchFamily="34" charset="0"/>
              <a:ea typeface="Meiryo UI" panose="020B0604030504040204" pitchFamily="50" charset="-128"/>
              <a:cs typeface="Tahoma" panose="020B0604030504040204" pitchFamily="34" charset="0"/>
            </a:rPr>
            <a:t>また</a:t>
          </a:r>
          <a:r>
            <a:rPr kumimoji="1" lang="en-US" altLang="ja-JP" sz="1100">
              <a:solidFill>
                <a:srgbClr val="0070C0"/>
              </a:solidFill>
              <a:effectLst/>
              <a:latin typeface="Tahoma" panose="020B0604030504040204" pitchFamily="34" charset="0"/>
              <a:ea typeface="Tahoma" panose="020B0604030504040204" pitchFamily="34" charset="0"/>
              <a:cs typeface="Tahoma" panose="020B0604030504040204" pitchFamily="34" charset="0"/>
            </a:rPr>
            <a:t>RID$1500</a:t>
          </a:r>
          <a:r>
            <a:rPr kumimoji="1" lang="ja-JP" altLang="en-US" sz="1100">
              <a:solidFill>
                <a:srgbClr val="0070C0"/>
              </a:solidFill>
              <a:effectLst/>
              <a:latin typeface="Tahoma" panose="020B0604030504040204" pitchFamily="34" charset="0"/>
              <a:ea typeface="Meiryo UI" panose="020B0604030504040204" pitchFamily="50" charset="-128"/>
              <a:cs typeface="Tahoma" panose="020B0604030504040204" pitchFamily="34" charset="0"/>
            </a:rPr>
            <a:t>が要求され、</a:t>
          </a:r>
          <a:r>
            <a:rPr kumimoji="1" lang="en-US" altLang="ja-JP" sz="1100">
              <a:solidFill>
                <a:srgbClr val="0070C0"/>
              </a:solidFill>
              <a:effectLst/>
              <a:latin typeface="Tahoma" panose="020B0604030504040204" pitchFamily="34" charset="0"/>
              <a:ea typeface="Tahoma" panose="020B0604030504040204" pitchFamily="34" charset="0"/>
              <a:cs typeface="Tahoma" panose="020B0604030504040204" pitchFamily="34" charset="0"/>
            </a:rPr>
            <a:t>Entry Condition</a:t>
          </a:r>
          <a:r>
            <a:rPr kumimoji="1" lang="ja-JP" altLang="en-US" sz="1100">
              <a:solidFill>
                <a:srgbClr val="0070C0"/>
              </a:solidFill>
              <a:effectLst/>
              <a:latin typeface="Tahoma" panose="020B0604030504040204" pitchFamily="34" charset="0"/>
              <a:ea typeface="Meiryo UI" panose="020B0604030504040204" pitchFamily="50" charset="-128"/>
              <a:cs typeface="Tahoma" panose="020B0604030504040204" pitchFamily="34" charset="0"/>
            </a:rPr>
            <a:t>不成立により</a:t>
          </a:r>
          <a:r>
            <a:rPr kumimoji="1" lang="en-US" altLang="ja-JP" sz="1100">
              <a:solidFill>
                <a:srgbClr val="0070C0"/>
              </a:solidFill>
              <a:effectLst/>
              <a:latin typeface="Tahoma" panose="020B0604030504040204" pitchFamily="34" charset="0"/>
              <a:ea typeface="Tahoma" panose="020B0604030504040204" pitchFamily="34" charset="0"/>
              <a:cs typeface="Tahoma" panose="020B0604030504040204" pitchFamily="34" charset="0"/>
            </a:rPr>
            <a:t>NRC$22</a:t>
          </a:r>
          <a:r>
            <a:rPr kumimoji="1" lang="ja-JP" altLang="en-US" sz="1100">
              <a:solidFill>
                <a:srgbClr val="0070C0"/>
              </a:solidFill>
              <a:effectLst/>
              <a:latin typeface="Tahoma" panose="020B0604030504040204" pitchFamily="34" charset="0"/>
              <a:ea typeface="Meiryo UI" panose="020B0604030504040204" pitchFamily="50" charset="-128"/>
              <a:cs typeface="Tahoma" panose="020B0604030504040204" pitchFamily="34" charset="0"/>
            </a:rPr>
            <a:t>を返した場合、</a:t>
          </a:r>
          <a:endParaRPr kumimoji="1" lang="en-US" altLang="ja-JP" sz="1100">
            <a:solidFill>
              <a:srgbClr val="0070C0"/>
            </a:solidFill>
            <a:effectLst/>
            <a:latin typeface="Tahoma" panose="020B0604030504040204" pitchFamily="34" charset="0"/>
            <a:ea typeface="Tahoma" panose="020B0604030504040204" pitchFamily="34" charset="0"/>
            <a:cs typeface="Tahoma" panose="020B0604030504040204" pitchFamily="34" charset="0"/>
          </a:endParaRPr>
        </a:p>
        <a:p>
          <a:r>
            <a:rPr kumimoji="1" lang="en-US" altLang="ja-JP" sz="1100">
              <a:solidFill>
                <a:srgbClr val="0070C0"/>
              </a:solidFill>
              <a:effectLst/>
              <a:latin typeface="Tahoma" panose="020B0604030504040204" pitchFamily="34" charset="0"/>
              <a:ea typeface="Tahoma" panose="020B0604030504040204" pitchFamily="34" charset="0"/>
              <a:cs typeface="Tahoma" panose="020B0604030504040204" pitchFamily="34" charset="0"/>
            </a:rPr>
            <a:t>TOOL Request</a:t>
          </a:r>
          <a:r>
            <a:rPr kumimoji="1" lang="ja-JP" altLang="en-US" sz="1100">
              <a:solidFill>
                <a:srgbClr val="0070C0"/>
              </a:solidFill>
              <a:effectLst/>
              <a:latin typeface="Tahoma" panose="020B0604030504040204" pitchFamily="34" charset="0"/>
              <a:ea typeface="Meiryo UI" panose="020B0604030504040204" pitchFamily="50" charset="-128"/>
              <a:cs typeface="Tahoma" panose="020B0604030504040204" pitchFamily="34" charset="0"/>
            </a:rPr>
            <a:t>は</a:t>
          </a:r>
          <a:r>
            <a:rPr kumimoji="1" lang="en-US" altLang="ja-JP" sz="1100">
              <a:solidFill>
                <a:srgbClr val="0070C0"/>
              </a:solidFill>
              <a:effectLst/>
              <a:latin typeface="Tahoma" panose="020B0604030504040204" pitchFamily="34" charset="0"/>
              <a:ea typeface="Tahoma" panose="020B0604030504040204" pitchFamily="34" charset="0"/>
              <a:cs typeface="Tahoma" panose="020B0604030504040204" pitchFamily="34" charset="0"/>
            </a:rPr>
            <a:t>On</a:t>
          </a:r>
          <a:r>
            <a:rPr kumimoji="1" lang="ja-JP" altLang="en-US" sz="1100">
              <a:solidFill>
                <a:srgbClr val="0070C0"/>
              </a:solidFill>
              <a:effectLst/>
              <a:latin typeface="Tahoma" panose="020B0604030504040204" pitchFamily="34" charset="0"/>
              <a:ea typeface="Meiryo UI" panose="020B0604030504040204" pitchFamily="50" charset="-128"/>
              <a:cs typeface="Tahoma" panose="020B0604030504040204" pitchFamily="34" charset="0"/>
            </a:rPr>
            <a:t>のままで良い理解だが、正しいか？</a:t>
          </a:r>
          <a:endParaRPr kumimoji="1" lang="en-US" altLang="ja-JP" sz="1100">
            <a:solidFill>
              <a:srgbClr val="0070C0"/>
            </a:solidFill>
            <a:effectLst/>
            <a:latin typeface="Tahoma" panose="020B0604030504040204" pitchFamily="34" charset="0"/>
            <a:ea typeface="Tahoma" panose="020B0604030504040204" pitchFamily="34" charset="0"/>
            <a:cs typeface="Tahoma" panose="020B0604030504040204" pitchFamily="34" charset="0"/>
          </a:endParaRPr>
        </a:p>
        <a:p>
          <a:endParaRPr kumimoji="1" lang="en-US" altLang="ja-JP" sz="1100">
            <a:solidFill>
              <a:srgbClr val="0070C0"/>
            </a:solidFill>
            <a:effectLst/>
            <a:latin typeface="Tahoma" panose="020B0604030504040204" pitchFamily="34" charset="0"/>
            <a:ea typeface="Tahoma" panose="020B0604030504040204" pitchFamily="34" charset="0"/>
            <a:cs typeface="Tahoma" panose="020B0604030504040204" pitchFamily="34" charset="0"/>
          </a:endParaRPr>
        </a:p>
        <a:p>
          <a:r>
            <a:rPr kumimoji="1" lang="en-US" altLang="ja-JP" sz="1100">
              <a:solidFill>
                <a:srgbClr val="0070C0"/>
              </a:solidFill>
              <a:effectLst/>
              <a:latin typeface="Tahoma" panose="020B0604030504040204" pitchFamily="34" charset="0"/>
              <a:ea typeface="Tahoma" panose="020B0604030504040204" pitchFamily="34" charset="0"/>
              <a:cs typeface="Tahoma" panose="020B0604030504040204" pitchFamily="34" charset="0"/>
            </a:rPr>
            <a:t>  *...NRC$22</a:t>
          </a:r>
          <a:r>
            <a:rPr kumimoji="1" lang="ja-JP" altLang="en-US" sz="1100">
              <a:solidFill>
                <a:srgbClr val="0070C0"/>
              </a:solidFill>
              <a:effectLst/>
              <a:latin typeface="Tahoma" panose="020B0604030504040204" pitchFamily="34" charset="0"/>
              <a:ea typeface="Meiryo UI" panose="020B0604030504040204" pitchFamily="50" charset="-128"/>
              <a:cs typeface="Tahoma" panose="020B0604030504040204" pitchFamily="34" charset="0"/>
            </a:rPr>
            <a:t>以外の時に</a:t>
          </a:r>
          <a:r>
            <a:rPr kumimoji="1" lang="en-US" altLang="ja-JP" sz="1100">
              <a:solidFill>
                <a:srgbClr val="0070C0"/>
              </a:solidFill>
              <a:effectLst/>
              <a:latin typeface="Tahoma" panose="020B0604030504040204" pitchFamily="34" charset="0"/>
              <a:ea typeface="Tahoma" panose="020B0604030504040204" pitchFamily="34" charset="0"/>
              <a:cs typeface="Tahoma" panose="020B0604030504040204" pitchFamily="34" charset="0"/>
            </a:rPr>
            <a:t>Off</a:t>
          </a:r>
          <a:r>
            <a:rPr kumimoji="1" lang="ja-JP" altLang="en-US" sz="1100">
              <a:solidFill>
                <a:srgbClr val="0070C0"/>
              </a:solidFill>
              <a:effectLst/>
              <a:latin typeface="Tahoma" panose="020B0604030504040204" pitchFamily="34" charset="0"/>
              <a:ea typeface="Meiryo UI" panose="020B0604030504040204" pitchFamily="50" charset="-128"/>
              <a:cs typeface="Tahoma" panose="020B0604030504040204" pitchFamily="34" charset="0"/>
            </a:rPr>
            <a:t>→</a:t>
          </a:r>
          <a:r>
            <a:rPr kumimoji="1" lang="en-US" altLang="ja-JP" sz="1100">
              <a:solidFill>
                <a:srgbClr val="0070C0"/>
              </a:solidFill>
              <a:effectLst/>
              <a:latin typeface="Tahoma" panose="020B0604030504040204" pitchFamily="34" charset="0"/>
              <a:ea typeface="Tahoma" panose="020B0604030504040204" pitchFamily="34" charset="0"/>
              <a:cs typeface="Tahoma" panose="020B0604030504040204" pitchFamily="34" charset="0"/>
            </a:rPr>
            <a:t>On</a:t>
          </a:r>
          <a:r>
            <a:rPr kumimoji="1" lang="ja-JP" altLang="en-US" sz="1100">
              <a:solidFill>
                <a:srgbClr val="0070C0"/>
              </a:solidFill>
              <a:effectLst/>
              <a:latin typeface="Tahoma" panose="020B0604030504040204" pitchFamily="34" charset="0"/>
              <a:ea typeface="Meiryo UI" panose="020B0604030504040204" pitchFamily="50" charset="-128"/>
              <a:cs typeface="Tahoma" panose="020B0604030504040204" pitchFamily="34" charset="0"/>
            </a:rPr>
            <a:t>にするが、</a:t>
          </a:r>
          <a:endParaRPr kumimoji="1" lang="en-US" altLang="ja-JP" sz="1100">
            <a:solidFill>
              <a:srgbClr val="0070C0"/>
            </a:solidFill>
            <a:effectLst/>
            <a:latin typeface="Tahoma" panose="020B0604030504040204" pitchFamily="34" charset="0"/>
            <a:ea typeface="Tahoma" panose="020B0604030504040204" pitchFamily="34" charset="0"/>
            <a:cs typeface="Tahoma" panose="020B0604030504040204" pitchFamily="34" charset="0"/>
          </a:endParaRPr>
        </a:p>
        <a:p>
          <a:r>
            <a:rPr kumimoji="1" lang="ja-JP" altLang="en-US" sz="1100">
              <a:solidFill>
                <a:srgbClr val="0070C0"/>
              </a:solidFill>
              <a:effectLst/>
              <a:latin typeface="Tahoma" panose="020B0604030504040204" pitchFamily="34" charset="0"/>
              <a:ea typeface="Meiryo UI" panose="020B0604030504040204" pitchFamily="50" charset="-128"/>
              <a:cs typeface="Tahoma" panose="020B0604030504040204" pitchFamily="34" charset="0"/>
            </a:rPr>
            <a:t>　　　</a:t>
          </a:r>
          <a:r>
            <a:rPr kumimoji="1" lang="en-US" altLang="ja-JP" sz="1100">
              <a:solidFill>
                <a:srgbClr val="0070C0"/>
              </a:solidFill>
              <a:effectLst/>
              <a:latin typeface="Tahoma" panose="020B0604030504040204" pitchFamily="34" charset="0"/>
              <a:ea typeface="Tahoma" panose="020B0604030504040204" pitchFamily="34" charset="0"/>
              <a:cs typeface="Tahoma" panose="020B0604030504040204" pitchFamily="34" charset="0"/>
            </a:rPr>
            <a:t>On</a:t>
          </a:r>
          <a:r>
            <a:rPr kumimoji="1" lang="ja-JP" altLang="en-US" sz="1100">
              <a:solidFill>
                <a:srgbClr val="0070C0"/>
              </a:solidFill>
              <a:effectLst/>
              <a:latin typeface="Tahoma" panose="020B0604030504040204" pitchFamily="34" charset="0"/>
              <a:ea typeface="Meiryo UI" panose="020B0604030504040204" pitchFamily="50" charset="-128"/>
              <a:cs typeface="Tahoma" panose="020B0604030504040204" pitchFamily="34" charset="0"/>
            </a:rPr>
            <a:t>→</a:t>
          </a:r>
          <a:r>
            <a:rPr kumimoji="1" lang="en-US" altLang="ja-JP" sz="1100">
              <a:solidFill>
                <a:srgbClr val="0070C0"/>
              </a:solidFill>
              <a:effectLst/>
              <a:latin typeface="Tahoma" panose="020B0604030504040204" pitchFamily="34" charset="0"/>
              <a:ea typeface="Tahoma" panose="020B0604030504040204" pitchFamily="34" charset="0"/>
              <a:cs typeface="Tahoma" panose="020B0604030504040204" pitchFamily="34" charset="0"/>
            </a:rPr>
            <a:t>Off</a:t>
          </a:r>
          <a:r>
            <a:rPr kumimoji="1" lang="ja-JP" altLang="en-US" sz="1100">
              <a:solidFill>
                <a:srgbClr val="0070C0"/>
              </a:solidFill>
              <a:effectLst/>
              <a:latin typeface="Tahoma" panose="020B0604030504040204" pitchFamily="34" charset="0"/>
              <a:ea typeface="Meiryo UI" panose="020B0604030504040204" pitchFamily="50" charset="-128"/>
              <a:cs typeface="Tahoma" panose="020B0604030504040204" pitchFamily="34" charset="0"/>
            </a:rPr>
            <a:t>条件は</a:t>
          </a:r>
          <a:r>
            <a:rPr kumimoji="1" lang="en-US" altLang="ja-JP" sz="1100">
              <a:solidFill>
                <a:srgbClr val="0070C0"/>
              </a:solidFill>
              <a:effectLst/>
              <a:latin typeface="Tahoma" panose="020B0604030504040204" pitchFamily="34" charset="0"/>
              <a:ea typeface="Tahoma" panose="020B0604030504040204" pitchFamily="34" charset="0"/>
              <a:cs typeface="Tahoma" panose="020B0604030504040204" pitchFamily="34" charset="0"/>
            </a:rPr>
            <a:t>Default Session</a:t>
          </a:r>
          <a:r>
            <a:rPr kumimoji="1" lang="ja-JP" altLang="en-US" sz="1100">
              <a:solidFill>
                <a:srgbClr val="0070C0"/>
              </a:solidFill>
              <a:effectLst/>
              <a:latin typeface="Tahoma" panose="020B0604030504040204" pitchFamily="34" charset="0"/>
              <a:ea typeface="Meiryo UI" panose="020B0604030504040204" pitchFamily="50" charset="-128"/>
              <a:cs typeface="Tahoma" panose="020B0604030504040204" pitchFamily="34" charset="0"/>
            </a:rPr>
            <a:t>への遷移と</a:t>
          </a:r>
          <a:r>
            <a:rPr kumimoji="1" lang="en-US" altLang="ja-JP" sz="1100">
              <a:solidFill>
                <a:srgbClr val="0070C0"/>
              </a:solidFill>
              <a:effectLst/>
              <a:latin typeface="Tahoma" panose="020B0604030504040204" pitchFamily="34" charset="0"/>
              <a:ea typeface="Tahoma" panose="020B0604030504040204" pitchFamily="34" charset="0"/>
              <a:cs typeface="Tahoma" panose="020B0604030504040204" pitchFamily="34" charset="0"/>
            </a:rPr>
            <a:t>IG-Off</a:t>
          </a:r>
          <a:r>
            <a:rPr kumimoji="1" lang="ja-JP" altLang="en-US" sz="1100">
              <a:solidFill>
                <a:srgbClr val="0070C0"/>
              </a:solidFill>
              <a:effectLst/>
              <a:latin typeface="Tahoma" panose="020B0604030504040204" pitchFamily="34" charset="0"/>
              <a:ea typeface="Meiryo UI" panose="020B0604030504040204" pitchFamily="50" charset="-128"/>
              <a:cs typeface="Tahoma" panose="020B0604030504040204" pitchFamily="34" charset="0"/>
            </a:rPr>
            <a:t>である為、</a:t>
          </a:r>
          <a:endParaRPr kumimoji="1" lang="en-US" altLang="ja-JP" sz="1100">
            <a:solidFill>
              <a:srgbClr val="0070C0"/>
            </a:solidFill>
            <a:effectLst/>
            <a:latin typeface="Tahoma" panose="020B0604030504040204" pitchFamily="34" charset="0"/>
            <a:ea typeface="Tahoma" panose="020B0604030504040204" pitchFamily="34" charset="0"/>
            <a:cs typeface="Tahoma" panose="020B0604030504040204" pitchFamily="34" charset="0"/>
          </a:endParaRPr>
        </a:p>
        <a:p>
          <a:r>
            <a:rPr kumimoji="1" lang="en-US" altLang="ja-JP" sz="1100">
              <a:solidFill>
                <a:srgbClr val="0070C0"/>
              </a:solidFill>
              <a:effectLst/>
              <a:latin typeface="Tahoma" panose="020B0604030504040204" pitchFamily="34" charset="0"/>
              <a:ea typeface="Tahoma" panose="020B0604030504040204" pitchFamily="34" charset="0"/>
              <a:cs typeface="Tahoma" panose="020B0604030504040204" pitchFamily="34" charset="0"/>
            </a:rPr>
            <a:t>       TOOL Request</a:t>
          </a:r>
          <a:r>
            <a:rPr kumimoji="1" lang="ja-JP" altLang="en-US" sz="1100">
              <a:solidFill>
                <a:srgbClr val="0070C0"/>
              </a:solidFill>
              <a:effectLst/>
              <a:latin typeface="Tahoma" panose="020B0604030504040204" pitchFamily="34" charset="0"/>
              <a:ea typeface="Meiryo UI" panose="020B0604030504040204" pitchFamily="50" charset="-128"/>
              <a:cs typeface="Tahoma" panose="020B0604030504040204" pitchFamily="34" charset="0"/>
            </a:rPr>
            <a:t>を</a:t>
          </a:r>
          <a:r>
            <a:rPr kumimoji="1" lang="en-US" altLang="ja-JP" sz="1100">
              <a:solidFill>
                <a:srgbClr val="0070C0"/>
              </a:solidFill>
              <a:effectLst/>
              <a:latin typeface="Tahoma" panose="020B0604030504040204" pitchFamily="34" charset="0"/>
              <a:ea typeface="Tahoma" panose="020B0604030504040204" pitchFamily="34" charset="0"/>
              <a:cs typeface="Tahoma" panose="020B0604030504040204" pitchFamily="34" charset="0"/>
            </a:rPr>
            <a:t>Off</a:t>
          </a:r>
          <a:r>
            <a:rPr kumimoji="1" lang="ja-JP" altLang="en-US" sz="1100">
              <a:solidFill>
                <a:srgbClr val="0070C0"/>
              </a:solidFill>
              <a:effectLst/>
              <a:latin typeface="Tahoma" panose="020B0604030504040204" pitchFamily="34" charset="0"/>
              <a:ea typeface="Meiryo UI" panose="020B0604030504040204" pitchFamily="50" charset="-128"/>
              <a:cs typeface="Tahoma" panose="020B0604030504040204" pitchFamily="34" charset="0"/>
            </a:rPr>
            <a:t>にする必要な無いとの理解。</a:t>
          </a:r>
          <a:endParaRPr kumimoji="1" lang="en-US" altLang="ja-JP" sz="1100">
            <a:solidFill>
              <a:srgbClr val="0070C0"/>
            </a:solidFill>
            <a:effectLst/>
            <a:latin typeface="Tahoma" panose="020B0604030504040204" pitchFamily="34" charset="0"/>
            <a:ea typeface="Meiryo UI" panose="020B0604030504040204" pitchFamily="50" charset="-128"/>
            <a:cs typeface="Tahoma" panose="020B0604030504040204" pitchFamily="34" charset="0"/>
          </a:endParaRPr>
        </a:p>
        <a:p>
          <a:endParaRPr kumimoji="1" lang="en-US" altLang="ja-JP" sz="1100">
            <a:solidFill>
              <a:sysClr val="windowText" lastClr="000000"/>
            </a:solidFill>
            <a:effectLst/>
            <a:latin typeface="Tahoma" panose="020B0604030504040204" pitchFamily="34" charset="0"/>
            <a:ea typeface="Meiryo UI" panose="020B0604030504040204" pitchFamily="50" charset="-128"/>
            <a:cs typeface="Tahoma" panose="020B0604030504040204" pitchFamily="34" charset="0"/>
          </a:endParaRPr>
        </a:p>
        <a:p>
          <a:r>
            <a:rPr kumimoji="1" lang="en-US" altLang="ja-JP" sz="1100">
              <a:solidFill>
                <a:sysClr val="windowText" lastClr="000000"/>
              </a:solidFill>
              <a:effectLst/>
              <a:latin typeface="Tahoma" panose="020B0604030504040204" pitchFamily="34" charset="0"/>
              <a:ea typeface="Meiryo UI" panose="020B0604030504040204" pitchFamily="50" charset="-128"/>
              <a:cs typeface="Tahoma" panose="020B0604030504040204" pitchFamily="34" charset="0"/>
            </a:rPr>
            <a:t>[09.Dec] Customer Feedback</a:t>
          </a:r>
        </a:p>
        <a:p>
          <a:r>
            <a:rPr kumimoji="1" lang="en-US" altLang="ja-JP" sz="1100">
              <a:solidFill>
                <a:sysClr val="windowText" lastClr="000000"/>
              </a:solidFill>
              <a:effectLst/>
              <a:latin typeface="Tahoma" panose="020B0604030504040204" pitchFamily="34" charset="0"/>
              <a:ea typeface="Meiryo UI" panose="020B0604030504040204" pitchFamily="50" charset="-128"/>
              <a:cs typeface="Tahoma" panose="020B0604030504040204" pitchFamily="34" charset="0"/>
            </a:rPr>
            <a:t>Yes, please keep "On".</a:t>
          </a:r>
        </a:p>
        <a:p>
          <a:endParaRPr kumimoji="1" lang="en-US" altLang="ja-JP" sz="1100">
            <a:solidFill>
              <a:srgbClr val="FF0000"/>
            </a:solidFill>
            <a:effectLst/>
            <a:latin typeface="Tahoma" panose="020B0604030504040204" pitchFamily="34" charset="0"/>
            <a:ea typeface="Tahoma" panose="020B0604030504040204" pitchFamily="34" charset="0"/>
            <a:cs typeface="Tahoma" panose="020B0604030504040204" pitchFamily="34" charset="0"/>
          </a:endParaRPr>
        </a:p>
        <a:p>
          <a:r>
            <a:rPr kumimoji="1" lang="ja-JP" altLang="en-US" sz="1100">
              <a:solidFill>
                <a:srgbClr val="0070C0"/>
              </a:solidFill>
              <a:effectLst/>
              <a:latin typeface="Tahoma" panose="020B0604030504040204" pitchFamily="34" charset="0"/>
              <a:ea typeface="Tahoma" panose="020B0604030504040204" pitchFamily="34" charset="0"/>
              <a:cs typeface="Tahoma" panose="020B0604030504040204" pitchFamily="34" charset="0"/>
            </a:rPr>
            <a:t>その理解で正しいです。 </a:t>
          </a:r>
          <a:endParaRPr kumimoji="1" lang="en-US" altLang="ja-JP" sz="1100">
            <a:solidFill>
              <a:srgbClr val="0070C0"/>
            </a:solidFill>
            <a:effectLst/>
            <a:latin typeface="Tahoma" panose="020B0604030504040204" pitchFamily="34" charset="0"/>
            <a:ea typeface="Tahoma" panose="020B0604030504040204" pitchFamily="34" charset="0"/>
            <a:cs typeface="Tahoma" panose="020B0604030504040204" pitchFamily="34" charset="0"/>
          </a:endParaRPr>
        </a:p>
      </xdr:txBody>
    </xdr:sp>
    <xdr:clientData/>
  </xdr:oneCellAnchor>
  <xdr:twoCellAnchor>
    <xdr:from>
      <xdr:col>22</xdr:col>
      <xdr:colOff>0</xdr:colOff>
      <xdr:row>59</xdr:row>
      <xdr:rowOff>0</xdr:rowOff>
    </xdr:from>
    <xdr:to>
      <xdr:col>22</xdr:col>
      <xdr:colOff>0</xdr:colOff>
      <xdr:row>59</xdr:row>
      <xdr:rowOff>0</xdr:rowOff>
    </xdr:to>
    <xdr:cxnSp macro="">
      <xdr:nvCxnSpPr>
        <xdr:cNvPr id="72" name="直線コネクタ 71">
          <a:extLst>
            <a:ext uri="{FF2B5EF4-FFF2-40B4-BE49-F238E27FC236}">
              <a16:creationId xmlns:a16="http://schemas.microsoft.com/office/drawing/2014/main" id="{00000000-0008-0000-0A00-000048000000}"/>
            </a:ext>
          </a:extLst>
        </xdr:cNvPr>
        <xdr:cNvCxnSpPr/>
      </xdr:nvCxnSpPr>
      <xdr:spPr>
        <a:xfrm>
          <a:off x="4400550" y="9820275"/>
          <a:ext cx="0" cy="0"/>
        </a:xfrm>
        <a:prstGeom prst="line">
          <a:avLst/>
        </a:prstGeom>
        <a:ln w="38100" cap="sq">
          <a:miter lim="800000"/>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24</xdr:col>
      <xdr:colOff>1</xdr:colOff>
      <xdr:row>55</xdr:row>
      <xdr:rowOff>0</xdr:rowOff>
    </xdr:from>
    <xdr:to>
      <xdr:col>26</xdr:col>
      <xdr:colOff>0</xdr:colOff>
      <xdr:row>57</xdr:row>
      <xdr:rowOff>0</xdr:rowOff>
    </xdr:to>
    <xdr:cxnSp macro="">
      <xdr:nvCxnSpPr>
        <xdr:cNvPr id="73" name="直線コネクタ 72">
          <a:extLst>
            <a:ext uri="{FF2B5EF4-FFF2-40B4-BE49-F238E27FC236}">
              <a16:creationId xmlns:a16="http://schemas.microsoft.com/office/drawing/2014/main" id="{00000000-0008-0000-0A00-000049000000}"/>
            </a:ext>
          </a:extLst>
        </xdr:cNvPr>
        <xdr:cNvCxnSpPr/>
      </xdr:nvCxnSpPr>
      <xdr:spPr>
        <a:xfrm flipH="1">
          <a:off x="4800601" y="9172575"/>
          <a:ext cx="400049" cy="323850"/>
        </a:xfrm>
        <a:prstGeom prst="line">
          <a:avLst/>
        </a:prstGeom>
        <a:ln w="38100" cap="flat">
          <a:solidFill>
            <a:srgbClr val="92D050"/>
          </a:solidFill>
          <a:miter lim="800000"/>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0</xdr:colOff>
      <xdr:row>55</xdr:row>
      <xdr:rowOff>0</xdr:rowOff>
    </xdr:from>
    <xdr:to>
      <xdr:col>34</xdr:col>
      <xdr:colOff>0</xdr:colOff>
      <xdr:row>55</xdr:row>
      <xdr:rowOff>1</xdr:rowOff>
    </xdr:to>
    <xdr:cxnSp macro="">
      <xdr:nvCxnSpPr>
        <xdr:cNvPr id="74" name="直線コネクタ 73">
          <a:extLst>
            <a:ext uri="{FF2B5EF4-FFF2-40B4-BE49-F238E27FC236}">
              <a16:creationId xmlns:a16="http://schemas.microsoft.com/office/drawing/2014/main" id="{00000000-0008-0000-0A00-00004A000000}"/>
            </a:ext>
          </a:extLst>
        </xdr:cNvPr>
        <xdr:cNvCxnSpPr/>
      </xdr:nvCxnSpPr>
      <xdr:spPr>
        <a:xfrm flipH="1">
          <a:off x="5200650" y="9172575"/>
          <a:ext cx="1600200" cy="1"/>
        </a:xfrm>
        <a:prstGeom prst="line">
          <a:avLst/>
        </a:prstGeom>
        <a:ln w="38100" cap="flat">
          <a:solidFill>
            <a:srgbClr val="92D050"/>
          </a:solidFill>
          <a:miter lim="800000"/>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0</xdr:colOff>
      <xdr:row>54</xdr:row>
      <xdr:rowOff>0</xdr:rowOff>
    </xdr:from>
    <xdr:to>
      <xdr:col>34</xdr:col>
      <xdr:colOff>0</xdr:colOff>
      <xdr:row>54</xdr:row>
      <xdr:rowOff>0</xdr:rowOff>
    </xdr:to>
    <xdr:cxnSp macro="">
      <xdr:nvCxnSpPr>
        <xdr:cNvPr id="75" name="直線コネクタ 74">
          <a:extLst>
            <a:ext uri="{FF2B5EF4-FFF2-40B4-BE49-F238E27FC236}">
              <a16:creationId xmlns:a16="http://schemas.microsoft.com/office/drawing/2014/main" id="{00000000-0008-0000-0A00-00004B000000}"/>
            </a:ext>
          </a:extLst>
        </xdr:cNvPr>
        <xdr:cNvCxnSpPr/>
      </xdr:nvCxnSpPr>
      <xdr:spPr>
        <a:xfrm>
          <a:off x="4200525" y="9010650"/>
          <a:ext cx="2600325" cy="0"/>
        </a:xfrm>
        <a:prstGeom prst="line">
          <a:avLst/>
        </a:prstGeom>
        <a:ln w="38100" cap="sq">
          <a:miter lim="800000"/>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22</xdr:col>
      <xdr:colOff>152400</xdr:colOff>
      <xdr:row>59</xdr:row>
      <xdr:rowOff>152400</xdr:rowOff>
    </xdr:from>
    <xdr:to>
      <xdr:col>22</xdr:col>
      <xdr:colOff>152400</xdr:colOff>
      <xdr:row>59</xdr:row>
      <xdr:rowOff>152400</xdr:rowOff>
    </xdr:to>
    <xdr:cxnSp macro="">
      <xdr:nvCxnSpPr>
        <xdr:cNvPr id="76" name="直線コネクタ 75">
          <a:extLst>
            <a:ext uri="{FF2B5EF4-FFF2-40B4-BE49-F238E27FC236}">
              <a16:creationId xmlns:a16="http://schemas.microsoft.com/office/drawing/2014/main" id="{00000000-0008-0000-0A00-00004C000000}"/>
            </a:ext>
          </a:extLst>
        </xdr:cNvPr>
        <xdr:cNvCxnSpPr/>
      </xdr:nvCxnSpPr>
      <xdr:spPr>
        <a:xfrm>
          <a:off x="4552950" y="9972675"/>
          <a:ext cx="0" cy="0"/>
        </a:xfrm>
        <a:prstGeom prst="line">
          <a:avLst/>
        </a:prstGeom>
        <a:ln w="38100" cap="sq">
          <a:miter lim="800000"/>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22</xdr:col>
      <xdr:colOff>0</xdr:colOff>
      <xdr:row>59</xdr:row>
      <xdr:rowOff>0</xdr:rowOff>
    </xdr:from>
    <xdr:to>
      <xdr:col>22</xdr:col>
      <xdr:colOff>0</xdr:colOff>
      <xdr:row>60</xdr:row>
      <xdr:rowOff>0</xdr:rowOff>
    </xdr:to>
    <xdr:cxnSp macro="">
      <xdr:nvCxnSpPr>
        <xdr:cNvPr id="77" name="直線コネクタ 76">
          <a:extLst>
            <a:ext uri="{FF2B5EF4-FFF2-40B4-BE49-F238E27FC236}">
              <a16:creationId xmlns:a16="http://schemas.microsoft.com/office/drawing/2014/main" id="{00000000-0008-0000-0A00-00004D000000}"/>
            </a:ext>
          </a:extLst>
        </xdr:cNvPr>
        <xdr:cNvCxnSpPr/>
      </xdr:nvCxnSpPr>
      <xdr:spPr>
        <a:xfrm flipV="1">
          <a:off x="4400550" y="9820275"/>
          <a:ext cx="0" cy="161925"/>
        </a:xfrm>
        <a:prstGeom prst="line">
          <a:avLst/>
        </a:prstGeom>
        <a:ln w="38100" cap="sq">
          <a:miter lim="800000"/>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22</xdr:col>
      <xdr:colOff>0</xdr:colOff>
      <xdr:row>60</xdr:row>
      <xdr:rowOff>0</xdr:rowOff>
    </xdr:from>
    <xdr:to>
      <xdr:col>23</xdr:col>
      <xdr:colOff>0</xdr:colOff>
      <xdr:row>60</xdr:row>
      <xdr:rowOff>0</xdr:rowOff>
    </xdr:to>
    <xdr:cxnSp macro="">
      <xdr:nvCxnSpPr>
        <xdr:cNvPr id="78" name="直線コネクタ 77">
          <a:extLst>
            <a:ext uri="{FF2B5EF4-FFF2-40B4-BE49-F238E27FC236}">
              <a16:creationId xmlns:a16="http://schemas.microsoft.com/office/drawing/2014/main" id="{00000000-0008-0000-0A00-00004E000000}"/>
            </a:ext>
          </a:extLst>
        </xdr:cNvPr>
        <xdr:cNvCxnSpPr/>
      </xdr:nvCxnSpPr>
      <xdr:spPr>
        <a:xfrm flipH="1">
          <a:off x="4400550" y="9982200"/>
          <a:ext cx="200025" cy="0"/>
        </a:xfrm>
        <a:prstGeom prst="line">
          <a:avLst/>
        </a:prstGeom>
        <a:ln w="38100" cap="sq">
          <a:miter lim="800000"/>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0</xdr:colOff>
      <xdr:row>59</xdr:row>
      <xdr:rowOff>0</xdr:rowOff>
    </xdr:from>
    <xdr:to>
      <xdr:col>23</xdr:col>
      <xdr:colOff>1</xdr:colOff>
      <xdr:row>60</xdr:row>
      <xdr:rowOff>0</xdr:rowOff>
    </xdr:to>
    <xdr:cxnSp macro="">
      <xdr:nvCxnSpPr>
        <xdr:cNvPr id="79" name="直線コネクタ 78">
          <a:extLst>
            <a:ext uri="{FF2B5EF4-FFF2-40B4-BE49-F238E27FC236}">
              <a16:creationId xmlns:a16="http://schemas.microsoft.com/office/drawing/2014/main" id="{00000000-0008-0000-0A00-00004F000000}"/>
            </a:ext>
          </a:extLst>
        </xdr:cNvPr>
        <xdr:cNvCxnSpPr/>
      </xdr:nvCxnSpPr>
      <xdr:spPr>
        <a:xfrm flipH="1">
          <a:off x="4600575" y="9820275"/>
          <a:ext cx="1" cy="161925"/>
        </a:xfrm>
        <a:prstGeom prst="line">
          <a:avLst/>
        </a:prstGeom>
        <a:ln w="38100" cap="sq">
          <a:miter lim="800000"/>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0</xdr:colOff>
      <xdr:row>59</xdr:row>
      <xdr:rowOff>0</xdr:rowOff>
    </xdr:from>
    <xdr:to>
      <xdr:col>34</xdr:col>
      <xdr:colOff>0</xdr:colOff>
      <xdr:row>59</xdr:row>
      <xdr:rowOff>0</xdr:rowOff>
    </xdr:to>
    <xdr:cxnSp macro="">
      <xdr:nvCxnSpPr>
        <xdr:cNvPr id="80" name="直線コネクタ 79">
          <a:extLst>
            <a:ext uri="{FF2B5EF4-FFF2-40B4-BE49-F238E27FC236}">
              <a16:creationId xmlns:a16="http://schemas.microsoft.com/office/drawing/2014/main" id="{00000000-0008-0000-0A00-000050000000}"/>
            </a:ext>
          </a:extLst>
        </xdr:cNvPr>
        <xdr:cNvCxnSpPr/>
      </xdr:nvCxnSpPr>
      <xdr:spPr>
        <a:xfrm>
          <a:off x="4600575" y="9820275"/>
          <a:ext cx="2200275" cy="0"/>
        </a:xfrm>
        <a:prstGeom prst="line">
          <a:avLst/>
        </a:prstGeom>
        <a:ln w="38100" cap="sq">
          <a:miter lim="800000"/>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23</xdr:row>
      <xdr:rowOff>0</xdr:rowOff>
    </xdr:from>
    <xdr:to>
      <xdr:col>15</xdr:col>
      <xdr:colOff>1</xdr:colOff>
      <xdr:row>24</xdr:row>
      <xdr:rowOff>0</xdr:rowOff>
    </xdr:to>
    <xdr:cxnSp macro="">
      <xdr:nvCxnSpPr>
        <xdr:cNvPr id="81" name="直線コネクタ 80">
          <a:extLst>
            <a:ext uri="{FF2B5EF4-FFF2-40B4-BE49-F238E27FC236}">
              <a16:creationId xmlns:a16="http://schemas.microsoft.com/office/drawing/2014/main" id="{00000000-0008-0000-0A00-000051000000}"/>
            </a:ext>
          </a:extLst>
        </xdr:cNvPr>
        <xdr:cNvCxnSpPr/>
      </xdr:nvCxnSpPr>
      <xdr:spPr>
        <a:xfrm flipV="1">
          <a:off x="3000375" y="3857625"/>
          <a:ext cx="1" cy="161925"/>
        </a:xfrm>
        <a:prstGeom prst="line">
          <a:avLst/>
        </a:prstGeom>
        <a:ln w="38100" cap="sq">
          <a:miter lim="800000"/>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2</xdr:colOff>
      <xdr:row>23</xdr:row>
      <xdr:rowOff>0</xdr:rowOff>
    </xdr:from>
    <xdr:to>
      <xdr:col>30</xdr:col>
      <xdr:colOff>0</xdr:colOff>
      <xdr:row>23</xdr:row>
      <xdr:rowOff>0</xdr:rowOff>
    </xdr:to>
    <xdr:cxnSp macro="">
      <xdr:nvCxnSpPr>
        <xdr:cNvPr id="82" name="直線コネクタ 81">
          <a:extLst>
            <a:ext uri="{FF2B5EF4-FFF2-40B4-BE49-F238E27FC236}">
              <a16:creationId xmlns:a16="http://schemas.microsoft.com/office/drawing/2014/main" id="{00000000-0008-0000-0A00-000052000000}"/>
            </a:ext>
          </a:extLst>
        </xdr:cNvPr>
        <xdr:cNvCxnSpPr/>
      </xdr:nvCxnSpPr>
      <xdr:spPr>
        <a:xfrm flipH="1">
          <a:off x="3000377" y="3857625"/>
          <a:ext cx="3000373" cy="0"/>
        </a:xfrm>
        <a:prstGeom prst="line">
          <a:avLst/>
        </a:prstGeom>
        <a:ln w="38100" cap="sq">
          <a:miter lim="800000"/>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0</xdr:colOff>
      <xdr:row>23</xdr:row>
      <xdr:rowOff>0</xdr:rowOff>
    </xdr:from>
    <xdr:to>
      <xdr:col>30</xdr:col>
      <xdr:colOff>0</xdr:colOff>
      <xdr:row>24</xdr:row>
      <xdr:rowOff>0</xdr:rowOff>
    </xdr:to>
    <xdr:cxnSp macro="">
      <xdr:nvCxnSpPr>
        <xdr:cNvPr id="83" name="直線コネクタ 82">
          <a:extLst>
            <a:ext uri="{FF2B5EF4-FFF2-40B4-BE49-F238E27FC236}">
              <a16:creationId xmlns:a16="http://schemas.microsoft.com/office/drawing/2014/main" id="{00000000-0008-0000-0A00-000053000000}"/>
            </a:ext>
          </a:extLst>
        </xdr:cNvPr>
        <xdr:cNvCxnSpPr/>
      </xdr:nvCxnSpPr>
      <xdr:spPr>
        <a:xfrm flipV="1">
          <a:off x="6000750" y="3857625"/>
          <a:ext cx="0" cy="161925"/>
        </a:xfrm>
        <a:prstGeom prst="line">
          <a:avLst/>
        </a:prstGeom>
        <a:ln w="38100" cap="sq">
          <a:miter lim="800000"/>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0</xdr:colOff>
      <xdr:row>24</xdr:row>
      <xdr:rowOff>0</xdr:rowOff>
    </xdr:from>
    <xdr:to>
      <xdr:col>34</xdr:col>
      <xdr:colOff>2381</xdr:colOff>
      <xdr:row>24</xdr:row>
      <xdr:rowOff>0</xdr:rowOff>
    </xdr:to>
    <xdr:cxnSp macro="">
      <xdr:nvCxnSpPr>
        <xdr:cNvPr id="84" name="直線コネクタ 83">
          <a:extLst>
            <a:ext uri="{FF2B5EF4-FFF2-40B4-BE49-F238E27FC236}">
              <a16:creationId xmlns:a16="http://schemas.microsoft.com/office/drawing/2014/main" id="{00000000-0008-0000-0A00-000054000000}"/>
            </a:ext>
          </a:extLst>
        </xdr:cNvPr>
        <xdr:cNvCxnSpPr/>
      </xdr:nvCxnSpPr>
      <xdr:spPr>
        <a:xfrm flipH="1">
          <a:off x="6000750" y="4019550"/>
          <a:ext cx="802481" cy="0"/>
        </a:xfrm>
        <a:prstGeom prst="line">
          <a:avLst/>
        </a:prstGeom>
        <a:ln w="38100" cap="sq">
          <a:miter lim="800000"/>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21</xdr:row>
      <xdr:rowOff>0</xdr:rowOff>
    </xdr:from>
    <xdr:to>
      <xdr:col>15</xdr:col>
      <xdr:colOff>0</xdr:colOff>
      <xdr:row>23</xdr:row>
      <xdr:rowOff>0</xdr:rowOff>
    </xdr:to>
    <xdr:cxnSp macro="">
      <xdr:nvCxnSpPr>
        <xdr:cNvPr id="85" name="直線コネクタ 84">
          <a:extLst>
            <a:ext uri="{FF2B5EF4-FFF2-40B4-BE49-F238E27FC236}">
              <a16:creationId xmlns:a16="http://schemas.microsoft.com/office/drawing/2014/main" id="{00000000-0008-0000-0A00-000055000000}"/>
            </a:ext>
          </a:extLst>
        </xdr:cNvPr>
        <xdr:cNvCxnSpPr/>
      </xdr:nvCxnSpPr>
      <xdr:spPr>
        <a:xfrm>
          <a:off x="3000375" y="3533775"/>
          <a:ext cx="0" cy="323850"/>
        </a:xfrm>
        <a:prstGeom prst="line">
          <a:avLst/>
        </a:prstGeom>
        <a:ln>
          <a:prstDash val="dash"/>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0</xdr:colOff>
      <xdr:row>21</xdr:row>
      <xdr:rowOff>0</xdr:rowOff>
    </xdr:from>
    <xdr:to>
      <xdr:col>29</xdr:col>
      <xdr:colOff>0</xdr:colOff>
      <xdr:row>26</xdr:row>
      <xdr:rowOff>0</xdr:rowOff>
    </xdr:to>
    <xdr:cxnSp macro="">
      <xdr:nvCxnSpPr>
        <xdr:cNvPr id="86" name="直線コネクタ 85">
          <a:extLst>
            <a:ext uri="{FF2B5EF4-FFF2-40B4-BE49-F238E27FC236}">
              <a16:creationId xmlns:a16="http://schemas.microsoft.com/office/drawing/2014/main" id="{00000000-0008-0000-0A00-000056000000}"/>
            </a:ext>
          </a:extLst>
        </xdr:cNvPr>
        <xdr:cNvCxnSpPr/>
      </xdr:nvCxnSpPr>
      <xdr:spPr>
        <a:xfrm>
          <a:off x="5800725" y="3533775"/>
          <a:ext cx="0" cy="809625"/>
        </a:xfrm>
        <a:prstGeom prst="line">
          <a:avLst/>
        </a:prstGeom>
        <a:ln>
          <a:prstDash val="dash"/>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22</xdr:row>
      <xdr:rowOff>0</xdr:rowOff>
    </xdr:from>
    <xdr:to>
      <xdr:col>29</xdr:col>
      <xdr:colOff>0</xdr:colOff>
      <xdr:row>22</xdr:row>
      <xdr:rowOff>0</xdr:rowOff>
    </xdr:to>
    <xdr:cxnSp macro="">
      <xdr:nvCxnSpPr>
        <xdr:cNvPr id="87" name="直線矢印コネクタ 86">
          <a:extLst>
            <a:ext uri="{FF2B5EF4-FFF2-40B4-BE49-F238E27FC236}">
              <a16:creationId xmlns:a16="http://schemas.microsoft.com/office/drawing/2014/main" id="{00000000-0008-0000-0A00-000057000000}"/>
            </a:ext>
          </a:extLst>
        </xdr:cNvPr>
        <xdr:cNvCxnSpPr/>
      </xdr:nvCxnSpPr>
      <xdr:spPr>
        <a:xfrm>
          <a:off x="3000375" y="3695700"/>
          <a:ext cx="2800350" cy="0"/>
        </a:xfrm>
        <a:prstGeom prst="straightConnector1">
          <a:avLst/>
        </a:prstGeom>
        <a:ln>
          <a:headEnd type="arrow"/>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201385</xdr:colOff>
      <xdr:row>24</xdr:row>
      <xdr:rowOff>0</xdr:rowOff>
    </xdr:from>
    <xdr:to>
      <xdr:col>15</xdr:col>
      <xdr:colOff>0</xdr:colOff>
      <xdr:row>24</xdr:row>
      <xdr:rowOff>0</xdr:rowOff>
    </xdr:to>
    <xdr:cxnSp macro="">
      <xdr:nvCxnSpPr>
        <xdr:cNvPr id="88" name="直線コネクタ 87">
          <a:extLst>
            <a:ext uri="{FF2B5EF4-FFF2-40B4-BE49-F238E27FC236}">
              <a16:creationId xmlns:a16="http://schemas.microsoft.com/office/drawing/2014/main" id="{00000000-0008-0000-0A00-000058000000}"/>
            </a:ext>
          </a:extLst>
        </xdr:cNvPr>
        <xdr:cNvCxnSpPr/>
      </xdr:nvCxnSpPr>
      <xdr:spPr>
        <a:xfrm>
          <a:off x="1801585" y="4019550"/>
          <a:ext cx="1198790" cy="0"/>
        </a:xfrm>
        <a:prstGeom prst="line">
          <a:avLst/>
        </a:prstGeom>
        <a:ln w="38100" cap="sq">
          <a:miter lim="800000"/>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204106</xdr:colOff>
      <xdr:row>24</xdr:row>
      <xdr:rowOff>0</xdr:rowOff>
    </xdr:from>
    <xdr:to>
      <xdr:col>14</xdr:col>
      <xdr:colOff>204106</xdr:colOff>
      <xdr:row>25</xdr:row>
      <xdr:rowOff>0</xdr:rowOff>
    </xdr:to>
    <xdr:sp macro="" textlink="">
      <xdr:nvSpPr>
        <xdr:cNvPr id="89" name="稲妻 88">
          <a:extLst>
            <a:ext uri="{FF2B5EF4-FFF2-40B4-BE49-F238E27FC236}">
              <a16:creationId xmlns:a16="http://schemas.microsoft.com/office/drawing/2014/main" id="{00000000-0008-0000-0A00-000059000000}"/>
            </a:ext>
          </a:extLst>
        </xdr:cNvPr>
        <xdr:cNvSpPr/>
      </xdr:nvSpPr>
      <xdr:spPr>
        <a:xfrm flipV="1">
          <a:off x="2804431" y="4019550"/>
          <a:ext cx="200025" cy="161925"/>
        </a:xfrm>
        <a:prstGeom prst="lightningBol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latin typeface="Tahoma" panose="020B0604030504040204" pitchFamily="34" charset="0"/>
            <a:ea typeface="Meiryo UI" panose="020B0604030504040204" pitchFamily="50" charset="-128"/>
            <a:cs typeface="Tahoma" panose="020B0604030504040204" pitchFamily="34" charset="0"/>
          </a:endParaRPr>
        </a:p>
      </xdr:txBody>
    </xdr:sp>
    <xdr:clientData/>
  </xdr:twoCellAnchor>
  <xdr:twoCellAnchor>
    <xdr:from>
      <xdr:col>29</xdr:col>
      <xdr:colOff>0</xdr:colOff>
      <xdr:row>24</xdr:row>
      <xdr:rowOff>0</xdr:rowOff>
    </xdr:from>
    <xdr:to>
      <xdr:col>29</xdr:col>
      <xdr:colOff>193766</xdr:colOff>
      <xdr:row>25</xdr:row>
      <xdr:rowOff>0</xdr:rowOff>
    </xdr:to>
    <xdr:sp macro="" textlink="">
      <xdr:nvSpPr>
        <xdr:cNvPr id="90" name="稲妻 89">
          <a:extLst>
            <a:ext uri="{FF2B5EF4-FFF2-40B4-BE49-F238E27FC236}">
              <a16:creationId xmlns:a16="http://schemas.microsoft.com/office/drawing/2014/main" id="{00000000-0008-0000-0A00-00005A000000}"/>
            </a:ext>
          </a:extLst>
        </xdr:cNvPr>
        <xdr:cNvSpPr/>
      </xdr:nvSpPr>
      <xdr:spPr>
        <a:xfrm flipV="1">
          <a:off x="5800725" y="4019550"/>
          <a:ext cx="193766" cy="161925"/>
        </a:xfrm>
        <a:prstGeom prst="lightningBol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latin typeface="Tahoma" panose="020B0604030504040204" pitchFamily="34" charset="0"/>
            <a:ea typeface="Meiryo UI" panose="020B0604030504040204" pitchFamily="50" charset="-128"/>
            <a:cs typeface="Tahoma" panose="020B0604030504040204" pitchFamily="34" charset="0"/>
          </a:endParaRPr>
        </a:p>
      </xdr:txBody>
    </xdr:sp>
    <xdr:clientData/>
  </xdr:twoCellAnchor>
  <xdr:twoCellAnchor>
    <xdr:from>
      <xdr:col>9</xdr:col>
      <xdr:colOff>0</xdr:colOff>
      <xdr:row>27</xdr:row>
      <xdr:rowOff>7327</xdr:rowOff>
    </xdr:from>
    <xdr:to>
      <xdr:col>14</xdr:col>
      <xdr:colOff>190500</xdr:colOff>
      <xdr:row>27</xdr:row>
      <xdr:rowOff>7327</xdr:rowOff>
    </xdr:to>
    <xdr:cxnSp macro="">
      <xdr:nvCxnSpPr>
        <xdr:cNvPr id="91" name="直線コネクタ 90">
          <a:extLst>
            <a:ext uri="{FF2B5EF4-FFF2-40B4-BE49-F238E27FC236}">
              <a16:creationId xmlns:a16="http://schemas.microsoft.com/office/drawing/2014/main" id="{00000000-0008-0000-0A00-00005B000000}"/>
            </a:ext>
          </a:extLst>
        </xdr:cNvPr>
        <xdr:cNvCxnSpPr/>
      </xdr:nvCxnSpPr>
      <xdr:spPr>
        <a:xfrm>
          <a:off x="1800225" y="4512652"/>
          <a:ext cx="1190625" cy="0"/>
        </a:xfrm>
        <a:prstGeom prst="line">
          <a:avLst/>
        </a:prstGeom>
        <a:ln w="38100" cap="sq">
          <a:miter lim="800000"/>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26</xdr:row>
      <xdr:rowOff>0</xdr:rowOff>
    </xdr:from>
    <xdr:to>
      <xdr:col>15</xdr:col>
      <xdr:colOff>0</xdr:colOff>
      <xdr:row>27</xdr:row>
      <xdr:rowOff>0</xdr:rowOff>
    </xdr:to>
    <xdr:cxnSp macro="">
      <xdr:nvCxnSpPr>
        <xdr:cNvPr id="92" name="直線コネクタ 91">
          <a:extLst>
            <a:ext uri="{FF2B5EF4-FFF2-40B4-BE49-F238E27FC236}">
              <a16:creationId xmlns:a16="http://schemas.microsoft.com/office/drawing/2014/main" id="{00000000-0008-0000-0A00-00005C000000}"/>
            </a:ext>
          </a:extLst>
        </xdr:cNvPr>
        <xdr:cNvCxnSpPr/>
      </xdr:nvCxnSpPr>
      <xdr:spPr>
        <a:xfrm flipV="1">
          <a:off x="3000375" y="4343400"/>
          <a:ext cx="0" cy="161925"/>
        </a:xfrm>
        <a:prstGeom prst="line">
          <a:avLst/>
        </a:prstGeom>
        <a:ln w="38100" cap="sq">
          <a:miter lim="800000"/>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26</xdr:row>
      <xdr:rowOff>0</xdr:rowOff>
    </xdr:from>
    <xdr:to>
      <xdr:col>29</xdr:col>
      <xdr:colOff>0</xdr:colOff>
      <xdr:row>26</xdr:row>
      <xdr:rowOff>0</xdr:rowOff>
    </xdr:to>
    <xdr:cxnSp macro="">
      <xdr:nvCxnSpPr>
        <xdr:cNvPr id="93" name="直線コネクタ 92">
          <a:extLst>
            <a:ext uri="{FF2B5EF4-FFF2-40B4-BE49-F238E27FC236}">
              <a16:creationId xmlns:a16="http://schemas.microsoft.com/office/drawing/2014/main" id="{00000000-0008-0000-0A00-00005D000000}"/>
            </a:ext>
          </a:extLst>
        </xdr:cNvPr>
        <xdr:cNvCxnSpPr/>
      </xdr:nvCxnSpPr>
      <xdr:spPr>
        <a:xfrm flipH="1">
          <a:off x="3000375" y="4343400"/>
          <a:ext cx="2800350" cy="0"/>
        </a:xfrm>
        <a:prstGeom prst="line">
          <a:avLst/>
        </a:prstGeom>
        <a:ln w="38100" cap="sq">
          <a:miter lim="800000"/>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0</xdr:colOff>
      <xdr:row>26</xdr:row>
      <xdr:rowOff>0</xdr:rowOff>
    </xdr:from>
    <xdr:to>
      <xdr:col>30</xdr:col>
      <xdr:colOff>0</xdr:colOff>
      <xdr:row>26</xdr:row>
      <xdr:rowOff>0</xdr:rowOff>
    </xdr:to>
    <xdr:cxnSp macro="">
      <xdr:nvCxnSpPr>
        <xdr:cNvPr id="94" name="直線コネクタ 93">
          <a:extLst>
            <a:ext uri="{FF2B5EF4-FFF2-40B4-BE49-F238E27FC236}">
              <a16:creationId xmlns:a16="http://schemas.microsoft.com/office/drawing/2014/main" id="{00000000-0008-0000-0A00-00005E000000}"/>
            </a:ext>
          </a:extLst>
        </xdr:cNvPr>
        <xdr:cNvCxnSpPr/>
      </xdr:nvCxnSpPr>
      <xdr:spPr>
        <a:xfrm flipH="1">
          <a:off x="5800725" y="4343400"/>
          <a:ext cx="200025" cy="0"/>
        </a:xfrm>
        <a:prstGeom prst="line">
          <a:avLst/>
        </a:prstGeom>
        <a:ln w="38100" cap="flat">
          <a:solidFill>
            <a:srgbClr val="FF0000"/>
          </a:solidFill>
          <a:miter lim="800000"/>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0</xdr:colOff>
      <xdr:row>26</xdr:row>
      <xdr:rowOff>0</xdr:rowOff>
    </xdr:from>
    <xdr:to>
      <xdr:col>30</xdr:col>
      <xdr:colOff>0</xdr:colOff>
      <xdr:row>27</xdr:row>
      <xdr:rowOff>0</xdr:rowOff>
    </xdr:to>
    <xdr:cxnSp macro="">
      <xdr:nvCxnSpPr>
        <xdr:cNvPr id="95" name="直線コネクタ 94">
          <a:extLst>
            <a:ext uri="{FF2B5EF4-FFF2-40B4-BE49-F238E27FC236}">
              <a16:creationId xmlns:a16="http://schemas.microsoft.com/office/drawing/2014/main" id="{00000000-0008-0000-0A00-00005F000000}"/>
            </a:ext>
          </a:extLst>
        </xdr:cNvPr>
        <xdr:cNvCxnSpPr/>
      </xdr:nvCxnSpPr>
      <xdr:spPr>
        <a:xfrm>
          <a:off x="6000750" y="4343400"/>
          <a:ext cx="0" cy="161925"/>
        </a:xfrm>
        <a:prstGeom prst="line">
          <a:avLst/>
        </a:prstGeom>
        <a:ln w="38100" cap="sq">
          <a:solidFill>
            <a:srgbClr val="FF0000"/>
          </a:solidFill>
          <a:miter lim="800000"/>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0</xdr:colOff>
      <xdr:row>27</xdr:row>
      <xdr:rowOff>0</xdr:rowOff>
    </xdr:from>
    <xdr:to>
      <xdr:col>34</xdr:col>
      <xdr:colOff>0</xdr:colOff>
      <xdr:row>27</xdr:row>
      <xdr:rowOff>0</xdr:rowOff>
    </xdr:to>
    <xdr:cxnSp macro="">
      <xdr:nvCxnSpPr>
        <xdr:cNvPr id="96" name="直線コネクタ 95">
          <a:extLst>
            <a:ext uri="{FF2B5EF4-FFF2-40B4-BE49-F238E27FC236}">
              <a16:creationId xmlns:a16="http://schemas.microsoft.com/office/drawing/2014/main" id="{00000000-0008-0000-0A00-000060000000}"/>
            </a:ext>
          </a:extLst>
        </xdr:cNvPr>
        <xdr:cNvCxnSpPr/>
      </xdr:nvCxnSpPr>
      <xdr:spPr>
        <a:xfrm>
          <a:off x="6000750" y="4505325"/>
          <a:ext cx="800100" cy="0"/>
        </a:xfrm>
        <a:prstGeom prst="line">
          <a:avLst/>
        </a:prstGeom>
        <a:ln w="38100" cap="sq">
          <a:miter lim="800000"/>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0</xdr:colOff>
      <xdr:row>24</xdr:row>
      <xdr:rowOff>0</xdr:rowOff>
    </xdr:from>
    <xdr:to>
      <xdr:col>30</xdr:col>
      <xdr:colOff>1</xdr:colOff>
      <xdr:row>26</xdr:row>
      <xdr:rowOff>0</xdr:rowOff>
    </xdr:to>
    <xdr:cxnSp macro="">
      <xdr:nvCxnSpPr>
        <xdr:cNvPr id="97" name="直線コネクタ 96">
          <a:extLst>
            <a:ext uri="{FF2B5EF4-FFF2-40B4-BE49-F238E27FC236}">
              <a16:creationId xmlns:a16="http://schemas.microsoft.com/office/drawing/2014/main" id="{00000000-0008-0000-0A00-000061000000}"/>
            </a:ext>
          </a:extLst>
        </xdr:cNvPr>
        <xdr:cNvCxnSpPr/>
      </xdr:nvCxnSpPr>
      <xdr:spPr>
        <a:xfrm>
          <a:off x="6000750" y="4019550"/>
          <a:ext cx="1" cy="323850"/>
        </a:xfrm>
        <a:prstGeom prst="line">
          <a:avLst/>
        </a:prstGeom>
        <a:ln>
          <a:solidFill>
            <a:srgbClr val="FF0000"/>
          </a:solidFill>
          <a:prstDash val="dash"/>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41</xdr:col>
      <xdr:colOff>198104</xdr:colOff>
      <xdr:row>20</xdr:row>
      <xdr:rowOff>175570</xdr:rowOff>
    </xdr:from>
    <xdr:ext cx="5046249" cy="1146724"/>
    <xdr:sp macro="" textlink="">
      <xdr:nvSpPr>
        <xdr:cNvPr id="98" name="吹き出し: 線 (強調線付き) 97">
          <a:extLst>
            <a:ext uri="{FF2B5EF4-FFF2-40B4-BE49-F238E27FC236}">
              <a16:creationId xmlns:a16="http://schemas.microsoft.com/office/drawing/2014/main" id="{00000000-0008-0000-0A00-000062000000}"/>
            </a:ext>
          </a:extLst>
        </xdr:cNvPr>
        <xdr:cNvSpPr/>
      </xdr:nvSpPr>
      <xdr:spPr>
        <a:xfrm>
          <a:off x="8468045" y="3380452"/>
          <a:ext cx="5046249" cy="1146724"/>
        </a:xfrm>
        <a:prstGeom prst="accentCallout1">
          <a:avLst>
            <a:gd name="adj1" fmla="val 25307"/>
            <a:gd name="adj2" fmla="val -1942"/>
            <a:gd name="adj3" fmla="val 74150"/>
            <a:gd name="adj4" fmla="val -46238"/>
          </a:avLst>
        </a:prstGeom>
        <a:solidFill>
          <a:sysClr val="window" lastClr="FFFFFF"/>
        </a:solid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36000" tIns="0" rIns="0" bIns="0" rtlCol="0" anchor="t">
          <a:spAutoFit/>
        </a:bodyPr>
        <a:lstStyle/>
        <a:p>
          <a:r>
            <a:rPr kumimoji="1" lang="en-US" altLang="ja-JP" sz="1100" u="sng" baseline="0">
              <a:solidFill>
                <a:sysClr val="windowText" lastClr="000000"/>
              </a:solidFill>
              <a:effectLst/>
              <a:latin typeface="Tahoma" panose="020B0604030504040204" pitchFamily="34" charset="0"/>
              <a:ea typeface="Tahoma" panose="020B0604030504040204" pitchFamily="34" charset="0"/>
              <a:cs typeface="Tahoma" panose="020B0604030504040204" pitchFamily="34" charset="0"/>
            </a:rPr>
            <a:t>[09.Dec] Customer Feedback</a:t>
          </a:r>
        </a:p>
        <a:p>
          <a:r>
            <a:rPr kumimoji="1" lang="en-US" altLang="ja-JP" sz="1100" u="none" baseline="0">
              <a:solidFill>
                <a:sysClr val="windowText" lastClr="000000"/>
              </a:solidFill>
              <a:effectLst/>
              <a:latin typeface="Tahoma" panose="020B0604030504040204" pitchFamily="34" charset="0"/>
              <a:ea typeface="Tahoma" panose="020B0604030504040204" pitchFamily="34" charset="0"/>
              <a:cs typeface="Tahoma" panose="020B0604030504040204" pitchFamily="34" charset="0"/>
            </a:rPr>
            <a:t>In current specification, On should be kept but Off is expected behavior.</a:t>
          </a:r>
        </a:p>
        <a:p>
          <a:r>
            <a:rPr kumimoji="1" lang="en-US" altLang="ja-JP" sz="1100" u="none" baseline="0">
              <a:solidFill>
                <a:sysClr val="windowText" lastClr="000000"/>
              </a:solidFill>
              <a:effectLst/>
              <a:latin typeface="Tahoma" panose="020B0604030504040204" pitchFamily="34" charset="0"/>
              <a:ea typeface="Tahoma" panose="020B0604030504040204" pitchFamily="34" charset="0"/>
              <a:cs typeface="Tahoma" panose="020B0604030504040204" pitchFamily="34" charset="0"/>
            </a:rPr>
            <a:t>  --&gt; The specification will be revised regarding TOOL Request On/Off condition.</a:t>
          </a:r>
        </a:p>
        <a:p>
          <a:endParaRPr kumimoji="1" lang="en-US" altLang="ja-JP" sz="1100" u="sng" baseline="0">
            <a:solidFill>
              <a:srgbClr val="0070C0"/>
            </a:solidFill>
            <a:effectLst/>
            <a:latin typeface="Tahoma" panose="020B0604030504040204" pitchFamily="34" charset="0"/>
            <a:ea typeface="Tahoma" panose="020B0604030504040204" pitchFamily="34" charset="0"/>
            <a:cs typeface="Tahoma" panose="020B0604030504040204" pitchFamily="34" charset="0"/>
          </a:endParaRPr>
        </a:p>
        <a:p>
          <a:r>
            <a:rPr kumimoji="1" lang="en-US" altLang="ja-JP" sz="1100" baseline="0">
              <a:solidFill>
                <a:srgbClr val="0070C0"/>
              </a:solidFill>
              <a:effectLst/>
              <a:latin typeface="Tahoma" panose="020B0604030504040204" pitchFamily="34" charset="0"/>
              <a:ea typeface="Tahoma" panose="020B0604030504040204" pitchFamily="34" charset="0"/>
              <a:cs typeface="Tahoma" panose="020B0604030504040204" pitchFamily="34" charset="0"/>
            </a:rPr>
            <a:t>NRC$F1</a:t>
          </a:r>
          <a:r>
            <a:rPr kumimoji="1" lang="ja-JP" altLang="en-US" sz="1100" baseline="0">
              <a:solidFill>
                <a:srgbClr val="0070C0"/>
              </a:solidFill>
              <a:effectLst/>
              <a:latin typeface="Tahoma" panose="020B0604030504040204" pitchFamily="34" charset="0"/>
              <a:ea typeface="Meiryo UI" panose="020B0604030504040204" pitchFamily="50" charset="-128"/>
              <a:cs typeface="Tahoma" panose="020B0604030504040204" pitchFamily="34" charset="0"/>
            </a:rPr>
            <a:t>の時は</a:t>
          </a:r>
          <a:r>
            <a:rPr kumimoji="1" lang="en-US" altLang="ja-JP" sz="1100" baseline="0">
              <a:solidFill>
                <a:srgbClr val="0070C0"/>
              </a:solidFill>
              <a:effectLst/>
              <a:latin typeface="Tahoma" panose="020B0604030504040204" pitchFamily="34" charset="0"/>
              <a:ea typeface="Tahoma" panose="020B0604030504040204" pitchFamily="34" charset="0"/>
              <a:cs typeface="Tahoma" panose="020B0604030504040204" pitchFamily="34" charset="0"/>
            </a:rPr>
            <a:t>TOOL Request</a:t>
          </a:r>
          <a:r>
            <a:rPr kumimoji="1" lang="ja-JP" altLang="en-US" sz="1100" baseline="0">
              <a:solidFill>
                <a:srgbClr val="0070C0"/>
              </a:solidFill>
              <a:effectLst/>
              <a:latin typeface="Tahoma" panose="020B0604030504040204" pitchFamily="34" charset="0"/>
              <a:ea typeface="Meiryo UI" panose="020B0604030504040204" pitchFamily="50" charset="-128"/>
              <a:cs typeface="Tahoma" panose="020B0604030504040204" pitchFamily="34" charset="0"/>
            </a:rPr>
            <a:t>を落とす仕様ではなかったが、</a:t>
          </a:r>
          <a:endParaRPr kumimoji="1" lang="en-US" altLang="ja-JP" sz="1100" baseline="0">
            <a:solidFill>
              <a:srgbClr val="0070C0"/>
            </a:solidFill>
            <a:effectLst/>
            <a:latin typeface="Tahoma" panose="020B0604030504040204" pitchFamily="34" charset="0"/>
            <a:ea typeface="Tahoma" panose="020B0604030504040204" pitchFamily="34" charset="0"/>
            <a:cs typeface="Tahoma" panose="020B0604030504040204" pitchFamily="34" charset="0"/>
          </a:endParaRPr>
        </a:p>
        <a:p>
          <a:r>
            <a:rPr kumimoji="1" lang="ja-JP" altLang="en-US" sz="1100" baseline="0">
              <a:solidFill>
                <a:srgbClr val="0070C0"/>
              </a:solidFill>
              <a:effectLst/>
              <a:latin typeface="Tahoma" panose="020B0604030504040204" pitchFamily="34" charset="0"/>
              <a:ea typeface="Meiryo UI" panose="020B0604030504040204" pitchFamily="50" charset="-128"/>
              <a:cs typeface="Tahoma" panose="020B0604030504040204" pitchFamily="34" charset="0"/>
            </a:rPr>
            <a:t>落とす仕様に変更する。</a:t>
          </a:r>
          <a:endParaRPr kumimoji="1" lang="en-US" altLang="ja-JP" sz="1100" baseline="0">
            <a:solidFill>
              <a:srgbClr val="0070C0"/>
            </a:solidFill>
            <a:effectLst/>
            <a:latin typeface="Tahoma" panose="020B0604030504040204" pitchFamily="34" charset="0"/>
            <a:ea typeface="Tahoma" panose="020B0604030504040204" pitchFamily="34" charset="0"/>
            <a:cs typeface="Tahoma" panose="020B0604030504040204" pitchFamily="34" charset="0"/>
          </a:endParaRPr>
        </a:p>
      </xdr:txBody>
    </xdr:sp>
    <xdr:clientData/>
  </xdr:oneCellAnchor>
  <xdr:twoCellAnchor>
    <xdr:from>
      <xdr:col>15</xdr:col>
      <xdr:colOff>0</xdr:colOff>
      <xdr:row>34</xdr:row>
      <xdr:rowOff>0</xdr:rowOff>
    </xdr:from>
    <xdr:to>
      <xdr:col>15</xdr:col>
      <xdr:colOff>0</xdr:colOff>
      <xdr:row>35</xdr:row>
      <xdr:rowOff>0</xdr:rowOff>
    </xdr:to>
    <xdr:cxnSp macro="">
      <xdr:nvCxnSpPr>
        <xdr:cNvPr id="99" name="直線コネクタ 98">
          <a:extLst>
            <a:ext uri="{FF2B5EF4-FFF2-40B4-BE49-F238E27FC236}">
              <a16:creationId xmlns:a16="http://schemas.microsoft.com/office/drawing/2014/main" id="{00000000-0008-0000-0A00-000063000000}"/>
            </a:ext>
          </a:extLst>
        </xdr:cNvPr>
        <xdr:cNvCxnSpPr/>
      </xdr:nvCxnSpPr>
      <xdr:spPr>
        <a:xfrm>
          <a:off x="3000375" y="5705475"/>
          <a:ext cx="0" cy="161925"/>
        </a:xfrm>
        <a:prstGeom prst="line">
          <a:avLst/>
        </a:prstGeom>
        <a:ln w="38100" cap="sq">
          <a:miter lim="800000"/>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34</xdr:row>
      <xdr:rowOff>0</xdr:rowOff>
    </xdr:from>
    <xdr:to>
      <xdr:col>22</xdr:col>
      <xdr:colOff>0</xdr:colOff>
      <xdr:row>34</xdr:row>
      <xdr:rowOff>0</xdr:rowOff>
    </xdr:to>
    <xdr:cxnSp macro="">
      <xdr:nvCxnSpPr>
        <xdr:cNvPr id="100" name="直線コネクタ 99">
          <a:extLst>
            <a:ext uri="{FF2B5EF4-FFF2-40B4-BE49-F238E27FC236}">
              <a16:creationId xmlns:a16="http://schemas.microsoft.com/office/drawing/2014/main" id="{00000000-0008-0000-0A00-000064000000}"/>
            </a:ext>
          </a:extLst>
        </xdr:cNvPr>
        <xdr:cNvCxnSpPr/>
      </xdr:nvCxnSpPr>
      <xdr:spPr>
        <a:xfrm>
          <a:off x="3000375" y="5705475"/>
          <a:ext cx="1400175" cy="0"/>
        </a:xfrm>
        <a:prstGeom prst="line">
          <a:avLst/>
        </a:prstGeom>
        <a:ln w="38100" cap="sq">
          <a:miter lim="800000"/>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22</xdr:col>
      <xdr:colOff>0</xdr:colOff>
      <xdr:row>34</xdr:row>
      <xdr:rowOff>0</xdr:rowOff>
    </xdr:from>
    <xdr:to>
      <xdr:col>22</xdr:col>
      <xdr:colOff>0</xdr:colOff>
      <xdr:row>35</xdr:row>
      <xdr:rowOff>0</xdr:rowOff>
    </xdr:to>
    <xdr:cxnSp macro="">
      <xdr:nvCxnSpPr>
        <xdr:cNvPr id="101" name="直線コネクタ 100">
          <a:extLst>
            <a:ext uri="{FF2B5EF4-FFF2-40B4-BE49-F238E27FC236}">
              <a16:creationId xmlns:a16="http://schemas.microsoft.com/office/drawing/2014/main" id="{00000000-0008-0000-0A00-000065000000}"/>
            </a:ext>
          </a:extLst>
        </xdr:cNvPr>
        <xdr:cNvCxnSpPr/>
      </xdr:nvCxnSpPr>
      <xdr:spPr>
        <a:xfrm flipV="1">
          <a:off x="4400550" y="5705475"/>
          <a:ext cx="0" cy="161925"/>
        </a:xfrm>
        <a:prstGeom prst="line">
          <a:avLst/>
        </a:prstGeom>
        <a:ln w="38100" cap="sq">
          <a:solidFill>
            <a:schemeClr val="bg1">
              <a:lumMod val="75000"/>
            </a:schemeClr>
          </a:solidFill>
          <a:miter lim="800000"/>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22</xdr:col>
      <xdr:colOff>0</xdr:colOff>
      <xdr:row>35</xdr:row>
      <xdr:rowOff>0</xdr:rowOff>
    </xdr:from>
    <xdr:to>
      <xdr:col>28</xdr:col>
      <xdr:colOff>0</xdr:colOff>
      <xdr:row>35</xdr:row>
      <xdr:rowOff>0</xdr:rowOff>
    </xdr:to>
    <xdr:cxnSp macro="">
      <xdr:nvCxnSpPr>
        <xdr:cNvPr id="102" name="直線コネクタ 101">
          <a:extLst>
            <a:ext uri="{FF2B5EF4-FFF2-40B4-BE49-F238E27FC236}">
              <a16:creationId xmlns:a16="http://schemas.microsoft.com/office/drawing/2014/main" id="{00000000-0008-0000-0A00-000066000000}"/>
            </a:ext>
          </a:extLst>
        </xdr:cNvPr>
        <xdr:cNvCxnSpPr/>
      </xdr:nvCxnSpPr>
      <xdr:spPr>
        <a:xfrm>
          <a:off x="4400550" y="5867400"/>
          <a:ext cx="1200150" cy="0"/>
        </a:xfrm>
        <a:prstGeom prst="line">
          <a:avLst/>
        </a:prstGeom>
        <a:ln w="38100" cap="sq">
          <a:solidFill>
            <a:schemeClr val="bg1">
              <a:lumMod val="75000"/>
            </a:schemeClr>
          </a:solidFill>
          <a:miter lim="800000"/>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190500</xdr:colOff>
      <xdr:row>34</xdr:row>
      <xdr:rowOff>0</xdr:rowOff>
    </xdr:from>
    <xdr:to>
      <xdr:col>27</xdr:col>
      <xdr:colOff>190500</xdr:colOff>
      <xdr:row>34</xdr:row>
      <xdr:rowOff>0</xdr:rowOff>
    </xdr:to>
    <xdr:cxnSp macro="">
      <xdr:nvCxnSpPr>
        <xdr:cNvPr id="103" name="直線コネクタ 102">
          <a:extLst>
            <a:ext uri="{FF2B5EF4-FFF2-40B4-BE49-F238E27FC236}">
              <a16:creationId xmlns:a16="http://schemas.microsoft.com/office/drawing/2014/main" id="{00000000-0008-0000-0A00-000067000000}"/>
            </a:ext>
          </a:extLst>
        </xdr:cNvPr>
        <xdr:cNvCxnSpPr/>
      </xdr:nvCxnSpPr>
      <xdr:spPr>
        <a:xfrm>
          <a:off x="4391025" y="5705475"/>
          <a:ext cx="1200150" cy="0"/>
        </a:xfrm>
        <a:prstGeom prst="line">
          <a:avLst/>
        </a:prstGeom>
        <a:ln w="38100" cap="sq">
          <a:solidFill>
            <a:srgbClr val="FF0000"/>
          </a:solidFill>
          <a:miter lim="800000"/>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0</xdr:colOff>
      <xdr:row>34</xdr:row>
      <xdr:rowOff>0</xdr:rowOff>
    </xdr:from>
    <xdr:to>
      <xdr:col>28</xdr:col>
      <xdr:colOff>0</xdr:colOff>
      <xdr:row>35</xdr:row>
      <xdr:rowOff>0</xdr:rowOff>
    </xdr:to>
    <xdr:cxnSp macro="">
      <xdr:nvCxnSpPr>
        <xdr:cNvPr id="104" name="直線コネクタ 103">
          <a:extLst>
            <a:ext uri="{FF2B5EF4-FFF2-40B4-BE49-F238E27FC236}">
              <a16:creationId xmlns:a16="http://schemas.microsoft.com/office/drawing/2014/main" id="{00000000-0008-0000-0A00-000068000000}"/>
            </a:ext>
          </a:extLst>
        </xdr:cNvPr>
        <xdr:cNvCxnSpPr/>
      </xdr:nvCxnSpPr>
      <xdr:spPr>
        <a:xfrm flipV="1">
          <a:off x="5600700" y="5705475"/>
          <a:ext cx="0" cy="161925"/>
        </a:xfrm>
        <a:prstGeom prst="line">
          <a:avLst/>
        </a:prstGeom>
        <a:ln w="38100" cap="sq">
          <a:solidFill>
            <a:srgbClr val="FF0000"/>
          </a:solidFill>
          <a:miter lim="800000"/>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0</xdr:colOff>
      <xdr:row>35</xdr:row>
      <xdr:rowOff>0</xdr:rowOff>
    </xdr:from>
    <xdr:to>
      <xdr:col>34</xdr:col>
      <xdr:colOff>0</xdr:colOff>
      <xdr:row>35</xdr:row>
      <xdr:rowOff>0</xdr:rowOff>
    </xdr:to>
    <xdr:cxnSp macro="">
      <xdr:nvCxnSpPr>
        <xdr:cNvPr id="105" name="直線コネクタ 104">
          <a:extLst>
            <a:ext uri="{FF2B5EF4-FFF2-40B4-BE49-F238E27FC236}">
              <a16:creationId xmlns:a16="http://schemas.microsoft.com/office/drawing/2014/main" id="{00000000-0008-0000-0A00-000069000000}"/>
            </a:ext>
          </a:extLst>
        </xdr:cNvPr>
        <xdr:cNvCxnSpPr/>
      </xdr:nvCxnSpPr>
      <xdr:spPr>
        <a:xfrm>
          <a:off x="5600700" y="5867400"/>
          <a:ext cx="1200150" cy="0"/>
        </a:xfrm>
        <a:prstGeom prst="line">
          <a:avLst/>
        </a:prstGeom>
        <a:ln w="38100" cap="sq">
          <a:miter lim="800000"/>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104775</xdr:colOff>
      <xdr:row>34</xdr:row>
      <xdr:rowOff>85725</xdr:rowOff>
    </xdr:from>
    <xdr:to>
      <xdr:col>24</xdr:col>
      <xdr:colOff>104775</xdr:colOff>
      <xdr:row>35</xdr:row>
      <xdr:rowOff>85725</xdr:rowOff>
    </xdr:to>
    <xdr:grpSp>
      <xdr:nvGrpSpPr>
        <xdr:cNvPr id="106" name="グループ化 105">
          <a:extLst>
            <a:ext uri="{FF2B5EF4-FFF2-40B4-BE49-F238E27FC236}">
              <a16:creationId xmlns:a16="http://schemas.microsoft.com/office/drawing/2014/main" id="{00000000-0008-0000-0A00-00006A000000}"/>
            </a:ext>
          </a:extLst>
        </xdr:cNvPr>
        <xdr:cNvGrpSpPr/>
      </xdr:nvGrpSpPr>
      <xdr:grpSpPr>
        <a:xfrm>
          <a:off x="4247284" y="5904634"/>
          <a:ext cx="180109" cy="166255"/>
          <a:chOff x="6600825" y="8620125"/>
          <a:chExt cx="200025" cy="161925"/>
        </a:xfrm>
      </xdr:grpSpPr>
      <xdr:cxnSp macro="">
        <xdr:nvCxnSpPr>
          <xdr:cNvPr id="107" name="直線コネクタ 106">
            <a:extLst>
              <a:ext uri="{FF2B5EF4-FFF2-40B4-BE49-F238E27FC236}">
                <a16:creationId xmlns:a16="http://schemas.microsoft.com/office/drawing/2014/main" id="{00000000-0008-0000-0A00-00006B000000}"/>
              </a:ext>
            </a:extLst>
          </xdr:cNvPr>
          <xdr:cNvCxnSpPr/>
        </xdr:nvCxnSpPr>
        <xdr:spPr>
          <a:xfrm flipV="1">
            <a:off x="6600825" y="8620125"/>
            <a:ext cx="200025" cy="161925"/>
          </a:xfrm>
          <a:prstGeom prst="line">
            <a:avLst/>
          </a:prstGeom>
          <a:ln w="38100" cap="sq">
            <a:solidFill>
              <a:schemeClr val="bg1">
                <a:lumMod val="75000"/>
              </a:schemeClr>
            </a:solidFill>
            <a:miter lim="800000"/>
          </a:ln>
        </xdr:spPr>
        <xdr:style>
          <a:lnRef idx="1">
            <a:schemeClr val="accent1"/>
          </a:lnRef>
          <a:fillRef idx="0">
            <a:schemeClr val="accent1"/>
          </a:fillRef>
          <a:effectRef idx="0">
            <a:schemeClr val="accent1"/>
          </a:effectRef>
          <a:fontRef idx="minor">
            <a:schemeClr val="tx1"/>
          </a:fontRef>
        </xdr:style>
      </xdr:cxnSp>
      <xdr:cxnSp macro="">
        <xdr:nvCxnSpPr>
          <xdr:cNvPr id="108" name="直線コネクタ 107">
            <a:extLst>
              <a:ext uri="{FF2B5EF4-FFF2-40B4-BE49-F238E27FC236}">
                <a16:creationId xmlns:a16="http://schemas.microsoft.com/office/drawing/2014/main" id="{00000000-0008-0000-0A00-00006C000000}"/>
              </a:ext>
            </a:extLst>
          </xdr:cNvPr>
          <xdr:cNvCxnSpPr/>
        </xdr:nvCxnSpPr>
        <xdr:spPr>
          <a:xfrm>
            <a:off x="6600825" y="8620125"/>
            <a:ext cx="200025" cy="161925"/>
          </a:xfrm>
          <a:prstGeom prst="line">
            <a:avLst/>
          </a:prstGeom>
          <a:ln w="38100" cap="sq">
            <a:solidFill>
              <a:schemeClr val="bg1">
                <a:lumMod val="75000"/>
              </a:schemeClr>
            </a:solidFill>
            <a:miter lim="800000"/>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22</xdr:col>
      <xdr:colOff>0</xdr:colOff>
      <xdr:row>34</xdr:row>
      <xdr:rowOff>0</xdr:rowOff>
    </xdr:from>
    <xdr:to>
      <xdr:col>22</xdr:col>
      <xdr:colOff>0</xdr:colOff>
      <xdr:row>43</xdr:row>
      <xdr:rowOff>0</xdr:rowOff>
    </xdr:to>
    <xdr:cxnSp macro="">
      <xdr:nvCxnSpPr>
        <xdr:cNvPr id="109" name="直線コネクタ 108">
          <a:extLst>
            <a:ext uri="{FF2B5EF4-FFF2-40B4-BE49-F238E27FC236}">
              <a16:creationId xmlns:a16="http://schemas.microsoft.com/office/drawing/2014/main" id="{00000000-0008-0000-0A00-00006D000000}"/>
            </a:ext>
          </a:extLst>
        </xdr:cNvPr>
        <xdr:cNvCxnSpPr/>
      </xdr:nvCxnSpPr>
      <xdr:spPr>
        <a:xfrm>
          <a:off x="4400550" y="5705475"/>
          <a:ext cx="0" cy="1457325"/>
        </a:xfrm>
        <a:prstGeom prst="line">
          <a:avLst/>
        </a:prstGeom>
        <a:ln>
          <a:solidFill>
            <a:srgbClr val="FF0000"/>
          </a:solidFill>
          <a:prstDash val="dash"/>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4579</xdr:colOff>
      <xdr:row>35</xdr:row>
      <xdr:rowOff>0</xdr:rowOff>
    </xdr:from>
    <xdr:to>
      <xdr:col>15</xdr:col>
      <xdr:colOff>0</xdr:colOff>
      <xdr:row>36</xdr:row>
      <xdr:rowOff>0</xdr:rowOff>
    </xdr:to>
    <xdr:sp macro="" textlink="">
      <xdr:nvSpPr>
        <xdr:cNvPr id="110" name="稲妻 109">
          <a:extLst>
            <a:ext uri="{FF2B5EF4-FFF2-40B4-BE49-F238E27FC236}">
              <a16:creationId xmlns:a16="http://schemas.microsoft.com/office/drawing/2014/main" id="{00000000-0008-0000-0A00-00006E000000}"/>
            </a:ext>
          </a:extLst>
        </xdr:cNvPr>
        <xdr:cNvSpPr/>
      </xdr:nvSpPr>
      <xdr:spPr>
        <a:xfrm flipV="1">
          <a:off x="2804929" y="5867400"/>
          <a:ext cx="195446" cy="161925"/>
        </a:xfrm>
        <a:prstGeom prst="lightningBol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latin typeface="Tahoma" panose="020B0604030504040204" pitchFamily="34" charset="0"/>
            <a:ea typeface="Meiryo UI" panose="020B0604030504040204" pitchFamily="50" charset="-128"/>
            <a:cs typeface="Tahoma" panose="020B0604030504040204" pitchFamily="34" charset="0"/>
          </a:endParaRPr>
        </a:p>
      </xdr:txBody>
    </xdr:sp>
    <xdr:clientData/>
  </xdr:twoCellAnchor>
  <xdr:twoCellAnchor>
    <xdr:from>
      <xdr:col>28</xdr:col>
      <xdr:colOff>0</xdr:colOff>
      <xdr:row>35</xdr:row>
      <xdr:rowOff>0</xdr:rowOff>
    </xdr:from>
    <xdr:to>
      <xdr:col>29</xdr:col>
      <xdr:colOff>0</xdr:colOff>
      <xdr:row>36</xdr:row>
      <xdr:rowOff>1</xdr:rowOff>
    </xdr:to>
    <xdr:sp macro="" textlink="">
      <xdr:nvSpPr>
        <xdr:cNvPr id="111" name="稲妻 110">
          <a:extLst>
            <a:ext uri="{FF2B5EF4-FFF2-40B4-BE49-F238E27FC236}">
              <a16:creationId xmlns:a16="http://schemas.microsoft.com/office/drawing/2014/main" id="{00000000-0008-0000-0A00-00006F000000}"/>
            </a:ext>
          </a:extLst>
        </xdr:cNvPr>
        <xdr:cNvSpPr/>
      </xdr:nvSpPr>
      <xdr:spPr>
        <a:xfrm flipH="1" flipV="1">
          <a:off x="5600700" y="5867400"/>
          <a:ext cx="200025" cy="161926"/>
        </a:xfrm>
        <a:prstGeom prst="lightningBol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latin typeface="Tahoma" panose="020B0604030504040204" pitchFamily="34" charset="0"/>
            <a:ea typeface="Meiryo UI" panose="020B0604030504040204" pitchFamily="50" charset="-128"/>
            <a:cs typeface="Tahoma" panose="020B0604030504040204" pitchFamily="34" charset="0"/>
          </a:endParaRPr>
        </a:p>
      </xdr:txBody>
    </xdr:sp>
    <xdr:clientData/>
  </xdr:twoCellAnchor>
  <xdr:twoCellAnchor>
    <xdr:from>
      <xdr:col>25</xdr:col>
      <xdr:colOff>104775</xdr:colOff>
      <xdr:row>43</xdr:row>
      <xdr:rowOff>76200</xdr:rowOff>
    </xdr:from>
    <xdr:to>
      <xdr:col>26</xdr:col>
      <xdr:colOff>104775</xdr:colOff>
      <xdr:row>44</xdr:row>
      <xdr:rowOff>76200</xdr:rowOff>
    </xdr:to>
    <xdr:grpSp>
      <xdr:nvGrpSpPr>
        <xdr:cNvPr id="112" name="グループ化 111">
          <a:extLst>
            <a:ext uri="{FF2B5EF4-FFF2-40B4-BE49-F238E27FC236}">
              <a16:creationId xmlns:a16="http://schemas.microsoft.com/office/drawing/2014/main" id="{00000000-0008-0000-0A00-000070000000}"/>
            </a:ext>
          </a:extLst>
        </xdr:cNvPr>
        <xdr:cNvGrpSpPr/>
      </xdr:nvGrpSpPr>
      <xdr:grpSpPr>
        <a:xfrm>
          <a:off x="4607502" y="7391400"/>
          <a:ext cx="180109" cy="166255"/>
          <a:chOff x="6600825" y="8620125"/>
          <a:chExt cx="200025" cy="161925"/>
        </a:xfrm>
      </xdr:grpSpPr>
      <xdr:cxnSp macro="">
        <xdr:nvCxnSpPr>
          <xdr:cNvPr id="113" name="直線コネクタ 112">
            <a:extLst>
              <a:ext uri="{FF2B5EF4-FFF2-40B4-BE49-F238E27FC236}">
                <a16:creationId xmlns:a16="http://schemas.microsoft.com/office/drawing/2014/main" id="{00000000-0008-0000-0A00-000071000000}"/>
              </a:ext>
            </a:extLst>
          </xdr:cNvPr>
          <xdr:cNvCxnSpPr/>
        </xdr:nvCxnSpPr>
        <xdr:spPr>
          <a:xfrm flipV="1">
            <a:off x="6600825" y="8620125"/>
            <a:ext cx="200025" cy="161925"/>
          </a:xfrm>
          <a:prstGeom prst="line">
            <a:avLst/>
          </a:prstGeom>
          <a:ln w="38100" cap="sq">
            <a:solidFill>
              <a:schemeClr val="bg1">
                <a:lumMod val="75000"/>
              </a:schemeClr>
            </a:solidFill>
            <a:miter lim="800000"/>
          </a:ln>
        </xdr:spPr>
        <xdr:style>
          <a:lnRef idx="1">
            <a:schemeClr val="accent1"/>
          </a:lnRef>
          <a:fillRef idx="0">
            <a:schemeClr val="accent1"/>
          </a:fillRef>
          <a:effectRef idx="0">
            <a:schemeClr val="accent1"/>
          </a:effectRef>
          <a:fontRef idx="minor">
            <a:schemeClr val="tx1"/>
          </a:fontRef>
        </xdr:style>
      </xdr:cxnSp>
      <xdr:cxnSp macro="">
        <xdr:nvCxnSpPr>
          <xdr:cNvPr id="114" name="直線コネクタ 113">
            <a:extLst>
              <a:ext uri="{FF2B5EF4-FFF2-40B4-BE49-F238E27FC236}">
                <a16:creationId xmlns:a16="http://schemas.microsoft.com/office/drawing/2014/main" id="{00000000-0008-0000-0A00-000072000000}"/>
              </a:ext>
            </a:extLst>
          </xdr:cNvPr>
          <xdr:cNvCxnSpPr/>
        </xdr:nvCxnSpPr>
        <xdr:spPr>
          <a:xfrm>
            <a:off x="6600825" y="8620125"/>
            <a:ext cx="200025" cy="161925"/>
          </a:xfrm>
          <a:prstGeom prst="line">
            <a:avLst/>
          </a:prstGeom>
          <a:ln w="38100" cap="sq">
            <a:solidFill>
              <a:schemeClr val="bg1">
                <a:lumMod val="75000"/>
              </a:schemeClr>
            </a:solidFill>
            <a:miter lim="800000"/>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9</xdr:col>
      <xdr:colOff>0</xdr:colOff>
      <xdr:row>39</xdr:row>
      <xdr:rowOff>0</xdr:rowOff>
    </xdr:from>
    <xdr:to>
      <xdr:col>13</xdr:col>
      <xdr:colOff>0</xdr:colOff>
      <xdr:row>39</xdr:row>
      <xdr:rowOff>0</xdr:rowOff>
    </xdr:to>
    <xdr:cxnSp macro="">
      <xdr:nvCxnSpPr>
        <xdr:cNvPr id="115" name="直線コネクタ 114">
          <a:extLst>
            <a:ext uri="{FF2B5EF4-FFF2-40B4-BE49-F238E27FC236}">
              <a16:creationId xmlns:a16="http://schemas.microsoft.com/office/drawing/2014/main" id="{00000000-0008-0000-0A00-000073000000}"/>
            </a:ext>
          </a:extLst>
        </xdr:cNvPr>
        <xdr:cNvCxnSpPr/>
      </xdr:nvCxnSpPr>
      <xdr:spPr>
        <a:xfrm>
          <a:off x="1800225" y="6515100"/>
          <a:ext cx="800100" cy="0"/>
        </a:xfrm>
        <a:prstGeom prst="line">
          <a:avLst/>
        </a:prstGeom>
        <a:ln w="38100" cap="sq">
          <a:miter lim="800000"/>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39</xdr:row>
      <xdr:rowOff>0</xdr:rowOff>
    </xdr:from>
    <xdr:to>
      <xdr:col>15</xdr:col>
      <xdr:colOff>0</xdr:colOff>
      <xdr:row>41</xdr:row>
      <xdr:rowOff>0</xdr:rowOff>
    </xdr:to>
    <xdr:cxnSp macro="">
      <xdr:nvCxnSpPr>
        <xdr:cNvPr id="116" name="直線コネクタ 115">
          <a:extLst>
            <a:ext uri="{FF2B5EF4-FFF2-40B4-BE49-F238E27FC236}">
              <a16:creationId xmlns:a16="http://schemas.microsoft.com/office/drawing/2014/main" id="{00000000-0008-0000-0A00-000074000000}"/>
            </a:ext>
          </a:extLst>
        </xdr:cNvPr>
        <xdr:cNvCxnSpPr/>
      </xdr:nvCxnSpPr>
      <xdr:spPr>
        <a:xfrm flipH="1" flipV="1">
          <a:off x="2600325" y="6515100"/>
          <a:ext cx="400050" cy="323850"/>
        </a:xfrm>
        <a:prstGeom prst="line">
          <a:avLst/>
        </a:prstGeom>
        <a:ln w="38100" cap="sq">
          <a:miter lim="800000"/>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35</xdr:row>
      <xdr:rowOff>0</xdr:rowOff>
    </xdr:from>
    <xdr:to>
      <xdr:col>12</xdr:col>
      <xdr:colOff>0</xdr:colOff>
      <xdr:row>39</xdr:row>
      <xdr:rowOff>0</xdr:rowOff>
    </xdr:to>
    <xdr:cxnSp macro="">
      <xdr:nvCxnSpPr>
        <xdr:cNvPr id="117" name="直線コネクタ 116">
          <a:extLst>
            <a:ext uri="{FF2B5EF4-FFF2-40B4-BE49-F238E27FC236}">
              <a16:creationId xmlns:a16="http://schemas.microsoft.com/office/drawing/2014/main" id="{00000000-0008-0000-0A00-000075000000}"/>
            </a:ext>
          </a:extLst>
        </xdr:cNvPr>
        <xdr:cNvCxnSpPr/>
      </xdr:nvCxnSpPr>
      <xdr:spPr>
        <a:xfrm>
          <a:off x="2400300" y="5867400"/>
          <a:ext cx="0" cy="647700"/>
        </a:xfrm>
        <a:prstGeom prst="line">
          <a:avLst/>
        </a:prstGeom>
        <a:ln>
          <a:solidFill>
            <a:srgbClr val="0070C0"/>
          </a:solidFill>
          <a:prstDash val="dash"/>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197224</xdr:colOff>
      <xdr:row>43</xdr:row>
      <xdr:rowOff>0</xdr:rowOff>
    </xdr:from>
    <xdr:to>
      <xdr:col>33</xdr:col>
      <xdr:colOff>197224</xdr:colOff>
      <xdr:row>43</xdr:row>
      <xdr:rowOff>0</xdr:rowOff>
    </xdr:to>
    <xdr:cxnSp macro="">
      <xdr:nvCxnSpPr>
        <xdr:cNvPr id="118" name="直線コネクタ 117">
          <a:extLst>
            <a:ext uri="{FF2B5EF4-FFF2-40B4-BE49-F238E27FC236}">
              <a16:creationId xmlns:a16="http://schemas.microsoft.com/office/drawing/2014/main" id="{00000000-0008-0000-0A00-000076000000}"/>
            </a:ext>
          </a:extLst>
        </xdr:cNvPr>
        <xdr:cNvCxnSpPr/>
      </xdr:nvCxnSpPr>
      <xdr:spPr>
        <a:xfrm>
          <a:off x="4397749" y="7162800"/>
          <a:ext cx="2400300" cy="0"/>
        </a:xfrm>
        <a:prstGeom prst="line">
          <a:avLst/>
        </a:prstGeom>
        <a:ln w="38100" cap="sq">
          <a:solidFill>
            <a:srgbClr val="FF0000"/>
          </a:solidFill>
          <a:miter lim="800000"/>
        </a:ln>
      </xdr:spPr>
      <xdr:style>
        <a:lnRef idx="1">
          <a:schemeClr val="accent1"/>
        </a:lnRef>
        <a:fillRef idx="0">
          <a:schemeClr val="accent1"/>
        </a:fillRef>
        <a:effectRef idx="0">
          <a:schemeClr val="accent1"/>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MSV01007\USERS\Miyakoda\nakada\edit_result_vvt.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Ssv17007\&#12520;&#12477;&#20849;&#26377;\ank\-050907_&#26908;&#26619;_YP0_CNG_05&#12510;&#12452;&#12490;\00_&#26908;&#26619;&#32080;&#26524;\00_&#33258;&#21205;&#26908;&#26619;\&#21028;&#23450;&#12510;&#12463;&#12525;\edit_result_vvt_yp0.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https://sites.inside-share3.bosch.com/SS4/ECI/EXEL/PIN&#37197;&#21015;/V6ECI/V6GDI.XLS"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http://ssv01097.hhq.suzuki.co.jp/SS4/ECI/EXEL/PIN&#37197;&#21015;/V6ECI/V6GDI.XLS"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file:///\\Svf420\brake\HORIKAWA_TEAM\H07_&#20491;&#20154;\&#23433;&#26494;\&#27231;&#31278;&#21029;\Y1J\071010_FailureStatus&amp;Display&#26908;&#35342;&#36039;&#26009;_&#25913;&#65288;CAC&#36865;&#20184;&#65289;.xls"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file:///M:\500DENSHI_G3\&#12304;&#31038;&#22806;&#31192;&#12305;\&#65297;&#25216;&#34899;&#36899;&#32097;&#26360;\G_&#29123;&#26009;&#22132;&#23556;(SYS)\7_&#36605;&#22235;\4_SMC\&#31038;&#22806;&#31192;_1G741845_KA_M-Tc_&#22987;&#21205;&#24615;&#30906;&#35469;&#32080;&#26524;\&#22987;&#21205;.xls" TargetMode="External"/></Relationships>
</file>

<file path=xl/externalLinks/_rels/externalLink7.xml.rels><?xml version="1.0" encoding="UTF-8" standalone="yes"?>
<Relationships xmlns="http://schemas.openxmlformats.org/package/2006/relationships"><Relationship Id="rId1" Type="http://schemas.openxmlformats.org/officeDocument/2006/relationships/externalLinkPath" Target="file:///P:\&#21271;&#26465;\&#35211;&#31309;&#12418;&#12426;\99Pcb\&#35211;&#31309;&#12418;&#12426;\&#26085;&#31435;&#21521;&#12369;&#35211;&#31309;&#12418;&#12426;&#65298;.xls" TargetMode="External"/></Relationships>
</file>

<file path=xl/externalLinks/_rels/externalLink8.xml.rels><?xml version="1.0" encoding="UTF-8" standalone="yes"?>
<Relationships xmlns="http://schemas.openxmlformats.org/package/2006/relationships"><Relationship Id="rId1" Type="http://schemas.openxmlformats.org/officeDocument/2006/relationships/externalLinkPath" Target="file:///\\S40svr01\s40\windows\&#65411;&#65438;&#65405;&#65400;&#65412;&#65391;&#65420;&#65439;\Koyama1\&#65418;&#65438;&#65405;\&#65400;&#65434;&#65392;&#65425;&#20998;&#26512;\LR&#12539;LT&#65400;&#65434;&#65392;&#65425;&#20998;&#26512;.xls" TargetMode="External"/></Relationships>
</file>

<file path=xl/externalLinks/_rels/externalLink9.xml.rels><?xml version="1.0" encoding="UTF-8" standalone="yes"?>
<Relationships xmlns="http://schemas.openxmlformats.org/package/2006/relationships"><Relationship Id="rId1" Type="http://schemas.openxmlformats.org/officeDocument/2006/relationships/externalLinkPath" Target="file:///\\Ssv23001\common_data\DirectorsMaterial\gyoumukeikaku_hearing\20070202&#26989;&#21209;&#12498;&#12516;&#12522;&#12531;&#12464;\&#9319;&#38283;&#30330;&#24037;&#25968;_070125.xls" TargetMode="External"/></Relationships>
</file>

<file path=xl/externalLinks/_rels/externalLink10.xml.rels><?xml version="1.0" encoding="UTF-8" standalone="yes"?>
<Relationships xmlns="http://schemas.openxmlformats.org/package/2006/relationships"><Relationship Id="rId1" Type="http://schemas.openxmlformats.org/officeDocument/2006/relationships/externalLinkPath" Target="https://sites.share.bosch.com/Users/B006747/AppData/Local/Temp/notesEA312D/EOL%20&#35069;&#21697;&#20181;&#27096;&#26360;_&#34920;&#32025;.xlsx" TargetMode="External"/></Relationships>
</file>

<file path=xl/externalLinks/_rels/externalLink11.xml.rels><?xml version="1.0" encoding="UTF-8" standalone="yes"?>
<Relationships xmlns="http://schemas.openxmlformats.org/package/2006/relationships"><Relationship Id="rId1" Type="http://schemas.openxmlformats.org/officeDocument/2006/relationships/externalLinkPath" Target="https://sites.share.bosch.com/Users/A516641/AppData/Local/Temp/notesEA312D/EOL%20&#35069;&#21697;&#20181;&#27096;&#26360;_&#34920;&#32025;.xlsx" TargetMode="External"/></Relationships>
</file>

<file path=xl/externalLinks/_rels/externalLink12.xml.rels><?xml version="1.0" encoding="UTF-8" standalone="yes"?>
<Relationships xmlns="http://schemas.openxmlformats.org/package/2006/relationships"><Relationship Id="rId1" Type="http://schemas.openxmlformats.org/officeDocument/2006/relationships/externalLinkPath" Target="file:///\\Jb1hi035\st1\gen\&#38283;&#30330;&#65329;&#65331;&#65305;&#65296;&#65296;&#65296;\&#22522;&#28310;&#65299;&#27425;&#29256;\&#12452;&#12531;&#12503;&#12483;&#12488;\&#21029;&#32025;2.xls" TargetMode="External"/></Relationships>
</file>

<file path=xl/externalLinks/_rels/externalLink13.xml.rels><?xml version="1.0" encoding="UTF-8" standalone="yes"?>
<Relationships xmlns="http://schemas.openxmlformats.org/package/2006/relationships"><Relationship Id="rId1" Type="http://schemas.openxmlformats.org/officeDocument/2006/relationships/externalLinkPath" Target="file:///\\Gijutsu03\&#37096;&#38272;&#20849;&#26377;2\&#38651;&#25216;\&#20491;&#21029;\01_&#27231;&#31278;&#38283;&#30330;\&#20491;&#21029;&#27231;&#31278;\&#65324;&#12471;&#12522;&#12540;&#12474;\&#26032;&#65316;&#65299;&#65296;&#65326;\21_&#27963;&#21205;&#35336;&#30011;\&#27963;&#21205;&#29366;&#27841;&#35211;&#12360;&#12427;&#21270;&#36039;&#26009;1001\&#20491;&#21029;\01_&#27231;&#31278;&#38283;&#30330;\&#20491;&#21029;&#27231;&#31278;\D32N_D80N&#36899;&#25658;\&#20316;&#25126;_&#65404;&#65413;&#65432;&#65397;_&#35373;&#35336;&#32032;&#36074;\D80N&#23554;&#29992;&#20316;&#25126;&#12471;&#12540;&#12488;\Documents%20and%20Settings\0056040\My%20Documents\&#35696;&#20107;&#37682;&#21407;&#32025;.xls" TargetMode="External"/></Relationships>
</file>

<file path=xl/externalLinks/_rels/externalLink14.xml.rels><?xml version="1.0" encoding="UTF-8" standalone="yes"?>
<Relationships xmlns="http://schemas.openxmlformats.org/package/2006/relationships"><Relationship Id="rId1" Type="http://schemas.openxmlformats.org/officeDocument/2006/relationships/externalLinkPath" Target="file:///\\Ntfile05\sg0\WINDOWS\&#65411;&#65438;&#65405;&#65400;&#65412;&#65391;&#65420;&#65439;\SPR%20&#12471;&#12540;&#12488;\CVT1%20&#27491;&#35215;.xls" TargetMode="External"/></Relationships>
</file>

<file path=xl/externalLinks/_rels/externalLink15.xml.rels><?xml version="1.0" encoding="UTF-8" standalone="yes"?>
<Relationships xmlns="http://schemas.openxmlformats.org/package/2006/relationships"><Relationship Id="rId1" Type="http://schemas.openxmlformats.org/officeDocument/2006/relationships/externalLinkPath" Target="file:///\\jx0kr003\EPpost\Documents%20and%20Settings\N183774\Local%20Settings\Temporary%20Internet%20Files\Content.IE5\KHIBG5IF\X41D2030217_2-3(1).xls" TargetMode="External"/></Relationships>
</file>

<file path=xl/externalLinks/_rels/externalLink16.xml.rels><?xml version="1.0" encoding="UTF-8" standalone="yes"?>
<Relationships xmlns="http://schemas.openxmlformats.org/package/2006/relationships"><Relationship Id="rId1" Type="http://schemas.openxmlformats.org/officeDocument/2006/relationships/externalLinkPath" Target="file:///\\Isanmbdv01\mbd\CY2009%20&amp;%20CY2010\Templates\TTM11_Variants&amp;Menu.xls" TargetMode="External"/></Relationships>
</file>

<file path=xl/externalLinks/_rels/externalLink17.xml.rels><?xml version="1.0" encoding="UTF-8" standalone="yes"?>
<Relationships xmlns="http://schemas.openxmlformats.org/package/2006/relationships"><Relationship Id="rId1" Type="http://schemas.microsoft.com/office/2006/relationships/xlExternalLinkPath/xlPathMissing" Target="&#12456;&#12502;&#12522;&#12452;&#31995;&#26032;&#20445;&#23433;&#22522;&#28310;&#35576;&#20803;&#20516;&#26908;&#35342;&#65305;&#65301;.xls" TargetMode="External"/></Relationships>
</file>

<file path=xl/externalLinks/_rels/externalLink18.xml.rels><?xml version="1.0" encoding="UTF-8" standalone="yes"?>
<Relationships xmlns="http://schemas.openxmlformats.org/package/2006/relationships"><Relationship Id="rId1" Type="http://schemas.openxmlformats.org/officeDocument/2006/relationships/externalLinkPath" Target="file:///\\deruespo05\Tech2_K\Systems\Holden\Infotainment\venim\5_Tech2%20Specification\Tech2_NIM_Holden_VE_&amp;_Buick_Park_Avenue_Ver01.xls" TargetMode="External"/></Relationships>
</file>

<file path=xl/externalLinks/_rels/externalLink19.xml.rels><?xml version="1.0" encoding="UTF-8" standalone="yes"?>
<Relationships xmlns="http://schemas.openxmlformats.org/package/2006/relationships"><Relationship Id="rId1" Type="http://schemas.openxmlformats.org/officeDocument/2006/relationships/externalLinkPath" Target="file:///\\Isanmbdv01\mbd\DOCUME~1\A512287\LOCALS~1\Temp\notesE487CF\ABS%20Specification\RT50%20ABS(ESC)%20Specification%20Ver.1.6.xls" TargetMode="External"/></Relationships>
</file>

<file path=xl/externalLinks/_rels/externalLink20.xml.rels><?xml version="1.0" encoding="UTF-8" standalone="yes"?>
<Relationships xmlns="http://schemas.openxmlformats.org/package/2006/relationships"><Relationship Id="rId1" Type="http://schemas.openxmlformats.org/officeDocument/2006/relationships/externalLinkPath" Target="file:///\\A211345\&#20849;&#26377;\WINDOWS\TEMP\MSOFFICE\EXCEL5\&#39366;&#21205;&#31995;1.WJ2" TargetMode="External"/></Relationships>
</file>

<file path=xl/externalLinks/_rels/externalLink21.xml.rels><?xml version="1.0" encoding="UTF-8" standalone="yes"?>
<Relationships xmlns="http://schemas.openxmlformats.org/package/2006/relationships"><Relationship Id="rId1" Type="http://schemas.openxmlformats.org/officeDocument/2006/relationships/externalLinkPath" Target="file:///P:\&#21271;&#26465;\&#35211;&#31309;&#12418;&#12426;\99Pcb\&#26376;&#27425;&#36039;&#26009;\99PCB&#37327;&#29987;&#21697;.xls" TargetMode="External"/></Relationships>
</file>

<file path=xl/externalLinks/_rels/externalLink22.xml.rels><?xml version="1.0" encoding="UTF-8" standalone="yes"?>
<Relationships xmlns="http://schemas.openxmlformats.org/package/2006/relationships"><Relationship Id="rId1" Type="http://schemas.openxmlformats.org/officeDocument/2006/relationships/externalLinkPath" Target="file:///\\ABS_SERVER\system2\data\XLS\ECU8\fmea\fmea\fmea\&#65420;&#65438;&#25216;&#35373;-002&#20206;.xls" TargetMode="External"/></Relationships>
</file>

<file path=xl/externalLinks/_rels/externalLink23.xml.rels><?xml version="1.0" encoding="UTF-8" standalone="yes"?>
<Relationships xmlns="http://schemas.openxmlformats.org/package/2006/relationships"><Relationship Id="rId1" Type="http://schemas.openxmlformats.org/officeDocument/2006/relationships/externalLinkPath" Target="https://sites.inside-share3.bosch.com/sites/109767/Documents/30_SW/C-Dev/C4-PVER_Dev/C42_Tester_communication/89_Support_Info_Sheet/aa/UDS_QA.xlsx" TargetMode="External"/></Relationships>
</file>

<file path=xl/externalLinks/_rels/externalLink24.xml.rels><?xml version="1.0" encoding="UTF-8" standalone="yes"?>
<Relationships xmlns="http://schemas.openxmlformats.org/package/2006/relationships"><Relationship Id="rId1" Type="http://schemas.openxmlformats.org/officeDocument/2006/relationships/externalLinkPath" Target="file:///\\Ssv23001\common_data\DirectorsMaterial\gyoumukeikaku_hearing\20070202&#26989;&#21209;&#12498;&#12516;&#12522;&#12531;&#12464;\&#9318;070126&#24037;&#25968;&#35211;&#30452;&#12375;&#21508;&#37096;_&#26368;&#32066;.xls" TargetMode="External"/></Relationships>
</file>

<file path=xl/externalLinks/_rels/externalLink25.xml.rels><?xml version="1.0" encoding="UTF-8" standalone="yes"?>
<Relationships xmlns="http://schemas.openxmlformats.org/package/2006/relationships"><Relationship Id="rId1" Type="http://schemas.openxmlformats.org/officeDocument/2006/relationships/externalLinkPath" Target="https://sites.share.bosch.com/Users/mrh6kor/Downloads/Part3(C-KWP)_ECM(RB)_YSABDE(16_20)_Ver8.0(&#37327;)(6).xlsx" TargetMode="External"/></Relationships>
</file>

<file path=xl/externalLinks/_rels/externalLink26.xml.rels><?xml version="1.0" encoding="UTF-8" standalone="yes"?>
<Relationships xmlns="http://schemas.openxmlformats.org/package/2006/relationships"><Relationship Id="rId1" Type="http://schemas.openxmlformats.org/officeDocument/2006/relationships/externalLinkPath" Target="https://sites.inside-share3.bosch.com/Users/suj1yh/AppData/Local/Temp/SMC_MDG1_SupportInformationSheet_V03_edit.xlsm" TargetMode="External"/></Relationships>
</file>

<file path=xl/externalLinks/_rels/externalLink27.xml.rels><?xml version="1.0" encoding="UTF-8" standalone="yes"?>
<Relationships xmlns="http://schemas.openxmlformats.org/package/2006/relationships"><Relationship Id="rId1" Type="http://schemas.openxmlformats.org/officeDocument/2006/relationships/externalLinkPath" Target="https://sites.inside-share3.bosch.com/Users/soy5yh/AppData/Local/Temp/TNGA-D_SupportInformationSheet_V01_draft.xlsx" TargetMode="External"/></Relationships>
</file>

<file path=xl/externalLinks/_rels/externalLink28.xml.rels><?xml version="1.0" encoding="UTF-8" standalone="yes"?>
<Relationships xmlns="http://schemas.openxmlformats.org/package/2006/relationships"><Relationship Id="rId1" Type="http://schemas.openxmlformats.org/officeDocument/2006/relationships/externalLinkPath" Target="file:///\\Isanmbdv01\mbd\DOCUME~1\A512287\LOCALS~1\Temp\notesE487CF\WINDOWS\TEMP\&#65296;&#65296;%20&#25216;&#34899;&#12398;&#26862;\6X1&#65408;&#65394;&#65424;&#65437;&#65400;&#65438;&#65421;&#65438;&#65433;&#65412;\HEO&#20999;&#25613;\&#65296;&#65296;%20&#25216;&#34899;&#12398;&#26862;\&#65408;&#65394;&#65424;&#65437;&#65400;&#65438;&#65421;&#65438;&#65433;&#65412;\HEO&#20999;&#25613;\&#65436;&#65394;&#65420;&#65438;&#65433;&#65306;%20HEO%20T.BELT&#65288;00.09.09).xls" TargetMode="External"/></Relationships>
</file>

<file path=xl/externalLinks/_rels/externalLink29.xml.rels><?xml version="1.0" encoding="UTF-8" standalone="yes"?>
<Relationships xmlns="http://schemas.openxmlformats.org/package/2006/relationships"><Relationship Id="rId1" Type="http://schemas.openxmlformats.org/officeDocument/2006/relationships/externalLinkPath" Target="file:///N:\Documents%20and%20Settings\ozk1yh\Local%20Settings\Temporary%20Internet%20Files\Content.Outlook\OP3UW97V\ECU_Requirement_reciew_checklist%20(2).xlsx" TargetMode="External"/></Relationships>
</file>

<file path=xl/externalLinks/_rels/externalLink30.xml.rels><?xml version="1.0" encoding="UTF-8" standalone="yes"?>
<Relationships xmlns="http://schemas.openxmlformats.org/package/2006/relationships"><Relationship Id="rId1" Type="http://schemas.openxmlformats.org/officeDocument/2006/relationships/externalLinkPath" Target="file:///\\Svf420\Brake\SUGITA_TEAM\S05_SUV\&#26032;\&#27231;&#31278;&#21029;\YT4&#65288;08&#65423;&#65394;&#65413;&#65289;\&#37096;&#21697;&#21029;\CH550\HU\Soft\&#20181;&#27096;&#26360;\071010_FailureStatus&amp;Display&#26908;&#35342;&#36039;&#26009;_&#25913;&#65288;CAC&#36865;&#20184;&#65289;.xls" TargetMode="External"/></Relationships>
</file>

<file path=xl/externalLinks/_rels/externalLink31.xml.rels><?xml version="1.0" encoding="UTF-8" standalone="yes"?>
<Relationships xmlns="http://schemas.openxmlformats.org/package/2006/relationships"><Relationship Id="rId1" Type="http://schemas.openxmlformats.org/officeDocument/2006/relationships/externalLinkPath" Target="file:///\\denso02\common\100_&#37096;&#21697;&#38283;&#30330;\150_&#21046;&#24481;\&#21046;&#24481;&#20181;&#27096;&#26360;\312%20CAN%20Part2\YD3\&#37327;&#29987;&#29256;\Ver1.0\YD3_CAN_Part2_Ver1.0MP&#24046;&#26367;2.xls" TargetMode="External"/></Relationships>
</file>

<file path=xl/externalLinks/_rels/externalLink32.xml.rels><?xml version="1.0" encoding="UTF-8" standalone="yes"?>
<Relationships xmlns="http://schemas.openxmlformats.org/package/2006/relationships"><Relationship Id="rId1" Type="http://schemas.openxmlformats.org/officeDocument/2006/relationships/externalLinkPath" Target="file:///\\denso02\common\100_&#37096;&#21697;&#38283;&#30330;\150_&#21046;&#24481;\&#21046;&#24481;&#20181;&#27096;&#26360;\312%20CAN%20Part2\xls&#12501;&#12457;&#12540;&#12510;&#12483;&#12488;\Format_SMC_CAN_SPEC_PART2_110125.xls" TargetMode="External"/></Relationships>
</file>

<file path=xl/externalLinks/_rels/externalLink33.xml.rels><?xml version="1.0" encoding="UTF-8" standalone="yes"?>
<Relationships xmlns="http://schemas.openxmlformats.org/package/2006/relationships"><Relationship Id="rId1" Type="http://schemas.openxmlformats.org/officeDocument/2006/relationships/externalLinkPath" Target="file:///\\Denso02\common\100_&#37096;&#21697;&#38283;&#30330;\150_&#21046;&#24481;\&#21046;&#24481;&#20181;&#27096;&#26360;\312%20CAN%20Part2\YP6series\Ver4_0\YP6series_SMC_CAN_SPEC_PART2_Ver4_0_Draft.xls" TargetMode="External"/></Relationships>
</file>

<file path=xl/externalLinks/_rels/externalLink34.xml.rels><?xml version="1.0" encoding="UTF-8" standalone="yes"?>
<Relationships xmlns="http://schemas.openxmlformats.org/package/2006/relationships"><Relationship Id="rId1" Type="http://schemas.openxmlformats.org/officeDocument/2006/relationships/externalLinkPath" Target="file:///\\Iszfs703\703K008\Documents%20and%20Settings\hideki\Local%20Settings\Temporary%20Internet%20Files\OLK99\PRJ\C&amp;E\380\1&#38499;EPL&#12481;&#12455;&#12483;&#12463;&#36039;&#26009;\SIS-3772-3&#65306;380&#35373;&#35336;&#20181;&#27096;3-2&#39366;&#21205;&#31995;&#23637;&#38283;.xls" TargetMode="External"/></Relationships>
</file>

<file path=xl/externalLinks/_rels/externalLink35.xml.rels><?xml version="1.0" encoding="UTF-8" standalone="yes"?>
<Relationships xmlns="http://schemas.openxmlformats.org/package/2006/relationships"><Relationship Id="rId1" Type="http://schemas.openxmlformats.org/officeDocument/2006/relationships/externalLinkPath" Target="file:///\\GENKASVR\PT&#12464;&#12523;&#12540;&#12503;\My%20Documents\&#26032;&#35215;&#21697;&#30058;&#65432;&#65405;&#65412;\&#65300;&#65317;&#31995;\OPEL\Euro4%20&#37096;&#21697;&#31649;&#29702;&#34920;.xls" TargetMode="External"/></Relationships>
</file>

<file path=xl/externalLinks/_rels/externalLink36.xml.rels><?xml version="1.0" encoding="UTF-8" standalone="yes"?>
<Relationships xmlns="http://schemas.openxmlformats.org/package/2006/relationships"><Relationship Id="rId1" Type="http://schemas.openxmlformats.org/officeDocument/2006/relationships/externalLinkPath" Target="file:///\\tec-hfs01\&#12456;&#12531;&#12472;&#12531;\MyDoc\1469927\My%20Documents\&#35430;&#39443;&#26360;&#39006;\&#27431;&#24030;&#23455;&#36554;&#32784;&#20037;\583F-2309_643F_&#27431;&#24030;&#23455;&#36554;&#32784;&#20037;&#29992;ENG&#24615;&#33021;&#28204;&#23450;_&#20013;&#28580;.xls" TargetMode="External"/></Relationships>
</file>

<file path=xl/externalLinks/_rels/externalLink37.xml.rels><?xml version="1.0" encoding="UTF-8" standalone="yes"?>
<Relationships xmlns="http://schemas.openxmlformats.org/package/2006/relationships"><Relationship Id="rId1" Type="http://schemas.openxmlformats.org/officeDocument/2006/relationships/externalLinkPath" Target="file:///\\Denso02\&#21046;&#24481;\&#21046;&#24481;&#20181;&#27096;&#26360;\312%20CAN%20Part2\YC5\&#38283;&#30330;&#29256;\ver1.2(Draft)\(Draft)YC5_CAN_SPECIFICATION_PART2_Ver1.2.xls" TargetMode="External"/></Relationships>
</file>

<file path=xl/externalLinks/_rels/externalLink38.xml.rels><?xml version="1.0" encoding="UTF-8" standalone="yes"?>
<Relationships xmlns="http://schemas.openxmlformats.org/package/2006/relationships"><Relationship Id="rId1" Type="http://schemas.openxmlformats.org/officeDocument/2006/relationships/externalLinkPath" Target="https://sites.inside-share3.bosch.com/sites/109767/Documents/30_SW/C-Dev/C4-PVER_Dev/C42_Tester_communication/09_OPL/01_ECO/UDS_validation_report/TesterSpec_Worksheet_in_Isz_PC43_V410_20190806.xlsm" TargetMode="External"/></Relationships>
</file>

<file path=xl/externalLinks/_rels/externalLink39.xml.rels><?xml version="1.0" encoding="UTF-8" standalone="yes"?>
<Relationships xmlns="http://schemas.openxmlformats.org/package/2006/relationships"><Relationship Id="rId1" Type="http://schemas.openxmlformats.org/officeDocument/2006/relationships/externalLinkPath" Target="https://sites.inside-share3.bosch.com/List/YLA_AMT_MP/YV0_SOP_CAN.xls" TargetMode="External"/></Relationships>
</file>

<file path=xl/externalLinks/_rels/externalLink40.xml.rels><?xml version="1.0" encoding="UTF-8" standalone="yes"?>
<Relationships xmlns="http://schemas.openxmlformats.org/package/2006/relationships"><Relationship Id="rId1" Type="http://schemas.openxmlformats.org/officeDocument/2006/relationships/externalLinkPath" Target="file:///\\Svf001\brake\SUGITA%20TEAM\YW1\&#37096;&#21697;&#21029;\CH550\HU\Soft\&#20181;&#27096;&#26360;\CAN&#20181;&#27096;&#26360;\&#12304;DraftEPS&#20462;&#27491;&#29256;&#12305;YW1_CAN_SPECIFICATION_PART2Ver10(ABS,ESP).xls" TargetMode="External"/></Relationships>
</file>

<file path=xl/externalLinks/_rels/externalLink41.xml.rels><?xml version="1.0" encoding="UTF-8" standalone="yes"?>
<Relationships xmlns="http://schemas.openxmlformats.org/package/2006/relationships"><Relationship Id="rId1" Type="http://schemas.openxmlformats.org/officeDocument/2006/relationships/externalLinkPath" Target="file:///I:\SS4\ECI\EXEL\PIN&#37197;&#21015;\V6ECI\V6GDI.XLS" TargetMode="External"/></Relationships>
</file>

<file path=xl/externalLinks/_rels/externalLink42.xml.rels><?xml version="1.0" encoding="UTF-8" standalone="yes"?>
<Relationships xmlns="http://schemas.openxmlformats.org/package/2006/relationships"><Relationship Id="rId1" Type="http://schemas.openxmlformats.org/officeDocument/2006/relationships/externalLinkPath" Target="file:///K:\CAN-Komfort\PQ25_T5GP\KOM_3411\KOM_3411a.xls" TargetMode="External"/></Relationships>
</file>

<file path=xl/externalLinks/_rels/externalLink43.xml.rels><?xml version="1.0" encoding="UTF-8" standalone="yes"?>
<Relationships xmlns="http://schemas.openxmlformats.org/package/2006/relationships"><Relationship Id="rId1" Type="http://schemas.openxmlformats.org/officeDocument/2006/relationships/externalLinkPath" Target="file:///\\vw.vwg\vwdfs\K-E\EE\1784\Groups\EEIN1\08_CAN_Datenfestlegung_Work\084_Touareg_NF\0840_Antrieb\ACAN_644\Entwurf\temp\COLNF_vglACAN_Signalmatrix_V6_3_4_F_20080910_MH.xls" TargetMode="External"/></Relationships>
</file>

<file path=xl/externalLinks/_rels/externalLink44.xml.rels><?xml version="1.0" encoding="UTF-8" standalone="yes"?>
<Relationships xmlns="http://schemas.openxmlformats.org/package/2006/relationships"><Relationship Id="rId1" Type="http://schemas.openxmlformats.org/officeDocument/2006/relationships/externalLinkPath" Target="file:///\\Rf3-001\sore\WINDOWS\TEMP\96_97&#30740;&#31350;&#36027;_&#20840;&#20307;.xls" TargetMode="External"/></Relationships>
</file>

<file path=xl/externalLinks/_rels/externalLink45.xml.rels><?xml version="1.0" encoding="UTF-8" standalone="yes"?>
<Relationships xmlns="http://schemas.openxmlformats.org/package/2006/relationships"><Relationship Id="rId1" Type="http://schemas.openxmlformats.org/officeDocument/2006/relationships/externalLinkPath" Target="file:///\\SI6245\k3esi_daten\ESI8\M7\Toyota\Yaris-05-184x\Angebote\02_SW_dev_cost_Honda_FitJazz_CAN_new.xls" TargetMode="External"/></Relationships>
</file>

<file path=xl/externalLinks/_rels/externalLink46.xml.rels><?xml version="1.0" encoding="UTF-8" standalone="yes"?>
<Relationships xmlns="http://schemas.openxmlformats.org/package/2006/relationships"><Relationship Id="rId1" Type="http://schemas.openxmlformats.org/officeDocument/2006/relationships/externalLinkPath" Target="http://win2k3svrshare/Documents%20and%20Settings/palejandro/Local%20Settings/Temporary%20Internet%20Files/OLK1E/MFG_Document/PIM-MPI/PIM_MPI.xls" TargetMode="External"/></Relationships>
</file>

<file path=xl/externalLinks/_rels/externalLink47.xml.rels><?xml version="1.0" encoding="UTF-8" standalone="yes"?>
<Relationships xmlns="http://schemas.openxmlformats.org/package/2006/relationships"><Relationship Id="rId1" Type="http://schemas.openxmlformats.org/officeDocument/2006/relationships/externalLinkPath" Target="file:///\\Ntfile05\NATCO\03_01DCC&#20986;&#24373;&#36039;&#26009;\&#65420;&#65439;&#65434;&#65406;&#65438;&#65437;&#36039;&#26009;&#8592;&#12371;&#12428;&#12434;&#20351;&#12387;&#12390;&#19979;&#12373;&#12356;\(2)SpecList\AFA%20TC&#29305;&#24615;.xls" TargetMode="External"/></Relationships>
</file>

<file path=xl/externalLinks/_rels/externalLink48.xml.rels><?xml version="1.0" encoding="UTF-8" standalone="yes"?>
<Relationships xmlns="http://schemas.openxmlformats.org/package/2006/relationships"><Relationship Id="rId1" Type="http://schemas.openxmlformats.org/officeDocument/2006/relationships/externalLinkPath" Target="file:///\\3-RF0-SERVER\G&#21029;&#38750;&#20844;&#38283;\MSOFFICE\EXCEL5\&#39366;&#21205;&#31995;1.WJ2" TargetMode="External"/></Relationships>
</file>

<file path=xl/externalLinks/_rels/externalLink49.xml.rels><?xml version="1.0" encoding="UTF-8" standalone="yes"?>
<Relationships xmlns="http://schemas.openxmlformats.org/package/2006/relationships"><Relationship Id="rId1" Type="http://schemas.openxmlformats.org/officeDocument/2006/relationships/externalLinkPath" Target="file:///\\eed-szsrv-1\suzuki_com\docume~1\100011~1\locals~1\temp\lh_tmp0\Part3&#65288;C-KWP&#65289;_ECM&#65288;DN&#65289;_YL7&#65288;13&#65289;_Ver%23.%23&#65288;&#38283;&#65372;&#37327;&#65289;&#65339;_draft&#65341;_&#19968;&#35239;.xls" TargetMode="External"/></Relationships>
</file>

<file path=xl/externalLinks/_rels/externalLink50.xml.rels><?xml version="1.0" encoding="UTF-8" standalone="yes"?>
<Relationships xmlns="http://schemas.openxmlformats.org/package/2006/relationships"><Relationship Id="rId1" Type="http://schemas.openxmlformats.org/officeDocument/2006/relationships/externalLinkPath" Target="file:///\\Ftisfilesvr02\PRIME_DATA\&#12477;&#12501;&#25216;&#20849;&#26377;\03_&#21508;&#12464;&#12523;&#12540;&#12503;\&#12480;&#12452;&#12450;&#12464;\BD_EFI_&#37096;&#21697;&#26989;&#21209;\21_&#20491;&#21029;&#37096;&#21697;\D54T\02_&#37096;&#21697;&#35373;&#35336;\OBD&#23550;&#24540;&#26908;&#35342;&#29992;\&#25171;&#21512;&#12379;&#35696;&#20107;\091027\03C-040409-0005\D54T-FS-00(Bit_assign)&#25244;&#31883;.xls" TargetMode="External"/></Relationships>
</file>

<file path=xl/externalLinks/_rels/externalLink51.xml.rels><?xml version="1.0" encoding="UTF-8" standalone="yes"?>
<Relationships xmlns="http://schemas.openxmlformats.org/package/2006/relationships"><Relationship Id="rId1" Type="http://schemas.openxmlformats.org/officeDocument/2006/relationships/externalLinkPath" Target="file:///A:\DOCUME~1\A209616\LOCALS~1\Temp\DOCUME~1\A209616\LOCALS~1\Temp\My%20Documents\&#21152;&#34276;\700P\&#20225;&#30011;\6h\PT&#20225;&#30011;\RV3\RV1\4HK1\Koyama1\&#65418;&#65438;&#65405;\&#65400;&#65434;&#65392;&#65425;&#20998;&#26512;\LR&#12539;LT&#65400;&#65434;&#65392;&#65425;&#20998;&#26512;.xls" TargetMode="External"/></Relationships>
</file>

<file path=xl/externalLinks/_rels/externalLink52.xml.rels><?xml version="1.0" encoding="UTF-8" standalone="yes"?>
<Relationships xmlns="http://schemas.openxmlformats.org/package/2006/relationships"><Relationship Id="rId1" Type="http://schemas.openxmlformats.org/officeDocument/2006/relationships/externalLinkPath" Target="file:///I:\&#65331;&#65330;&#65296;\&#65331;&#65300;&#65317;\&#26085;&#31243;&amp;&#26989;&#35336;\&#20840;&#20307;&#26989;&#35336;\Koyama1\346\&#65400;&#65434;&#65392;&#65425;&#20998;&#26512;\LR&#12539;LT&#65400;&#65434;&#65392;&#65425;&#20998;&#26512;.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odule1"/>
      <sheetName val="Module2"/>
      <sheetName val="Module4"/>
      <sheetName val="Dialog1"/>
      <sheetName val="result"/>
      <sheetName val="result2"/>
      <sheetName val="data"/>
      <sheetName val="table"/>
      <sheetName val="遅れ時間"/>
      <sheetName val="unit"/>
    </sheetNames>
    <sheetDataSet>
      <sheetData sheetId="0" refreshError="1"/>
      <sheetData sheetId="1" refreshError="1"/>
      <sheetData sheetId="2" refreshError="1"/>
      <sheetData sheetId="3"/>
      <sheetData sheetId="4"/>
      <sheetData sheetId="5"/>
      <sheetData sheetId="6"/>
      <sheetData sheetId="7"/>
      <sheetData sheetId="8"/>
      <sheetData sheetId="9"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odule1"/>
      <sheetName val="Module2"/>
      <sheetName val="Module4"/>
      <sheetName val="Dialog1"/>
      <sheetName val="result"/>
      <sheetName val="一時保管"/>
      <sheetName val="result29"/>
      <sheetName val="result28"/>
      <sheetName val="result27"/>
      <sheetName val="result26"/>
      <sheetName val="result25"/>
      <sheetName val="result24"/>
      <sheetName val="result23"/>
      <sheetName val="result22"/>
      <sheetName val="result21"/>
      <sheetName val="result20"/>
      <sheetName val="result2"/>
      <sheetName val="data"/>
      <sheetName val="table"/>
      <sheetName val="遅れ時間"/>
    </sheetNames>
    <sheetDataSet>
      <sheetData sheetId="0" refreshError="1"/>
      <sheetData sheetId="1" refreshError="1"/>
      <sheetData sheetId="2" refreshError="1"/>
      <sheetData sheetId="3" refreshError="1"/>
      <sheetData sheetId="4"/>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76極"/>
      <sheetName val="162"/>
      <sheetName val="93極full"/>
      <sheetName val="ヨⅥ"/>
      <sheetName val="総合B"/>
    </sheetNames>
    <sheetDataSet>
      <sheetData sheetId="0"/>
      <sheetData sheetId="1" refreshError="1"/>
      <sheetData sheetId="2" refreshError="1"/>
      <sheetData sheetId="3" refreshError="1"/>
      <sheetData sheetId="4"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76極"/>
      <sheetName val="162"/>
      <sheetName val="93極full"/>
      <sheetName val="ヨⅥ"/>
      <sheetName val="総合B"/>
      <sheetName val="VW526_CAN_Antrieb"/>
    </sheetNames>
    <sheetDataSet>
      <sheetData sheetId="0"/>
      <sheetData sheetId="1" refreshError="1"/>
      <sheetData sheetId="2" refreshError="1"/>
      <sheetData sheetId="3" refreshError="1"/>
      <sheetData sheetId="4" refreshError="1"/>
      <sheetData sheetId="5"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ﾗﾝﾌﾟ仕様(ABS)"/>
      <sheetName val="ﾗﾝﾌﾟ仕様(ESP)"/>
      <sheetName val="DataList"/>
      <sheetName val="A"/>
      <sheetName val="yh5特装"/>
    </sheetNames>
    <sheetDataSet>
      <sheetData sheetId="0"/>
      <sheetData sheetId="1"/>
      <sheetData sheetId="2"/>
      <sheetData sheetId="3" refreshError="1"/>
      <sheetData sheetId="4" refreshError="1"/>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始動"/>
      <sheetName val="LA4TIME"/>
      <sheetName val="VCCWT"/>
      <sheetName val="76極"/>
      <sheetName val="#REF"/>
      <sheetName val="表紙[P1]"/>
      <sheetName val="確認領域星取り表"/>
      <sheetName val="リーン側"/>
      <sheetName val="リッチ側"/>
      <sheetName val="添付データ目次[P3]"/>
      <sheetName val="定数一覧"/>
      <sheetName val="memo"/>
      <sheetName val="Sheet3"/>
      <sheetName val="計算表"/>
      <sheetName val="ハンチング対策結果一覧 (加工)"/>
      <sheetName val=""/>
    </sheetNames>
    <definedNames>
      <definedName name="subGraph"/>
    </defined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班部番別"/>
      <sheetName val="依頼書"/>
      <sheetName val="回答書"/>
      <sheetName val="計算表 (能美防災ＰＣＢ)"/>
      <sheetName val="材料費 (2)"/>
      <sheetName val="外注加工"/>
      <sheetName val="固定資産 (2)"/>
      <sheetName val="見積り材"/>
      <sheetName val="検討書雛型"/>
      <sheetName val="検討書雛型 (概要)"/>
      <sheetName val="検討書雛型 (2)"/>
      <sheetName val="ANB系統図"/>
      <sheetName val="検討資料(対応項目一覧 TP_BIOS)"/>
      <sheetName val="検討資料(対応項目一覧_SID_APL1)"/>
      <sheetName val="ANB_残課題対応指示ｼｰﾄ"/>
      <sheetName val="ANB系_残課題対応指示ｼｰﾄ(BIOS)"/>
      <sheetName val="(ANB)積み残しシート(新BIOS)"/>
      <sheetName val="工程進捗管理表"/>
      <sheetName val="検討書雛型 (3)"/>
      <sheetName val="検討資料(CANgen設定)"/>
      <sheetName val="検討資料(BIOS_31)"/>
      <sheetName val="検討書雛型 (4)"/>
      <sheetName val="検討書雛型 (5)"/>
      <sheetName val="計算表"/>
      <sheetName val="MOTO"/>
      <sheetName val="ｱﾅﾛｸﾞﾒｰﾀ"/>
      <sheetName val="PCVS "/>
      <sheetName val="DETBUDGETS query"/>
      <sheetName val="FADETGLBAL query"/>
      <sheetName val="02年UMEX販売計画元資料"/>
      <sheetName val="Rates"/>
      <sheetName val="00UMEX生産実績"/>
      <sheetName val="【20120518提出】Rev10 (ドル ベｰｽ)修正"/>
      <sheetName val="【20120420提出】Rev10 (ドル ベｰｽ)"/>
      <sheetName val="MortgageCalculator"/>
      <sheetName val="OH and GASE Case 1"/>
      <sheetName val="Data Page"/>
      <sheetName val="Code"/>
      <sheetName val="基準ﾘｽﾄ"/>
      <sheetName val="日立向け見積もり２"/>
      <sheetName val="計算表_(能美防災ＰＣＢ)"/>
      <sheetName val="材料費_(2)"/>
      <sheetName val="固定資産_(2)"/>
      <sheetName val="検討書雛型_(概要)"/>
      <sheetName val="検討書雛型_(2)"/>
      <sheetName val="検討資料(対応項目一覧_TP_BIOS)"/>
      <sheetName val="検討書雛型_(3)"/>
      <sheetName val="検討書雛型_(4)"/>
      <sheetName val="検討書雛型_(5)"/>
      <sheetName val="PCVS_"/>
      <sheetName val="A"/>
      <sheetName val="Cost Summary Low Grade Contract"/>
      <sheetName val="sheet5"/>
      <sheetName val="CAN送信(TRQ関係)"/>
      <sheetName val="日産ｺﾓﾝR"/>
      <sheetName val="対比表 (2)"/>
      <sheetName val="(PF開)⇔(群)(制設)"/>
      <sheetName val="0002"/>
      <sheetName val="0004"/>
      <sheetName val="Sheet1"/>
      <sheetName val="14mmQfup"/>
      <sheetName val="ブロック図"/>
      <sheetName val="SUN166"/>
      <sheetName val="No.1"/>
      <sheetName val="VQS⑦-⑭"/>
      <sheetName val="VQS⑮"/>
      <sheetName val="APEAL詳細項目"/>
      <sheetName val="TOC"/>
      <sheetName val="iqs_data"/>
      <sheetName val="iqs_index"/>
      <sheetName val="01"/>
      <sheetName val="新中部位"/>
      <sheetName val="data"/>
      <sheetName val="客先提示定数"/>
      <sheetName val="mainCPU"/>
      <sheetName val="(8) Lists"/>
      <sheetName val="見59-057"/>
      <sheetName val="総合B"/>
      <sheetName val="#REF"/>
      <sheetName val="勤務ｼﾌﾄﾍﾞｰｽ表 下期"/>
      <sheetName val="車会集約"/>
      <sheetName val="IP標時xls"/>
      <sheetName val="Destination Table"/>
      <sheetName val="目录"/>
      <sheetName val="W42E ZV2"/>
      <sheetName val="F Call Tree"/>
      <sheetName val="&lt;参考&gt; 回生制御世代一覧表"/>
      <sheetName val="96RPD計"/>
      <sheetName val="FTRQDKR10DI40"/>
      <sheetName val="定数変更"/>
      <sheetName val="ADV修正"/>
      <sheetName val="Pi緒元表・旧ﾍﾞﾝﾁσPi Ch"/>
      <sheetName val="8-2.KOR'07MY変動質量表"/>
      <sheetName val="AVEMAX"/>
      <sheetName val="Wire Resistance"/>
      <sheetName val="リスト"/>
      <sheetName val="PullDownMenu"/>
      <sheetName val="(9)-1.ﾀﾞﾝﾊﾟｰASSYの機能低下P-FTA"/>
      <sheetName val="2-20T"/>
      <sheetName val="Definitions"/>
      <sheetName val="amp_spr"/>
      <sheetName val="J716(KYOUDO)"/>
      <sheetName val="マスタ"/>
      <sheetName val="配布先"/>
      <sheetName val="(distributed) destination"/>
      <sheetName val="List Table"/>
      <sheetName val="List"/>
      <sheetName val="FVT_#0"/>
      <sheetName val="Pulldown"/>
      <sheetName val="別紙4"/>
      <sheetName val="収支予算資料"/>
      <sheetName val="N-T"/>
      <sheetName val="入力規則"/>
      <sheetName val="Type"/>
      <sheetName val="Cost divison"/>
      <sheetName val="計算ｼｰﾄ"/>
      <sheetName val="aux 2004"/>
      <sheetName val="１１月"/>
      <sheetName val="選択リスト"/>
      <sheetName val="ｼ開技ｶﾞｲﾄﾞ"/>
      <sheetName val="AAA"/>
      <sheetName val="機能軸選択欄"/>
      <sheetName val="担当者"/>
      <sheetName val="部署名"/>
      <sheetName val="UU1 memo"/>
      <sheetName val="タブリスト"/>
      <sheetName val="原価センター170531"/>
      <sheetName val="DIEZEL動弁相場"/>
      <sheetName val="プルダウン"/>
      <sheetName val="集計ﾘｽﾄ"/>
      <sheetName val="info"/>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sheetData sheetId="41"/>
      <sheetData sheetId="42"/>
      <sheetData sheetId="43"/>
      <sheetData sheetId="44"/>
      <sheetData sheetId="45"/>
      <sheetData sheetId="46"/>
      <sheetData sheetId="47"/>
      <sheetData sheetId="48"/>
      <sheetData sheetId="49"/>
      <sheetData sheetId="50" refreshError="1"/>
      <sheetData sheetId="51" refreshError="1"/>
      <sheetData sheetId="52" refreshError="1"/>
      <sheetData sheetId="53" refreshError="1"/>
      <sheetData sheetId="54" refreshError="1"/>
      <sheetData sheetId="55" refreshError="1"/>
      <sheetData sheetId="56"/>
      <sheetData sheetId="57"/>
      <sheetData sheetId="58"/>
      <sheetData sheetId="59"/>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 sheetId="99" refreshError="1"/>
      <sheetData sheetId="100" refreshError="1"/>
      <sheetData sheetId="101" refreshError="1"/>
      <sheetData sheetId="102" refreshError="1"/>
      <sheetData sheetId="103" refreshError="1"/>
      <sheetData sheetId="104" refreshError="1"/>
      <sheetData sheetId="105" refreshError="1"/>
      <sheetData sheetId="106" refreshError="1"/>
      <sheetData sheetId="107" refreshError="1"/>
      <sheetData sheetId="108" refreshError="1"/>
      <sheetData sheetId="109" refreshError="1"/>
      <sheetData sheetId="110" refreshError="1"/>
      <sheetData sheetId="111" refreshError="1"/>
      <sheetData sheetId="112" refreshError="1"/>
      <sheetData sheetId="113" refreshError="1"/>
      <sheetData sheetId="114" refreshError="1"/>
      <sheetData sheetId="115" refreshError="1"/>
      <sheetData sheetId="116" refreshError="1"/>
      <sheetData sheetId="117" refreshError="1"/>
      <sheetData sheetId="118" refreshError="1"/>
      <sheetData sheetId="119" refreshError="1"/>
      <sheetData sheetId="120" refreshError="1"/>
      <sheetData sheetId="121" refreshError="1"/>
      <sheetData sheetId="122" refreshError="1"/>
      <sheetData sheetId="123" refreshError="1"/>
      <sheetData sheetId="124" refreshError="1"/>
      <sheetData sheetId="125" refreshError="1"/>
      <sheetData sheetId="126" refreshError="1"/>
      <sheetData sheetId="127" refreshError="1"/>
      <sheetData sheetId="128" refreshError="1"/>
      <sheetData sheetId="129" refreshError="1"/>
      <sheetData sheetId="130" refreshError="1"/>
    </sheetDataSet>
  </externalBook>
</externalLink>
</file>

<file path=xl/externalLinks/externalLink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NG油洩れ"/>
      <sheetName val="HärQ"/>
      <sheetName val="工数比較２"/>
      <sheetName val="SPEC LIST"/>
      <sheetName val="2TUP"/>
      <sheetName val="BP volume (2)"/>
      <sheetName val="BP volume"/>
      <sheetName val="RT50実績(11FY)"/>
      <sheetName val="RT50実績・予測-120620"/>
      <sheetName val="20kb CR"/>
      <sheetName val="RT50実績・予測"/>
      <sheetName val="summary (BP ISZJ Mar'12)"/>
      <sheetName val="R＆遡及-120620"/>
      <sheetName val="#REF"/>
      <sheetName val="資料_700部品点数設定"/>
      <sheetName val="選酋表"/>
      <sheetName val="PnL_BUD06"/>
      <sheetName val="PnL_2006 LE"/>
      <sheetName val="FixedAsset05&amp;06"/>
      <sheetName val="Cover"/>
      <sheetName val="計算結果"/>
      <sheetName val="List"/>
      <sheetName val="P.1"/>
      <sheetName val="Page 3 (Samrong UA)"/>
      <sheetName val="Page 4 (Gateway-TF)"/>
      <sheetName val="推移用データ"/>
      <sheetName val="200P SHEET"/>
      <sheetName val="Table"/>
      <sheetName val="ＴＦ関連Ｐｒｊ日程表"/>
      <sheetName val="LR・LTｸﾚｰﾑ分析"/>
      <sheetName val="OD"/>
      <sheetName val="集計条件"/>
      <sheetName val="Snp"/>
      <sheetName val="1-A､B"/>
      <sheetName val="00年9月"/>
      <sheetName val="Car Input"/>
      <sheetName val="Summary"/>
      <sheetName val="プロジェクトステータス　4J(ELF)"/>
      <sheetName val="Table Master"/>
      <sheetName val="Unit Price"/>
      <sheetName val="生産台数内訳"/>
      <sheetName val="クライテリア"/>
      <sheetName val="Sheet1"/>
      <sheetName val="Sheet2"/>
      <sheetName val="Sheet3"/>
      <sheetName val="駆動系1"/>
      <sheetName val="00-1"/>
      <sheetName val="ISO_250"/>
      <sheetName val="_B007"/>
      <sheetName val="346Proj日程991124"/>
      <sheetName val="条件表"/>
      <sheetName val="part list ext crew"/>
      <sheetName val="Years_Input"/>
      <sheetName val="制動力線計算入力"/>
      <sheetName val="業務計画"/>
      <sheetName val="ﾏﾙC改造投資詳細"/>
      <sheetName val="A-K研車型"/>
      <sheetName val="各部寸検結果"/>
      <sheetName val="96期(川崎)"/>
      <sheetName val="BELT検討"/>
      <sheetName val="第1期投資実績"/>
      <sheetName val="02MY投資実績"/>
      <sheetName val="150K-1投資"/>
      <sheetName val="150K-2投資"/>
      <sheetName val="ITEM"/>
      <sheetName val="A"/>
      <sheetName val="Sheet1 (2)"/>
      <sheetName val="FUKUMI"/>
      <sheetName val="日付"/>
      <sheetName val="(原単位)"/>
      <sheetName val="พงศ์พร"/>
      <sheetName val="Defects"/>
      <sheetName val="[LR・LTｸﾚｰﾑ分析.xls塅䕃⹌塅Et1 (2)"/>
      <sheetName val="ﾏｸﾛ説明"/>
      <sheetName val="実績推移"/>
      <sheetName val="24204"/>
      <sheetName val="Production Database 399"/>
      <sheetName val="基本情報ｄｂ"/>
      <sheetName val="財務諸表"/>
      <sheetName val="原単位"/>
      <sheetName val="Sheet1_(2)"/>
      <sheetName val="Unit_Price"/>
      <sheetName val="SCH"/>
      <sheetName val="ﾊﾟｲﾌﾟ"/>
      <sheetName val="他材料費"/>
      <sheetName val="冷延鋼板"/>
      <sheetName val="熱延鋼板"/>
      <sheetName val="入力シート"/>
      <sheetName val="_LR・LTｸﾚｰﾑ分析.xls塅䕃⹌塅Et1 (2)"/>
      <sheetName val="96・(・・)"/>
      <sheetName val="6SWRF_W"/>
      <sheetName val="日程"/>
      <sheetName val="ＦＴＲ連結採算"/>
      <sheetName val="量産準備実施依頼書"/>
      <sheetName val="350CXZCO"/>
      <sheetName val="進め方"/>
      <sheetName val="ヘッダ"/>
      <sheetName val="台帳集計"/>
      <sheetName val="MOD"/>
      <sheetName val="rate"/>
      <sheetName val="ｴｱﾃﾞｨｽｸ"/>
      <sheetName val="社内検査データ"/>
      <sheetName val="マスター"/>
      <sheetName val="ワークシート関数の使用例"/>
      <sheetName val="MPL 技連"/>
      <sheetName val="342A Block"/>
      <sheetName val="方策系入力表"/>
      <sheetName val="Sheet1_(2)1"/>
      <sheetName val="Unit_Price1"/>
      <sheetName val="[LR・LTｸﾚｰﾑ分析_xls塅䕃⹌塅Et1_(2)"/>
      <sheetName val="Production_Database_399"/>
      <sheetName val="_LR・LTｸﾚｰﾑ分析_xls塅䕃⹌塅Et1_(2)"/>
      <sheetName val="入力表"/>
      <sheetName val="第1期"/>
      <sheetName val="02MY"/>
      <sheetName val="150K-1"/>
      <sheetName val="150K-2"/>
      <sheetName val="180K投資"/>
      <sheetName val="TB3川崎"/>
      <sheetName val="職種別原価"/>
      <sheetName val="ASM#1-Eff"/>
      <sheetName val="一覧と近似式"/>
      <sheetName val="仕上１"/>
      <sheetName val="名簿データ"/>
      <sheetName val="150K_1投資"/>
      <sheetName val="150K_2投資"/>
      <sheetName val="TM"/>
      <sheetName val="〈参考〉_P.7_シフトINディテント力"/>
      <sheetName val="1-E"/>
      <sheetName val="材質検査（N増し書換済）"/>
      <sheetName val="ﾌﾟﾙﾀﾞｳﾝﾒﾆｭｰ用ｺｰﾄﾞ表"/>
      <sheetName val="進捗確認"/>
      <sheetName val="2005"/>
      <sheetName val="結果"/>
      <sheetName val="Master Route"/>
      <sheetName val="DATA"/>
      <sheetName val="NEW003"/>
      <sheetName val="DOM-競合車SPEC"/>
      <sheetName val="SUM"/>
      <sheetName val="G Van - Price Build up"/>
      <sheetName val="96_97研究費_全体"/>
      <sheetName val="本船スケジュール"/>
      <sheetName val="見本２"/>
      <sheetName val="コード表"/>
      <sheetName val="出荷計画"/>
      <sheetName val="342E BLOCK"/>
      <sheetName val="MPL_技連"/>
      <sheetName val="342E_BLOCK"/>
      <sheetName val="資本ｺｽﾄ"/>
      <sheetName val="NC-3 dAY"/>
      <sheetName val="成形場所"/>
      <sheetName val="Ref"/>
      <sheetName val="対策集計結果"/>
      <sheetName val="シャープアイ実績"/>
      <sheetName val="社暦"/>
      <sheetName val="total change&amp;add"/>
      <sheetName val="MENU"/>
      <sheetName val="PL"/>
      <sheetName val="Injection Foam (4)"/>
      <sheetName val="FB sepa S2"/>
      <sheetName val="The Rule"/>
      <sheetName val="R&amp;D"/>
      <sheetName val="ﾟ発表No 1"/>
      <sheetName val="市場品質状況レポート"/>
      <sheetName val="駆動力（入力シート）"/>
      <sheetName val="HX121-T"/>
      <sheetName val="新コード"/>
      <sheetName val="ｺｰﾄﾞ表"/>
      <sheetName val="TIRE読み替え表"/>
      <sheetName val="R GRILLE"/>
      <sheetName val="A2 990"/>
      <sheetName val="耐久進捗data"/>
      <sheetName val="ラミナー計算"/>
      <sheetName val="_CONFIG-2"/>
      <sheetName val="課題実施計画書"/>
      <sheetName val="NK仕様21"/>
      <sheetName val="データシート(定地) (2)"/>
      <sheetName val="2-A､B 3-A"/>
      <sheetName val="C3_N DC改造投資"/>
      <sheetName val="洩れ"/>
      <sheetName val="6W"/>
      <sheetName val="ap 17"/>
      <sheetName val="Data-Qｽｲｰﾌﾟ"/>
      <sheetName val="Data-NEｽｲｰﾌﾟ"/>
      <sheetName val="Data-ΔQ"/>
      <sheetName val="Data-ΔNE(50)"/>
      <sheetName val="金額"/>
      <sheetName val="DB"/>
      <sheetName val=" FE 0919Cal TP3"/>
      <sheetName val="燃費3"/>
      <sheetName val="機能リスト"/>
      <sheetName val="Wvð"/>
      <sheetName val="NCeA"/>
      <sheetName val="LAY-OUT "/>
      <sheetName val="表示"/>
      <sheetName val="商品明細(KD)"/>
      <sheetName val="品質保証責任者届"/>
      <sheetName val="【資料】730改造投資"/>
      <sheetName val="計画"/>
      <sheetName val="EPW 0630"/>
      <sheetName val="WG_00"/>
      <sheetName val="2000_ALL"/>
      <sheetName val="SUS_00"/>
      <sheetName val="Pick up"/>
      <sheetName val="SR-AU(N)"/>
      <sheetName val="EF"/>
      <sheetName val="SR-AU"/>
      <sheetName val="Result"/>
      <sheetName val="T"/>
      <sheetName val="Distance Master"/>
      <sheetName val="Driver Master"/>
      <sheetName val="Truck Master"/>
      <sheetName val="Allowance Master"/>
      <sheetName val="ｼｬｼ"/>
      <sheetName val="ES01 トルクカーブ 20121115"/>
      <sheetName val="Index"/>
      <sheetName val="1. Prod. (BG  TG   AC) 2016"/>
      <sheetName val="Compare Budget &amp; Actual Order"/>
      <sheetName val="AxleShft"/>
      <sheetName val="Brake"/>
      <sheetName val="Clutch"/>
      <sheetName val="result_data"/>
      <sheetName val="グラフ_距離"/>
      <sheetName val="Final"/>
      <sheetName val="Hoki"/>
      <sheetName val="mode"/>
      <sheetName val="その他"/>
      <sheetName val="Prop"/>
      <sheetName val="Tire"/>
      <sheetName val="単位"/>
      <sheetName val="calculate"/>
      <sheetName val="SMALL"/>
      <sheetName val="A010"/>
      <sheetName val="#20号車排ガス"/>
      <sheetName val="PROD-TF"/>
      <sheetName val="Input-B2006wk"/>
      <sheetName val="RS"/>
      <sheetName val="Welding #2"/>
      <sheetName val="Cap. Injection "/>
      <sheetName val="RR"/>
      <sheetName val="3.Idea.Sewing "/>
      <sheetName val="LCV"/>
      <sheetName val="Average"/>
      <sheetName val="DATA_MANUAL"/>
      <sheetName val="W-15F"/>
      <sheetName val="マスタ"/>
      <sheetName val="SPEC_LIST"/>
      <sheetName val="BP_volume_(2)"/>
      <sheetName val="BP_volume"/>
      <sheetName val="20kb_CR"/>
      <sheetName val="summary_(BP_ISZJ_Mar'12)"/>
      <sheetName val="PnL_2006_LE"/>
      <sheetName val="Page_3_(Samrong_UA)"/>
      <sheetName val="Page_4_(Gateway-TF)"/>
      <sheetName val="P_1"/>
      <sheetName val="200P_SHEET"/>
      <sheetName val="Table_Master"/>
      <sheetName val="Master_Route"/>
      <sheetName val="Unit_Price2"/>
      <sheetName val="Sheet1_(2)2"/>
      <sheetName val="Production_Database_3991"/>
      <sheetName val="[LR・LTｸﾚｰﾑ分析_xls塅䕃⹌塅Et1_(2)1"/>
      <sheetName val="_LR・LTｸﾚｰﾑ分析_xls塅䕃⹌塅Et1_(2)1"/>
      <sheetName val="Car_Input"/>
      <sheetName val="G_Van_-_Price_Build_up"/>
      <sheetName val="MPL_技連1"/>
      <sheetName val="342E_BLOCK1"/>
      <sheetName val="NC-3_dAY"/>
      <sheetName val="total_change&amp;add"/>
      <sheetName val="Injection_Foam_(4)"/>
      <sheetName val="FB_sepa_S2"/>
      <sheetName val="part_list_ext_crew"/>
      <sheetName val="342A_Block"/>
      <sheetName val="〈参考〉_P_7_シフトINディテント力"/>
      <sheetName val="EPW_0630"/>
      <sheetName val="Pick_up"/>
      <sheetName val="1__Prod__(BG__TG___AC)_2016"/>
      <sheetName val="Compare_Budget_&amp;_Actual_Order"/>
      <sheetName val="SHOT-A(N)"/>
      <sheetName val="板厚-ｺｲﾙ巾"/>
      <sheetName val="A000"/>
      <sheetName val="p.no Coil"/>
      <sheetName val="COIL C3-6"/>
      <sheetName val="日程表 3X"/>
      <sheetName val="複合-日計算"/>
      <sheetName val="SW評価項目"/>
      <sheetName val="DATA計"/>
      <sheetName val="車両寸法"/>
      <sheetName val="灯火器寸法"/>
      <sheetName val="133NPR55 69 EC"/>
      <sheetName val="基準"/>
      <sheetName val="11月"/>
      <sheetName val="新規00上ｸﾞﾗﾌ"/>
      <sheetName val="会社概況(国内)"/>
      <sheetName val="見積依頼書(海外)"/>
      <sheetName val="TT (13)"/>
      <sheetName val="AS-A"/>
      <sheetName val="初期値"/>
      <sheetName val="Ass'y-A (Day)"/>
      <sheetName val="input"/>
      <sheetName val="予算推移"/>
      <sheetName val="ﾃﾞｰﾀ"/>
      <sheetName val="WJ素材費"/>
      <sheetName val="190BODY EMATRIX"/>
      <sheetName val="分類"/>
      <sheetName val="700vol"/>
      <sheetName val="Data validation"/>
      <sheetName val="ocean voyage"/>
      <sheetName val="11.CPU単価"/>
      <sheetName val="08.P772報告書030530"/>
      <sheetName val="99"/>
      <sheetName val="集計用"/>
      <sheetName val="10"/>
      <sheetName val="90_2"/>
      <sheetName val="101"/>
      <sheetName val="19"/>
      <sheetName val="57F"/>
      <sheetName val="諸元まとめ"/>
      <sheetName val="TRY進捗"/>
      <sheetName val=" CV ALL"/>
      <sheetName val="総合B"/>
      <sheetName val="MOTO"/>
      <sheetName val="TF ; C-19"/>
      <sheetName val="Time study"/>
      <sheetName val="96期_川崎_"/>
      <sheetName val="Schedule(detail)"/>
      <sheetName val="DIEZEL動弁相場"/>
      <sheetName val="#ofclose"/>
      <sheetName val="名簿ﾃﾞｰﾀ"/>
      <sheetName val="表示リスト（変更禁止）"/>
      <sheetName val="05-2"/>
      <sheetName val="連結新規"/>
      <sheetName val="実績台帳_クエリ"/>
      <sheetName val="ﾘｽﾄ"/>
      <sheetName val="日報"/>
      <sheetName val="00年９末"/>
      <sheetName val="データ"/>
      <sheetName val="Side &amp; Pole"/>
      <sheetName val="生産性評価集計用クエリ"/>
      <sheetName val="出図表"/>
      <sheetName val="テーブル"/>
      <sheetName val="調査依頼"/>
      <sheetName val="LIST1"/>
      <sheetName val="BAAC集計"/>
      <sheetName val="リスト"/>
      <sheetName val="SPEC"/>
      <sheetName val="1"/>
      <sheetName val="Datasheet"/>
      <sheetName val="P3"/>
      <sheetName val="米国輸入ソース推移"/>
      <sheetName val="27.進捗管理"/>
      <sheetName val="評価ﾏﾄﾘｸｽ"/>
      <sheetName val="座面面圧計算表の使用方法"/>
      <sheetName val="マン停"/>
      <sheetName val="朱書き（業種）"/>
      <sheetName val="1-C,D"/>
      <sheetName val="②-6菅原B第2解析パレート図"/>
      <sheetName val="車会集約"/>
      <sheetName val="クエリ2"/>
      <sheetName val="星取り"/>
      <sheetName val="実車評価ＥＤ"/>
      <sheetName val="COMMON 2"/>
      <sheetName val="選択肢"/>
      <sheetName val="030718"/>
      <sheetName val="Annual Sales"/>
      <sheetName val="課題一覧"/>
      <sheetName val="FUEL FILLER"/>
      <sheetName val="Tbom-tot"/>
      <sheetName val="업체명"/>
      <sheetName val="ORIGIN"/>
      <sheetName val="계산program"/>
      <sheetName val="Instructions"/>
      <sheetName val="FUEL_FILLER"/>
      <sheetName val="ﾟ発表No_1"/>
      <sheetName val="ｺｰﾄﾞ"/>
      <sheetName val="償却率"/>
      <sheetName val=""/>
      <sheetName val="TABLE(LINE CODE)"/>
      <sheetName val="ﾄﾞﾛｯﾌﾟﾀﾞｳﾝLIST"/>
      <sheetName val="WŒvðŒ"/>
      <sheetName val="(旧)LIST"/>
      <sheetName val="º½Ä²¸_P-1"/>
      <sheetName val="駆動展開_MACRO1"/>
      <sheetName val="C3_N_DC改造投資1"/>
      <sheetName val="FTRQDKR10DI40"/>
      <sheetName val="投資･工数推移"/>
      <sheetName val="C3_N_DC改造投資"/>
      <sheetName val="cover (FAD)"/>
      <sheetName val="º½Ä²¸ P-1"/>
      <sheetName val="Key Index"/>
      <sheetName val="Source"/>
      <sheetName val="H””ärQ"/>
      <sheetName val="Annual Production"/>
      <sheetName val="出荷車型"/>
      <sheetName val="市販品"/>
      <sheetName val="特注品"/>
      <sheetName val="日程表_3X"/>
      <sheetName val="133NPR55_69_EC"/>
      <sheetName val="Distance_Master"/>
      <sheetName val="Driver_Master"/>
      <sheetName val="Truck_Master"/>
      <sheetName val="Allowance_Master"/>
      <sheetName val="TT_(13)"/>
      <sheetName val="Ass'y-A_(Day)"/>
      <sheetName val="A2_990"/>
      <sheetName val="価格一覧"/>
      <sheetName val="Control fml"/>
      <sheetName val="表5-2 地区別CO2排出実績"/>
      <sheetName val="Draft Vehicle Format"/>
      <sheetName val="ﾊﾞﾗﾝｻｰcal"/>
      <sheetName val="ｺﾝﾛｯﾄﾞcal"/>
      <sheetName val="ｸﾗﾝｸｹｰｽcal"/>
      <sheetName val="THAI SPEC NO."/>
      <sheetName val="0) Route Planning"/>
      <sheetName val="D1) Driver List"/>
      <sheetName val="ﾃﾞｰﾀｼｰﾄ"/>
      <sheetName val="Form"/>
      <sheetName val="Structure"/>
      <sheetName val="CAP SEW.RFRJ Sale#2 "/>
      <sheetName val="COIL B-6"/>
      <sheetName val="K"/>
      <sheetName val="部門課題"/>
      <sheetName val="MASTER"/>
      <sheetName val="P2 BUDGET"/>
      <sheetName val="HUB-HOLDER ORI (2)"/>
      <sheetName val="HUB-HOLDER"/>
      <sheetName val="【参考】ECMｿﾌﾄID"/>
      <sheetName val="選択リスト(削除不可)"/>
      <sheetName val="ทำข้อมูล"/>
      <sheetName val="Type I"/>
      <sheetName val="F4301"/>
      <sheetName val="試験依頼管理表"/>
      <sheetName val="(sys)"/>
      <sheetName val="ディクショナリ"/>
      <sheetName val="テーブル一覧"/>
      <sheetName val="NCAB"/>
      <sheetName val="実績原価"/>
      <sheetName val="Main Model"/>
      <sheetName val="_MISSION"/>
      <sheetName val="16,7"/>
      <sheetName val="F混流"/>
      <sheetName val="HOLE-UNIT TEMP"/>
      <sheetName val="05-3"/>
      <sheetName val="グラフ"/>
      <sheetName val="非稼働集計"/>
      <sheetName val="ﾍﾞﾝﾁ"/>
      <sheetName val="グループDB"/>
      <sheetName val="n_EngineShift"/>
      <sheetName val="1771"/>
      <sheetName val="1771.2"/>
      <sheetName val="RWP 33"/>
      <sheetName val="G&amp;A"/>
      <sheetName val="生涯利益計画ｼｰﾄ"/>
      <sheetName val="H””äŠr‚Q"/>
      <sheetName val="MAKER LIST &amp; Rate Change"/>
      <sheetName val="メーカー検索"/>
      <sheetName val="Summary Plant"/>
      <sheetName val="Over all FS A"/>
      <sheetName val="DATE"/>
      <sheetName val="Selection"/>
      <sheetName val="SPEC_LIST1"/>
      <sheetName val="BP_volume_(2)1"/>
      <sheetName val="BP_volume1"/>
      <sheetName val="20kb_CR1"/>
      <sheetName val="summary_(BP_ISZJ_Mar'12)1"/>
      <sheetName val="PnL_2006_LE1"/>
      <sheetName val="Page_3_(Samrong_UA)1"/>
      <sheetName val="Page_4_(Gateway-TF)1"/>
      <sheetName val="P_11"/>
      <sheetName val="200P_SHEET1"/>
      <sheetName val="Table_Master1"/>
      <sheetName val="Master_Route1"/>
      <sheetName val="Unit_Price3"/>
      <sheetName val="Sheet1_(2)3"/>
      <sheetName val="Production_Database_3992"/>
      <sheetName val="[LR・LTｸﾚｰﾑ分析_xls塅䕃⹌塅Et1_(2)2"/>
      <sheetName val="_LR・LTｸﾚｰﾑ分析_xls塅䕃⹌塅Et1_(2)2"/>
      <sheetName val="Car_Input1"/>
      <sheetName val="MPL_技連2"/>
      <sheetName val="342E_BLOCK2"/>
      <sheetName val="NC-3_dAY1"/>
      <sheetName val="total_change&amp;add1"/>
      <sheetName val="G_Van_-_Price_Build_up1"/>
      <sheetName val="Injection_Foam_(4)1"/>
      <sheetName val="FB_sepa_S21"/>
      <sheetName val="Pick_up1"/>
      <sheetName val="part_list_ext_crew1"/>
      <sheetName val="342A_Block1"/>
      <sheetName val="〈参考〉_P_7_シフトINディテント力1"/>
      <sheetName val="EPW_06301"/>
      <sheetName val="1__Prod__(BG__TG___AC)_20161"/>
      <sheetName val="Compare_Budget_&amp;_Actual_Order1"/>
      <sheetName val="Distance_Master1"/>
      <sheetName val="Driver_Master1"/>
      <sheetName val="Truck_Master1"/>
      <sheetName val="Allowance_Master1"/>
      <sheetName val="A2_9901"/>
      <sheetName val="The_Rule"/>
      <sheetName val="ﾟ発表No_11"/>
      <sheetName val="R_GRILLE"/>
      <sheetName val="データシート(定地)_(2)"/>
      <sheetName val="2-A､B_3-A"/>
      <sheetName val="C3_N_DC改造投資2"/>
      <sheetName val="ap_17"/>
      <sheetName val="_FE_0919Cal_TP3"/>
      <sheetName val="LAY-OUT_"/>
      <sheetName val="Welding_#2"/>
      <sheetName val="Cap__Injection_"/>
      <sheetName val="3_Idea_Sewing_"/>
      <sheetName val="ES01_トルクカーブ_20121115"/>
      <sheetName val="p_no_Coil"/>
      <sheetName val="COIL_C3-6"/>
      <sheetName val="日程表_3X1"/>
      <sheetName val="133NPR55_69_EC1"/>
      <sheetName val="TT_(13)1"/>
      <sheetName val="Ass'y-A_(Day)1"/>
      <sheetName val="190BODY_EMATRIX"/>
      <sheetName val="Data_validation"/>
      <sheetName val="表5-2_地区別CO2排出実績"/>
      <sheetName val="cover_(FAD)"/>
      <sheetName val="º½Ä²¸_P-11"/>
      <sheetName val="Key_Index"/>
      <sheetName val="Annual_Production"/>
      <sheetName val="Side_&amp;_Pole"/>
      <sheetName val="27_進捗管理"/>
      <sheetName val="Control_fml"/>
      <sheetName val="COMMON_2"/>
      <sheetName val="Annual_Sales"/>
      <sheetName val="Draft_Vehicle_Format"/>
      <sheetName val="Type_I"/>
      <sheetName val="ocean_voyage"/>
      <sheetName val="11_CPU単価"/>
      <sheetName val="08_P772報告書030530"/>
      <sheetName val="_CV_ALL"/>
      <sheetName val="TF_;_C-19"/>
      <sheetName val="Time_study"/>
      <sheetName val="FUEL_FILLER1"/>
      <sheetName val="Main_Model"/>
      <sheetName val="HOLE-UNIT_TEMP"/>
      <sheetName val="TABLE(LINE_CODE)"/>
      <sheetName val="1771_2"/>
      <sheetName val="RWP_33"/>
      <sheetName val="MAKER_LIST_&amp;_Rate_Change"/>
      <sheetName val="Summary_Plant"/>
      <sheetName val="CAP_SEW_RFRJ_Sale#2_"/>
      <sheetName val="COIL_B-6"/>
      <sheetName val="THAI_SPEC_NO_"/>
      <sheetName val="0)_Route_Planning"/>
      <sheetName val="D1)_Driver_List"/>
      <sheetName val="CT F SERIES  (2)"/>
      <sheetName val="バス"/>
      <sheetName val="DATA01"/>
      <sheetName val="Q_Rep_月別工数詳細_new"/>
      <sheetName val="ﾄﾞﾛｯﾌﾟﾀﾞｳﾝﾝﾘｽﾄ"/>
      <sheetName val="6S"/>
      <sheetName val="P"/>
      <sheetName val="4H"/>
      <sheetName val="torq#7"/>
      <sheetName val="Orig Study for PPAP"/>
      <sheetName val="SCOP"/>
      <sheetName val="目標MAP_K3_MAP_TRG_MAX"/>
      <sheetName val="【ｸﾞﾗﾌ】P値V値"/>
      <sheetName val="Concept&amp;Cause"/>
      <sheetName val="変更項目・評価内容"/>
      <sheetName val="_01_004"/>
      <sheetName val="HE5AA実測"/>
      <sheetName val="平板Ｃ"/>
      <sheetName val="Queriable GVDP 4.X"/>
      <sheetName val="TIMING CARD"/>
      <sheetName val="PROGRAM NAME CHANGE REPORT"/>
      <sheetName val="Queriable GVDP 3.X"/>
      <sheetName val="Queriable OTHER 4.X"/>
      <sheetName val="Queriable CLS"/>
      <sheetName val="Queriable Other"/>
      <sheetName val="C1-8mode排ガス(Alt2改良)"/>
      <sheetName val="104-Ⅰ計画"/>
      <sheetName val="output"/>
      <sheetName val="ﾛｲ"/>
      <sheetName val="比較"/>
      <sheetName val="Group1"/>
      <sheetName val="初期情報入力画面"/>
      <sheetName val="１個人表1-10"/>
      <sheetName val="１個人表11-20"/>
      <sheetName val="２個人表1-10"/>
      <sheetName val="2個人表11-20"/>
      <sheetName val="Supp.List"/>
      <sheetName val="T基礎点"/>
      <sheetName val="T退職金Point"/>
      <sheetName val="FI1 COVER"/>
      <sheetName val="2-CR1"/>
      <sheetName val="3-PL1"/>
      <sheetName val="0-VR4 FI1"/>
      <sheetName val="BEG00"/>
      <sheetName val="4-SS1"/>
      <sheetName val="5-AJ2"/>
      <sheetName val="5-AJ3"/>
      <sheetName val="6-AP1"/>
      <sheetName val="5-AJ1"/>
      <sheetName val="5-AJ9"/>
      <sheetName val="W-List"/>
      <sheetName val="入力分類"/>
      <sheetName val="1WT素材費"/>
      <sheetName val="ｲﾝﾌﾟｯﾄｼｰﾄ"/>
      <sheetName val="PartsRist"/>
      <sheetName val="リスクアセスメント表様式"/>
      <sheetName val="グロマス仮"/>
      <sheetName val="部位名"/>
      <sheetName val="国ｺｰﾄﾞ"/>
      <sheetName val="Toggle Details"/>
      <sheetName val="HUB 4X4 OP6A 251218"/>
      <sheetName val="Progress Target 2019"/>
      <sheetName val="Count- Akim"/>
      <sheetName val="Additional Chassis"/>
      <sheetName val="Sheet1(RZ)"/>
      <sheetName val="Sheet2(4J)"/>
      <sheetName val="Summary data"/>
      <sheetName val="Data Base"/>
      <sheetName val="TGRT_CM"/>
      <sheetName val="Status meaning"/>
      <sheetName val="094_APP別"/>
      <sheetName val="Summary volume 2020"/>
      <sheetName val="IMCT Working condition"/>
      <sheetName val="Reply Sheet (FOB)"/>
      <sheetName val="Reply Sheet(WAM Hi)"/>
      <sheetName val="Reply Sheet (WAM Low)"/>
      <sheetName val="Reply Sheet (WAM Mid)"/>
      <sheetName val="Example (Rev.1)"/>
      <sheetName val="รายชื่อ"/>
      <sheetName val="Over all 2ND"/>
      <sheetName val="疲労限度線図"/>
      <sheetName val="SPEC_LIST2"/>
      <sheetName val="BP_volume_(2)2"/>
      <sheetName val="BP_volume2"/>
      <sheetName val="20kb_CR2"/>
      <sheetName val="summary_(BP_ISZJ_Mar'12)2"/>
      <sheetName val="PnL_2006_LE2"/>
      <sheetName val="Page_3_(Samrong_UA)2"/>
      <sheetName val="Page_4_(Gateway-TF)2"/>
      <sheetName val="P_12"/>
      <sheetName val="200P_SHEET2"/>
      <sheetName val="Table_Master2"/>
      <sheetName val="Master_Route2"/>
      <sheetName val="Unit_Price4"/>
      <sheetName val="Sheet1_(2)4"/>
      <sheetName val="Production_Database_3993"/>
      <sheetName val="[LR・LTｸﾚｰﾑ分析_xls塅䕃⹌塅Et1_(2)3"/>
      <sheetName val="_LR・LTｸﾚｰﾑ分析_xls塅䕃⹌塅Et1_(2)3"/>
      <sheetName val="Car_Input2"/>
      <sheetName val="MPL_技連3"/>
      <sheetName val="342E_BLOCK3"/>
      <sheetName val="NC-3_dAY2"/>
      <sheetName val="total_change&amp;add2"/>
      <sheetName val="G_Van_-_Price_Build_up2"/>
      <sheetName val="Injection_Foam_(4)2"/>
      <sheetName val="FB_sepa_S22"/>
      <sheetName val="EPW_06302"/>
      <sheetName val="part_list_ext_crew2"/>
      <sheetName val="342A_Block2"/>
      <sheetName val="〈参考〉_P_7_シフトINディテント力2"/>
      <sheetName val="Pick_up2"/>
      <sheetName val="Distance_Master2"/>
      <sheetName val="Driver_Master2"/>
      <sheetName val="Truck_Master2"/>
      <sheetName val="Allowance_Master2"/>
      <sheetName val="The_Rule1"/>
      <sheetName val="ﾟ発表No_12"/>
      <sheetName val="R_GRILLE1"/>
      <sheetName val="A2_9902"/>
      <sheetName val="データシート(定地)_(2)1"/>
      <sheetName val="2-A､B_3-A1"/>
      <sheetName val="C3_N_DC改造投資3"/>
      <sheetName val="ap_171"/>
      <sheetName val="_FE_0919Cal_TP31"/>
      <sheetName val="LAY-OUT_1"/>
      <sheetName val="1__Prod__(BG__TG___AC)_20162"/>
      <sheetName val="Compare_Budget_&amp;_Actual_Order2"/>
      <sheetName val="ES01_トルクカーブ_201211151"/>
      <sheetName val="Welding_#21"/>
      <sheetName val="Cap__Injection_1"/>
      <sheetName val="3_Idea_Sewing_1"/>
      <sheetName val="p_no_Coil1"/>
      <sheetName val="COIL_C3-61"/>
      <sheetName val="日程表_3X2"/>
      <sheetName val="133NPR55_69_EC2"/>
      <sheetName val="TT_(13)2"/>
      <sheetName val="Ass'y-A_(Day)2"/>
      <sheetName val="190BODY_EMATRIX1"/>
      <sheetName val="Data_validation1"/>
      <sheetName val="表5-2_地区別CO2排出実績1"/>
      <sheetName val="cover_(FAD)1"/>
      <sheetName val="º½Ä²¸_P-12"/>
      <sheetName val="Key_Index1"/>
      <sheetName val="Annual_Production1"/>
      <sheetName val="Side_&amp;_Pole1"/>
      <sheetName val="27_進捗管理1"/>
      <sheetName val="Control_fml1"/>
      <sheetName val="CAP_SEW_RFRJ_Sale#2_1"/>
      <sheetName val="COIL_B-61"/>
      <sheetName val="THAI_SPEC_NO_1"/>
      <sheetName val="0)_Route_Planning1"/>
      <sheetName val="D1)_Driver_List1"/>
      <sheetName val="P2_BUDGET"/>
      <sheetName val="ocean_voyage1"/>
      <sheetName val="HUB-HOLDER_ORI_(2)"/>
      <sheetName val="COMMON_21"/>
      <sheetName val="Annual_Sales1"/>
      <sheetName val="Draft_Vehicle_Format1"/>
      <sheetName val="11_CPU単価1"/>
      <sheetName val="08_P772報告書0305301"/>
      <sheetName val="_CV_ALL1"/>
      <sheetName val="TF_;_C-191"/>
      <sheetName val="Time_study1"/>
      <sheetName val="FUEL_FILLER2"/>
      <sheetName val="TABLE(LINE_CODE)1"/>
      <sheetName val="Over_all_FS_A"/>
      <sheetName val="Type_I1"/>
      <sheetName val="Main_Model1"/>
      <sheetName val="HOLE-UNIT_TEMP1"/>
      <sheetName val="1771_21"/>
      <sheetName val="RWP_331"/>
      <sheetName val="MAKER_LIST_&amp;_Rate_Change1"/>
      <sheetName val="Summary_Plant1"/>
      <sheetName val="Summary_data"/>
      <sheetName val="Progress_Target_2019"/>
      <sheetName val="Data_Base"/>
      <sheetName val="Count-_Akim"/>
      <sheetName val="Additional_Chassis"/>
      <sheetName val="Summary_volume_2020"/>
      <sheetName val="IMCT_Working_condition"/>
      <sheetName val="Reply_Sheet_(FOB)"/>
      <sheetName val="Reply_Sheet(WAM_Hi)"/>
      <sheetName val="Reply_Sheet_(WAM_Low)"/>
      <sheetName val="Reply_Sheet_(WAM_Mid)"/>
      <sheetName val="Example_(Rev_1)"/>
      <sheetName val="Over_all_2ND"/>
      <sheetName val="Status_meaning"/>
      <sheetName val="Sheet8"/>
      <sheetName val="DATA  CONE"/>
      <sheetName val="DATA  CUP"/>
      <sheetName val="IGI"/>
      <sheetName val="TOTAL"/>
      <sheetName val="PP_Letter 389N"/>
      <sheetName val="D2) Truck List"/>
      <sheetName val="Report Compare PM"/>
      <sheetName val="Data All "/>
      <sheetName val="Fix Cost Rev.0"/>
      <sheetName val="推移"/>
      <sheetName val="K82191"/>
      <sheetName val="SPEC_LIST3"/>
      <sheetName val="BP_volume_(2)3"/>
      <sheetName val="BP_volume3"/>
      <sheetName val="20kb_CR3"/>
      <sheetName val="summary_(BP_ISZJ_Mar'12)3"/>
      <sheetName val="PnL_2006_LE3"/>
      <sheetName val="Page_3_(Samrong_UA)3"/>
      <sheetName val="Page_4_(Gateway-TF)3"/>
      <sheetName val="P_13"/>
      <sheetName val="200P_SHEET3"/>
      <sheetName val="Table_Master3"/>
      <sheetName val="Master_Route3"/>
      <sheetName val="Unit_Price5"/>
      <sheetName val="Sheet1_(2)5"/>
      <sheetName val="Production_Database_3994"/>
      <sheetName val="[LR・LTｸﾚｰﾑ分析_xls塅䕃⹌塅Et1_(2)4"/>
      <sheetName val="_LR・LTｸﾚｰﾑ分析_xls塅䕃⹌塅Et1_(2)4"/>
      <sheetName val="Car_Input3"/>
      <sheetName val="MPL_技連4"/>
      <sheetName val="342E_BLOCK4"/>
      <sheetName val="NC-3_dAY3"/>
      <sheetName val="total_change&amp;add3"/>
      <sheetName val="G_Van_-_Price_Build_up3"/>
      <sheetName val="Injection_Foam_(4)3"/>
      <sheetName val="FB_sepa_S23"/>
      <sheetName val="EPW_06303"/>
      <sheetName val="part_list_ext_crew3"/>
      <sheetName val="342A_Block3"/>
      <sheetName val="〈参考〉_P_7_シフトINディテント力3"/>
      <sheetName val="Pick_up3"/>
      <sheetName val="Distance_Master3"/>
      <sheetName val="Driver_Master3"/>
      <sheetName val="Truck_Master3"/>
      <sheetName val="Allowance_Master3"/>
      <sheetName val="The_Rule2"/>
      <sheetName val="ﾟ発表No_13"/>
      <sheetName val="R_GRILLE2"/>
      <sheetName val="A2_9903"/>
      <sheetName val="データシート(定地)_(2)2"/>
      <sheetName val="2-A､B_3-A2"/>
      <sheetName val="C3_N_DC改造投資4"/>
      <sheetName val="ap_172"/>
      <sheetName val="_FE_0919Cal_TP32"/>
      <sheetName val="LAY-OUT_2"/>
      <sheetName val="1__Prod__(BG__TG___AC)_20163"/>
      <sheetName val="Compare_Budget_&amp;_Actual_Order3"/>
      <sheetName val="ES01_トルクカーブ_201211152"/>
      <sheetName val="Welding_#22"/>
      <sheetName val="Cap__Injection_2"/>
      <sheetName val="3_Idea_Sewing_2"/>
      <sheetName val="p_no_Coil2"/>
      <sheetName val="COIL_C3-62"/>
      <sheetName val="日程表_3X3"/>
      <sheetName val="133NPR55_69_EC3"/>
      <sheetName val="TT_(13)3"/>
      <sheetName val="Ass'y-A_(Day)3"/>
      <sheetName val="190BODY_EMATRIX2"/>
      <sheetName val="Data_validation2"/>
      <sheetName val="表5-2_地区別CO2排出実績2"/>
      <sheetName val="cover_(FAD)2"/>
      <sheetName val="º½Ä²¸_P-13"/>
      <sheetName val="Key_Index2"/>
      <sheetName val="Annual_Production2"/>
      <sheetName val="Side_&amp;_Pole2"/>
      <sheetName val="27_進捗管理2"/>
      <sheetName val="Control_fml2"/>
      <sheetName val="CAP_SEW_RFRJ_Sale#2_2"/>
      <sheetName val="COIL_B-62"/>
      <sheetName val="THAI_SPEC_NO_2"/>
      <sheetName val="0)_Route_Planning2"/>
      <sheetName val="D1)_Driver_List2"/>
      <sheetName val="P2_BUDGET1"/>
      <sheetName val="ocean_voyage2"/>
      <sheetName val="HUB-HOLDER_ORI_(2)1"/>
      <sheetName val="COMMON_22"/>
      <sheetName val="Annual_Sales2"/>
      <sheetName val="Draft_Vehicle_Format2"/>
      <sheetName val="11_CPU単価2"/>
      <sheetName val="08_P772報告書0305302"/>
      <sheetName val="_CV_ALL2"/>
      <sheetName val="TF_;_C-192"/>
      <sheetName val="Time_study2"/>
      <sheetName val="FUEL_FILLER3"/>
      <sheetName val="TABLE(LINE_CODE)2"/>
      <sheetName val="Over_all_FS_A1"/>
      <sheetName val="Type_I2"/>
      <sheetName val="Main_Model2"/>
      <sheetName val="HOLE-UNIT_TEMP2"/>
      <sheetName val="1771_22"/>
      <sheetName val="RWP_332"/>
      <sheetName val="MAKER_LIST_&amp;_Rate_Change2"/>
      <sheetName val="Summary_Plant2"/>
      <sheetName val="Summary_data1"/>
      <sheetName val="Progress_Target_20191"/>
      <sheetName val="Data_Base1"/>
      <sheetName val="Count-_Akim1"/>
      <sheetName val="Additional_Chassis1"/>
      <sheetName val="Summary_volume_20201"/>
      <sheetName val="IMCT_Working_condition1"/>
      <sheetName val="Reply_Sheet_(FOB)1"/>
      <sheetName val="Reply_Sheet(WAM_Hi)1"/>
      <sheetName val="Reply_Sheet_(WAM_Low)1"/>
      <sheetName val="Reply_Sheet_(WAM_Mid)1"/>
      <sheetName val="Example_(Rev_1)1"/>
      <sheetName val="Over_all_2ND1"/>
      <sheetName val="Status_meaning1"/>
      <sheetName val="D2)_Truck_List"/>
      <sheetName val="DATA__CONE"/>
      <sheetName val="DATA__CUP"/>
      <sheetName val="Report_Compare_PM"/>
      <sheetName val="Data_All_"/>
      <sheetName val="Fix_Cost_Rev_0"/>
      <sheetName val="Reply Sheet (2)"/>
    </sheetNames>
    <sheetDataSet>
      <sheetData sheetId="0"/>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 sheetId="99" refreshError="1"/>
      <sheetData sheetId="100" refreshError="1"/>
      <sheetData sheetId="101" refreshError="1"/>
      <sheetData sheetId="102" refreshError="1"/>
      <sheetData sheetId="103" refreshError="1"/>
      <sheetData sheetId="104" refreshError="1"/>
      <sheetData sheetId="105" refreshError="1"/>
      <sheetData sheetId="106" refreshError="1"/>
      <sheetData sheetId="107"/>
      <sheetData sheetId="108"/>
      <sheetData sheetId="109"/>
      <sheetData sheetId="110"/>
      <sheetData sheetId="111" refreshError="1"/>
      <sheetData sheetId="112" refreshError="1"/>
      <sheetData sheetId="113" refreshError="1"/>
      <sheetData sheetId="114" refreshError="1"/>
      <sheetData sheetId="115" refreshError="1"/>
      <sheetData sheetId="116" refreshError="1"/>
      <sheetData sheetId="117" refreshError="1"/>
      <sheetData sheetId="118" refreshError="1"/>
      <sheetData sheetId="119" refreshError="1"/>
      <sheetData sheetId="120" refreshError="1"/>
      <sheetData sheetId="121" refreshError="1"/>
      <sheetData sheetId="122" refreshError="1"/>
      <sheetData sheetId="123" refreshError="1"/>
      <sheetData sheetId="124" refreshError="1"/>
      <sheetData sheetId="125" refreshError="1"/>
      <sheetData sheetId="126" refreshError="1"/>
      <sheetData sheetId="127" refreshError="1"/>
      <sheetData sheetId="128" refreshError="1"/>
      <sheetData sheetId="129" refreshError="1"/>
      <sheetData sheetId="130" refreshError="1"/>
      <sheetData sheetId="131" refreshError="1"/>
      <sheetData sheetId="132" refreshError="1"/>
      <sheetData sheetId="133" refreshError="1"/>
      <sheetData sheetId="134" refreshError="1"/>
      <sheetData sheetId="135" refreshError="1"/>
      <sheetData sheetId="136" refreshError="1"/>
      <sheetData sheetId="137" refreshError="1"/>
      <sheetData sheetId="138" refreshError="1"/>
      <sheetData sheetId="139" refreshError="1"/>
      <sheetData sheetId="140" refreshError="1"/>
      <sheetData sheetId="141" refreshError="1"/>
      <sheetData sheetId="142" refreshError="1"/>
      <sheetData sheetId="143" refreshError="1"/>
      <sheetData sheetId="144" refreshError="1"/>
      <sheetData sheetId="145" refreshError="1"/>
      <sheetData sheetId="146" refreshError="1"/>
      <sheetData sheetId="147" refreshError="1"/>
      <sheetData sheetId="148" refreshError="1"/>
      <sheetData sheetId="149" refreshError="1"/>
      <sheetData sheetId="150" refreshError="1"/>
      <sheetData sheetId="151" refreshError="1"/>
      <sheetData sheetId="152" refreshError="1"/>
      <sheetData sheetId="153" refreshError="1"/>
      <sheetData sheetId="154" refreshError="1"/>
      <sheetData sheetId="155" refreshError="1"/>
      <sheetData sheetId="156" refreshError="1"/>
      <sheetData sheetId="157" refreshError="1"/>
      <sheetData sheetId="158" refreshError="1"/>
      <sheetData sheetId="159" refreshError="1"/>
      <sheetData sheetId="160" refreshError="1"/>
      <sheetData sheetId="161" refreshError="1"/>
      <sheetData sheetId="162" refreshError="1"/>
      <sheetData sheetId="163" refreshError="1"/>
      <sheetData sheetId="164" refreshError="1"/>
      <sheetData sheetId="165" refreshError="1"/>
      <sheetData sheetId="166" refreshError="1"/>
      <sheetData sheetId="167" refreshError="1"/>
      <sheetData sheetId="168" refreshError="1"/>
      <sheetData sheetId="169" refreshError="1"/>
      <sheetData sheetId="170" refreshError="1"/>
      <sheetData sheetId="171" refreshError="1"/>
      <sheetData sheetId="172" refreshError="1"/>
      <sheetData sheetId="173" refreshError="1"/>
      <sheetData sheetId="174"/>
      <sheetData sheetId="175" refreshError="1"/>
      <sheetData sheetId="176" refreshError="1"/>
      <sheetData sheetId="177" refreshError="1"/>
      <sheetData sheetId="178" refreshError="1"/>
      <sheetData sheetId="179" refreshError="1"/>
      <sheetData sheetId="180" refreshError="1"/>
      <sheetData sheetId="181" refreshError="1"/>
      <sheetData sheetId="182"/>
      <sheetData sheetId="183"/>
      <sheetData sheetId="184"/>
      <sheetData sheetId="185"/>
      <sheetData sheetId="186"/>
      <sheetData sheetId="187"/>
      <sheetData sheetId="188"/>
      <sheetData sheetId="189"/>
      <sheetData sheetId="190"/>
      <sheetData sheetId="191"/>
      <sheetData sheetId="192"/>
      <sheetData sheetId="193"/>
      <sheetData sheetId="194"/>
      <sheetData sheetId="195"/>
      <sheetData sheetId="196" refreshError="1"/>
      <sheetData sheetId="197" refreshError="1"/>
      <sheetData sheetId="198" refreshError="1"/>
      <sheetData sheetId="199" refreshError="1"/>
      <sheetData sheetId="200" refreshError="1"/>
      <sheetData sheetId="201" refreshError="1"/>
      <sheetData sheetId="202" refreshError="1"/>
      <sheetData sheetId="203" refreshError="1"/>
      <sheetData sheetId="204" refreshError="1"/>
      <sheetData sheetId="205" refreshError="1"/>
      <sheetData sheetId="206" refreshError="1"/>
      <sheetData sheetId="207" refreshError="1"/>
      <sheetData sheetId="208" refreshError="1"/>
      <sheetData sheetId="209" refreshError="1"/>
      <sheetData sheetId="210" refreshError="1"/>
      <sheetData sheetId="211" refreshError="1"/>
      <sheetData sheetId="212" refreshError="1"/>
      <sheetData sheetId="213" refreshError="1"/>
      <sheetData sheetId="214" refreshError="1"/>
      <sheetData sheetId="215" refreshError="1"/>
      <sheetData sheetId="216" refreshError="1"/>
      <sheetData sheetId="217" refreshError="1"/>
      <sheetData sheetId="218" refreshError="1"/>
      <sheetData sheetId="219" refreshError="1"/>
      <sheetData sheetId="220" refreshError="1"/>
      <sheetData sheetId="221" refreshError="1"/>
      <sheetData sheetId="222" refreshError="1"/>
      <sheetData sheetId="223" refreshError="1"/>
      <sheetData sheetId="224" refreshError="1"/>
      <sheetData sheetId="225" refreshError="1"/>
      <sheetData sheetId="226" refreshError="1"/>
      <sheetData sheetId="227" refreshError="1"/>
      <sheetData sheetId="228" refreshError="1"/>
      <sheetData sheetId="229" refreshError="1"/>
      <sheetData sheetId="230" refreshError="1"/>
      <sheetData sheetId="231" refreshError="1"/>
      <sheetData sheetId="232" refreshError="1"/>
      <sheetData sheetId="233" refreshError="1"/>
      <sheetData sheetId="234"/>
      <sheetData sheetId="235"/>
      <sheetData sheetId="236" refreshError="1"/>
      <sheetData sheetId="237" refreshError="1"/>
      <sheetData sheetId="238" refreshError="1"/>
      <sheetData sheetId="239" refreshError="1"/>
      <sheetData sheetId="240" refreshError="1"/>
      <sheetData sheetId="241" refreshError="1"/>
      <sheetData sheetId="242" refreshError="1"/>
      <sheetData sheetId="243" refreshError="1"/>
      <sheetData sheetId="244" refreshError="1"/>
      <sheetData sheetId="245" refreshError="1"/>
      <sheetData sheetId="246" refreshError="1"/>
      <sheetData sheetId="247" refreshError="1"/>
      <sheetData sheetId="248" refreshError="1"/>
      <sheetData sheetId="249" refreshError="1"/>
      <sheetData sheetId="250" refreshError="1"/>
      <sheetData sheetId="251" refreshError="1"/>
      <sheetData sheetId="252" refreshError="1"/>
      <sheetData sheetId="253" refreshError="1"/>
      <sheetData sheetId="254" refreshError="1"/>
      <sheetData sheetId="255" refreshError="1"/>
      <sheetData sheetId="256" refreshError="1"/>
      <sheetData sheetId="257" refreshError="1"/>
      <sheetData sheetId="258"/>
      <sheetData sheetId="259"/>
      <sheetData sheetId="260"/>
      <sheetData sheetId="261"/>
      <sheetData sheetId="262"/>
      <sheetData sheetId="263" refreshError="1"/>
      <sheetData sheetId="264" refreshError="1"/>
      <sheetData sheetId="265" refreshError="1"/>
      <sheetData sheetId="266" refreshError="1"/>
      <sheetData sheetId="267" refreshError="1"/>
      <sheetData sheetId="268" refreshError="1"/>
      <sheetData sheetId="269" refreshError="1"/>
      <sheetData sheetId="270" refreshError="1"/>
      <sheetData sheetId="271" refreshError="1"/>
      <sheetData sheetId="272"/>
      <sheetData sheetId="273"/>
      <sheetData sheetId="274" refreshError="1"/>
      <sheetData sheetId="275" refreshError="1"/>
      <sheetData sheetId="276" refreshError="1"/>
      <sheetData sheetId="277" refreshError="1"/>
      <sheetData sheetId="278" refreshError="1"/>
      <sheetData sheetId="279" refreshError="1"/>
      <sheetData sheetId="280" refreshError="1"/>
      <sheetData sheetId="281" refreshError="1"/>
      <sheetData sheetId="282" refreshError="1"/>
      <sheetData sheetId="283" refreshError="1"/>
      <sheetData sheetId="284" refreshError="1"/>
      <sheetData sheetId="285" refreshError="1"/>
      <sheetData sheetId="286" refreshError="1"/>
      <sheetData sheetId="287" refreshError="1"/>
      <sheetData sheetId="288" refreshError="1"/>
      <sheetData sheetId="289" refreshError="1"/>
      <sheetData sheetId="290" refreshError="1"/>
      <sheetData sheetId="291" refreshError="1"/>
      <sheetData sheetId="292" refreshError="1"/>
      <sheetData sheetId="293" refreshError="1"/>
      <sheetData sheetId="294" refreshError="1"/>
      <sheetData sheetId="295" refreshError="1"/>
      <sheetData sheetId="296" refreshError="1"/>
      <sheetData sheetId="297" refreshError="1"/>
      <sheetData sheetId="298" refreshError="1"/>
      <sheetData sheetId="299" refreshError="1"/>
      <sheetData sheetId="300" refreshError="1"/>
      <sheetData sheetId="301" refreshError="1"/>
      <sheetData sheetId="302" refreshError="1"/>
      <sheetData sheetId="303" refreshError="1"/>
      <sheetData sheetId="304" refreshError="1"/>
      <sheetData sheetId="305" refreshError="1"/>
      <sheetData sheetId="306" refreshError="1"/>
      <sheetData sheetId="307" refreshError="1"/>
      <sheetData sheetId="308" refreshError="1"/>
      <sheetData sheetId="309" refreshError="1"/>
      <sheetData sheetId="310" refreshError="1"/>
      <sheetData sheetId="311" refreshError="1"/>
      <sheetData sheetId="312" refreshError="1"/>
      <sheetData sheetId="313" refreshError="1"/>
      <sheetData sheetId="314" refreshError="1"/>
      <sheetData sheetId="315" refreshError="1"/>
      <sheetData sheetId="316" refreshError="1"/>
      <sheetData sheetId="317" refreshError="1"/>
      <sheetData sheetId="318" refreshError="1"/>
      <sheetData sheetId="319" refreshError="1"/>
      <sheetData sheetId="320" refreshError="1"/>
      <sheetData sheetId="321" refreshError="1"/>
      <sheetData sheetId="322" refreshError="1"/>
      <sheetData sheetId="323" refreshError="1"/>
      <sheetData sheetId="324" refreshError="1"/>
      <sheetData sheetId="325" refreshError="1"/>
      <sheetData sheetId="326" refreshError="1"/>
      <sheetData sheetId="327" refreshError="1"/>
      <sheetData sheetId="328" refreshError="1"/>
      <sheetData sheetId="329" refreshError="1"/>
      <sheetData sheetId="330" refreshError="1"/>
      <sheetData sheetId="331" refreshError="1"/>
      <sheetData sheetId="332" refreshError="1"/>
      <sheetData sheetId="333" refreshError="1"/>
      <sheetData sheetId="334" refreshError="1"/>
      <sheetData sheetId="335" refreshError="1"/>
      <sheetData sheetId="336" refreshError="1"/>
      <sheetData sheetId="337" refreshError="1"/>
      <sheetData sheetId="338" refreshError="1"/>
      <sheetData sheetId="339" refreshError="1"/>
      <sheetData sheetId="340" refreshError="1"/>
      <sheetData sheetId="341" refreshError="1"/>
      <sheetData sheetId="342" refreshError="1"/>
      <sheetData sheetId="343" refreshError="1"/>
      <sheetData sheetId="344" refreshError="1"/>
      <sheetData sheetId="345" refreshError="1"/>
      <sheetData sheetId="346" refreshError="1"/>
      <sheetData sheetId="347" refreshError="1"/>
      <sheetData sheetId="348" refreshError="1"/>
      <sheetData sheetId="349" refreshError="1"/>
      <sheetData sheetId="350" refreshError="1"/>
      <sheetData sheetId="351" refreshError="1"/>
      <sheetData sheetId="352"/>
      <sheetData sheetId="353" refreshError="1"/>
      <sheetData sheetId="354" refreshError="1"/>
      <sheetData sheetId="355" refreshError="1"/>
      <sheetData sheetId="356" refreshError="1"/>
      <sheetData sheetId="357" refreshError="1"/>
      <sheetData sheetId="358" refreshError="1"/>
      <sheetData sheetId="359" refreshError="1"/>
      <sheetData sheetId="360" refreshError="1"/>
      <sheetData sheetId="361" refreshError="1"/>
      <sheetData sheetId="362" refreshError="1"/>
      <sheetData sheetId="363" refreshError="1"/>
      <sheetData sheetId="364" refreshError="1"/>
      <sheetData sheetId="365" refreshError="1"/>
      <sheetData sheetId="366" refreshError="1"/>
      <sheetData sheetId="367" refreshError="1"/>
      <sheetData sheetId="368" refreshError="1"/>
      <sheetData sheetId="369" refreshError="1"/>
      <sheetData sheetId="370" refreshError="1"/>
      <sheetData sheetId="371" refreshError="1"/>
      <sheetData sheetId="372"/>
      <sheetData sheetId="373"/>
      <sheetData sheetId="374" refreshError="1"/>
      <sheetData sheetId="375" refreshError="1"/>
      <sheetData sheetId="376" refreshError="1"/>
      <sheetData sheetId="377" refreshError="1"/>
      <sheetData sheetId="378" refreshError="1"/>
      <sheetData sheetId="379" refreshError="1"/>
      <sheetData sheetId="380" refreshError="1"/>
      <sheetData sheetId="381" refreshError="1"/>
      <sheetData sheetId="382" refreshError="1"/>
      <sheetData sheetId="383" refreshError="1"/>
      <sheetData sheetId="384" refreshError="1"/>
      <sheetData sheetId="385" refreshError="1"/>
      <sheetData sheetId="386" refreshError="1"/>
      <sheetData sheetId="387" refreshError="1"/>
      <sheetData sheetId="388" refreshError="1"/>
      <sheetData sheetId="389" refreshError="1"/>
      <sheetData sheetId="390" refreshError="1"/>
      <sheetData sheetId="391" refreshError="1"/>
      <sheetData sheetId="392" refreshError="1"/>
      <sheetData sheetId="393" refreshError="1"/>
      <sheetData sheetId="394" refreshError="1"/>
      <sheetData sheetId="395" refreshError="1"/>
      <sheetData sheetId="396" refreshError="1"/>
      <sheetData sheetId="397" refreshError="1"/>
      <sheetData sheetId="398" refreshError="1"/>
      <sheetData sheetId="399" refreshError="1"/>
      <sheetData sheetId="400" refreshError="1"/>
      <sheetData sheetId="401" refreshError="1"/>
      <sheetData sheetId="402" refreshError="1"/>
      <sheetData sheetId="403" refreshError="1"/>
      <sheetData sheetId="404" refreshError="1"/>
      <sheetData sheetId="405" refreshError="1"/>
      <sheetData sheetId="406" refreshError="1"/>
      <sheetData sheetId="407" refreshError="1"/>
      <sheetData sheetId="408" refreshError="1"/>
      <sheetData sheetId="409" refreshError="1"/>
      <sheetData sheetId="410" refreshError="1"/>
      <sheetData sheetId="411" refreshError="1"/>
      <sheetData sheetId="412" refreshError="1"/>
      <sheetData sheetId="413" refreshError="1"/>
      <sheetData sheetId="414" refreshError="1"/>
      <sheetData sheetId="415" refreshError="1"/>
      <sheetData sheetId="416" refreshError="1"/>
      <sheetData sheetId="417" refreshError="1"/>
      <sheetData sheetId="418" refreshError="1"/>
      <sheetData sheetId="419" refreshError="1"/>
      <sheetData sheetId="420" refreshError="1"/>
      <sheetData sheetId="421" refreshError="1"/>
      <sheetData sheetId="422" refreshError="1"/>
      <sheetData sheetId="423" refreshError="1"/>
      <sheetData sheetId="424" refreshError="1"/>
      <sheetData sheetId="425" refreshError="1"/>
      <sheetData sheetId="426" refreshError="1"/>
      <sheetData sheetId="427" refreshError="1"/>
      <sheetData sheetId="428" refreshError="1"/>
      <sheetData sheetId="429" refreshError="1"/>
      <sheetData sheetId="430" refreshError="1"/>
      <sheetData sheetId="431" refreshError="1"/>
      <sheetData sheetId="432" refreshError="1"/>
      <sheetData sheetId="433" refreshError="1"/>
      <sheetData sheetId="434" refreshError="1"/>
      <sheetData sheetId="435" refreshError="1"/>
      <sheetData sheetId="436" refreshError="1"/>
      <sheetData sheetId="437" refreshError="1"/>
      <sheetData sheetId="438" refreshError="1"/>
      <sheetData sheetId="439" refreshError="1"/>
      <sheetData sheetId="440" refreshError="1"/>
      <sheetData sheetId="441" refreshError="1"/>
      <sheetData sheetId="442" refreshError="1"/>
      <sheetData sheetId="443" refreshError="1"/>
      <sheetData sheetId="444" refreshError="1"/>
      <sheetData sheetId="445" refreshError="1"/>
      <sheetData sheetId="446" refreshError="1"/>
      <sheetData sheetId="447" refreshError="1"/>
      <sheetData sheetId="448" refreshError="1"/>
      <sheetData sheetId="449" refreshError="1"/>
      <sheetData sheetId="450" refreshError="1"/>
      <sheetData sheetId="451" refreshError="1"/>
      <sheetData sheetId="452" refreshError="1"/>
      <sheetData sheetId="453" refreshError="1"/>
      <sheetData sheetId="454" refreshError="1"/>
      <sheetData sheetId="455" refreshError="1"/>
      <sheetData sheetId="456" refreshError="1"/>
      <sheetData sheetId="457" refreshError="1"/>
      <sheetData sheetId="458" refreshError="1"/>
      <sheetData sheetId="459" refreshError="1"/>
      <sheetData sheetId="460"/>
      <sheetData sheetId="461"/>
      <sheetData sheetId="462"/>
      <sheetData sheetId="463"/>
      <sheetData sheetId="464"/>
      <sheetData sheetId="465"/>
      <sheetData sheetId="466"/>
      <sheetData sheetId="467"/>
      <sheetData sheetId="468"/>
      <sheetData sheetId="469"/>
      <sheetData sheetId="470"/>
      <sheetData sheetId="471"/>
      <sheetData sheetId="472"/>
      <sheetData sheetId="473"/>
      <sheetData sheetId="474"/>
      <sheetData sheetId="475"/>
      <sheetData sheetId="476"/>
      <sheetData sheetId="477"/>
      <sheetData sheetId="478"/>
      <sheetData sheetId="479"/>
      <sheetData sheetId="480"/>
      <sheetData sheetId="481"/>
      <sheetData sheetId="482"/>
      <sheetData sheetId="483"/>
      <sheetData sheetId="484"/>
      <sheetData sheetId="485"/>
      <sheetData sheetId="486"/>
      <sheetData sheetId="487"/>
      <sheetData sheetId="488"/>
      <sheetData sheetId="489"/>
      <sheetData sheetId="490"/>
      <sheetData sheetId="491"/>
      <sheetData sheetId="492"/>
      <sheetData sheetId="493"/>
      <sheetData sheetId="494"/>
      <sheetData sheetId="495"/>
      <sheetData sheetId="496"/>
      <sheetData sheetId="497"/>
      <sheetData sheetId="498"/>
      <sheetData sheetId="499"/>
      <sheetData sheetId="500"/>
      <sheetData sheetId="501"/>
      <sheetData sheetId="502"/>
      <sheetData sheetId="503"/>
      <sheetData sheetId="504"/>
      <sheetData sheetId="505"/>
      <sheetData sheetId="506"/>
      <sheetData sheetId="507"/>
      <sheetData sheetId="508"/>
      <sheetData sheetId="509"/>
      <sheetData sheetId="510"/>
      <sheetData sheetId="511"/>
      <sheetData sheetId="512"/>
      <sheetData sheetId="513"/>
      <sheetData sheetId="514"/>
      <sheetData sheetId="515"/>
      <sheetData sheetId="516"/>
      <sheetData sheetId="517"/>
      <sheetData sheetId="518"/>
      <sheetData sheetId="519"/>
      <sheetData sheetId="520"/>
      <sheetData sheetId="521"/>
      <sheetData sheetId="522"/>
      <sheetData sheetId="523"/>
      <sheetData sheetId="524"/>
      <sheetData sheetId="525"/>
      <sheetData sheetId="526"/>
      <sheetData sheetId="527"/>
      <sheetData sheetId="528"/>
      <sheetData sheetId="529"/>
      <sheetData sheetId="530"/>
      <sheetData sheetId="531"/>
      <sheetData sheetId="532"/>
      <sheetData sheetId="533"/>
      <sheetData sheetId="534"/>
      <sheetData sheetId="535"/>
      <sheetData sheetId="536"/>
      <sheetData sheetId="537"/>
      <sheetData sheetId="538"/>
      <sheetData sheetId="539"/>
      <sheetData sheetId="540"/>
      <sheetData sheetId="541"/>
      <sheetData sheetId="542"/>
      <sheetData sheetId="543"/>
      <sheetData sheetId="544"/>
      <sheetData sheetId="545"/>
      <sheetData sheetId="546"/>
      <sheetData sheetId="547"/>
      <sheetData sheetId="548"/>
      <sheetData sheetId="549" refreshError="1"/>
      <sheetData sheetId="550" refreshError="1"/>
      <sheetData sheetId="551" refreshError="1"/>
      <sheetData sheetId="552" refreshError="1"/>
      <sheetData sheetId="553" refreshError="1"/>
      <sheetData sheetId="554" refreshError="1"/>
      <sheetData sheetId="555" refreshError="1"/>
      <sheetData sheetId="556" refreshError="1"/>
      <sheetData sheetId="557" refreshError="1"/>
      <sheetData sheetId="558" refreshError="1"/>
      <sheetData sheetId="559" refreshError="1"/>
      <sheetData sheetId="560" refreshError="1"/>
      <sheetData sheetId="561" refreshError="1"/>
      <sheetData sheetId="562" refreshError="1"/>
      <sheetData sheetId="563" refreshError="1"/>
      <sheetData sheetId="564" refreshError="1"/>
      <sheetData sheetId="565" refreshError="1"/>
      <sheetData sheetId="566" refreshError="1"/>
      <sheetData sheetId="567" refreshError="1"/>
      <sheetData sheetId="568" refreshError="1"/>
      <sheetData sheetId="569" refreshError="1"/>
      <sheetData sheetId="570" refreshError="1"/>
      <sheetData sheetId="571" refreshError="1"/>
      <sheetData sheetId="572" refreshError="1"/>
      <sheetData sheetId="573" refreshError="1"/>
      <sheetData sheetId="574" refreshError="1"/>
      <sheetData sheetId="575" refreshError="1"/>
      <sheetData sheetId="576" refreshError="1"/>
      <sheetData sheetId="577" refreshError="1"/>
      <sheetData sheetId="578" refreshError="1"/>
      <sheetData sheetId="579" refreshError="1"/>
      <sheetData sheetId="580" refreshError="1"/>
      <sheetData sheetId="581" refreshError="1"/>
      <sheetData sheetId="582" refreshError="1"/>
      <sheetData sheetId="583" refreshError="1"/>
      <sheetData sheetId="584" refreshError="1"/>
      <sheetData sheetId="585" refreshError="1"/>
      <sheetData sheetId="586" refreshError="1"/>
      <sheetData sheetId="587" refreshError="1"/>
      <sheetData sheetId="588" refreshError="1"/>
      <sheetData sheetId="589" refreshError="1"/>
      <sheetData sheetId="590" refreshError="1"/>
      <sheetData sheetId="591" refreshError="1"/>
      <sheetData sheetId="592" refreshError="1"/>
      <sheetData sheetId="593" refreshError="1"/>
      <sheetData sheetId="594" refreshError="1"/>
      <sheetData sheetId="595" refreshError="1"/>
      <sheetData sheetId="596" refreshError="1"/>
      <sheetData sheetId="597" refreshError="1"/>
      <sheetData sheetId="598" refreshError="1"/>
      <sheetData sheetId="599" refreshError="1"/>
      <sheetData sheetId="600" refreshError="1"/>
      <sheetData sheetId="601" refreshError="1"/>
      <sheetData sheetId="602" refreshError="1"/>
      <sheetData sheetId="603" refreshError="1"/>
      <sheetData sheetId="604" refreshError="1"/>
      <sheetData sheetId="605" refreshError="1"/>
      <sheetData sheetId="606" refreshError="1"/>
      <sheetData sheetId="607" refreshError="1"/>
      <sheetData sheetId="608" refreshError="1"/>
      <sheetData sheetId="609" refreshError="1"/>
      <sheetData sheetId="610" refreshError="1"/>
      <sheetData sheetId="611"/>
      <sheetData sheetId="612"/>
      <sheetData sheetId="613" refreshError="1"/>
      <sheetData sheetId="614" refreshError="1"/>
      <sheetData sheetId="615" refreshError="1"/>
      <sheetData sheetId="616" refreshError="1"/>
      <sheetData sheetId="617" refreshError="1"/>
      <sheetData sheetId="618" refreshError="1"/>
      <sheetData sheetId="619" refreshError="1"/>
      <sheetData sheetId="620"/>
      <sheetData sheetId="621"/>
      <sheetData sheetId="622"/>
      <sheetData sheetId="623" refreshError="1"/>
      <sheetData sheetId="624" refreshError="1"/>
      <sheetData sheetId="625" refreshError="1"/>
      <sheetData sheetId="626" refreshError="1"/>
      <sheetData sheetId="627" refreshError="1"/>
      <sheetData sheetId="628" refreshError="1"/>
      <sheetData sheetId="629" refreshError="1"/>
      <sheetData sheetId="630"/>
      <sheetData sheetId="631"/>
      <sheetData sheetId="632"/>
      <sheetData sheetId="633"/>
      <sheetData sheetId="634"/>
      <sheetData sheetId="635"/>
      <sheetData sheetId="636"/>
      <sheetData sheetId="637"/>
      <sheetData sheetId="638"/>
      <sheetData sheetId="639"/>
      <sheetData sheetId="640"/>
      <sheetData sheetId="641"/>
      <sheetData sheetId="642"/>
      <sheetData sheetId="643"/>
      <sheetData sheetId="644"/>
      <sheetData sheetId="645"/>
      <sheetData sheetId="646"/>
      <sheetData sheetId="647"/>
      <sheetData sheetId="648"/>
      <sheetData sheetId="649"/>
      <sheetData sheetId="650"/>
      <sheetData sheetId="651"/>
      <sheetData sheetId="652"/>
      <sheetData sheetId="653"/>
      <sheetData sheetId="654"/>
      <sheetData sheetId="655"/>
      <sheetData sheetId="656"/>
      <sheetData sheetId="657"/>
      <sheetData sheetId="658"/>
      <sheetData sheetId="659"/>
      <sheetData sheetId="660"/>
      <sheetData sheetId="661"/>
      <sheetData sheetId="662"/>
      <sheetData sheetId="663"/>
      <sheetData sheetId="664"/>
      <sheetData sheetId="665"/>
      <sheetData sheetId="666"/>
      <sheetData sheetId="667"/>
      <sheetData sheetId="668"/>
      <sheetData sheetId="669"/>
      <sheetData sheetId="670"/>
      <sheetData sheetId="671"/>
      <sheetData sheetId="672"/>
      <sheetData sheetId="673"/>
      <sheetData sheetId="674"/>
      <sheetData sheetId="675"/>
      <sheetData sheetId="676"/>
      <sheetData sheetId="677"/>
      <sheetData sheetId="678"/>
      <sheetData sheetId="679"/>
      <sheetData sheetId="680"/>
      <sheetData sheetId="681"/>
      <sheetData sheetId="682"/>
      <sheetData sheetId="683"/>
      <sheetData sheetId="684"/>
      <sheetData sheetId="685"/>
      <sheetData sheetId="686"/>
      <sheetData sheetId="687"/>
      <sheetData sheetId="688"/>
      <sheetData sheetId="689"/>
      <sheetData sheetId="690"/>
      <sheetData sheetId="691"/>
      <sheetData sheetId="692"/>
      <sheetData sheetId="693"/>
      <sheetData sheetId="694"/>
      <sheetData sheetId="695"/>
      <sheetData sheetId="696"/>
      <sheetData sheetId="697"/>
      <sheetData sheetId="698"/>
      <sheetData sheetId="699"/>
      <sheetData sheetId="700"/>
      <sheetData sheetId="701"/>
      <sheetData sheetId="702"/>
      <sheetData sheetId="703"/>
      <sheetData sheetId="704"/>
      <sheetData sheetId="705"/>
      <sheetData sheetId="706"/>
      <sheetData sheetId="707"/>
      <sheetData sheetId="708"/>
      <sheetData sheetId="709"/>
      <sheetData sheetId="710"/>
      <sheetData sheetId="711"/>
      <sheetData sheetId="712"/>
      <sheetData sheetId="713"/>
      <sheetData sheetId="714"/>
      <sheetData sheetId="715"/>
      <sheetData sheetId="716"/>
      <sheetData sheetId="717"/>
      <sheetData sheetId="718"/>
      <sheetData sheetId="719"/>
      <sheetData sheetId="720"/>
      <sheetData sheetId="721"/>
      <sheetData sheetId="722"/>
      <sheetData sheetId="723"/>
      <sheetData sheetId="724"/>
      <sheetData sheetId="725"/>
      <sheetData sheetId="726"/>
      <sheetData sheetId="727"/>
      <sheetData sheetId="728"/>
      <sheetData sheetId="729"/>
      <sheetData sheetId="730"/>
      <sheetData sheetId="731"/>
      <sheetData sheetId="732"/>
      <sheetData sheetId="733"/>
      <sheetData sheetId="734"/>
      <sheetData sheetId="735" refreshError="1"/>
      <sheetData sheetId="736"/>
      <sheetData sheetId="737"/>
      <sheetData sheetId="738" refreshError="1"/>
      <sheetData sheetId="739" refreshError="1"/>
      <sheetData sheetId="740" refreshError="1"/>
      <sheetData sheetId="741" refreshError="1"/>
      <sheetData sheetId="742" refreshError="1"/>
      <sheetData sheetId="743" refreshError="1"/>
      <sheetData sheetId="744" refreshError="1"/>
      <sheetData sheetId="745" refreshError="1"/>
      <sheetData sheetId="746" refreshError="1"/>
      <sheetData sheetId="747" refreshError="1"/>
      <sheetData sheetId="748"/>
      <sheetData sheetId="749"/>
      <sheetData sheetId="750"/>
      <sheetData sheetId="751"/>
      <sheetData sheetId="752"/>
      <sheetData sheetId="753"/>
      <sheetData sheetId="754"/>
      <sheetData sheetId="755"/>
      <sheetData sheetId="756"/>
      <sheetData sheetId="757"/>
      <sheetData sheetId="758"/>
      <sheetData sheetId="759"/>
      <sheetData sheetId="760"/>
      <sheetData sheetId="761"/>
      <sheetData sheetId="762"/>
      <sheetData sheetId="763"/>
      <sheetData sheetId="764"/>
      <sheetData sheetId="765"/>
      <sheetData sheetId="766"/>
      <sheetData sheetId="767"/>
      <sheetData sheetId="768"/>
      <sheetData sheetId="769"/>
      <sheetData sheetId="770"/>
      <sheetData sheetId="771"/>
      <sheetData sheetId="772"/>
      <sheetData sheetId="773"/>
      <sheetData sheetId="774"/>
      <sheetData sheetId="775"/>
      <sheetData sheetId="776"/>
      <sheetData sheetId="777"/>
      <sheetData sheetId="778"/>
      <sheetData sheetId="779"/>
      <sheetData sheetId="780"/>
      <sheetData sheetId="781"/>
      <sheetData sheetId="782"/>
      <sheetData sheetId="783"/>
      <sheetData sheetId="784"/>
      <sheetData sheetId="785"/>
      <sheetData sheetId="786"/>
      <sheetData sheetId="787"/>
      <sheetData sheetId="788"/>
      <sheetData sheetId="789"/>
      <sheetData sheetId="790"/>
      <sheetData sheetId="791"/>
      <sheetData sheetId="792"/>
      <sheetData sheetId="793"/>
      <sheetData sheetId="794"/>
      <sheetData sheetId="795" refreshError="1"/>
      <sheetData sheetId="796" refreshError="1"/>
      <sheetData sheetId="797" refreshError="1"/>
      <sheetData sheetId="798" refreshError="1"/>
      <sheetData sheetId="799" refreshError="1"/>
      <sheetData sheetId="800" refreshError="1"/>
      <sheetData sheetId="801" refreshError="1"/>
      <sheetData sheetId="802" refreshError="1"/>
      <sheetData sheetId="803" refreshError="1"/>
      <sheetData sheetId="804" refreshError="1"/>
      <sheetData sheetId="805" refreshError="1"/>
      <sheetData sheetId="806" refreshError="1"/>
      <sheetData sheetId="807" refreshError="1"/>
      <sheetData sheetId="808" refreshError="1"/>
      <sheetData sheetId="809" refreshError="1"/>
      <sheetData sheetId="810" refreshError="1"/>
      <sheetData sheetId="811" refreshError="1"/>
      <sheetData sheetId="812" refreshError="1"/>
      <sheetData sheetId="813" refreshError="1"/>
      <sheetData sheetId="814" refreshError="1"/>
      <sheetData sheetId="815" refreshError="1"/>
      <sheetData sheetId="816" refreshError="1"/>
      <sheetData sheetId="817" refreshError="1"/>
      <sheetData sheetId="818" refreshError="1"/>
      <sheetData sheetId="819" refreshError="1"/>
      <sheetData sheetId="820" refreshError="1"/>
      <sheetData sheetId="821" refreshError="1"/>
      <sheetData sheetId="822" refreshError="1"/>
      <sheetData sheetId="823" refreshError="1"/>
      <sheetData sheetId="824" refreshError="1"/>
      <sheetData sheetId="825" refreshError="1"/>
      <sheetData sheetId="826" refreshError="1"/>
      <sheetData sheetId="827" refreshError="1"/>
      <sheetData sheetId="828" refreshError="1"/>
      <sheetData sheetId="829" refreshError="1"/>
      <sheetData sheetId="830" refreshError="1"/>
      <sheetData sheetId="831" refreshError="1"/>
      <sheetData sheetId="832" refreshError="1"/>
      <sheetData sheetId="833" refreshError="1"/>
      <sheetData sheetId="834" refreshError="1"/>
      <sheetData sheetId="835" refreshError="1"/>
      <sheetData sheetId="836" refreshError="1"/>
      <sheetData sheetId="837" refreshError="1"/>
      <sheetData sheetId="838" refreshError="1"/>
      <sheetData sheetId="839" refreshError="1"/>
      <sheetData sheetId="840" refreshError="1"/>
      <sheetData sheetId="841" refreshError="1"/>
      <sheetData sheetId="842" refreshError="1"/>
      <sheetData sheetId="843" refreshError="1"/>
      <sheetData sheetId="844" refreshError="1"/>
      <sheetData sheetId="845" refreshError="1"/>
      <sheetData sheetId="846" refreshError="1"/>
      <sheetData sheetId="847" refreshError="1"/>
      <sheetData sheetId="848" refreshError="1"/>
      <sheetData sheetId="849" refreshError="1"/>
      <sheetData sheetId="850" refreshError="1"/>
      <sheetData sheetId="851" refreshError="1"/>
      <sheetData sheetId="852" refreshError="1"/>
      <sheetData sheetId="853" refreshError="1"/>
      <sheetData sheetId="854" refreshError="1"/>
      <sheetData sheetId="855" refreshError="1"/>
      <sheetData sheetId="856" refreshError="1"/>
      <sheetData sheetId="857" refreshError="1"/>
      <sheetData sheetId="858" refreshError="1"/>
      <sheetData sheetId="859" refreshError="1"/>
      <sheetData sheetId="860" refreshError="1"/>
    </sheetDataSet>
  </externalBook>
</externalLink>
</file>

<file path=xl/externalLinks/externalLink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Sheet2"/>
      <sheetName val="Sheet3"/>
      <sheetName val="総合B"/>
      <sheetName val="ブロック図"/>
      <sheetName val="76極"/>
      <sheetName val="SignalMatrix"/>
    </sheetNames>
    <sheetDataSet>
      <sheetData sheetId="0"/>
      <sheetData sheetId="1"/>
      <sheetData sheetId="2"/>
      <sheetData sheetId="3" refreshError="1"/>
      <sheetData sheetId="4" refreshError="1"/>
      <sheetData sheetId="5" refreshError="1"/>
      <sheetData sheetId="6" refreshError="1"/>
    </sheetDataSet>
  </externalBook>
</externalLink>
</file>

<file path=xl/externalLinks/externalLink1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1_cover"/>
      <sheetName val="P2_Revision "/>
      <sheetName val="EOL 製品仕様書_表紙"/>
    </sheetNames>
    <definedNames>
      <definedName name="_1_10tﾏｸﾛ__2__.truck10t登録実績" refersTo="#REF!" sheetId="0"/>
      <definedName name="_102UBSﾏｸﾛ__.truckUBS登録実績" refersTo="#REF!" sheetId="0"/>
      <definedName name="_104UBSﾏｸﾛ__.truckUBS登録実績" refersTo="#REF!"/>
      <definedName name="_109UBSﾏｸﾛ__.truckUBS登録実績" refersTo="#REF!" sheetId="0"/>
      <definedName name="_11_10tﾏｸﾛ__2__.truck10t登録実績" refersTo="#REF!" sheetId="0"/>
      <definedName name="_110UBSﾏｸﾛ__.truckUBS登録実績" refersTo="#REF!" sheetId="0"/>
      <definedName name="_111UBSﾏｸﾛ__.truckUBS登録実績" refersTo="#REF!" sheetId="0"/>
      <definedName name="_112UBSﾏｸﾛ__.truckUBS登録実績" refersTo="#REF!" sheetId="0"/>
      <definedName name="_113UBSﾏｸﾛ_2__.truckUBS登録実績" refersTo="#REF!" sheetId="0"/>
      <definedName name="_116UBSﾏｸﾛ_2__.truckUBS登録実績" refersTo="#REF!" sheetId="0"/>
      <definedName name="_118UBSﾏｸﾛ_2__.truckUBS登録実績" refersTo="#REF!"/>
      <definedName name="_12_10tﾏｸﾛ__2__.truck10t登録実績" refersTo="#REF!" sheetId="0"/>
      <definedName name="_123UBSﾏｸﾛ_2__.truckUBS登録実績" refersTo="#REF!" sheetId="0"/>
      <definedName name="_124UBSﾏｸﾛ_2__.truckUBS登録実績" refersTo="#REF!" sheetId="0"/>
      <definedName name="_125UBSﾏｸﾛ_2__.truckUBS登録実績" refersTo="#REF!" sheetId="0"/>
      <definedName name="_126UBSﾏｸﾛ_2__.truckUBS登録実績" refersTo="#REF!" sheetId="0"/>
      <definedName name="_127UCSﾏｸﾛ_2__.truckUCS登録実績" refersTo="#REF!" sheetId="0"/>
      <definedName name="_13_10tﾏｸﾛ__2__.truck10t登録実績" refersTo="#REF!" sheetId="0"/>
      <definedName name="_130UCSﾏｸﾛ_2__.truckUCS登録実績" refersTo="#REF!" sheetId="0"/>
      <definedName name="_132UCSﾏｸﾛ_2__.truckUCS登録実績" refersTo="#REF!"/>
      <definedName name="_137UCSﾏｸﾛ_2__.truckUCS登録実績" refersTo="#REF!" sheetId="0"/>
      <definedName name="_138UCSﾏｸﾛ_2__.truckUCS登録実績" refersTo="#REF!" sheetId="0"/>
      <definedName name="_139UCSﾏｸﾛ_2__.truckUCS登録実績" refersTo="#REF!" sheetId="0"/>
      <definedName name="_14_10tﾏｸﾛ__2__.truck10t登録実績" refersTo="#REF!" sheetId="0"/>
      <definedName name="_140UCSﾏｸﾛ_2__.truckUCS登録実績" refersTo="#REF!" sheetId="0"/>
      <definedName name="_141ﾄﾗｸﾀﾏｸﾛ__2__.TRACTOR登録実績" refersTo="#REF!" sheetId="0"/>
      <definedName name="_144ﾄﾗｸﾀﾏｸﾛ__2__.TRACTOR登録実績" refersTo="#REF!" sheetId="0"/>
      <definedName name="_146ﾄﾗｸﾀﾏｸﾛ__2__.TRACTOR登録実績" refersTo="#REF!"/>
      <definedName name="_15_12tﾏｸﾛ__2__.truck12T登録実績" refersTo="#REF!" sheetId="0"/>
      <definedName name="_151ﾄﾗｸﾀﾏｸﾛ__2__.TRACTOR登録実績" refersTo="#REF!" sheetId="0"/>
      <definedName name="_152ﾄﾗｸﾀﾏｸﾛ__2__.TRACTOR登録実績" refersTo="#REF!" sheetId="0"/>
      <definedName name="_153ﾄﾗｸﾀﾏｸﾛ__2__.TRACTOR登録実績" refersTo="#REF!" sheetId="0"/>
      <definedName name="_154ﾄﾗｸﾀﾏｸﾛ__2__.TRACTOR登録実績" refersTo="#REF!" sheetId="0"/>
      <definedName name="_18_12tﾏｸﾛ__2__.truck12T登録実績" refersTo="#REF!" sheetId="0"/>
      <definedName name="_20_12tﾏｸﾛ__2__.truck12T登録実績" refersTo="#REF!"/>
      <definedName name="_25_12tﾏｸﾛ__2__.truck12T登録実績" refersTo="#REF!" sheetId="0"/>
      <definedName name="_26_12tﾏｸﾛ__2__.truck12T登録実績" refersTo="#REF!" sheetId="0"/>
      <definedName name="_27_12tﾏｸﾛ__2__.truck12T登録実績" refersTo="#REF!" sheetId="0"/>
      <definedName name="_28_12tﾏｸﾛ__2__.truck12T登録実績" refersTo="#REF!" sheetId="0"/>
      <definedName name="_29_4tﾏｸﾛ__2__.truck4t登録実績" refersTo="#REF!" sheetId="0"/>
      <definedName name="_32_4tﾏｸﾛ__2__.truck4t登録実績" refersTo="#REF!" sheetId="0"/>
      <definedName name="_34_4tﾏｸﾛ__2__.truck4t登録実績" refersTo="#REF!"/>
      <definedName name="_39_4tﾏｸﾛ__2__.truck4t登録実績" refersTo="#REF!" sheetId="0"/>
      <definedName name="_4_10tﾏｸﾛ__2__.truck10t登録実績" refersTo="#REF!" sheetId="0"/>
      <definedName name="_40_4tﾏｸﾛ__2__.truck4t登録実績" refersTo="#REF!" sheetId="0"/>
      <definedName name="_41_4tﾏｸﾛ__2__.truck4t登録実績" refersTo="#REF!" sheetId="0"/>
      <definedName name="_42_4tﾏｸﾛ__2__.truck4t登録実績" refersTo="#REF!" sheetId="0"/>
      <definedName name="_43_6tﾏｸﾛ__2__.truck6t登録実績" refersTo="#REF!" sheetId="0"/>
      <definedName name="_46_6tﾏｸﾛ__2__.truck6t登録実績" refersTo="#REF!" sheetId="0"/>
      <definedName name="_48_6tﾏｸﾛ__2__.truck6t登録実績" refersTo="#REF!"/>
      <definedName name="_53_6tﾏｸﾛ__2__.truck6t登録実績" refersTo="#REF!" sheetId="0"/>
      <definedName name="_54_6tﾏｸﾛ__2__.truck6t登録実績" refersTo="#REF!" sheetId="0"/>
      <definedName name="_55_6tﾏｸﾛ__2__.truck6t登録実績" refersTo="#REF!" sheetId="0"/>
      <definedName name="_56_6tﾏｸﾛ__2__.truck6t登録実績" refersTo="#REF!" sheetId="0"/>
      <definedName name="_57DUMPﾏｸﾛ__2__.truckDUMP登録実績" refersTo="#REF!" sheetId="0"/>
      <definedName name="_6_10tﾏｸﾛ__2__.truck10t登録実績" refersTo="#REF!"/>
      <definedName name="_60DUMPﾏｸﾛ__2__.truckDUMP登録実績" refersTo="#REF!" sheetId="0"/>
      <definedName name="_62DUMPﾏｸﾛ__2__.truckDUMP登録実績" refersTo="#REF!"/>
      <definedName name="_67DUMPﾏｸﾛ__2__.truckDUMP登録実績" refersTo="#REF!" sheetId="0"/>
      <definedName name="_68DUMPﾏｸﾛ__2__.truckDUMP登録実績" refersTo="#REF!" sheetId="0"/>
      <definedName name="_69DUMPﾏｸﾛ__2__.truckDUMP登録実績" refersTo="#REF!" sheetId="0"/>
      <definedName name="_70DUMPﾏｸﾛ__2__.truckDUMP登録実績" refersTo="#REF!" sheetId="0"/>
      <definedName name="_71ELFﾏｸﾛ_2__.truckELF登録実績" refersTo="#REF!" sheetId="0"/>
      <definedName name="_74ELFﾏｸﾛ_2__.truckELF登録実績" refersTo="#REF!" sheetId="0"/>
      <definedName name="_76ELFﾏｸﾛ_2__.truckELF登録実績" refersTo="#REF!"/>
      <definedName name="_81ELFﾏｸﾛ_2__.truckELF登録実績" refersTo="#REF!" sheetId="0"/>
      <definedName name="_82ELFﾏｸﾛ_2__.truckELF登録実績" refersTo="#REF!" sheetId="0"/>
      <definedName name="_83ELFﾏｸﾛ_2__.truckELF登録実績" refersTo="#REF!" sheetId="0"/>
      <definedName name="_84ELFﾏｸﾛ_2__.truckELF登録実績" refersTo="#REF!" sheetId="0"/>
      <definedName name="_85HDVﾏｸﾛ__2__.HDV登録実績" refersTo="#REF!" sheetId="0"/>
      <definedName name="_88HDVﾏｸﾛ__2__.HDV登録実績" refersTo="#REF!" sheetId="0"/>
      <definedName name="_90HDVﾏｸﾛ__2__.HDV登録実績" refersTo="#REF!"/>
      <definedName name="_95HDVﾏｸﾛ__2__.HDV登録実績" refersTo="#REF!" sheetId="0"/>
      <definedName name="_96HDVﾏｸﾛ__2__.HDV登録実績" refersTo="#REF!" sheetId="0"/>
      <definedName name="_97HDVﾏｸﾛ__2__.HDV登録実績" refersTo="#REF!" sheetId="0"/>
      <definedName name="_98HDVﾏｸﾛ__2__.HDV登録実績" refersTo="#REF!" sheetId="0"/>
      <definedName name="_99UBSﾏｸﾛ__.truckUBS登録実績" refersTo="#REF!" sheetId="0"/>
      <definedName name="ＢＣＹＬＺＰＨＥＺＪＢＩＮＦＥＹＲＦＱＷＤＵＤＷＰＪＩＦＯＭＹＪＶＹＷＣＤＬＶＷＢＧＤＳＡＢＫＨＣＳＷＸＷＹＲＮＲＧＮＭＵＷＸＴＧＩＡＲＴＤＲＴＡＧＱＸＱＫＸＩＩＷＮＶＯＱＹＤＡＪＩＴＥＱＮＬＱＺＧＲＬＱＢＺＯＯＨＫＯＩＹＤＤＣＦＱＵＸＴＴＢＤＥＡＮＵＲＪＳＣＱＴＡＹＰＷＪＪＭＳＧＱＦＵＨＵＡＷＧＸＪＡＱＯＵＣＫＯＯＴＦＣＲＳＩＬＶＺＵＫＨＩＨＪＣＩＱＤＤＬＧＨＵＩＸＷＮＩＳＮＩＰＶＭＮＮＡＦＡＫＺＭＵＢＵＲＡＹＫＣＨＫＩＯＷＸＩＩＮＺＰＥＭＣＦＫＦＶＳＳＳＵＮＪＮＣＰＩＱＳＴＰＷＬＤＢＳＮＪＱＶＭＭＧＺ" refersTo="#REF!" sheetId="0"/>
      <definedName name="ＢＮＣＲＶＱＡＶＱＸＤＵＵＮＨＵＦＭＯＸＱＳＦＺＯＸＷＨＳＳＱＷＹＢＣＧＬＪＸＦＰＺＩＦＡＱＶＶＵＷＰＬＰＥＥＭＯＰＬＹＦＢＴＴＤＳＵＢＧＲＸＲＫＹＪＩＷＮＷＰＲＥＲＷＴＴＥＰＣＹＷＣＫＲＣＷＢＮＫＫＡＫＮＫＡＦＦＥＨＳＷＺＸＷＦＧＩＵＣＹＱＨＩＳＨＪＱＯＧＲＲＦＪＰＤＮＤＰＹＬＹＤＡＫＢＭＲＵＳＹＧＯＳＳＸＪＧＶＷＭＰＺＤＹＯＬＰＲＫＮＲＺＭＭＵＰＱＭＺＮＤＣＳＮＸＳＯＶＳＳＬＬＺＤＪＸＨＸＪＳＹＳＲＣＡＭＤＪＭＫＱＹＺＪＫＰＬＺＨＹＢＫＯＪＺＥＤＧＹＶＳＦＹＧＩＪＦＲＧＶＮＬＦＱＬＧＮＳＫＫＤＷＣＪＱ" refersTo="#REF!" sheetId="0"/>
      <definedName name="ＢＲＱＪＵＰＫＲＷＯＯＨＨＶＺＧＵＭＹＨＮＩＧＤＭＬＷＯＴＷＶＡＪＪＵＲＤＵＩＱＨＫＦＺＰＮＧＩＢＸＢＱＤＷＥＬＨＵＩＹＱＯＩＳＮＪＱＶＭＭＧＺＭＹＥＬＳＬＮＡＵＴＰＺＸＪＴＧＪＨＮＯＷＴＹＣＡＰＷＧＱＺＸＲＱＱＰＳＫＥＴＡＺＨＳＯＡＩＥＷＮＵＩＬＳＸＨＯＩＢＯＡＵＬＵＮＰＣＰＵＮＭＸＩＵＱＯＵＤＫＮＲＤＢＩＹＩＬＰＫＡＥＥＥＧＳＶＺＯＵＵＣＥＦＢＯＡＴＪＬＶＪＬＳＲＩＰＣＣＰＴＡＯＹＮＺＩＶＩＰＹＱＢＴＺＣＡＦＯＶＺＡＦＱＯＤＩＬＶＺＵＪＨＥＧＺＣＧＯＢＢＪＥＦＢＯＣＲＱＨＳＮＩＰＵＭＬＦＦＴＸＸＨＷＪ" refersTo="#REF!" sheetId="0"/>
      <definedName name="ＣＭＰＴＯＬＬＫＮＹＣＦＵＢＢＪＫＭＩＵＣＹＱＪＴＨＫＱＰＧＮＡＥＪＰＤＮＣＯＸＲＸＴＤＵＧＸＤＧＥＫＳＡＤＥＪＶＳＨＩＹＢＷＲＨＥＦＥＧＺＣＧＯＢＢＪＥＦＢＯＣＳＲＵＥＺＵＢＨＹＪＪＸＢＩＷＦＶＨＱＷＱＰＭＶＵＦＸＣＦＤＪＲＷＸＣＮＥＴＡＲＵＥＩＣＳＱＱＰＳＫＨＫＺＮＧＪＫＧＴＨＸＰＭＪＥＡＨＭＤＤＸＱＤＯＷＭＶＯＱＤＸＷＴＣＡＭＸＪＭＫＱＲＺＫＫＰＳＧＯＹＩＲＯＪＺＤＥＤＦＹＵＹＮＵＴＢＷＲＥＭＩＡＲＳＣＲＴＭＸＥＸＱＥＳＨＸＧＺＢＯＢＨＥＮＬＸＩＵＱＯＵＣＫＵＴＦＤＲＳＪＴＶＺＵＫＰＰＯＱＣＦＪＹＦ" refersTo="#REF!" sheetId="0"/>
      <definedName name="ＤＬＵＥＯＬＧＷＡＡＡＣＢＦＵＡＡＩＫＬＨＵＢＹＱＰＺＯＱＸＣＮＴＮＧＵＦＥＳＪＳＬＮＲＷＴＤＢＭＸＫＧＥＫＳＺＫＥＪＶＳＰＦＰＳＷＬＰＰＰＲＤＧＫＺＦＦＮＰＱＭＺＧＣＶＬＮＸＬＣＡＲＹＬＬＺＤＪＸＨＸＪＳＦＳＸＵＤＶＧＹＥＪＯＸＥＩＪＯＺＴＵＫＮＸＢＷＭＪＪＪＬＥＨＬＴＧＧＯＪＫＫＹＯＭＤＹＩＤＺＦＬＣＣＶＷＪＮＵＩＰＢＫＱＫＪＧＰＮＺＱＷＺＸＤＱＡＢＧＳＩＸＦＶＹＩＭＨＷＵＵＵＷＰＬＬＹＲＺＢＣＰＤＴＬＪＤＮＬＳＸＰＯＩＢＰＡＧＮＥＮＧＩＶＳＰＹＷＩＴＦＩＧＭＮＶＦＧＬＱＮＣＫＴＵＲＭＣＧＨＧＩＢＸＢ" refersTo="#REF!" sheetId="0"/>
      <definedName name="ＥＰＪＯＪＹＺＰＺＣＧＢＲＶＡＣＯＲＶＫＱＱＹＡＢＤＬＨＺＱＲＢＱＳＺＸＰＶＩＩＷＡＧＵＢＮＷＪＷＣＺＩＺＬＤＩＬＪＰＸＡＢＧＳＰＥＦＶＹＩＭＨＷＵＵＴＷＯＳＷＬＬＴＯＰＬＸＭＢＡＲＬＷＲＭＴＹＮＧＧＵＹＥＴＣＬＵＡＵＴＱＺＹＪＢＧＪＨＮＷＷＨＥＱＨＶＤＴＸＧＫＨＦＦＥＨＺＷＺＰＣＶＤＦＧＣＯＱＩＧＡＬＧＢＩＮＦＦＹＲＦＱＷＥＵＤＷＹＸＷＴＣＭＸＪＭＫＱＳＺＫＫＯＬＡＩＲＢＡＶＫＰＰＯＲＮＲＧＮＭＡＢＸＫＲＯＧＸＹＩＷＺＧＬＶＣＷＰＣＯＮＢＳＹＡＮＡＧＤＭＯＺＬＨＦＬＵＢＭＧＫＷＴＩＪＺＪＭＱＬＢＦＧＱＣ" refersTo="#REF!" sheetId="0"/>
      <definedName name="ＧＷＩＲＸＲＱＮＷＵＧＸＤＧＥＫＪＵＵＺＬＢＱＹＯＲＢＦＡＱＨＧＪＢＹＢＱＥＸＦＧＩＥＲＨＺＸＲＢＷＳＺＥＶＶＰＩＶＳＺＱＹＲＴＧＡＺＷＦＥＰＡＷＶＡＣＪＵＶＡＥＣＲＹＩＳＱＬＢＧＧＦＨＡＷＡＰＷＶＤＦＨＣＱＭＥＶＸＨＶＸＥＪＵＢＵＮＢＭＭＡＱＺＳＺＭＳＰＹＸＭＺＶＴＺＨＰＳＸＩＧＶＶＭＷＺＤＸＮＳＳＮＺＣＧＶＢＢＪＬＭＩＶＣＹＲＡＫＹＢＨＧＸＥＲＲＥＪＰＤＮＣＯＸＫＸＤＤＵＧＸＤＧＥＫＳＡＤＥＪＶＳＨＩＹＢＬＰＨＥＦＥＲＵＹＧＬＴＯＰＬＸＭＢＱＬＶＱＬＳＸＰＰＩＩＷＡＡＫＡＭＶＢＶＵＲＡＹＫＢＨＫＩＱＱ" refersTo="#REF!" sheetId="0"/>
      <definedName name="ＨＯＴＫＫＥＥＳＷＣＱＡＱＹＥＺＸＵＤＣＮＦＫＮＬＲＡＡＬＲＤＴＩＱＧＡＥＺＰＭＮＭＯＨＤＨＮＧＯＱＲＮＡＯＥＷＵＯＹＴＰＷＢＳＳＭＦＳＲＹＰＹＲＴＧＡＺＶＦＤＰＺＭＥＫＬＴＤＵＺＷＬＴＣＭＷＴＯＥＩＩＩＫＤＺＤＳＹＹＧＤＺＬＴＰＨＹＺＪＹＡＥＯＶＰＩＷＨＧＵＬＵＮＰＣＯＬＵＳＥＰＢＸＶＢＫＲＣＶＡＭＪＹＺＰＺＣＧＰＵＵＴＷＩＬＰＥＫＫＳＩＥＱＹＵＭＤＥＯＤＦＭＫＣＩＶＢＧＭＡＫＺＬＵＨＵＡＡＲＤＵＡＤＢＨＰＸＡＢＧＳＰＥＦＶＹＩＭＨＹＹＹＡＴＷＡＩＶＶＤＹＺＩＸＭＬＣＯＪＥＬＲＩＩＢＢＰＴＡＯＸＮＺＩＯ" refersTo="#REF!" sheetId="0"/>
      <definedName name="ＩＥＬＱＨＨＢＢＰＥＳＣＲＤＭＳＮＬＩＲＱＢＴＹＢＺＦＯＯＺＡＥＡＰＸＮＱＡＥＺＰＭＭＭＯＨＤＨＷＪＣＴＶＱＤＲＨＺＸＲＢＷＳＺＥＶＴＭＡＬＲＹＦＹＡＮＫＨＱＯＡＬＸＡＹＥＦＮＸＹＤＩＦＵＣＬＦＤＸＮＳＳＲＵＭＪＭＢＩＩＱＲＴＴＢＸＰＢＬＺＢＩＯＭＧＺＭＶＪＡＩＢＤＱＥＪＧＰＯＺＯＫＩＯＸＥＰＪＮＺＸＬＭＣＮＰＴＯＥＩＪＥＰＴＷＭＳＳＡＣＤＺＬＴＰＨＫＶＪＬＳＱＩＯＢＢＰＴＺＮＸＮＺＩＶＩＯＮＦＱＩＯＱＰＵＤＰＱＶＧＥＴＴＫＮＸＢＶＬＪＪＩＬＤＨＫＳＧＪＥＦＢＮＣＲＱＴＤＺＵＢＧＹＸＲＲＯＵＩＳＩＵＤＪＤ" refersTo="#REF!" sheetId="0"/>
      <definedName name="ＩＥＬＱＨＨＢＵＯＵＢＳＢＵＷＪＤＢＹＨＧＲＲＵＳＹＺＨＲＳＸＣＺＯＮＸＧＤＹＯＳＴＳＵＮＪＮＣＪＩＭＮＪＷＤＡＳＪＫＵＩＬＲＸＨＯＨＢＯＺＺＣＫＤＦＳＦＬＩＲＱＢＭＹＵＳＹＨＯＺＴＸＪＨＸＮＸＡＥＹＯＴＴＳＶＧＫＮＤＪＪＭＮＪＷＤＡＳＪＫＵＩＬＳＱＨＯＢＢＯＴＦＰＥＱＺＭＺＦＣＬＤＯＧＬＯＭＳＢＩＭＮＲＤＡＢＲＶＶＱＦＤＤＣＦＸＢＥＮＡＡＩＤＥＡＭＹＸＮＩＳＮＪＱＶＭＭＫＸＣＩＷＧＶＨＱＣＢＹＨＧＲＪＯＲＰＶＤＥＰＰＵＧＷＬＴＪＳＷＲＨＦＦＥＧＺＶＺＯＣＵＣＥＧＢＯＣＢＺＴＤＺＵＧＹＹＲＫＹＪＶＭＶＯＱ" refersTo="#REF!" sheetId="0"/>
      <definedName name="ＩＳＴＹＫＡＰＸＮＱＡＥＹＯＭＭＬＯＧＤＧＥＸＦＨＩＥＲＦＶＮＬＦＰＫＧＮＳＪＪＢＯＺＧＮＥＭＦＨＵＯＮＮＬＸＩＵＸＶＢＣＫＵＶＡＦＣＲＺＺＪＧＢＲＶＷＶＸＱＭＱＦＬＬＴＡＷＪＱＮＤＥＯＤＦＭＲＣＩＣＶＪＵＴＨＹＨＡＣＰＣＨＥＭＹＪＶＲＰＶＤＬＷＰＡＸＭＮＤＮＱＵＰＥＪＪＩＬＸＶＬＲＲＺＢＣＹＫＳＯＧＸＹＪＸＺＧＥＷＤＰＰＬＲＧＰＦＲＮＢＧＤＭＥＰＨＭＰＮＴＣＪＭＱＣＡＯＰＧＪＳＷＲＨＦＦＥＨＺＣＧＯＣＩＤＥＡＯＤＣＴＮＹＴＯＶＡＳＳＬＬＸＤＲＢＫＴＺＴＳＯＹＷＩＺＦＩＧＭＵＶＹＤＰＦＵＣＳＶＦＴＪＧＨＧ" refersTo="#REF!" sheetId="0"/>
      <definedName name="ＩＸＹＯＲＢＦＡＱＨＧＪＢＦＩＱＥＤＭＧＩＥＱＦＵＴＭＷＲＭＴＺＱＱＪＪＸＢＩＷＬＸＧＭＧＥＢＫＪＵＭＳＶＴＹＨＨＳＴＹＪＡＰＷＺＪＮＨＮＮＭＰＨＥＱＤＷＥＧＨＤＱＥＵＵＰＺＵＱＸＣＴＴＮＧＴＥＷＮＶＯＱＤＸＷＴＣＢＭＸＪＭＫＱＳＺＫＵＺＸＬＴＣＮＷＴＨＬＬＬＮＧＣＧＳＳＡＣＡＭＵＱＩＺＡＫＺＢＩＮＹＥＹＸＩＨＶＭＶＯＱＤＱＷＴＣＡＺＬＨＦＬＵＢＭＧＫＷＵＩＪＡＧＫＦＵＺＺＹＢＭＱＴＪＰＰＸＺＡＷＸＵＭＤＥＯＣＦＭＫＢＩＶＶＩＮＴＤＴＦＯＢＯＵＲＡＲＤＶＡＤＢＨＰＸＡＢＧＳＥＦＷＺＩＭＨＸＶＬＯＧＪＮＶＪ" refersTo="#REF!" sheetId="0"/>
      <definedName name="ＪＺＤＥＤＦＹＱＦＭＬＴＶＷＳＹＵＮＤＦＰＤＦＭＳＣＪＣＷＪＵＵＩＺＨＡＣＰＯＬＵＳＥＰＢＪＰＸＦＱＪＯＡＸＭＮＤＮＱＵＰＦＪＪＪＬＸＡＱＸＷＥＧＨＤＱＸＵＭＤＥＯＣＦＲＪＰＣＣＱＵＡＯＹＯＡＪＷＪＯＬＶＭＢＧＪＨＮＶＤＨＨＲＰＥＥＶＰＴＯＤＢＢＡＤＶＺＣＱＱＹＴＵＱＣＲＧＦＺＪＥＡＨＭＤＤＸＴＸＥＳＣＲＤＭＳＭＭＶＵＦＤＧＥＫＳＴＤＥＪＶＬＹＯＲＢＦＡＱＮＮＮＰＩＥＩＸＫＤＬＮＭＺＮＤＶＴＮＸＳＯＶＡＲＲＬＪＶＢＩＺＨＵＧＢＺＷＦＥＰＡＭＰＮＴＶＣＮＯＳＸＶＫＲＥＯＬＧＷＡＡＡＣＶＲＶＫＱＱＹＡＢＸＫＲ" refersTo="#REF!" sheetId="0"/>
      <definedName name="ＬＦＱＬＧＮＳＫＫＤＷＫＶＢＪＺＩＢＧＡＺＷＦＥＰＡＭＰＮＴＶＣＮＮＳＸ" refersTo="#REF!" sheetId="0"/>
      <definedName name="ＮＢＫＡＭＶＩＶＢＹＤＯＧＬＯＭＳＢＩＭＭＲＳＨＩＹＢＬＰＫＡＸＹＸＺＳＶＺＦＦＮＩＪＬＡＰＯＧＲＭＨＯＴＪＣＣＱＵＡＯＹＯＡＪＰＰＭＶＵＦＸＣＸＤＬＭＸＸＣＯＥＴＢＲＵＥＩＥＢＢＢＤＷＳＷＬＱＹＡＢＸＪＹＮＦＤＸＩＤＹＦＫＣＣＳＧＲＹＦＶＥＸＺＭＧＦＣＬＪＶＧＯＮＳＵＢＭＮＲＷＵＪＱＡＫＴＲＬＢＧＧＦＨＥＩＸＤＤＬＮＯＫＷＹＱＨＩＴＨＩＮＹＥＸＬＷＶＳＢＵＷＪＷＢＹＩＧＲＣＰＬＪＰＸＥＰＪＯＮＣＤＴＤＧＫＥＵＺＺＹＢＨＬＡＨＧＯＱＳＮＡＩＥＷＮＯＹＮＰＷＵＬＪＪＸＢＨＶＦＶＨＤＱＷＴＣＴＦＸＣＦＤＪＲＩ" refersTo="#REF!" sheetId="0"/>
      <definedName name="ＯＫＣＴＵＦＴＶＣＡＳＺＬＬＺＯＣＭＢＮＷＪＷＣＺＩＡＬＤＩＬＪＰＱＵＵＺＬＩＸＹＯＲＢＨＸＶＶＵＸＰＳＷＥＶＤＹＡＷＩＸＭＬＣＷＧＣＸＥＪＴＮＮＡＦＬＺＪＱＺＦＺＹＶＥＣＯＧＬＯＭＳＡＢＭＭＫＢＱＹＯＲＢＦＯＭＭＬＯＧＤＧＶＪＢＪＬＣＯＤＳＫＩＤＮＩＧＬＣＣＷＰＤＷＤＵＤＷＹＬＦＤＡＫＩＴＥＲＵＳＸＺＧＲＳＪＧＶＤＭＷＧＤＹＯＳＳＳＵＮＪＮＣＩＩＱＳＴＧＮＪＣＳＵＥＺＧＬＷＤＷＰＩＨＶＭＶＸＫＸＶＦＤＯＺＭＩＧＭＵＣＭＧＬＸＵＪＫＡＫＮＦＶＺＡＺＢＮＱＵＪＱＰＸＺＡＷＪＵＭＤＥＯＤＦＭＫＣＩＶＶＪＮＴＨ" refersTo="#REF!" sheetId="0"/>
      <definedName name="ＰＢＥＩＸＥＤＬＮＯＫＸＥＢＴＰＺＮＱＸＶＭＴＧＧＷＤＲＢＱＱＤＱＷＴＰＢＴＹＢＺＦＮＶＺＺＥＱＮＣＤＴＷＧＫＦＭＭＬＯＧＫＮＷＪＪＲＭＮＡＰＥＤＵＯＹＵＰＷＢＳＳＧＴＹＥＳＪＶＥＫＥＤＡＪＩＴＬＱＴＲＸＫＶＷＡＭＤＲＺＱＴＣＩＹＷＷＶＹＱＮＱＧＴＭＵＷＸＴＦＵＪＢＺＴＥＡＨＭＤＤＸＱＥＰＶＣＴＣＶＸＫＥＣＺＺＫＶＨＫＩＯＱＸＩＪＱＯＣＫＵＥＮＬＦＶＡＡＺＣＵＲＵＪＱＰＸＺＢＦＮＪＢＳＴＤＳＵＢＶＣＷＰＣＯＮＢＳＡＵＨＶＡＸＧＦＱＢＮＪＩＮＷＤＯＩＮＢＱＲＨＭＱＬＢＦＦＦＨＴＷＡＰＶＶＤＦＧＩＱＭＥＣＭＡ" refersTo="#REF!" sheetId="0"/>
      <definedName name="ＱＩＦＩＹＥＥＭＯＰＬＸＦＬＣＤＮＣＰＵＦＭＦＹＭＸＸＬＢＫＤＦＳＦＬＰＮＺＫＷＳＱＷＦＱＫＰＡＹＮＯＥＯＲＶＰＦＫＫＪＭＸＢＥＧＦＮＰＱＭＺＧＤＶＧＲＦＨＯＩＰＢＢＰＴＺＯＸＮＺＩＶＶＳＢＴＥＷＢＥＣＶＣＧＨＬＸＶＪＫＢＥＮＲＭＣＡＡＣＵＹＢＫＸＸＦＡＢＸＪＹＮＭＤＸＩＤＹＦＫＪＤＤＱＧＵＥＴＦＯＵＯＮＫＴＳＤＶＡＤＢＨＱＱＯＴＦＶＫＳＩＬＶＺＯＬＭＬＮＧＣＧＶＩＢＪＬＭＩＶＪＺＲＯＪＣＹＦＫＢＢＶＯＣＮＴＡＲＫＭＺＴＳＰＹＸＩＴＦＩＧＭＯＶＧＨＬＱＯＣＫＩＲＰＪＸＸＷＺＲＯＳＨＮＮＶＸＹＵＧＯＫＭＮＸ" refersTo="#REF!" sheetId="0"/>
      <definedName name="ＴＦＩＧＭＯＶＧＧＬＱＮＣＫＴＥＮＴＪＮＮＮＰＩＥＩＸＤＤＬＮＶＨＰＬＤＵＶＦＵＷＤＩＴＺＴＭＡＬＫＹＰＪＬＹＬＲＯＸＷＨＳＥＡＹＥＮＵＦＺＪＧＶＷＭＷＺＤＹＮＳＳＲＵＦＪＭＣＩＩＬＮＩＶＣＺＲＩＪＴＨＫＲＰＧＮＡＡＮＳＹＡＱＣＬＵＡＸＧＸＪＰＳＱＷＥＭＰＱＶＨＥＴＯＲＢＦＡＱＮＮＮＰＩＷＥＳＲＺＵＷＳＥＴＩＨＹＳＣＹＴＡＯＮＨＨＶＬＺＪＹＫＴＺＦＣＬＪＶＮＳＶＴＺＨＩＴＴＹＩＷＥＶＹＨＬＧＷＵＵＴＶＯＫＯＤＲＪＲＴＶＨＶＬＤＢＶＦＡＷＩＡＡＴＭＡＬＲＺＰＹＲＴＧＡＡＪＨＴＥＱＴＲＸＹＧＲＲＷＢＹＯＸＨＲ" refersTo="#REF!" sheetId="0"/>
      <definedName name="ＶＡＤＢＨＱＸＢＣＧＳＱＥＦＺＪＮＩＸＶＶＵＸＰＴＷＦＳＳＡＶＺＭＡＱＰＧＡＫＦＢＩＮＥＥＹＹＬＱＷＭＢＮＷＣＷＶＳＢＡＬＤＩＬＪＰＹＹＪＬＸＯＣＩＬＶＺＴＪＨＨＧＪＢＹＶＪＣＫＬＮＪＶＫＣＡＵＥＡＬＱＨＨＢＵＩＴＺＧＸＧＺＢＯＩＧＤＨＳＤＰＳＱＷ" refersTo="#REF!" sheetId="0"/>
      <definedName name="ＶＬＯＹＣＸＮＫＬＫＭＦＢＦＭＥＭＯＱＭＹＮＣＫＥＯＪＦＭＲＩＩＣＶＪＵＡＨＡＴＶＩＣＢＹＨＦＲＣＹＷＣＥＬＷＸＢＧＥＳＢＬＵＲＭＣＨＨＧＰＭＰＥＬＬＴＵＷＳＥＭＩＡＲＳＣＲＴＪＵＡＵＮＢＭＬＺＱＺＳＵＨＵＡＸＧＥＱＢＮＪＮＷＤＯＩＭＹＷＫＬＢＭＯＳＮＤＨＩＨＪＣＧＶＣＢＪＬＮＩＶＣＺＩＫＵＩＫＲＱＨＯＧＵＹＥＳＣＳＥＮＡＮＴＱＷＨＺＦＩＧＬＵＢＦＧＬＷＵＪＪＡＤＮＲＬＢＺＺＢＵＸＯＢＢＪＥＦＢＮＣＲＱＨＣＭＨＣＪＯＧＧＺＺＶＣＱＺＰＢＫＱＫＪＧＰＮＺＲＷＺＸＤＬＭＸＷＨＹＮＶＬＯＹＣＷＭＲＱＴＬＩＭＢＯ" refersTo="#REF!" sheetId="0"/>
      <definedName name="ＶＸＺＵＨＶＬＤＢＶＦＡＨＭＥＤＸＱＥＰＶＣＴＣＶＸＫＥＲＢＺＬＩＬＪＰＲＹＪＳＸＶＪＲＡＢＺＴＪＯＡＣＶＲＶＫＱＱＹＡＢＸＺＶＮＥＦＰＥＧＮＳＣＪＤＷＫＶＵＩＺＩＢＯＢＧＤＭＬＷＨＵＱＯＴＣＪＵＯＴＥＣＲＳＩＳＺＵＫＯＯＯＱＣＦＪＹＥＥＲＳＯＡＩＦＷＸＩＷＸＶＮＴＧＧＵＹＥＳＣＳＥＮＡＮＳＰＫＶＮＳＶＴＺＩＰＴＵＹＫＨＰＦＩＳＷＲＨＥＦＥＧＺＣＧＯＢＢＸＺＶＨＷＬＫＢＶＧＢＷＤＩＡＺＴＴＨＩＷＧＷＩＲＸＲＱＮＷＵＧＸＤＧＥＫＴＥＥＪＶＭＡＩＹＣＴＯＥＢＣＢＤＷＳＲＦＸＦＨＪＥＲＦＶＮＬＦＰＳＺＥＷＷＰＩ" refersTo="#REF!" sheetId="0"/>
    </definedNames>
    <sheetDataSet>
      <sheetData sheetId="0"/>
      <sheetData sheetId="1"/>
      <sheetData sheetId="2" refreshError="1"/>
    </sheetDataSet>
  </externalBook>
</externalLink>
</file>

<file path=xl/externalLinks/externalLink1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1_cover"/>
      <sheetName val="P2_Revision "/>
    </sheetNames>
    <definedNames>
      <definedName name="_106UBSﾏｸﾛ__.truckUBS登録実績" refersTo="#REF!" sheetId="1"/>
      <definedName name="_120UBSﾏｸﾛ_2__.truckUBS登録実績" refersTo="#REF!" sheetId="1"/>
      <definedName name="_134UCSﾏｸﾛ_2__.truckUCS登録実績" refersTo="#REF!" sheetId="1"/>
      <definedName name="_148ﾄﾗｸﾀﾏｸﾛ__2__.TRACTOR登録実績" refersTo="#REF!" sheetId="1"/>
      <definedName name="_22_12tﾏｸﾛ__2__.truck12T登録実績" refersTo="#REF!" sheetId="1"/>
      <definedName name="_36_4tﾏｸﾛ__2__.truck4t登録実績" refersTo="#REF!" sheetId="1"/>
      <definedName name="_50_6tﾏｸﾛ__2__.truck6t登録実績" refersTo="#REF!" sheetId="1"/>
      <definedName name="_64DUMPﾏｸﾛ__2__.truckDUMP登録実績" refersTo="#REF!" sheetId="1"/>
      <definedName name="_78ELFﾏｸﾛ_2__.truckELF登録実績" refersTo="#REF!" sheetId="1"/>
      <definedName name="_8_10tﾏｸﾛ__2__.truck10t登録実績" refersTo="#REF!" sheetId="1"/>
      <definedName name="_92HDVﾏｸﾛ__2__.HDV登録実績" refersTo="#REF!" sheetId="1"/>
    </definedNames>
    <sheetDataSet>
      <sheetData sheetId="0" refreshError="1"/>
      <sheetData sheetId="1"/>
    </sheetDataSet>
  </externalBook>
</externalLink>
</file>

<file path=xl/externalLinks/externalLink1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
      <sheetName val="MF"/>
      <sheetName val="全体"/>
      <sheetName val="生涯利益計画ｼｰﾄ"/>
      <sheetName val="89"/>
      <sheetName val="Sensitivity(Change)"/>
      <sheetName val="ラダーチャート(仮)"/>
      <sheetName val="B"/>
      <sheetName val="C"/>
      <sheetName val="MOTO"/>
      <sheetName val="??・??×?"/>
      <sheetName val="愛知・日デ"/>
      <sheetName val="__・__×_"/>
      <sheetName val="総合B"/>
      <sheetName val="ブロック図"/>
      <sheetName val="sheet17"/>
      <sheetName val="SM-SA(180K)"/>
      <sheetName val="ＴＡ２"/>
      <sheetName val="別紙2"/>
      <sheetName val="TM"/>
      <sheetName val="計算ｼｰﾄ"/>
      <sheetName val="5pump"/>
      <sheetName val="96RPD計"/>
      <sheetName val="10在库推移"/>
      <sheetName val="ﾃﾞｰﾀ"/>
      <sheetName val="応力線図"/>
      <sheetName val="323MPLﾃﾞｰﾀ"/>
      <sheetName val="班部番別"/>
      <sheetName val="204比較"/>
      <sheetName val="TAC_DFMEA"/>
      <sheetName val="CAN送信(TRQ関係)"/>
      <sheetName val="Rates"/>
      <sheetName val="BOM 11-18b-2011"/>
      <sheetName val="■20120420提出用固縛&amp;更新版(案2)&amp;目標"/>
      <sheetName val="【20120420提出】（固縛以外）修正案平均偏差"/>
      <sheetName val="02年UMEX販売計画元資料"/>
      <sheetName val="Code"/>
      <sheetName val="Data Page"/>
      <sheetName val="Sheet1"/>
      <sheetName val="20110717時点 209K台_年"/>
      <sheetName val="見積詳細"/>
      <sheetName val="Budget Rate Forecast"/>
      <sheetName val="★Forecast分析"/>
      <sheetName val="00UMEX生産実績"/>
      <sheetName val="加工ZV"/>
      <sheetName val="REQVEHPILOTAJE"/>
      <sheetName val="#REF"/>
      <sheetName val="14mmQfup"/>
      <sheetName val="過不足ﾏﾄﾒ"/>
      <sheetName val="ﾊﾞﾙﾌﾞﾘｰｸ"/>
      <sheetName val="新目標"/>
      <sheetName val="DB"/>
      <sheetName val="ﾏｯﾁﾝｸﾞぅ (‾＾‾)b"/>
      <sheetName val="別紙１"/>
      <sheetName val="PARAMETRES"/>
      <sheetName val="sheet5"/>
      <sheetName val="従推"/>
      <sheetName val="事務所引越見積書"/>
      <sheetName val="CVT3変速線"/>
      <sheetName val="手順書"/>
      <sheetName val="G"/>
      <sheetName val="IP仕様一覧表"/>
      <sheetName val="244豪州一般ZD30ET'01 1生試"/>
      <sheetName val="244豪州一般ZD301生試"/>
      <sheetName val="DIEZEL動弁相場"/>
      <sheetName val="MPL 技連"/>
      <sheetName val="342E BLOCK"/>
      <sheetName val="HI.GT.ram2ﾏｸﾛ"/>
      <sheetName val="R-1.6 2・900 E370"/>
      <sheetName val="mainCPU"/>
      <sheetName val="圧型原単位"/>
      <sheetName val="計算表"/>
      <sheetName val="車会集約"/>
      <sheetName val="間接員勤務"/>
      <sheetName val="目次"/>
      <sheetName val="RAM名置き換え"/>
      <sheetName val="WTC BODY一覧原紙"/>
      <sheetName val="進入角計算"/>
      <sheetName val="250PAPSｵｰﾙﾘｽﾄ"/>
      <sheetName val="LU_スケジュール"/>
      <sheetName val="ﾌﾞﾛｯｸ別比例原価"/>
      <sheetName val="工程別"/>
      <sheetName val="日産ｺﾓﾝR"/>
      <sheetName val="SDC鋳造数"/>
      <sheetName val="BOM_11-18b-2011"/>
      <sheetName val="Data_Page"/>
      <sheetName val="20110717時点_209K台_年"/>
      <sheetName val="Budget_Rate_Forecast"/>
      <sheetName val="ﾏｯﾁﾝｸﾞぅ_(‾＾‾)b"/>
      <sheetName val="244豪州一般ZD30ET'01_1生試"/>
      <sheetName val="HI_GT_ram2ﾏｸﾛ"/>
      <sheetName val="MPL_技連"/>
      <sheetName val="342E_BLOCK"/>
      <sheetName val="R-1_6_2・900_E370"/>
      <sheetName val="TI_CHECK_LIST&lt;ENG&gt;"/>
      <sheetName val="年度予算申請"/>
      <sheetName val="11.1～11.7"/>
      <sheetName val="YK2 TU変速"/>
      <sheetName val="H2"/>
      <sheetName val="U5-1341"/>
      <sheetName val="流量特性ｸﾞﾗﾌ"/>
      <sheetName val="-10ﾉｰﾏﾙ"/>
      <sheetName val="76極"/>
      <sheetName val="VCCWT"/>
      <sheetName val="DRIFT処理"/>
      <sheetName val="No.1"/>
      <sheetName val="CK2 EUR"/>
      <sheetName val="Eng"/>
      <sheetName val="欧州 構想書集約"/>
      <sheetName val="HI.GT.ram1ﾏｸﾛ"/>
      <sheetName val="LO.GT.ram1ﾏｸﾛ"/>
      <sheetName val="HI.LT.ram1ﾏｸﾛ"/>
      <sheetName val="LO.LT.ram1ﾏｸﾛ"/>
      <sheetName val="LO.GT.ram2ﾏｸﾛ"/>
      <sheetName val="HI.LT.ram2ﾏｸﾛ"/>
      <sheetName val="LO.LT.ram2ﾏｸﾛ"/>
      <sheetName val="項目定義"/>
      <sheetName val="ﾍﾞﾙﾄ強度限界ﾄﾙｸ"/>
      <sheetName val="ﾊﾞｯｸﾃﾞｰﾀ"/>
      <sheetName val="2.0L MPI Eng(ｺｰｽﾄ)"/>
      <sheetName val="Prm"/>
      <sheetName val="20deg"/>
      <sheetName val="1U"/>
      <sheetName val="結果まとめ"/>
      <sheetName val="Anlycs"/>
      <sheetName val="Mctng"/>
      <sheetName val="TR_OLD"/>
      <sheetName val="CP"/>
      <sheetName val="AAFeel.xlsJls]応力線図ｶev"/>
      <sheetName val="TSL検討"/>
      <sheetName val="×圧入力計算cyl"/>
      <sheetName val="条件表"/>
      <sheetName val="実力値Data"/>
      <sheetName val="FEV-Rev"/>
      <sheetName val="FEV-E"/>
      <sheetName val="Stator"/>
      <sheetName val="λ逆計算2"/>
      <sheetName val="循環流速"/>
      <sheetName val="圧力角検討見直し"/>
      <sheetName val="Constants"/>
      <sheetName val="Table2"/>
      <sheetName val="BDD"/>
      <sheetName val="点火時期"/>
      <sheetName val="ＮＯ.2_KH1E ｱｽﾞﾏ君"/>
      <sheetName val="ＮＯ.4_KH1E 4WD"/>
      <sheetName val="NO.11_L32H KH1E"/>
      <sheetName val="NO.1_XH2E"/>
      <sheetName val="ＮＯ.6_KH1E UC"/>
      <sheetName val="ＮＯ.7_KH1E UC (4WD)"/>
      <sheetName val="ＮＯ.3_JA ZV8"/>
      <sheetName val="NO.8_L42C ZV5K3 UD)"/>
      <sheetName val="NO.9_GI ZV5K2 UC"/>
      <sheetName val="NO.10_X61B ZV7"/>
      <sheetName val="NO.12_X61G ZH2K1 UD"/>
      <sheetName val="ＮＯ.5_X61A ZH2E"/>
      <sheetName val="NO.14_P42JK TR2 SC UD"/>
      <sheetName val="PQ34 2WD 1.9TDi(85kW)"/>
      <sheetName val="진행 DATA (2)"/>
      <sheetName val="amp_spr"/>
      <sheetName val="RC5.5"/>
      <sheetName val="集計結果"/>
      <sheetName val="ﾘﾃｲﾆﾝｸﾞﾌﾟﾚｰﾄ強度"/>
      <sheetName val="ｽﾀﾝﾀﾞｰﾄﾞｸﾞﾗﾌ□1"/>
      <sheetName val="Y11-B表"/>
      <sheetName val="IRR比較"/>
      <sheetName val="進捗ｸﾞﾗﾌ (225)"/>
      <sheetName val="表紙(修正前)"/>
      <sheetName val="PU"/>
      <sheetName val="Parts"/>
      <sheetName val="Tables"/>
      <sheetName val="外表面Ａ"/>
      <sheetName val="「構成管理計画書」(構成) (2)"/>
      <sheetName val="自他社20K台ﾃﾞｰﾀ(08.3)"/>
      <sheetName val="MM利益・原価企画方針書ｶｸ１"/>
      <sheetName val="FGR_3.892"/>
      <sheetName val="120 pre-SIc"/>
      <sheetName val=" 008 weight"/>
      <sheetName val="DD"/>
      <sheetName val="Car Flow"/>
      <sheetName val="ﾏｯﾁﾝｸﾞ"/>
      <sheetName val="SILVER"/>
      <sheetName val="Option Weights"/>
      <sheetName val="AAFeel.xlsJls_応力線図ｶev"/>
      <sheetName val="報告書表紙"/>
      <sheetName val="ＶＡ"/>
      <sheetName val="表5-2 地区別CO2排出実績"/>
      <sheetName val="Hyp.DDRH"/>
      <sheetName val="Récapitulatif"/>
      <sheetName val="CP121999"/>
      <sheetName val="ECOM Periodique"/>
      <sheetName val="ECOM Mensuel"/>
      <sheetName val="RESUMEN"/>
      <sheetName val="Feuil1"/>
      <sheetName val="総合表"/>
      <sheetName val="見積もり前提"/>
      <sheetName val="基礎データ"/>
      <sheetName val="目录"/>
      <sheetName val="見積取纏め表"/>
      <sheetName val="数据源"/>
      <sheetName val="表5_2 地区別CO2排出実績"/>
      <sheetName val="FY03"/>
      <sheetName val="97まとめ"/>
      <sheetName val="表5-2 地?別CO2排出?績"/>
      <sheetName val="基準ﾘｽﾄ"/>
      <sheetName val="表5-2 地_別CO2排出_績"/>
      <sheetName val="2-国内培训明细表"/>
      <sheetName val="3、2011年各部门活动费使用情况"/>
      <sheetName val="Sheet3"/>
      <sheetName val="#REF!"/>
      <sheetName val="__·___"/>
      <sheetName val="報告№②ー１"/>
      <sheetName val="定数表"/>
      <sheetName val="データ"/>
      <sheetName val="Pln Pdt"/>
      <sheetName val="圧入力計算cyl"/>
      <sheetName val="諸元ﾃｰﾌﾞﾙ"/>
      <sheetName val="2-row_Opt_table"/>
      <sheetName val="まとめ"/>
      <sheetName val="原紙"/>
      <sheetName val="表紙P1"/>
      <sheetName val="CSM with CKD"/>
      <sheetName val="RCD計"/>
      <sheetName val="ﾌﾟﾚﾋﾞｭｰﾃﾞｰﾀ仕様"/>
      <sheetName val="Vibrate test"/>
      <sheetName val="X11C(HB) PT1(Trim)-Trial"/>
      <sheetName val="日程"/>
      <sheetName val="グラフ"/>
      <sheetName val="11_1～11_7"/>
      <sheetName val="WTC_BODY一覧原紙"/>
      <sheetName val="応力線図ｶev"/>
      <sheetName val="set"/>
      <sheetName val="NML＋JATCO total負荷【FK-2WD】"/>
      <sheetName val="BOM_11-18b-20111"/>
      <sheetName val="Data_Page1"/>
      <sheetName val="20110717時点_209K台_年1"/>
      <sheetName val="Budget_Rate_Forecast1"/>
      <sheetName val="244豪州一般ZD30ET'01_1生試1"/>
      <sheetName val="HI_GT_ram2ﾏｸﾛ1"/>
      <sheetName val="ﾏｯﾁﾝｸﾞぅ_(‾＾‾)b1"/>
      <sheetName val="MPL_技連1"/>
      <sheetName val="342E_BLOCK1"/>
      <sheetName val="R-1_6_2・900_E3701"/>
      <sheetName val="YK2_TU変速"/>
      <sheetName val="HI_GT_ram1ﾏｸﾛ"/>
      <sheetName val="LO_GT_ram1ﾏｸﾛ"/>
      <sheetName val="HI_LT_ram1ﾏｸﾛ"/>
      <sheetName val="LO_LT_ram1ﾏｸﾛ"/>
      <sheetName val="LO_GT_ram2ﾏｸﾛ"/>
      <sheetName val="HI_LT_ram2ﾏｸﾛ"/>
      <sheetName val="LO_LT_ram2ﾏｸﾛ"/>
      <sheetName val="欧州_構想書集約"/>
      <sheetName val="2_0L_MPI_Eng(ｺｰｽﾄ)"/>
      <sheetName val="CK2_EUR"/>
      <sheetName val="ＮＯ_2_KH1E_ｱｽﾞﾏ君"/>
      <sheetName val="ＮＯ_4_KH1E_4WD"/>
      <sheetName val="NO_11_L32H_KH1E"/>
      <sheetName val="NO_1_XH2E"/>
      <sheetName val="ＮＯ_6_KH1E_UC"/>
      <sheetName val="ＮＯ_7_KH1E_UC_(4WD)"/>
      <sheetName val="ＮＯ_3_JA_ZV8"/>
      <sheetName val="NO_8_L42C_ZV5K3_UD)"/>
      <sheetName val="NO_9_GI_ZV5K2_UC"/>
      <sheetName val="NO_10_X61B_ZV7"/>
      <sheetName val="NO_12_X61G_ZH2K1_UD"/>
      <sheetName val="ＮＯ_5_X61A_ZH2E"/>
      <sheetName val="NO_14_P42JK_TR2_SC_UD"/>
      <sheetName val="AAFeel_xlsJls]応力線図ｶev"/>
      <sheetName val="進捗ｸﾞﾗﾌ_(225)"/>
      <sheetName val="Car_Flow"/>
      <sheetName val="PQ34_2WD_1_9TDi(85kW)"/>
      <sheetName val="진행_DATA_(2)"/>
      <sheetName val="120_pre-SIc"/>
      <sheetName val="_008_weight"/>
      <sheetName val="RC5_5"/>
      <sheetName val="表5-2_地区別CO2排出実績"/>
      <sheetName val="入力ﾌｫｰﾏｯﾄ"/>
      <sheetName val="各種ｺｰﾄﾞ表"/>
      <sheetName val="Basic_Information"/>
      <sheetName val="検討結果"/>
      <sheetName val="CALIFMAGNO"/>
      <sheetName val="00年9月"/>
      <sheetName val="Action-Eff (LCV,CV)"/>
      <sheetName val="Action-Eff(MC)"/>
      <sheetName val="吊上げパ_20_"/>
      <sheetName val="2TUP"/>
      <sheetName val="PT1"/>
      <sheetName val="Scratch"/>
      <sheetName val="合同类别"/>
      <sheetName val="Sche Estimation"/>
      <sheetName val="ＢＭＰ塗装直材"/>
      <sheetName val="条件"/>
      <sheetName val="プリモ_S0"/>
      <sheetName val="プリモ_S1"/>
      <sheetName val="プリモ_S2"/>
      <sheetName val="プリモ_S3"/>
      <sheetName val="AAFeel_xlsJls_応力線図ｶev"/>
      <sheetName val="受託業務開発完了報告"/>
      <sheetName val="ＴＮＰ"/>
      <sheetName val="単品荷量Z-Ⅱ"/>
      <sheetName val="2"/>
      <sheetName val="2.대외공문"/>
    </sheetNames>
    <sheetDataSet>
      <sheetData sheetId="0" refreshError="1">
        <row r="68">
          <cell r="B68" t="str">
            <v>変速性能</v>
          </cell>
        </row>
        <row r="69">
          <cell r="B69" t="str">
            <v>静粛性</v>
          </cell>
        </row>
        <row r="70">
          <cell r="B70" t="str">
            <v>運転性</v>
          </cell>
        </row>
        <row r="71">
          <cell r="B71" t="str">
            <v>操作性</v>
          </cell>
        </row>
        <row r="72">
          <cell r="B72" t="str">
            <v>伝達効率</v>
          </cell>
        </row>
        <row r="73">
          <cell r="B73" t="str">
            <v>実用性</v>
          </cell>
        </row>
        <row r="74">
          <cell r="B74" t="str">
            <v>強度耐久信頼性</v>
          </cell>
        </row>
        <row r="75">
          <cell r="B75" t="str">
            <v>サービス作業性</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sheetData sheetId="85"/>
      <sheetData sheetId="86"/>
      <sheetData sheetId="87"/>
      <sheetData sheetId="88"/>
      <sheetData sheetId="89"/>
      <sheetData sheetId="90"/>
      <sheetData sheetId="91"/>
      <sheetData sheetId="92"/>
      <sheetData sheetId="93"/>
      <sheetData sheetId="94" refreshError="1"/>
      <sheetData sheetId="95" refreshError="1"/>
      <sheetData sheetId="96" refreshError="1"/>
      <sheetData sheetId="97" refreshError="1"/>
      <sheetData sheetId="98" refreshError="1"/>
      <sheetData sheetId="99" refreshError="1"/>
      <sheetData sheetId="100" refreshError="1"/>
      <sheetData sheetId="101" refreshError="1"/>
      <sheetData sheetId="102" refreshError="1"/>
      <sheetData sheetId="103" refreshError="1"/>
      <sheetData sheetId="104" refreshError="1"/>
      <sheetData sheetId="105" refreshError="1"/>
      <sheetData sheetId="106" refreshError="1"/>
      <sheetData sheetId="107" refreshError="1"/>
      <sheetData sheetId="108" refreshError="1"/>
      <sheetData sheetId="109" refreshError="1"/>
      <sheetData sheetId="110" refreshError="1"/>
      <sheetData sheetId="111" refreshError="1"/>
      <sheetData sheetId="112" refreshError="1"/>
      <sheetData sheetId="113" refreshError="1"/>
      <sheetData sheetId="114" refreshError="1"/>
      <sheetData sheetId="115" refreshError="1"/>
      <sheetData sheetId="116" refreshError="1"/>
      <sheetData sheetId="117" refreshError="1"/>
      <sheetData sheetId="118" refreshError="1"/>
      <sheetData sheetId="119" refreshError="1"/>
      <sheetData sheetId="120" refreshError="1"/>
      <sheetData sheetId="121" refreshError="1"/>
      <sheetData sheetId="122" refreshError="1"/>
      <sheetData sheetId="123" refreshError="1"/>
      <sheetData sheetId="124" refreshError="1"/>
      <sheetData sheetId="125" refreshError="1"/>
      <sheetData sheetId="126" refreshError="1"/>
      <sheetData sheetId="127" refreshError="1"/>
      <sheetData sheetId="128" refreshError="1"/>
      <sheetData sheetId="129" refreshError="1"/>
      <sheetData sheetId="130" refreshError="1"/>
      <sheetData sheetId="131" refreshError="1"/>
      <sheetData sheetId="132" refreshError="1"/>
      <sheetData sheetId="133" refreshError="1"/>
      <sheetData sheetId="134" refreshError="1"/>
      <sheetData sheetId="135" refreshError="1"/>
      <sheetData sheetId="136" refreshError="1"/>
      <sheetData sheetId="137" refreshError="1"/>
      <sheetData sheetId="138" refreshError="1"/>
      <sheetData sheetId="139" refreshError="1"/>
      <sheetData sheetId="140" refreshError="1"/>
      <sheetData sheetId="141" refreshError="1"/>
      <sheetData sheetId="142" refreshError="1"/>
      <sheetData sheetId="143" refreshError="1"/>
      <sheetData sheetId="144" refreshError="1"/>
      <sheetData sheetId="145" refreshError="1"/>
      <sheetData sheetId="146" refreshError="1"/>
      <sheetData sheetId="147" refreshError="1"/>
      <sheetData sheetId="148" refreshError="1"/>
      <sheetData sheetId="149" refreshError="1"/>
      <sheetData sheetId="150" refreshError="1"/>
      <sheetData sheetId="151" refreshError="1"/>
      <sheetData sheetId="152" refreshError="1"/>
      <sheetData sheetId="153" refreshError="1"/>
      <sheetData sheetId="154" refreshError="1"/>
      <sheetData sheetId="155" refreshError="1"/>
      <sheetData sheetId="156" refreshError="1"/>
      <sheetData sheetId="157" refreshError="1"/>
      <sheetData sheetId="158" refreshError="1"/>
      <sheetData sheetId="159" refreshError="1"/>
      <sheetData sheetId="160" refreshError="1"/>
      <sheetData sheetId="161" refreshError="1"/>
      <sheetData sheetId="162" refreshError="1"/>
      <sheetData sheetId="163" refreshError="1"/>
      <sheetData sheetId="164" refreshError="1"/>
      <sheetData sheetId="165" refreshError="1"/>
      <sheetData sheetId="166" refreshError="1"/>
      <sheetData sheetId="167" refreshError="1"/>
      <sheetData sheetId="168" refreshError="1"/>
      <sheetData sheetId="169" refreshError="1"/>
      <sheetData sheetId="170" refreshError="1"/>
      <sheetData sheetId="171" refreshError="1"/>
      <sheetData sheetId="172" refreshError="1"/>
      <sheetData sheetId="173" refreshError="1"/>
      <sheetData sheetId="174" refreshError="1"/>
      <sheetData sheetId="175" refreshError="1"/>
      <sheetData sheetId="176" refreshError="1"/>
      <sheetData sheetId="177" refreshError="1"/>
      <sheetData sheetId="178" refreshError="1"/>
      <sheetData sheetId="179" refreshError="1"/>
      <sheetData sheetId="180" refreshError="1"/>
      <sheetData sheetId="181" refreshError="1"/>
      <sheetData sheetId="182" refreshError="1"/>
      <sheetData sheetId="183" refreshError="1"/>
      <sheetData sheetId="184" refreshError="1"/>
      <sheetData sheetId="185" refreshError="1"/>
      <sheetData sheetId="186" refreshError="1"/>
      <sheetData sheetId="187" refreshError="1"/>
      <sheetData sheetId="188" refreshError="1"/>
      <sheetData sheetId="189" refreshError="1"/>
      <sheetData sheetId="190" refreshError="1"/>
      <sheetData sheetId="191" refreshError="1"/>
      <sheetData sheetId="192" refreshError="1"/>
      <sheetData sheetId="193" refreshError="1"/>
      <sheetData sheetId="194" refreshError="1"/>
      <sheetData sheetId="195" refreshError="1"/>
      <sheetData sheetId="196" refreshError="1"/>
      <sheetData sheetId="197" refreshError="1"/>
      <sheetData sheetId="198" refreshError="1"/>
      <sheetData sheetId="199" refreshError="1"/>
      <sheetData sheetId="200" refreshError="1"/>
      <sheetData sheetId="201" refreshError="1"/>
      <sheetData sheetId="202" refreshError="1"/>
      <sheetData sheetId="203" refreshError="1"/>
      <sheetData sheetId="204" refreshError="1"/>
      <sheetData sheetId="205" refreshError="1"/>
      <sheetData sheetId="206" refreshError="1"/>
      <sheetData sheetId="207" refreshError="1"/>
      <sheetData sheetId="208" refreshError="1"/>
      <sheetData sheetId="209" refreshError="1"/>
      <sheetData sheetId="210" refreshError="1"/>
      <sheetData sheetId="211" refreshError="1"/>
      <sheetData sheetId="212" refreshError="1"/>
      <sheetData sheetId="213" refreshError="1"/>
      <sheetData sheetId="214" refreshError="1"/>
      <sheetData sheetId="215" refreshError="1"/>
      <sheetData sheetId="216" refreshError="1"/>
      <sheetData sheetId="217" refreshError="1"/>
      <sheetData sheetId="218" refreshError="1"/>
      <sheetData sheetId="219" refreshError="1"/>
      <sheetData sheetId="220" refreshError="1"/>
      <sheetData sheetId="221" refreshError="1"/>
      <sheetData sheetId="222" refreshError="1"/>
      <sheetData sheetId="223" refreshError="1"/>
      <sheetData sheetId="224" refreshError="1"/>
      <sheetData sheetId="225" refreshError="1"/>
      <sheetData sheetId="226" refreshError="1"/>
      <sheetData sheetId="227"/>
      <sheetData sheetId="228"/>
      <sheetData sheetId="229"/>
      <sheetData sheetId="230" refreshError="1"/>
      <sheetData sheetId="231" refreshError="1"/>
      <sheetData sheetId="232"/>
      <sheetData sheetId="233"/>
      <sheetData sheetId="234"/>
      <sheetData sheetId="235"/>
      <sheetData sheetId="236"/>
      <sheetData sheetId="237"/>
      <sheetData sheetId="238"/>
      <sheetData sheetId="239"/>
      <sheetData sheetId="240"/>
      <sheetData sheetId="241"/>
      <sheetData sheetId="242"/>
      <sheetData sheetId="243"/>
      <sheetData sheetId="244"/>
      <sheetData sheetId="245"/>
      <sheetData sheetId="246"/>
      <sheetData sheetId="247"/>
      <sheetData sheetId="248"/>
      <sheetData sheetId="249"/>
      <sheetData sheetId="250"/>
      <sheetData sheetId="251"/>
      <sheetData sheetId="252"/>
      <sheetData sheetId="253"/>
      <sheetData sheetId="254"/>
      <sheetData sheetId="255"/>
      <sheetData sheetId="256"/>
      <sheetData sheetId="257"/>
      <sheetData sheetId="258"/>
      <sheetData sheetId="259"/>
      <sheetData sheetId="260"/>
      <sheetData sheetId="261"/>
      <sheetData sheetId="262"/>
      <sheetData sheetId="263"/>
      <sheetData sheetId="264"/>
      <sheetData sheetId="265"/>
      <sheetData sheetId="266"/>
      <sheetData sheetId="267"/>
      <sheetData sheetId="268"/>
      <sheetData sheetId="269"/>
      <sheetData sheetId="270"/>
      <sheetData sheetId="271"/>
      <sheetData sheetId="272"/>
      <sheetData sheetId="273"/>
      <sheetData sheetId="274"/>
      <sheetData sheetId="275" refreshError="1"/>
      <sheetData sheetId="276" refreshError="1"/>
      <sheetData sheetId="277" refreshError="1"/>
      <sheetData sheetId="278" refreshError="1"/>
      <sheetData sheetId="279" refreshError="1"/>
      <sheetData sheetId="280" refreshError="1"/>
      <sheetData sheetId="281" refreshError="1"/>
      <sheetData sheetId="282" refreshError="1"/>
      <sheetData sheetId="283" refreshError="1"/>
      <sheetData sheetId="284" refreshError="1"/>
      <sheetData sheetId="285" refreshError="1"/>
      <sheetData sheetId="286" refreshError="1"/>
      <sheetData sheetId="287" refreshError="1"/>
      <sheetData sheetId="288" refreshError="1"/>
      <sheetData sheetId="289" refreshError="1"/>
      <sheetData sheetId="290" refreshError="1"/>
      <sheetData sheetId="291" refreshError="1"/>
      <sheetData sheetId="292" refreshError="1"/>
      <sheetData sheetId="293" refreshError="1"/>
      <sheetData sheetId="294" refreshError="1"/>
      <sheetData sheetId="295" refreshError="1"/>
      <sheetData sheetId="296" refreshError="1"/>
      <sheetData sheetId="297" refreshError="1"/>
      <sheetData sheetId="298" refreshError="1"/>
      <sheetData sheetId="299" refreshError="1"/>
      <sheetData sheetId="300" refreshError="1"/>
    </sheetDataSet>
  </externalBook>
</externalLink>
</file>

<file path=xl/externalLinks/externalLink1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議事録原紙"/>
      <sheetName val="#REF"/>
    </sheetNames>
    <sheetDataSet>
      <sheetData sheetId="0" refreshError="1"/>
      <sheetData sheetId="1" refreshError="1"/>
    </sheetDataSet>
  </externalBook>
</externalLink>
</file>

<file path=xl/externalLinks/externalLink1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座屈検討 (2)"/>
      <sheetName val="ｼｰﾄ"/>
      <sheetName val="図面"/>
      <sheetName val="応力検討"/>
      <sheetName val="座屈検討"/>
      <sheetName val="図面 (2)"/>
      <sheetName val="総合B"/>
      <sheetName val="IDMatrix"/>
      <sheetName val="手配書"/>
      <sheetName val="DataList"/>
      <sheetName val="76極"/>
      <sheetName val="#REF"/>
      <sheetName val="Eng"/>
      <sheetName val="変速線"/>
      <sheetName val="Header"/>
      <sheetName val="CVT1 正規"/>
      <sheetName val="DRIFT処理"/>
    </sheetNames>
    <sheetDataSet>
      <sheetData sheetId="0"/>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Set>
  </externalBook>
</externalLink>
</file>

<file path=xl/externalLinks/externalLink1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essageList"/>
      <sheetName val="HYO"/>
      <sheetName val="MOTO"/>
      <sheetName val="TITLE BLOCK"/>
      <sheetName val="見本２"/>
      <sheetName val="HUNIT"/>
      <sheetName val="総合B"/>
      <sheetName val="HS配管準"/>
      <sheetName val="SM-SA(180K)"/>
      <sheetName val="TAM-TA"/>
      <sheetName val="全体"/>
      <sheetName val="A"/>
      <sheetName val="生涯利益計画ｼｰﾄ"/>
      <sheetName val="ＶＡ"/>
      <sheetName val="生涯利益計画ｼｰʄ"/>
      <sheetName val=""/>
      <sheetName val="X41D2030217_2-3(1)"/>
      <sheetName val="MI項目一覧"/>
      <sheetName val="Definition"/>
      <sheetName val="Sheet2"/>
      <sheetName val="MPL 技連"/>
      <sheetName val="342E BLOCK"/>
      <sheetName val="熱平衡特性"/>
      <sheetName val="Sheet1"/>
      <sheetName val="List_Table"/>
      <sheetName val="Batt特性"/>
      <sheetName val="選択"/>
      <sheetName val="COMP近似式"/>
      <sheetName val="AIR"/>
      <sheetName val="測温点"/>
      <sheetName val="sheet17"/>
      <sheetName val="List Table"/>
      <sheetName val="DIEZEL動弁相場"/>
      <sheetName val="TR_OLD"/>
      <sheetName val="転舵サーミスタ１実温度テスト結果"/>
      <sheetName val="外表面Ａ"/>
      <sheetName val="表紙"/>
      <sheetName val="LESCI J77"/>
      <sheetName val="表5-2 地区別CO2排出実績"/>
      <sheetName val="基本情報"/>
      <sheetName val="LANGUAGE_TABLE"/>
      <sheetName val="Sound_IP"/>
      <sheetName val="#REF!"/>
      <sheetName val="試作DPロット日程"/>
      <sheetName val="別紙１"/>
      <sheetName val="データ"/>
      <sheetName val="入力規則"/>
      <sheetName val="集計ﾘｽﾄ"/>
      <sheetName val="Données transversales pays"/>
      <sheetName val="Initialisation"/>
      <sheetName val="事務所引越見積書"/>
      <sheetName val="SCH"/>
      <sheetName val="Croisements (Ai - Ej - Mk) X85"/>
      <sheetName val="5820"/>
      <sheetName val="リスト"/>
      <sheetName val="INI"/>
      <sheetName val="変更点管理表"/>
      <sheetName val="N-T"/>
      <sheetName val="CAN送信(TRQ関係)"/>
      <sheetName val="14mmQfup"/>
      <sheetName val="ﾊﾞﾙﾌﾞﾘｰｸ"/>
      <sheetName val="過不足ﾏﾄﾒ"/>
      <sheetName val="新目標"/>
      <sheetName val="G"/>
      <sheetName val="日程"/>
      <sheetName val="書式"/>
      <sheetName val="Function"/>
      <sheetName val="NissanVehicle"/>
      <sheetName val="Area"/>
      <sheetName val="Market"/>
      <sheetName val="Country"/>
      <sheetName val="応力線図"/>
      <sheetName val="99･00"/>
      <sheetName val="List"/>
      <sheetName val="Functionnal Data Reference"/>
      <sheetName val="必要に応じて追加して下さい"/>
      <sheetName val="#REF"/>
      <sheetName val="ﾏｯﾁﾝｸﾞ"/>
      <sheetName val="記載ルール"/>
      <sheetName val="カテゴリ"/>
      <sheetName val="報告書表紙"/>
      <sheetName val="班部番別"/>
      <sheetName val="汎用ﾏｸﾛ2"/>
      <sheetName val="Macro1"/>
      <sheetName val="画面仕様"/>
      <sheetName val="INPUTS_LIST"/>
      <sheetName val="選択リスト"/>
      <sheetName val="ALPL 030514"/>
      <sheetName val="バリエーション"/>
      <sheetName val="ユーザ"/>
      <sheetName val="生人台帳"/>
      <sheetName val="Bインペラ　ﾛｽﾄﾙｸﾃﾞｰﾀ"/>
      <sheetName val="Aインペラ　ﾛｽﾄﾙｸﾃﾞｰﾀ"/>
      <sheetName val="ギヤ鳴NEM"/>
      <sheetName val="TITLE_BLOCK"/>
      <sheetName val="MPL_技連"/>
      <sheetName val="342E_BLOCK"/>
      <sheetName val="List_Table1"/>
      <sheetName val="LESCI_J77"/>
      <sheetName val="表5-2_地区別CO2排出実績"/>
      <sheetName val="Données_transversales_pays"/>
      <sheetName val="Croisements_(Ai_-_Ej_-_Mk)_X85"/>
      <sheetName val="sheet5"/>
      <sheetName val="FR"/>
      <sheetName val="Plan Sheet"/>
      <sheetName val="Ｆｕｌｌ ｌｉｓｔ"/>
      <sheetName val="集計"/>
      <sheetName val="入力書式"/>
      <sheetName val="value"/>
      <sheetName val="設定"/>
      <sheetName val="amp_spr"/>
      <sheetName val="×圧入力計算cyl"/>
      <sheetName val="(補助)入力書式"/>
      <sheetName val="分类数据"/>
      <sheetName val="X11EdailyV61"/>
      <sheetName val="「構成管理計画書」(構成) (2)"/>
      <sheetName val="共有状況リスト"/>
      <sheetName val="STOP"/>
      <sheetName val="timing diag"/>
      <sheetName val="Comp"/>
      <sheetName val="VBK"/>
      <sheetName val="input capacitors"/>
      <sheetName val="data"/>
      <sheetName val="チェック方法"/>
      <sheetName val="IMD"/>
      <sheetName val="readme"/>
      <sheetName val="tmp"/>
      <sheetName val="Ipc_Mid_App_IMD.c"/>
      <sheetName val="rg_imd_main.c"/>
      <sheetName val="IMD_AnalysisFixedBlot.c"/>
      <sheetName val="IMD_BGEdgeHist.c"/>
      <sheetName val="IMD_Controller.c"/>
      <sheetName val="IMD_FixedIntensity.c"/>
      <sheetName val="IMD_FovContour.c"/>
      <sheetName val="IMD_IMDInfo.c"/>
      <sheetName val="IMD_InfoSharing.c"/>
      <sheetName val="IMD_Init.c"/>
      <sheetName val="IMD_JudgeDayNight.c"/>
      <sheetName val="IMD_JudgeLdwSafeLevel.c"/>
      <sheetName val="IMD_JudgeSnowyRoad.c"/>
      <sheetName val="IMD_JudgeTmpFail.c"/>
      <sheetName val="IMD_Main.c"/>
      <sheetName val="IMD_Odometry.c"/>
      <sheetName val="IMD_VehicleMotion.c"/>
      <sheetName val="IMD_WaterEdgeArea.c"/>
      <sheetName val="NEW"/>
      <sheetName val="横軸とSWCrev"/>
      <sheetName val="ステータス"/>
      <sheetName val="Lists"/>
      <sheetName val="FailureModeDef"/>
      <sheetName val="PullDown"/>
      <sheetName val="依頼書"/>
      <sheetName val="Wire Resistance"/>
      <sheetName val="traceability"/>
      <sheetName val="COAST間欠見積 "/>
      <sheetName val="DID_F181(ソフトウエア品番)"/>
      <sheetName val="診断・フェールセーフ定数"/>
      <sheetName val="Work"/>
      <sheetName val="全体状況"/>
      <sheetName val="管理台帳"/>
      <sheetName val="担当リスト"/>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sheetData sheetId="90" refreshError="1"/>
      <sheetData sheetId="91" refreshError="1"/>
      <sheetData sheetId="92" refreshError="1"/>
      <sheetData sheetId="93" refreshError="1"/>
      <sheetData sheetId="94"/>
      <sheetData sheetId="95"/>
      <sheetData sheetId="96"/>
      <sheetData sheetId="97"/>
      <sheetData sheetId="98"/>
      <sheetData sheetId="99"/>
      <sheetData sheetId="100"/>
      <sheetData sheetId="101"/>
      <sheetData sheetId="102" refreshError="1"/>
      <sheetData sheetId="103" refreshError="1"/>
      <sheetData sheetId="104" refreshError="1"/>
      <sheetData sheetId="105" refreshError="1"/>
      <sheetData sheetId="106" refreshError="1"/>
      <sheetData sheetId="107" refreshError="1"/>
      <sheetData sheetId="108" refreshError="1"/>
      <sheetData sheetId="109" refreshError="1"/>
      <sheetData sheetId="110" refreshError="1"/>
      <sheetData sheetId="111" refreshError="1"/>
      <sheetData sheetId="112" refreshError="1"/>
      <sheetData sheetId="113" refreshError="1"/>
      <sheetData sheetId="114" refreshError="1"/>
      <sheetData sheetId="115" refreshError="1"/>
      <sheetData sheetId="116" refreshError="1"/>
      <sheetData sheetId="117" refreshError="1"/>
      <sheetData sheetId="118" refreshError="1"/>
      <sheetData sheetId="119" refreshError="1"/>
      <sheetData sheetId="120" refreshError="1"/>
      <sheetData sheetId="121" refreshError="1"/>
      <sheetData sheetId="122" refreshError="1"/>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refreshError="1"/>
      <sheetData sheetId="146" refreshError="1"/>
      <sheetData sheetId="147" refreshError="1"/>
      <sheetData sheetId="148" refreshError="1"/>
      <sheetData sheetId="149" refreshError="1"/>
      <sheetData sheetId="150" refreshError="1"/>
      <sheetData sheetId="151" refreshError="1"/>
      <sheetData sheetId="152" refreshError="1"/>
      <sheetData sheetId="153" refreshError="1"/>
      <sheetData sheetId="154" refreshError="1"/>
      <sheetData sheetId="155" refreshError="1"/>
      <sheetData sheetId="156" refreshError="1"/>
      <sheetData sheetId="157" refreshError="1"/>
      <sheetData sheetId="158" refreshError="1"/>
      <sheetData sheetId="159" refreshError="1"/>
      <sheetData sheetId="160" refreshError="1"/>
    </sheetDataSet>
  </externalBook>
</externalLink>
</file>

<file path=xl/externalLinks/externalLink1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History"/>
      <sheetName val="TTM11_Variants"/>
      <sheetName val="TTM11_Menu"/>
      <sheetName val="NAV_N_4JJ1"/>
      <sheetName val="NAV_N+F_4HK1"/>
      <sheetName val="NAV_FG_6HK1"/>
      <sheetName val="NAV_CE_6WG1"/>
      <sheetName val="NAV_Bus_6HK1"/>
      <sheetName val="NAV_TF_4_SP"/>
      <sheetName val="NAV_TF_4_SP_I"/>
      <sheetName val="NAV_TF_4_HP"/>
      <sheetName val="NAV_TF_4_HP_I"/>
      <sheetName val="NAV_TF_4_HP_IC"/>
      <sheetName val="NavigationRobot"/>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Set>
  </externalBook>
</externalLink>
</file>

<file path=xl/externalLinks/externalLink1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yh5特装"/>
      <sheetName val="総合B"/>
      <sheetName val="IDMatrix"/>
      <sheetName val="ＹＫ０まとめ"/>
      <sheetName val="ＹＲ０"/>
      <sheetName val="YK0(LSPV2wd)"/>
      <sheetName val="YK0(LSPV4wd)"/>
      <sheetName val="YK0(ABS2wd)"/>
      <sheetName val="YK0(ABS4wd)"/>
      <sheetName val="ＹＨ５系主制動まとめ"/>
      <sheetName val="乗用YH5V(9&quot;)"/>
      <sheetName val="乗用YH5V(8&quot;)"/>
      <sheetName val="YH5V(7&quot;)"/>
      <sheetName val="YH5V(8&quot;) (2)"/>
      <sheetName val="YH5V(9&quot;) "/>
      <sheetName val="YH5V(8&quot;)"/>
      <sheetName val="YH5T180(7&quot;)"/>
      <sheetName val="YH5T180(8&quot;) "/>
      <sheetName val="YH5T220(7&quot;)"/>
      <sheetName val="YH5T２２0(8&quot;)   (2)"/>
      <sheetName val="YH5T２２0(8&quot;)  "/>
      <sheetName val="yr7"/>
      <sheetName val="yk0"/>
      <sheetName val="yh5バン乗用"/>
      <sheetName val="yh5バン"/>
      <sheetName val="yh5ﾄﾗｯｸ"/>
      <sheetName val="yh5ﾄﾗｯｸ実力"/>
      <sheetName val="yh5ﾄﾗｯｸ2"/>
      <sheetName val="エブリイ系新保安基準諸元値検討９５"/>
      <sheetName val="直進50KPH"/>
      <sheetName val="Sheet2"/>
    </sheetNames>
    <sheetDataSet>
      <sheetData sheetId="0" refreshError="1">
        <row r="1">
          <cell r="N1" t="str">
            <v>{GOTO}b01~</v>
          </cell>
        </row>
      </sheetData>
      <sheetData sheetId="1" refreshError="1"/>
      <sheetData sheetId="2" refreshError="1"/>
      <sheetData sheetId="3">
        <row r="1">
          <cell r="N1" t="str">
            <v>{GOTO}b01~</v>
          </cell>
        </row>
      </sheetData>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row r="1">
          <cell r="N1" t="str">
            <v>{GOTO}b01~</v>
          </cell>
        </row>
      </sheetData>
      <sheetData sheetId="27"/>
      <sheetData sheetId="28" refreshError="1"/>
      <sheetData sheetId="29" refreshError="1"/>
      <sheetData sheetId="30" refreshError="1"/>
    </sheetDataSet>
  </externalBook>
</externalLink>
</file>

<file path=xl/externalLinks/externalLink1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vision Record"/>
      <sheetName val="General ECU Information"/>
      <sheetName val="Special ECU Information"/>
      <sheetName val="Tech 2 Menu"/>
      <sheetName val="EQ_Table"/>
      <sheetName val="Data Display"/>
      <sheetName val="SEV"/>
      <sheetName val="Units"/>
      <sheetName val="DID"/>
      <sheetName val="DTC"/>
      <sheetName val="CPID"/>
      <sheetName val="CPID Frame"/>
      <sheetName val="Programming"/>
    </sheetNames>
    <sheetDataSet>
      <sheetData sheetId="0" refreshError="1"/>
      <sheetData sheetId="1"/>
      <sheetData sheetId="2"/>
      <sheetData sheetId="3"/>
      <sheetData sheetId="4" refreshError="1"/>
      <sheetData sheetId="5" refreshError="1"/>
      <sheetData sheetId="6"/>
      <sheetData sheetId="7" refreshError="1"/>
      <sheetData sheetId="8"/>
      <sheetData sheetId="9" refreshError="1"/>
      <sheetData sheetId="10"/>
      <sheetData sheetId="11" refreshError="1"/>
      <sheetData sheetId="12" refreshError="1"/>
    </sheetDataSet>
  </externalBook>
</externalLink>
</file>

<file path=xl/externalLinks/externalLink1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General Information"/>
      <sheetName val="Revisions"/>
      <sheetName val="Versions"/>
      <sheetName val="G-IDSS Menu"/>
      <sheetName val="Module information"/>
      <sheetName val="EOL information"/>
      <sheetName val="DTC MAX list"/>
      <sheetName val="PID List"/>
      <sheetName val="SEV Sets"/>
      <sheetName val="Actuator Test Proceder"/>
      <sheetName val="Program Function proceder"/>
      <sheetName val="Program Flow Chart"/>
      <sheetName val="EOL Data list"/>
      <sheetName val="Special function"/>
      <sheetName val="Q &amp; A Sheet"/>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Set>
  </externalBook>
</externalLink>
</file>

<file path=xl/externalLinks/externalLink2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駆動系1"/>
      <sheetName val="main"/>
      <sheetName val="IGI"/>
      <sheetName val="目標MAP_K3_MAP_TRG_MAX"/>
      <sheetName val="ENG油洩れ"/>
      <sheetName val="K"/>
      <sheetName val="6W"/>
      <sheetName val="6S"/>
      <sheetName val="P"/>
      <sheetName val="4H"/>
      <sheetName val="96期(川崎)"/>
      <sheetName val="TM"/>
      <sheetName val="推移用データ"/>
      <sheetName val="DB"/>
      <sheetName val="Production Database 399"/>
      <sheetName val="Vehicle Number"/>
      <sheetName val="INCA"/>
      <sheetName val="TLSC"/>
      <sheetName val="ID音"/>
      <sheetName val="ID音策"/>
      <sheetName val="ﾊﾞﾗ研"/>
      <sheetName val="DATA01"/>
      <sheetName val="DATA"/>
      <sheetName val="K2_MAP_TRG_BARO_COEF"/>
      <sheetName val="K3_MAP_TRG_BASE"/>
      <sheetName val="K3_MAP_TRG_MAX"/>
      <sheetName val="座面面圧計算表の使用方法"/>
      <sheetName val="Schedule(detail)"/>
      <sheetName val="TIRE読み替え表"/>
      <sheetName val="1-A､B"/>
      <sheetName val="00年9月"/>
      <sheetName val="_MISSION"/>
      <sheetName val="投資係数"/>
      <sheetName val="HX121-T"/>
      <sheetName val="一覧と近似式"/>
      <sheetName val="国内ベタ EXCELファイル指定"/>
      <sheetName val="HCCE01"/>
      <sheetName val="GMT900 IPC"/>
      <sheetName val="計算結果"/>
      <sheetName val="ｺｽﾄﾃｰﾌﾞﾙ"/>
      <sheetName val="国内ベタ_EXCELファイル指定"/>
      <sheetName val="国内ベタ_EXCELファイル指定1"/>
      <sheetName val="GMT900_IPC"/>
    </sheetNames>
    <sheetDataSet>
      <sheetData sheetId="0" refreshError="1">
        <row r="110">
          <cell r="J110">
            <v>129.61766069361894</v>
          </cell>
          <cell r="K110" t="str">
            <v>MAL7R</v>
          </cell>
          <cell r="L110">
            <v>5.125</v>
          </cell>
          <cell r="M110">
            <v>4.875</v>
          </cell>
          <cell r="O110">
            <v>5.5709999999999997</v>
          </cell>
          <cell r="Q110" t="str">
            <v>-</v>
          </cell>
          <cell r="R110" t="str">
            <v>-</v>
          </cell>
          <cell r="S110" t="str">
            <v>-</v>
          </cell>
          <cell r="U110" t="str">
            <v>-</v>
          </cell>
          <cell r="W110" t="str">
            <v>-</v>
          </cell>
          <cell r="Y110" t="str">
            <v>-</v>
          </cell>
          <cell r="Z110" t="str">
            <v>○</v>
          </cell>
          <cell r="AA110" t="str">
            <v>-</v>
          </cell>
          <cell r="AB110" t="str">
            <v>-</v>
          </cell>
          <cell r="AC110" t="str">
            <v>-</v>
          </cell>
          <cell r="AD110" t="str">
            <v>○</v>
          </cell>
          <cell r="AE110" t="str">
            <v>-</v>
          </cell>
          <cell r="AF110" t="str">
            <v>17.5H</v>
          </cell>
          <cell r="AG110" t="str">
            <v>-</v>
          </cell>
          <cell r="AH110" t="str">
            <v>-</v>
          </cell>
          <cell r="AI110" t="str">
            <v>-</v>
          </cell>
          <cell r="AJ110" t="str">
            <v>-</v>
          </cell>
          <cell r="AK110" t="str">
            <v>-</v>
          </cell>
          <cell r="AL110" t="str">
            <v>17.5H</v>
          </cell>
          <cell r="AM110" t="str">
            <v>-</v>
          </cell>
          <cell r="AN110" t="str">
            <v>-</v>
          </cell>
          <cell r="AO110" t="str">
            <v>-</v>
          </cell>
          <cell r="AP110" t="str">
            <v>○</v>
          </cell>
          <cell r="AQ110" t="str">
            <v>-</v>
          </cell>
          <cell r="AR110" t="str">
            <v>△</v>
          </cell>
          <cell r="AS110" t="str">
            <v>-</v>
          </cell>
          <cell r="AT110" t="str">
            <v>○</v>
          </cell>
          <cell r="AU110" t="str">
            <v>○</v>
          </cell>
          <cell r="AV110" t="str">
            <v>○</v>
          </cell>
          <cell r="AW110" t="str">
            <v>-</v>
          </cell>
          <cell r="AX110" t="str">
            <v>○</v>
          </cell>
          <cell r="AY110" t="str">
            <v>-</v>
          </cell>
          <cell r="AZ110" t="str">
            <v>-</v>
          </cell>
          <cell r="BA110" t="str">
            <v>-</v>
          </cell>
          <cell r="BB110" t="str">
            <v>-</v>
          </cell>
          <cell r="BC110" t="str">
            <v>○</v>
          </cell>
          <cell r="BD110" t="str">
            <v>△</v>
          </cell>
        </row>
        <row r="111">
          <cell r="J111">
            <v>129.61766069361894</v>
          </cell>
          <cell r="K111" t="str">
            <v>MAL7R</v>
          </cell>
          <cell r="L111">
            <v>5.125</v>
          </cell>
          <cell r="M111">
            <v>4.875</v>
          </cell>
          <cell r="O111">
            <v>5.5709999999999997</v>
          </cell>
          <cell r="Q111" t="str">
            <v>-</v>
          </cell>
          <cell r="R111" t="str">
            <v>-</v>
          </cell>
          <cell r="S111" t="str">
            <v>-</v>
          </cell>
          <cell r="U111" t="str">
            <v>-</v>
          </cell>
          <cell r="W111" t="str">
            <v>-</v>
          </cell>
          <cell r="Y111" t="str">
            <v>-</v>
          </cell>
          <cell r="Z111" t="str">
            <v>○</v>
          </cell>
          <cell r="AA111" t="str">
            <v>-</v>
          </cell>
          <cell r="AB111" t="str">
            <v>-</v>
          </cell>
          <cell r="AC111" t="str">
            <v>-</v>
          </cell>
          <cell r="AD111" t="str">
            <v>○</v>
          </cell>
          <cell r="AE111" t="str">
            <v>-</v>
          </cell>
          <cell r="AF111" t="str">
            <v>17.5H</v>
          </cell>
          <cell r="AG111" t="str">
            <v>-</v>
          </cell>
          <cell r="AH111" t="str">
            <v>-</v>
          </cell>
          <cell r="AI111" t="str">
            <v>-</v>
          </cell>
          <cell r="AJ111" t="str">
            <v>-</v>
          </cell>
          <cell r="AK111" t="str">
            <v>-</v>
          </cell>
          <cell r="AL111" t="str">
            <v>17.5H</v>
          </cell>
          <cell r="AM111" t="str">
            <v>-</v>
          </cell>
          <cell r="AN111" t="str">
            <v>-</v>
          </cell>
          <cell r="AO111" t="str">
            <v>●</v>
          </cell>
          <cell r="AP111" t="str">
            <v>-</v>
          </cell>
          <cell r="AQ111" t="str">
            <v>-</v>
          </cell>
          <cell r="AR111" t="str">
            <v>△</v>
          </cell>
          <cell r="AS111" t="str">
            <v>-</v>
          </cell>
          <cell r="AT111" t="str">
            <v>○</v>
          </cell>
          <cell r="AU111" t="str">
            <v>○</v>
          </cell>
          <cell r="AV111" t="str">
            <v>○</v>
          </cell>
          <cell r="AW111" t="str">
            <v>-</v>
          </cell>
          <cell r="AX111" t="str">
            <v>○</v>
          </cell>
          <cell r="AY111" t="str">
            <v>-</v>
          </cell>
          <cell r="AZ111" t="str">
            <v>-</v>
          </cell>
          <cell r="BA111" t="str">
            <v>-</v>
          </cell>
          <cell r="BB111" t="str">
            <v>-</v>
          </cell>
          <cell r="BC111" t="str">
            <v>-</v>
          </cell>
          <cell r="BD111" t="str">
            <v>△</v>
          </cell>
        </row>
        <row r="112">
          <cell r="J112">
            <v>129.61766069361894</v>
          </cell>
          <cell r="K112" t="str">
            <v>MAL7R</v>
          </cell>
          <cell r="L112">
            <v>5.125</v>
          </cell>
          <cell r="M112">
            <v>4.875</v>
          </cell>
          <cell r="O112">
            <v>5.5709999999999997</v>
          </cell>
          <cell r="Q112" t="str">
            <v>-</v>
          </cell>
          <cell r="R112" t="str">
            <v>-</v>
          </cell>
          <cell r="S112" t="str">
            <v>-</v>
          </cell>
          <cell r="U112" t="str">
            <v>-</v>
          </cell>
          <cell r="W112" t="str">
            <v>-</v>
          </cell>
          <cell r="Y112" t="str">
            <v>-</v>
          </cell>
          <cell r="Z112" t="str">
            <v>○</v>
          </cell>
          <cell r="AA112" t="str">
            <v>-</v>
          </cell>
          <cell r="AB112" t="str">
            <v>-</v>
          </cell>
          <cell r="AC112" t="str">
            <v>-</v>
          </cell>
          <cell r="AD112" t="str">
            <v>○</v>
          </cell>
          <cell r="AE112" t="str">
            <v>-</v>
          </cell>
          <cell r="AF112" t="str">
            <v>17.5H</v>
          </cell>
          <cell r="AG112" t="str">
            <v>-</v>
          </cell>
          <cell r="AH112" t="str">
            <v>-</v>
          </cell>
          <cell r="AI112" t="str">
            <v>-</v>
          </cell>
          <cell r="AJ112" t="str">
            <v>-</v>
          </cell>
          <cell r="AK112" t="str">
            <v>-</v>
          </cell>
          <cell r="AL112" t="str">
            <v>17.5H</v>
          </cell>
          <cell r="AM112" t="str">
            <v>-</v>
          </cell>
          <cell r="AN112" t="str">
            <v>-</v>
          </cell>
          <cell r="AO112" t="str">
            <v>-</v>
          </cell>
          <cell r="AP112" t="str">
            <v>○</v>
          </cell>
          <cell r="AQ112" t="str">
            <v>-</v>
          </cell>
          <cell r="AR112" t="str">
            <v>△</v>
          </cell>
          <cell r="AS112" t="str">
            <v>-</v>
          </cell>
          <cell r="AT112" t="str">
            <v>○</v>
          </cell>
          <cell r="AU112" t="str">
            <v>○</v>
          </cell>
          <cell r="AV112" t="str">
            <v>○</v>
          </cell>
          <cell r="AW112" t="str">
            <v>-</v>
          </cell>
          <cell r="AX112" t="str">
            <v>○</v>
          </cell>
          <cell r="AY112" t="str">
            <v>-</v>
          </cell>
          <cell r="AZ112" t="str">
            <v>-</v>
          </cell>
          <cell r="BA112" t="str">
            <v>-</v>
          </cell>
          <cell r="BB112" t="str">
            <v>-</v>
          </cell>
          <cell r="BC112" t="str">
            <v>△</v>
          </cell>
          <cell r="BD112" t="str">
            <v>△</v>
          </cell>
        </row>
        <row r="113">
          <cell r="J113">
            <v>129.61766069361894</v>
          </cell>
          <cell r="K113" t="str">
            <v>MAL7R</v>
          </cell>
          <cell r="L113">
            <v>5.125</v>
          </cell>
          <cell r="M113">
            <v>4.875</v>
          </cell>
          <cell r="O113">
            <v>5.5709999999999997</v>
          </cell>
          <cell r="Q113" t="str">
            <v>-</v>
          </cell>
          <cell r="R113" t="str">
            <v>-</v>
          </cell>
          <cell r="S113" t="str">
            <v>-</v>
          </cell>
          <cell r="U113" t="str">
            <v>-</v>
          </cell>
          <cell r="W113" t="str">
            <v>-</v>
          </cell>
          <cell r="Y113" t="str">
            <v>-</v>
          </cell>
          <cell r="Z113" t="str">
            <v>○</v>
          </cell>
          <cell r="AA113" t="str">
            <v>-</v>
          </cell>
          <cell r="AB113" t="str">
            <v>-</v>
          </cell>
          <cell r="AC113" t="str">
            <v>-</v>
          </cell>
          <cell r="AD113" t="str">
            <v>○</v>
          </cell>
          <cell r="AE113" t="str">
            <v>-</v>
          </cell>
          <cell r="AF113" t="str">
            <v>17.5H</v>
          </cell>
          <cell r="AG113" t="str">
            <v>-</v>
          </cell>
          <cell r="AH113" t="str">
            <v>-</v>
          </cell>
          <cell r="AI113" t="str">
            <v>-</v>
          </cell>
          <cell r="AJ113" t="str">
            <v>-</v>
          </cell>
          <cell r="AK113" t="str">
            <v>-</v>
          </cell>
          <cell r="AL113" t="str">
            <v>17.5H</v>
          </cell>
          <cell r="AM113" t="str">
            <v>-</v>
          </cell>
          <cell r="AN113" t="str">
            <v>-</v>
          </cell>
          <cell r="AO113" t="str">
            <v>-</v>
          </cell>
          <cell r="AP113" t="str">
            <v>○</v>
          </cell>
          <cell r="AQ113" t="str">
            <v>-</v>
          </cell>
          <cell r="AR113" t="str">
            <v>△</v>
          </cell>
          <cell r="AS113" t="str">
            <v>-</v>
          </cell>
          <cell r="AT113" t="str">
            <v>○</v>
          </cell>
          <cell r="AU113" t="str">
            <v>○</v>
          </cell>
          <cell r="AV113" t="str">
            <v>○</v>
          </cell>
          <cell r="AW113" t="str">
            <v>-</v>
          </cell>
          <cell r="AX113" t="str">
            <v>○</v>
          </cell>
          <cell r="AY113" t="str">
            <v>-</v>
          </cell>
          <cell r="AZ113" t="str">
            <v>-</v>
          </cell>
          <cell r="BA113" t="str">
            <v>-</v>
          </cell>
          <cell r="BB113" t="str">
            <v>-</v>
          </cell>
          <cell r="BC113" t="str">
            <v>△</v>
          </cell>
          <cell r="BD113" t="str">
            <v>△</v>
          </cell>
        </row>
        <row r="114">
          <cell r="J114">
            <v>129.61766069361894</v>
          </cell>
          <cell r="K114" t="str">
            <v>MAL7R</v>
          </cell>
          <cell r="L114">
            <v>5.125</v>
          </cell>
          <cell r="M114">
            <v>4.875</v>
          </cell>
          <cell r="O114">
            <v>5.5709999999999997</v>
          </cell>
          <cell r="Q114" t="str">
            <v>-</v>
          </cell>
          <cell r="R114" t="str">
            <v>-</v>
          </cell>
          <cell r="S114" t="str">
            <v>-</v>
          </cell>
          <cell r="U114" t="str">
            <v>-</v>
          </cell>
          <cell r="W114" t="str">
            <v>-</v>
          </cell>
          <cell r="Y114" t="str">
            <v>-</v>
          </cell>
          <cell r="Z114" t="str">
            <v>○</v>
          </cell>
          <cell r="AA114" t="str">
            <v>-</v>
          </cell>
          <cell r="AB114" t="str">
            <v>-</v>
          </cell>
          <cell r="AC114" t="str">
            <v>-</v>
          </cell>
          <cell r="AD114" t="str">
            <v>○</v>
          </cell>
          <cell r="AE114" t="str">
            <v>-</v>
          </cell>
          <cell r="AF114" t="str">
            <v>17.5H</v>
          </cell>
          <cell r="AG114" t="str">
            <v>-</v>
          </cell>
          <cell r="AH114" t="str">
            <v>-</v>
          </cell>
          <cell r="AI114" t="str">
            <v>-</v>
          </cell>
          <cell r="AJ114" t="str">
            <v>-</v>
          </cell>
          <cell r="AK114" t="str">
            <v>-</v>
          </cell>
          <cell r="AL114" t="str">
            <v>17.5H</v>
          </cell>
          <cell r="AM114" t="str">
            <v>-</v>
          </cell>
          <cell r="AN114" t="str">
            <v>-</v>
          </cell>
          <cell r="AO114" t="str">
            <v>-</v>
          </cell>
          <cell r="AP114" t="str">
            <v>○</v>
          </cell>
          <cell r="AQ114" t="str">
            <v>-</v>
          </cell>
          <cell r="AR114" t="str">
            <v>△</v>
          </cell>
          <cell r="AS114" t="str">
            <v>-</v>
          </cell>
          <cell r="AT114" t="str">
            <v>○</v>
          </cell>
          <cell r="AU114" t="str">
            <v>○</v>
          </cell>
          <cell r="AV114" t="str">
            <v>○</v>
          </cell>
          <cell r="AW114" t="str">
            <v>-</v>
          </cell>
          <cell r="AX114" t="str">
            <v>○</v>
          </cell>
          <cell r="AY114" t="str">
            <v>-</v>
          </cell>
          <cell r="AZ114" t="str">
            <v>-</v>
          </cell>
          <cell r="BA114" t="str">
            <v>-</v>
          </cell>
          <cell r="BB114" t="str">
            <v>-</v>
          </cell>
          <cell r="BC114" t="str">
            <v>-</v>
          </cell>
          <cell r="BD114" t="str">
            <v>△</v>
          </cell>
        </row>
        <row r="115">
          <cell r="J115">
            <v>136.26472021636866</v>
          </cell>
          <cell r="K115" t="str">
            <v>MAL7R</v>
          </cell>
          <cell r="L115">
            <v>4.875</v>
          </cell>
          <cell r="M115">
            <v>4.5549999999999997</v>
          </cell>
          <cell r="O115">
            <v>5.125</v>
          </cell>
          <cell r="Q115" t="str">
            <v>-</v>
          </cell>
          <cell r="R115" t="str">
            <v>-</v>
          </cell>
          <cell r="S115" t="str">
            <v>-</v>
          </cell>
          <cell r="U115" t="str">
            <v>-</v>
          </cell>
          <cell r="W115" t="str">
            <v>-</v>
          </cell>
          <cell r="Y115" t="str">
            <v>-</v>
          </cell>
          <cell r="Z115" t="str">
            <v>○</v>
          </cell>
          <cell r="AA115" t="str">
            <v>-</v>
          </cell>
          <cell r="AB115" t="str">
            <v>-</v>
          </cell>
          <cell r="AC115" t="str">
            <v>-</v>
          </cell>
          <cell r="AD115" t="str">
            <v>○</v>
          </cell>
          <cell r="AE115" t="str">
            <v>-</v>
          </cell>
          <cell r="AF115" t="str">
            <v>17.5H</v>
          </cell>
          <cell r="AG115" t="str">
            <v>-</v>
          </cell>
          <cell r="AH115" t="str">
            <v>-</v>
          </cell>
          <cell r="AI115" t="str">
            <v>-</v>
          </cell>
          <cell r="AJ115" t="str">
            <v>-</v>
          </cell>
          <cell r="AK115" t="str">
            <v>-</v>
          </cell>
          <cell r="AL115" t="str">
            <v>17.5H</v>
          </cell>
          <cell r="AM115" t="str">
            <v>-</v>
          </cell>
          <cell r="AN115" t="str">
            <v>-</v>
          </cell>
          <cell r="AO115" t="str">
            <v>-</v>
          </cell>
          <cell r="AP115" t="str">
            <v>○</v>
          </cell>
          <cell r="AQ115" t="str">
            <v>-</v>
          </cell>
          <cell r="AR115" t="str">
            <v>△</v>
          </cell>
          <cell r="AS115" t="str">
            <v>-</v>
          </cell>
          <cell r="AT115" t="str">
            <v>○</v>
          </cell>
          <cell r="AU115" t="str">
            <v>○</v>
          </cell>
          <cell r="AV115" t="str">
            <v>○</v>
          </cell>
          <cell r="AW115" t="str">
            <v>-</v>
          </cell>
          <cell r="AX115" t="str">
            <v>○</v>
          </cell>
          <cell r="AY115" t="str">
            <v>-</v>
          </cell>
          <cell r="AZ115" t="str">
            <v>-</v>
          </cell>
          <cell r="BA115" t="str">
            <v>-</v>
          </cell>
          <cell r="BB115" t="str">
            <v>-</v>
          </cell>
          <cell r="BC115" t="str">
            <v>-</v>
          </cell>
          <cell r="BD115" t="str">
            <v>△</v>
          </cell>
        </row>
        <row r="116">
          <cell r="J116">
            <v>129.61766069361894</v>
          </cell>
          <cell r="K116" t="str">
            <v>MAL7R</v>
          </cell>
          <cell r="L116">
            <v>5.125</v>
          </cell>
          <cell r="M116">
            <v>4.875</v>
          </cell>
          <cell r="O116">
            <v>5.5709999999999997</v>
          </cell>
          <cell r="Q116" t="str">
            <v>-</v>
          </cell>
          <cell r="R116" t="str">
            <v>-</v>
          </cell>
          <cell r="S116" t="str">
            <v>-</v>
          </cell>
          <cell r="U116" t="str">
            <v>-</v>
          </cell>
          <cell r="W116" t="str">
            <v>-</v>
          </cell>
          <cell r="Y116" t="str">
            <v>-</v>
          </cell>
          <cell r="Z116" t="str">
            <v>○</v>
          </cell>
          <cell r="AA116" t="str">
            <v>-</v>
          </cell>
          <cell r="AB116" t="str">
            <v>-</v>
          </cell>
          <cell r="AC116" t="str">
            <v>○</v>
          </cell>
          <cell r="AD116" t="str">
            <v>-</v>
          </cell>
          <cell r="AE116" t="str">
            <v>-</v>
          </cell>
          <cell r="AF116" t="str">
            <v>17.5H</v>
          </cell>
          <cell r="AG116" t="str">
            <v>-</v>
          </cell>
          <cell r="AH116" t="str">
            <v>-</v>
          </cell>
          <cell r="AI116" t="str">
            <v>-</v>
          </cell>
          <cell r="AJ116" t="str">
            <v>-</v>
          </cell>
          <cell r="AK116" t="str">
            <v>-</v>
          </cell>
          <cell r="AL116" t="str">
            <v>17.5H</v>
          </cell>
          <cell r="AM116" t="str">
            <v>-</v>
          </cell>
          <cell r="AN116" t="str">
            <v>-</v>
          </cell>
          <cell r="AO116" t="str">
            <v>-</v>
          </cell>
          <cell r="AP116" t="str">
            <v>○</v>
          </cell>
          <cell r="AQ116" t="str">
            <v>-</v>
          </cell>
          <cell r="AR116" t="str">
            <v>△</v>
          </cell>
          <cell r="AS116" t="str">
            <v>-</v>
          </cell>
          <cell r="AT116" t="str">
            <v>○</v>
          </cell>
          <cell r="AU116" t="str">
            <v>○</v>
          </cell>
          <cell r="AV116" t="str">
            <v>○</v>
          </cell>
          <cell r="AW116" t="str">
            <v>-</v>
          </cell>
          <cell r="AX116" t="str">
            <v>○</v>
          </cell>
          <cell r="AY116" t="str">
            <v>-</v>
          </cell>
          <cell r="AZ116" t="str">
            <v>-</v>
          </cell>
          <cell r="BA116" t="str">
            <v>-</v>
          </cell>
          <cell r="BB116" t="str">
            <v>-</v>
          </cell>
          <cell r="BC116" t="str">
            <v>△</v>
          </cell>
          <cell r="BD116" t="str">
            <v>△</v>
          </cell>
        </row>
        <row r="117">
          <cell r="J117">
            <v>129.61766069361894</v>
          </cell>
          <cell r="K117" t="str">
            <v>MAL7R</v>
          </cell>
          <cell r="L117">
            <v>5.125</v>
          </cell>
          <cell r="M117">
            <v>4.875</v>
          </cell>
          <cell r="O117">
            <v>5.5709999999999997</v>
          </cell>
          <cell r="Q117" t="str">
            <v>-</v>
          </cell>
          <cell r="R117" t="str">
            <v>-</v>
          </cell>
          <cell r="S117" t="str">
            <v>-</v>
          </cell>
          <cell r="U117" t="str">
            <v>-</v>
          </cell>
          <cell r="W117" t="str">
            <v>-</v>
          </cell>
          <cell r="Y117" t="str">
            <v>-</v>
          </cell>
          <cell r="Z117" t="str">
            <v>○</v>
          </cell>
          <cell r="AA117" t="str">
            <v>-</v>
          </cell>
          <cell r="AB117" t="str">
            <v>-</v>
          </cell>
          <cell r="AC117" t="str">
            <v>○</v>
          </cell>
          <cell r="AD117" t="str">
            <v>-</v>
          </cell>
          <cell r="AE117" t="str">
            <v>-</v>
          </cell>
          <cell r="AF117" t="str">
            <v>17.5H</v>
          </cell>
          <cell r="AG117" t="str">
            <v>-</v>
          </cell>
          <cell r="AH117" t="str">
            <v>-</v>
          </cell>
          <cell r="AI117" t="str">
            <v>-</v>
          </cell>
          <cell r="AJ117" t="str">
            <v>-</v>
          </cell>
          <cell r="AK117" t="str">
            <v>-</v>
          </cell>
          <cell r="AL117" t="str">
            <v>17.5H</v>
          </cell>
          <cell r="AM117" t="str">
            <v>-</v>
          </cell>
          <cell r="AN117" t="str">
            <v>-</v>
          </cell>
          <cell r="AO117" t="str">
            <v>○</v>
          </cell>
          <cell r="AP117" t="str">
            <v>-</v>
          </cell>
          <cell r="AQ117" t="str">
            <v>-</v>
          </cell>
          <cell r="AR117" t="str">
            <v>△</v>
          </cell>
          <cell r="AS117" t="str">
            <v>-</v>
          </cell>
          <cell r="AT117" t="str">
            <v>○</v>
          </cell>
          <cell r="AU117" t="str">
            <v>○</v>
          </cell>
          <cell r="AV117" t="str">
            <v>○</v>
          </cell>
          <cell r="AW117" t="str">
            <v>-</v>
          </cell>
          <cell r="AX117" t="str">
            <v>○</v>
          </cell>
          <cell r="AY117" t="str">
            <v>-</v>
          </cell>
          <cell r="AZ117" t="str">
            <v>-</v>
          </cell>
          <cell r="BA117" t="str">
            <v>-</v>
          </cell>
          <cell r="BB117" t="str">
            <v>-</v>
          </cell>
          <cell r="BC117" t="str">
            <v>△</v>
          </cell>
          <cell r="BD117" t="str">
            <v>△</v>
          </cell>
        </row>
        <row r="118">
          <cell r="J118">
            <v>129.61766069361894</v>
          </cell>
          <cell r="K118" t="str">
            <v>MAL7R</v>
          </cell>
          <cell r="L118">
            <v>5.125</v>
          </cell>
          <cell r="M118">
            <v>4.875</v>
          </cell>
          <cell r="O118">
            <v>5.5709999999999997</v>
          </cell>
          <cell r="Q118" t="str">
            <v>-</v>
          </cell>
          <cell r="R118" t="str">
            <v>-</v>
          </cell>
          <cell r="S118" t="str">
            <v>-</v>
          </cell>
          <cell r="U118" t="str">
            <v>-</v>
          </cell>
          <cell r="W118" t="str">
            <v>-</v>
          </cell>
          <cell r="Y118" t="str">
            <v>-</v>
          </cell>
          <cell r="Z118" t="str">
            <v>○</v>
          </cell>
          <cell r="AA118" t="str">
            <v>-</v>
          </cell>
          <cell r="AB118" t="str">
            <v>-</v>
          </cell>
          <cell r="AC118" t="str">
            <v>○</v>
          </cell>
          <cell r="AD118" t="str">
            <v>-</v>
          </cell>
          <cell r="AE118" t="str">
            <v>-</v>
          </cell>
          <cell r="AF118" t="str">
            <v>17.5H</v>
          </cell>
          <cell r="AG118" t="str">
            <v>-</v>
          </cell>
          <cell r="AH118" t="str">
            <v>-</v>
          </cell>
          <cell r="AI118" t="str">
            <v>-</v>
          </cell>
          <cell r="AJ118" t="str">
            <v>-</v>
          </cell>
          <cell r="AK118" t="str">
            <v>-</v>
          </cell>
          <cell r="AL118" t="str">
            <v>17.5H</v>
          </cell>
          <cell r="AM118" t="str">
            <v>-</v>
          </cell>
          <cell r="AN118" t="str">
            <v>-</v>
          </cell>
          <cell r="AO118" t="str">
            <v>-</v>
          </cell>
          <cell r="AP118" t="str">
            <v>○</v>
          </cell>
          <cell r="AQ118" t="str">
            <v>-</v>
          </cell>
          <cell r="AR118" t="str">
            <v>△</v>
          </cell>
          <cell r="AS118" t="str">
            <v>-</v>
          </cell>
          <cell r="AT118" t="str">
            <v>○</v>
          </cell>
          <cell r="AU118" t="str">
            <v>○</v>
          </cell>
          <cell r="AV118" t="str">
            <v>○</v>
          </cell>
          <cell r="AW118" t="str">
            <v>-</v>
          </cell>
          <cell r="AX118" t="str">
            <v>○</v>
          </cell>
          <cell r="AY118" t="str">
            <v>-</v>
          </cell>
          <cell r="AZ118" t="str">
            <v>-</v>
          </cell>
          <cell r="BA118" t="str">
            <v>-</v>
          </cell>
          <cell r="BB118" t="str">
            <v>-</v>
          </cell>
          <cell r="BC118" t="str">
            <v>△</v>
          </cell>
          <cell r="BD118" t="str">
            <v>△</v>
          </cell>
        </row>
        <row r="119">
          <cell r="J119">
            <v>129.61766069361894</v>
          </cell>
          <cell r="K119" t="str">
            <v>MAL7R</v>
          </cell>
          <cell r="L119">
            <v>5.125</v>
          </cell>
          <cell r="M119">
            <v>4.875</v>
          </cell>
          <cell r="O119">
            <v>5.5709999999999997</v>
          </cell>
          <cell r="Q119" t="str">
            <v>-</v>
          </cell>
          <cell r="R119" t="str">
            <v>-</v>
          </cell>
          <cell r="S119" t="str">
            <v>-</v>
          </cell>
          <cell r="U119" t="str">
            <v>-</v>
          </cell>
          <cell r="W119" t="str">
            <v>-</v>
          </cell>
          <cell r="Y119" t="str">
            <v>-</v>
          </cell>
          <cell r="Z119" t="str">
            <v>○</v>
          </cell>
          <cell r="AA119" t="str">
            <v>-</v>
          </cell>
          <cell r="AB119" t="str">
            <v>-</v>
          </cell>
          <cell r="AC119" t="str">
            <v>○</v>
          </cell>
          <cell r="AD119" t="str">
            <v>-</v>
          </cell>
          <cell r="AE119" t="str">
            <v>-</v>
          </cell>
          <cell r="AF119" t="str">
            <v>17.5H</v>
          </cell>
          <cell r="AG119" t="str">
            <v>-</v>
          </cell>
          <cell r="AH119" t="str">
            <v>-</v>
          </cell>
          <cell r="AI119" t="str">
            <v>-</v>
          </cell>
          <cell r="AJ119" t="str">
            <v>-</v>
          </cell>
          <cell r="AK119" t="str">
            <v>-</v>
          </cell>
          <cell r="AL119" t="str">
            <v>17.5H</v>
          </cell>
          <cell r="AM119" t="str">
            <v>-</v>
          </cell>
          <cell r="AN119" t="str">
            <v>-</v>
          </cell>
          <cell r="AO119" t="str">
            <v>○</v>
          </cell>
          <cell r="AP119" t="str">
            <v>-</v>
          </cell>
          <cell r="AQ119" t="str">
            <v>-</v>
          </cell>
          <cell r="AR119" t="str">
            <v>△</v>
          </cell>
          <cell r="AS119" t="str">
            <v>-</v>
          </cell>
          <cell r="AT119" t="str">
            <v>○</v>
          </cell>
          <cell r="AU119" t="str">
            <v>○</v>
          </cell>
          <cell r="AV119" t="str">
            <v>○</v>
          </cell>
          <cell r="AW119" t="str">
            <v>-</v>
          </cell>
          <cell r="AX119" t="str">
            <v>○</v>
          </cell>
          <cell r="AY119" t="str">
            <v>-</v>
          </cell>
          <cell r="AZ119" t="str">
            <v>-</v>
          </cell>
          <cell r="BA119" t="str">
            <v>-</v>
          </cell>
          <cell r="BB119" t="str">
            <v>-</v>
          </cell>
          <cell r="BC119" t="str">
            <v>△</v>
          </cell>
          <cell r="BD119" t="str">
            <v>△</v>
          </cell>
        </row>
        <row r="120">
          <cell r="J120">
            <v>129.61766069361894</v>
          </cell>
          <cell r="K120" t="str">
            <v>MAL7R</v>
          </cell>
          <cell r="L120">
            <v>5.125</v>
          </cell>
          <cell r="M120">
            <v>4.875</v>
          </cell>
          <cell r="O120">
            <v>5.5709999999999997</v>
          </cell>
          <cell r="Q120" t="str">
            <v>-</v>
          </cell>
          <cell r="R120" t="str">
            <v>-</v>
          </cell>
          <cell r="S120" t="str">
            <v>-</v>
          </cell>
          <cell r="U120" t="str">
            <v>-</v>
          </cell>
          <cell r="W120" t="str">
            <v>-</v>
          </cell>
          <cell r="Y120" t="str">
            <v>-</v>
          </cell>
          <cell r="Z120" t="str">
            <v>○</v>
          </cell>
          <cell r="AA120" t="str">
            <v>-</v>
          </cell>
          <cell r="AB120" t="str">
            <v>-</v>
          </cell>
          <cell r="AC120" t="str">
            <v>-</v>
          </cell>
          <cell r="AD120" t="str">
            <v>○</v>
          </cell>
          <cell r="AE120" t="str">
            <v>-</v>
          </cell>
          <cell r="AF120" t="str">
            <v>17.5H</v>
          </cell>
          <cell r="AG120" t="str">
            <v>-</v>
          </cell>
          <cell r="AH120" t="str">
            <v>-</v>
          </cell>
          <cell r="AI120" t="str">
            <v>-</v>
          </cell>
          <cell r="AJ120" t="str">
            <v>-</v>
          </cell>
          <cell r="AK120" t="str">
            <v>-</v>
          </cell>
          <cell r="AL120" t="str">
            <v>17.5H</v>
          </cell>
          <cell r="AM120" t="str">
            <v>-</v>
          </cell>
          <cell r="AN120" t="str">
            <v>-</v>
          </cell>
          <cell r="AO120" t="str">
            <v>-</v>
          </cell>
          <cell r="AP120" t="str">
            <v>○</v>
          </cell>
          <cell r="AQ120" t="str">
            <v>-</v>
          </cell>
          <cell r="AR120" t="str">
            <v>△</v>
          </cell>
          <cell r="AS120" t="str">
            <v>-</v>
          </cell>
          <cell r="AT120" t="str">
            <v>○</v>
          </cell>
          <cell r="AU120" t="str">
            <v>○</v>
          </cell>
          <cell r="AV120" t="str">
            <v>○</v>
          </cell>
          <cell r="AW120" t="str">
            <v>-</v>
          </cell>
          <cell r="AX120" t="str">
            <v>○</v>
          </cell>
          <cell r="AY120" t="str">
            <v>-</v>
          </cell>
          <cell r="AZ120" t="str">
            <v>-</v>
          </cell>
          <cell r="BA120" t="str">
            <v>-</v>
          </cell>
          <cell r="BB120" t="str">
            <v>-</v>
          </cell>
          <cell r="BC120" t="str">
            <v>○</v>
          </cell>
          <cell r="BD120" t="str">
            <v>△</v>
          </cell>
        </row>
        <row r="121">
          <cell r="J121">
            <v>136.26472021636866</v>
          </cell>
          <cell r="K121" t="str">
            <v>MAL7R</v>
          </cell>
          <cell r="L121">
            <v>4.875</v>
          </cell>
          <cell r="M121">
            <v>4.5549999999999997</v>
          </cell>
          <cell r="O121">
            <v>5.125</v>
          </cell>
          <cell r="Q121" t="str">
            <v>-</v>
          </cell>
          <cell r="R121" t="str">
            <v>-</v>
          </cell>
          <cell r="S121" t="str">
            <v>-</v>
          </cell>
          <cell r="U121" t="str">
            <v>-</v>
          </cell>
          <cell r="W121" t="str">
            <v>-</v>
          </cell>
          <cell r="Y121" t="str">
            <v>-</v>
          </cell>
          <cell r="Z121" t="str">
            <v>○</v>
          </cell>
          <cell r="AA121" t="str">
            <v>-</v>
          </cell>
          <cell r="AB121" t="str">
            <v>-</v>
          </cell>
          <cell r="AC121" t="str">
            <v>-</v>
          </cell>
          <cell r="AD121" t="str">
            <v>○</v>
          </cell>
          <cell r="AE121" t="str">
            <v>-</v>
          </cell>
          <cell r="AF121" t="str">
            <v>17.5H</v>
          </cell>
          <cell r="AG121" t="str">
            <v>-</v>
          </cell>
          <cell r="AH121" t="str">
            <v>-</v>
          </cell>
          <cell r="AI121" t="str">
            <v>-</v>
          </cell>
          <cell r="AJ121" t="str">
            <v>-</v>
          </cell>
          <cell r="AK121" t="str">
            <v>-</v>
          </cell>
          <cell r="AL121" t="str">
            <v>17.5H</v>
          </cell>
          <cell r="AM121" t="str">
            <v>-</v>
          </cell>
          <cell r="AN121" t="str">
            <v>-</v>
          </cell>
          <cell r="AO121" t="str">
            <v>●</v>
          </cell>
          <cell r="AP121" t="str">
            <v>-</v>
          </cell>
          <cell r="AQ121" t="str">
            <v>-</v>
          </cell>
          <cell r="AR121" t="str">
            <v>△</v>
          </cell>
          <cell r="AS121" t="str">
            <v>-</v>
          </cell>
          <cell r="AT121" t="str">
            <v>○</v>
          </cell>
          <cell r="AU121" t="str">
            <v>○</v>
          </cell>
          <cell r="AV121" t="str">
            <v>○</v>
          </cell>
          <cell r="AW121" t="str">
            <v>-</v>
          </cell>
          <cell r="AX121" t="str">
            <v>○</v>
          </cell>
          <cell r="AY121" t="str">
            <v>-</v>
          </cell>
          <cell r="AZ121" t="str">
            <v>-</v>
          </cell>
          <cell r="BA121" t="str">
            <v>-</v>
          </cell>
          <cell r="BB121" t="str">
            <v>-</v>
          </cell>
          <cell r="BC121" t="str">
            <v>-</v>
          </cell>
          <cell r="BD121" t="str">
            <v>△</v>
          </cell>
        </row>
        <row r="122">
          <cell r="J122">
            <v>117.81878749327058</v>
          </cell>
          <cell r="K122" t="str">
            <v>MJD7Q</v>
          </cell>
          <cell r="L122">
            <v>5.5709999999999997</v>
          </cell>
          <cell r="M122">
            <v>5.125</v>
          </cell>
          <cell r="O122">
            <v>6.1420000000000003</v>
          </cell>
          <cell r="Q122" t="str">
            <v>-</v>
          </cell>
          <cell r="R122" t="str">
            <v>-</v>
          </cell>
          <cell r="S122" t="str">
            <v>-</v>
          </cell>
          <cell r="U122" t="str">
            <v>-</v>
          </cell>
          <cell r="W122" t="str">
            <v>-</v>
          </cell>
          <cell r="Y122" t="str">
            <v>○</v>
          </cell>
          <cell r="Z122" t="str">
            <v>-</v>
          </cell>
          <cell r="AA122" t="str">
            <v>-</v>
          </cell>
          <cell r="AB122" t="str">
            <v>○</v>
          </cell>
          <cell r="AC122" t="str">
            <v>-</v>
          </cell>
          <cell r="AD122" t="str">
            <v>-</v>
          </cell>
          <cell r="AE122" t="str">
            <v>-</v>
          </cell>
          <cell r="AF122" t="str">
            <v>17.5HT</v>
          </cell>
          <cell r="AG122" t="str">
            <v>17.5HT</v>
          </cell>
          <cell r="AH122" t="str">
            <v>-</v>
          </cell>
          <cell r="AI122" t="str">
            <v>-</v>
          </cell>
          <cell r="AJ122" t="str">
            <v>-</v>
          </cell>
          <cell r="AK122" t="str">
            <v>-</v>
          </cell>
          <cell r="AL122" t="str">
            <v>-</v>
          </cell>
          <cell r="AM122" t="str">
            <v>-</v>
          </cell>
          <cell r="AN122" t="str">
            <v>×</v>
          </cell>
          <cell r="AO122" t="str">
            <v>●</v>
          </cell>
          <cell r="AP122" t="str">
            <v>-</v>
          </cell>
          <cell r="AQ122" t="str">
            <v>-</v>
          </cell>
          <cell r="AR122" t="str">
            <v>-</v>
          </cell>
          <cell r="AS122" t="str">
            <v>△</v>
          </cell>
          <cell r="AT122" t="str">
            <v>○</v>
          </cell>
          <cell r="AU122" t="str">
            <v>○</v>
          </cell>
          <cell r="AV122" t="str">
            <v>○</v>
          </cell>
          <cell r="AW122" t="str">
            <v>-</v>
          </cell>
          <cell r="AX122" t="str">
            <v>○</v>
          </cell>
          <cell r="AY122" t="str">
            <v>-</v>
          </cell>
          <cell r="AZ122" t="str">
            <v>-</v>
          </cell>
          <cell r="BA122" t="str">
            <v>-</v>
          </cell>
          <cell r="BB122" t="str">
            <v>-</v>
          </cell>
          <cell r="BC122" t="str">
            <v>○</v>
          </cell>
          <cell r="BD122" t="str">
            <v>-</v>
          </cell>
        </row>
        <row r="123">
          <cell r="J123">
            <v>117.81878749327058</v>
          </cell>
          <cell r="K123" t="str">
            <v>MJD7Q</v>
          </cell>
          <cell r="L123">
            <v>5.5709999999999997</v>
          </cell>
          <cell r="M123">
            <v>5.125</v>
          </cell>
          <cell r="O123">
            <v>6.1420000000000003</v>
          </cell>
          <cell r="Q123" t="str">
            <v>-</v>
          </cell>
          <cell r="R123" t="str">
            <v>-</v>
          </cell>
          <cell r="S123" t="str">
            <v>-</v>
          </cell>
          <cell r="U123" t="str">
            <v>-</v>
          </cell>
          <cell r="W123" t="str">
            <v>-</v>
          </cell>
          <cell r="Y123" t="str">
            <v>○</v>
          </cell>
          <cell r="Z123" t="str">
            <v>-</v>
          </cell>
          <cell r="AA123" t="str">
            <v>-</v>
          </cell>
          <cell r="AB123" t="str">
            <v>○</v>
          </cell>
          <cell r="AC123" t="str">
            <v>-</v>
          </cell>
          <cell r="AD123" t="str">
            <v>-</v>
          </cell>
          <cell r="AE123" t="str">
            <v>-</v>
          </cell>
          <cell r="AF123" t="str">
            <v>17.5HT</v>
          </cell>
          <cell r="AG123" t="str">
            <v>17.5HT</v>
          </cell>
          <cell r="AH123" t="str">
            <v>-</v>
          </cell>
          <cell r="AI123" t="str">
            <v>-</v>
          </cell>
          <cell r="AJ123" t="str">
            <v>-</v>
          </cell>
          <cell r="AK123" t="str">
            <v>-</v>
          </cell>
          <cell r="AL123" t="str">
            <v>-</v>
          </cell>
          <cell r="AM123" t="str">
            <v>-</v>
          </cell>
          <cell r="AN123" t="str">
            <v>▲</v>
          </cell>
          <cell r="AO123" t="str">
            <v>-</v>
          </cell>
          <cell r="AP123" t="str">
            <v>-</v>
          </cell>
          <cell r="AQ123" t="str">
            <v>-</v>
          </cell>
          <cell r="AR123" t="str">
            <v>○</v>
          </cell>
          <cell r="AS123" t="str">
            <v>▲</v>
          </cell>
          <cell r="AT123" t="str">
            <v>○</v>
          </cell>
          <cell r="AU123" t="str">
            <v>○</v>
          </cell>
          <cell r="AV123" t="str">
            <v>○</v>
          </cell>
          <cell r="AW123" t="str">
            <v>-</v>
          </cell>
          <cell r="AX123" t="str">
            <v>○</v>
          </cell>
          <cell r="AY123" t="str">
            <v>-</v>
          </cell>
          <cell r="AZ123" t="str">
            <v>-</v>
          </cell>
          <cell r="BA123" t="str">
            <v>-</v>
          </cell>
          <cell r="BB123" t="str">
            <v>-</v>
          </cell>
          <cell r="BC123" t="str">
            <v>△</v>
          </cell>
          <cell r="BD123" t="str">
            <v>-</v>
          </cell>
        </row>
        <row r="124">
          <cell r="J124">
            <v>102.11083776058032</v>
          </cell>
          <cell r="K124" t="str">
            <v>MJD7Q</v>
          </cell>
          <cell r="L124">
            <v>6.4279999999999999</v>
          </cell>
          <cell r="M124">
            <v>6.1420000000000003</v>
          </cell>
          <cell r="O124">
            <v>6.8330000000000002</v>
          </cell>
          <cell r="Q124" t="str">
            <v>-</v>
          </cell>
          <cell r="R124" t="str">
            <v>-</v>
          </cell>
          <cell r="S124" t="str">
            <v>-</v>
          </cell>
          <cell r="U124" t="str">
            <v>-</v>
          </cell>
          <cell r="W124" t="str">
            <v>-</v>
          </cell>
          <cell r="Y124" t="str">
            <v>-</v>
          </cell>
          <cell r="Z124" t="str">
            <v>-</v>
          </cell>
          <cell r="AA124" t="str">
            <v>○</v>
          </cell>
          <cell r="AB124" t="str">
            <v>○</v>
          </cell>
          <cell r="AC124" t="str">
            <v>-</v>
          </cell>
          <cell r="AD124" t="str">
            <v>-</v>
          </cell>
          <cell r="AE124" t="str">
            <v>-</v>
          </cell>
          <cell r="AF124" t="str">
            <v>17.5HT</v>
          </cell>
          <cell r="AG124" t="str">
            <v>17.5HT</v>
          </cell>
          <cell r="AH124" t="str">
            <v>-</v>
          </cell>
          <cell r="AI124" t="str">
            <v>-</v>
          </cell>
          <cell r="AJ124" t="str">
            <v>-</v>
          </cell>
          <cell r="AK124" t="str">
            <v>-</v>
          </cell>
          <cell r="AL124" t="str">
            <v>-</v>
          </cell>
          <cell r="AM124" t="str">
            <v>-</v>
          </cell>
          <cell r="AN124" t="str">
            <v>×</v>
          </cell>
          <cell r="AO124" t="str">
            <v>●</v>
          </cell>
          <cell r="AP124" t="str">
            <v>-</v>
          </cell>
          <cell r="AQ124" t="str">
            <v>-</v>
          </cell>
          <cell r="AR124" t="str">
            <v>-</v>
          </cell>
          <cell r="AS124" t="str">
            <v>▲</v>
          </cell>
          <cell r="AT124" t="str">
            <v>○</v>
          </cell>
          <cell r="AU124" t="str">
            <v>○</v>
          </cell>
          <cell r="AV124" t="str">
            <v>○</v>
          </cell>
          <cell r="AW124" t="str">
            <v>-</v>
          </cell>
          <cell r="AX124" t="str">
            <v>○</v>
          </cell>
          <cell r="AY124" t="str">
            <v>-</v>
          </cell>
          <cell r="AZ124" t="str">
            <v>-</v>
          </cell>
          <cell r="BA124" t="str">
            <v>-</v>
          </cell>
          <cell r="BB124" t="str">
            <v>-</v>
          </cell>
          <cell r="BC124" t="str">
            <v>△</v>
          </cell>
          <cell r="BD124" t="str">
            <v>△</v>
          </cell>
        </row>
        <row r="125">
          <cell r="J125">
            <v>117.35401910079219</v>
          </cell>
          <cell r="K125" t="str">
            <v>MJD7Q</v>
          </cell>
          <cell r="L125">
            <v>5.5709999999999997</v>
          </cell>
          <cell r="M125">
            <v>5.125</v>
          </cell>
          <cell r="O125">
            <v>6.1420000000000003</v>
          </cell>
          <cell r="Q125" t="str">
            <v>-</v>
          </cell>
          <cell r="R125" t="str">
            <v>-</v>
          </cell>
          <cell r="S125" t="str">
            <v>-</v>
          </cell>
          <cell r="U125" t="str">
            <v>-</v>
          </cell>
          <cell r="W125" t="str">
            <v>-</v>
          </cell>
          <cell r="Y125" t="str">
            <v>○</v>
          </cell>
          <cell r="Z125" t="str">
            <v>-</v>
          </cell>
          <cell r="AA125" t="str">
            <v>-</v>
          </cell>
          <cell r="AB125" t="str">
            <v>○</v>
          </cell>
          <cell r="AC125" t="str">
            <v>-</v>
          </cell>
          <cell r="AD125" t="str">
            <v>-</v>
          </cell>
          <cell r="AE125" t="str">
            <v>-</v>
          </cell>
          <cell r="AF125" t="str">
            <v>17.5HT</v>
          </cell>
          <cell r="AG125" t="str">
            <v>17.5HT</v>
          </cell>
          <cell r="AH125" t="str">
            <v>-</v>
          </cell>
          <cell r="AI125" t="str">
            <v>-</v>
          </cell>
          <cell r="AJ125" t="str">
            <v>-</v>
          </cell>
          <cell r="AK125" t="str">
            <v>-</v>
          </cell>
          <cell r="AL125" t="str">
            <v>-</v>
          </cell>
          <cell r="AM125" t="str">
            <v>-</v>
          </cell>
          <cell r="AN125" t="str">
            <v>×</v>
          </cell>
          <cell r="AO125" t="str">
            <v>●</v>
          </cell>
          <cell r="AP125" t="str">
            <v>-</v>
          </cell>
          <cell r="AQ125" t="str">
            <v>-</v>
          </cell>
          <cell r="AR125" t="str">
            <v>-</v>
          </cell>
          <cell r="AS125" t="str">
            <v>△</v>
          </cell>
          <cell r="AT125" t="str">
            <v>○</v>
          </cell>
          <cell r="AU125" t="str">
            <v>○</v>
          </cell>
          <cell r="AV125" t="str">
            <v>○</v>
          </cell>
          <cell r="AW125" t="str">
            <v>-</v>
          </cell>
          <cell r="AX125" t="str">
            <v>○</v>
          </cell>
          <cell r="AY125" t="str">
            <v>-</v>
          </cell>
          <cell r="AZ125" t="str">
            <v>-</v>
          </cell>
          <cell r="BA125" t="str">
            <v>-</v>
          </cell>
          <cell r="BB125" t="str">
            <v>-</v>
          </cell>
          <cell r="BC125" t="str">
            <v>○</v>
          </cell>
          <cell r="BD125" t="str">
            <v>-</v>
          </cell>
        </row>
        <row r="126">
          <cell r="J126">
            <v>117.35401910079219</v>
          </cell>
          <cell r="K126" t="str">
            <v>MJD7Q</v>
          </cell>
          <cell r="L126">
            <v>5.5709999999999997</v>
          </cell>
          <cell r="M126">
            <v>5.125</v>
          </cell>
          <cell r="O126">
            <v>6.1420000000000003</v>
          </cell>
          <cell r="Q126" t="str">
            <v>-</v>
          </cell>
          <cell r="R126" t="str">
            <v>-</v>
          </cell>
          <cell r="S126" t="str">
            <v>-</v>
          </cell>
          <cell r="U126" t="str">
            <v>-</v>
          </cell>
          <cell r="W126" t="str">
            <v>-</v>
          </cell>
          <cell r="Y126" t="str">
            <v>○</v>
          </cell>
          <cell r="Z126" t="str">
            <v>-</v>
          </cell>
          <cell r="AA126" t="str">
            <v>-</v>
          </cell>
          <cell r="AB126" t="str">
            <v>○</v>
          </cell>
          <cell r="AC126" t="str">
            <v>-</v>
          </cell>
          <cell r="AD126" t="str">
            <v>-</v>
          </cell>
          <cell r="AE126" t="str">
            <v>-</v>
          </cell>
          <cell r="AF126" t="str">
            <v>17.5HT</v>
          </cell>
          <cell r="AG126" t="str">
            <v>17.5HT</v>
          </cell>
          <cell r="AH126" t="str">
            <v>-</v>
          </cell>
          <cell r="AI126" t="str">
            <v>-</v>
          </cell>
          <cell r="AJ126" t="str">
            <v>-</v>
          </cell>
          <cell r="AK126" t="str">
            <v>-</v>
          </cell>
          <cell r="AL126" t="str">
            <v>-</v>
          </cell>
          <cell r="AM126" t="str">
            <v>-</v>
          </cell>
          <cell r="AN126" t="str">
            <v>×</v>
          </cell>
          <cell r="AO126" t="str">
            <v>●</v>
          </cell>
          <cell r="AP126" t="str">
            <v>-</v>
          </cell>
          <cell r="AQ126" t="str">
            <v>-</v>
          </cell>
          <cell r="AR126" t="str">
            <v>-</v>
          </cell>
          <cell r="AS126" t="str">
            <v>△</v>
          </cell>
          <cell r="AT126" t="str">
            <v>○</v>
          </cell>
          <cell r="AU126" t="str">
            <v>○</v>
          </cell>
          <cell r="AV126" t="str">
            <v>○</v>
          </cell>
          <cell r="AW126" t="str">
            <v>-</v>
          </cell>
          <cell r="AX126" t="str">
            <v>○</v>
          </cell>
          <cell r="AY126" t="str">
            <v>-</v>
          </cell>
          <cell r="AZ126" t="str">
            <v>-</v>
          </cell>
          <cell r="BA126" t="str">
            <v>-</v>
          </cell>
          <cell r="BB126" t="str">
            <v>-</v>
          </cell>
          <cell r="BC126" t="str">
            <v>○</v>
          </cell>
          <cell r="BD126" t="str">
            <v>-</v>
          </cell>
        </row>
        <row r="127">
          <cell r="J127">
            <v>120.30495486665808</v>
          </cell>
          <cell r="K127" t="str">
            <v>MJD7P</v>
          </cell>
          <cell r="L127">
            <v>5.125</v>
          </cell>
          <cell r="M127">
            <v>4.875</v>
          </cell>
          <cell r="O127">
            <v>5.5709999999999997</v>
          </cell>
          <cell r="Q127" t="str">
            <v>-</v>
          </cell>
          <cell r="R127" t="str">
            <v>-</v>
          </cell>
          <cell r="S127" t="str">
            <v>-</v>
          </cell>
          <cell r="U127" t="str">
            <v>-</v>
          </cell>
          <cell r="W127" t="str">
            <v>-</v>
          </cell>
          <cell r="Y127" t="str">
            <v>○</v>
          </cell>
          <cell r="Z127" t="str">
            <v>-</v>
          </cell>
          <cell r="AA127" t="str">
            <v>-</v>
          </cell>
          <cell r="AB127" t="str">
            <v>○</v>
          </cell>
          <cell r="AC127" t="str">
            <v>-</v>
          </cell>
          <cell r="AD127" t="str">
            <v>-</v>
          </cell>
          <cell r="AE127" t="str">
            <v>-</v>
          </cell>
          <cell r="AF127" t="str">
            <v>17.5HT</v>
          </cell>
          <cell r="AG127" t="str">
            <v>17.5HT</v>
          </cell>
          <cell r="AH127" t="str">
            <v>-</v>
          </cell>
          <cell r="AI127" t="str">
            <v>-</v>
          </cell>
          <cell r="AJ127" t="str">
            <v>-</v>
          </cell>
          <cell r="AK127" t="str">
            <v>-</v>
          </cell>
          <cell r="AL127" t="str">
            <v>-</v>
          </cell>
          <cell r="AM127" t="str">
            <v>-</v>
          </cell>
          <cell r="AN127" t="str">
            <v>▲</v>
          </cell>
          <cell r="AO127" t="str">
            <v>-</v>
          </cell>
          <cell r="AP127" t="str">
            <v>-</v>
          </cell>
          <cell r="AQ127" t="str">
            <v>-</v>
          </cell>
          <cell r="AR127" t="str">
            <v>△</v>
          </cell>
          <cell r="AS127" t="str">
            <v>-</v>
          </cell>
          <cell r="AT127" t="str">
            <v>○</v>
          </cell>
          <cell r="AU127" t="str">
            <v>○</v>
          </cell>
          <cell r="AV127" t="str">
            <v>○</v>
          </cell>
          <cell r="AW127" t="str">
            <v>-</v>
          </cell>
          <cell r="AX127" t="str">
            <v>○</v>
          </cell>
          <cell r="AY127" t="str">
            <v>-</v>
          </cell>
          <cell r="AZ127" t="str">
            <v>-</v>
          </cell>
          <cell r="BA127" t="str">
            <v>-</v>
          </cell>
          <cell r="BB127" t="str">
            <v>-</v>
          </cell>
          <cell r="BC127" t="str">
            <v>△</v>
          </cell>
          <cell r="BD127" t="str">
            <v>-</v>
          </cell>
        </row>
        <row r="128">
          <cell r="J128">
            <v>117.81878749327058</v>
          </cell>
          <cell r="K128" t="str">
            <v>MJD7Q</v>
          </cell>
          <cell r="L128">
            <v>5.5709999999999997</v>
          </cell>
          <cell r="M128">
            <v>5.125</v>
          </cell>
          <cell r="O128">
            <v>6.1420000000000003</v>
          </cell>
          <cell r="Q128" t="str">
            <v>-</v>
          </cell>
          <cell r="R128" t="str">
            <v>-</v>
          </cell>
          <cell r="S128" t="str">
            <v>-</v>
          </cell>
          <cell r="U128" t="str">
            <v>-</v>
          </cell>
          <cell r="W128" t="str">
            <v>-</v>
          </cell>
          <cell r="Y128" t="str">
            <v>○</v>
          </cell>
          <cell r="Z128" t="str">
            <v>-</v>
          </cell>
          <cell r="AA128" t="str">
            <v>-</v>
          </cell>
          <cell r="AB128" t="str">
            <v>○</v>
          </cell>
          <cell r="AC128" t="str">
            <v>-</v>
          </cell>
          <cell r="AD128" t="str">
            <v>-</v>
          </cell>
          <cell r="AE128" t="str">
            <v>-</v>
          </cell>
          <cell r="AF128" t="str">
            <v>17.5HT</v>
          </cell>
          <cell r="AG128" t="str">
            <v>17.5HT</v>
          </cell>
          <cell r="AH128" t="str">
            <v>-</v>
          </cell>
          <cell r="AI128" t="str">
            <v>-</v>
          </cell>
          <cell r="AJ128" t="str">
            <v>-</v>
          </cell>
          <cell r="AK128" t="str">
            <v>-</v>
          </cell>
          <cell r="AL128" t="str">
            <v>-</v>
          </cell>
          <cell r="AM128" t="str">
            <v>-</v>
          </cell>
          <cell r="AN128" t="str">
            <v>▲</v>
          </cell>
          <cell r="AO128" t="str">
            <v>-</v>
          </cell>
          <cell r="AP128" t="str">
            <v>-</v>
          </cell>
          <cell r="AQ128" t="str">
            <v>-</v>
          </cell>
          <cell r="AR128" t="str">
            <v>△</v>
          </cell>
          <cell r="AS128" t="str">
            <v>-</v>
          </cell>
          <cell r="AT128" t="str">
            <v>○</v>
          </cell>
          <cell r="AU128" t="str">
            <v>○</v>
          </cell>
          <cell r="AV128" t="str">
            <v>○</v>
          </cell>
          <cell r="AW128" t="str">
            <v>-</v>
          </cell>
          <cell r="AX128" t="str">
            <v>○</v>
          </cell>
          <cell r="AY128" t="str">
            <v>-</v>
          </cell>
          <cell r="AZ128" t="str">
            <v>-</v>
          </cell>
          <cell r="BA128" t="str">
            <v>-</v>
          </cell>
          <cell r="BB128" t="str">
            <v>-</v>
          </cell>
          <cell r="BC128" t="str">
            <v>△</v>
          </cell>
          <cell r="BD128" t="str">
            <v>-</v>
          </cell>
        </row>
        <row r="129">
          <cell r="J129">
            <v>117.81878749327058</v>
          </cell>
          <cell r="K129" t="str">
            <v>MJD7Q</v>
          </cell>
          <cell r="L129">
            <v>5.5709999999999997</v>
          </cell>
          <cell r="M129">
            <v>5.125</v>
          </cell>
          <cell r="O129">
            <v>6.1420000000000003</v>
          </cell>
          <cell r="Q129" t="str">
            <v>-</v>
          </cell>
          <cell r="R129" t="str">
            <v>-</v>
          </cell>
          <cell r="S129" t="str">
            <v>-</v>
          </cell>
          <cell r="U129" t="str">
            <v>-</v>
          </cell>
          <cell r="W129" t="str">
            <v>-</v>
          </cell>
          <cell r="Y129" t="str">
            <v>○</v>
          </cell>
          <cell r="Z129" t="str">
            <v>-</v>
          </cell>
          <cell r="AA129" t="str">
            <v>-</v>
          </cell>
          <cell r="AB129" t="str">
            <v>○</v>
          </cell>
          <cell r="AC129" t="str">
            <v>-</v>
          </cell>
          <cell r="AD129" t="str">
            <v>-</v>
          </cell>
          <cell r="AE129" t="str">
            <v>-</v>
          </cell>
          <cell r="AF129" t="str">
            <v>17.5HT</v>
          </cell>
          <cell r="AG129" t="str">
            <v>17.5HT</v>
          </cell>
          <cell r="AH129" t="str">
            <v>-</v>
          </cell>
          <cell r="AI129" t="str">
            <v>-</v>
          </cell>
          <cell r="AJ129" t="str">
            <v>-</v>
          </cell>
          <cell r="AK129" t="str">
            <v>-</v>
          </cell>
          <cell r="AL129" t="str">
            <v>-</v>
          </cell>
          <cell r="AM129" t="str">
            <v>-</v>
          </cell>
          <cell r="AN129" t="str">
            <v>▲</v>
          </cell>
          <cell r="AO129" t="str">
            <v>-</v>
          </cell>
          <cell r="AP129" t="str">
            <v>-</v>
          </cell>
          <cell r="AQ129" t="str">
            <v>-</v>
          </cell>
          <cell r="AR129" t="str">
            <v>○</v>
          </cell>
          <cell r="AS129" t="str">
            <v>▲</v>
          </cell>
          <cell r="AT129" t="str">
            <v>○</v>
          </cell>
          <cell r="AU129" t="str">
            <v>○</v>
          </cell>
          <cell r="AV129" t="str">
            <v>○</v>
          </cell>
          <cell r="AW129" t="str">
            <v>-</v>
          </cell>
          <cell r="AX129" t="str">
            <v>○</v>
          </cell>
          <cell r="AY129" t="str">
            <v>-</v>
          </cell>
          <cell r="AZ129" t="str">
            <v>-</v>
          </cell>
          <cell r="BA129" t="str">
            <v>-</v>
          </cell>
          <cell r="BB129" t="str">
            <v>-</v>
          </cell>
          <cell r="BC129" t="str">
            <v>△</v>
          </cell>
          <cell r="BD129" t="str">
            <v>-</v>
          </cell>
        </row>
        <row r="130">
          <cell r="J130">
            <v>102.11083776058032</v>
          </cell>
          <cell r="K130" t="str">
            <v>MJD7Q</v>
          </cell>
          <cell r="L130">
            <v>6.4279999999999999</v>
          </cell>
          <cell r="M130">
            <v>6.1420000000000003</v>
          </cell>
          <cell r="O130">
            <v>6.8330000000000002</v>
          </cell>
          <cell r="Q130" t="str">
            <v>-</v>
          </cell>
          <cell r="R130" t="str">
            <v>-</v>
          </cell>
          <cell r="S130" t="str">
            <v>-</v>
          </cell>
          <cell r="U130" t="str">
            <v>-</v>
          </cell>
          <cell r="W130" t="str">
            <v>-</v>
          </cell>
          <cell r="Y130" t="str">
            <v>-</v>
          </cell>
          <cell r="Z130" t="str">
            <v>-</v>
          </cell>
          <cell r="AA130" t="str">
            <v>○</v>
          </cell>
          <cell r="AB130" t="str">
            <v>○</v>
          </cell>
          <cell r="AC130" t="str">
            <v>-</v>
          </cell>
          <cell r="AD130" t="str">
            <v>-</v>
          </cell>
          <cell r="AE130" t="str">
            <v>-</v>
          </cell>
          <cell r="AF130" t="str">
            <v>17.5HT</v>
          </cell>
          <cell r="AG130" t="str">
            <v>17.5HT</v>
          </cell>
          <cell r="AH130" t="str">
            <v>-</v>
          </cell>
          <cell r="AI130" t="str">
            <v>-</v>
          </cell>
          <cell r="AJ130" t="str">
            <v>-</v>
          </cell>
          <cell r="AK130" t="str">
            <v>-</v>
          </cell>
          <cell r="AL130" t="str">
            <v>-</v>
          </cell>
          <cell r="AM130" t="str">
            <v>-</v>
          </cell>
          <cell r="AN130" t="str">
            <v>×</v>
          </cell>
          <cell r="AO130" t="str">
            <v>●</v>
          </cell>
          <cell r="AP130" t="str">
            <v>-</v>
          </cell>
          <cell r="AQ130" t="str">
            <v>-</v>
          </cell>
          <cell r="AR130" t="str">
            <v>-</v>
          </cell>
          <cell r="AS130" t="str">
            <v>▲</v>
          </cell>
          <cell r="AT130" t="str">
            <v>○</v>
          </cell>
          <cell r="AU130" t="str">
            <v>○</v>
          </cell>
          <cell r="AV130" t="str">
            <v>○</v>
          </cell>
          <cell r="AW130" t="str">
            <v>-</v>
          </cell>
          <cell r="AX130" t="str">
            <v>○</v>
          </cell>
          <cell r="AY130" t="str">
            <v>-</v>
          </cell>
          <cell r="AZ130" t="str">
            <v>-</v>
          </cell>
          <cell r="BA130" t="str">
            <v>-</v>
          </cell>
          <cell r="BB130" t="str">
            <v>-</v>
          </cell>
          <cell r="BC130" t="str">
            <v>△</v>
          </cell>
          <cell r="BD130" t="str">
            <v>△</v>
          </cell>
        </row>
        <row r="131">
          <cell r="J131">
            <v>117.35401910079219</v>
          </cell>
          <cell r="K131" t="str">
            <v>MJD7Q</v>
          </cell>
          <cell r="L131">
            <v>5.5709999999999997</v>
          </cell>
          <cell r="M131">
            <v>5.125</v>
          </cell>
          <cell r="O131">
            <v>6.1420000000000003</v>
          </cell>
          <cell r="Q131" t="str">
            <v>-</v>
          </cell>
          <cell r="R131" t="str">
            <v>-</v>
          </cell>
          <cell r="S131" t="str">
            <v>-</v>
          </cell>
          <cell r="U131" t="str">
            <v>-</v>
          </cell>
          <cell r="W131" t="str">
            <v>-</v>
          </cell>
          <cell r="Y131" t="str">
            <v>-</v>
          </cell>
          <cell r="Z131" t="str">
            <v>○</v>
          </cell>
          <cell r="AA131" t="str">
            <v>-</v>
          </cell>
          <cell r="AB131" t="str">
            <v>-</v>
          </cell>
          <cell r="AC131" t="str">
            <v>○</v>
          </cell>
          <cell r="AD131" t="str">
            <v>-</v>
          </cell>
          <cell r="AE131" t="str">
            <v>-</v>
          </cell>
          <cell r="AF131" t="str">
            <v>17.5HT</v>
          </cell>
          <cell r="AG131" t="str">
            <v>17.5HT</v>
          </cell>
          <cell r="AH131" t="str">
            <v>-</v>
          </cell>
          <cell r="AI131" t="str">
            <v>-</v>
          </cell>
          <cell r="AJ131" t="str">
            <v>-</v>
          </cell>
          <cell r="AK131" t="str">
            <v>-</v>
          </cell>
          <cell r="AL131" t="str">
            <v>-</v>
          </cell>
          <cell r="AM131" t="str">
            <v>-</v>
          </cell>
          <cell r="AN131" t="str">
            <v>×</v>
          </cell>
          <cell r="AO131" t="str">
            <v>●</v>
          </cell>
          <cell r="AP131" t="str">
            <v>-</v>
          </cell>
          <cell r="AQ131" t="str">
            <v>-</v>
          </cell>
          <cell r="AR131" t="str">
            <v>-</v>
          </cell>
          <cell r="AS131" t="str">
            <v>△</v>
          </cell>
          <cell r="AT131" t="str">
            <v>○</v>
          </cell>
          <cell r="AU131" t="str">
            <v>○</v>
          </cell>
          <cell r="AV131" t="str">
            <v>○</v>
          </cell>
          <cell r="AW131" t="str">
            <v>-</v>
          </cell>
          <cell r="AX131" t="str">
            <v>○</v>
          </cell>
          <cell r="AY131" t="str">
            <v>-</v>
          </cell>
          <cell r="AZ131" t="str">
            <v>-</v>
          </cell>
          <cell r="BA131" t="str">
            <v>-</v>
          </cell>
          <cell r="BB131" t="str">
            <v>-</v>
          </cell>
          <cell r="BC131" t="str">
            <v>○</v>
          </cell>
          <cell r="BD131" t="str">
            <v>-</v>
          </cell>
        </row>
        <row r="132">
          <cell r="J132">
            <v>117.35401910079219</v>
          </cell>
          <cell r="K132" t="str">
            <v>MJD7Q</v>
          </cell>
          <cell r="L132">
            <v>5.5709999999999997</v>
          </cell>
          <cell r="M132">
            <v>5.125</v>
          </cell>
          <cell r="O132">
            <v>6.1420000000000003</v>
          </cell>
          <cell r="Q132" t="str">
            <v>-</v>
          </cell>
          <cell r="R132" t="str">
            <v>-</v>
          </cell>
          <cell r="S132" t="str">
            <v>-</v>
          </cell>
          <cell r="U132" t="str">
            <v>-</v>
          </cell>
          <cell r="W132" t="str">
            <v>-</v>
          </cell>
          <cell r="Y132" t="str">
            <v>-</v>
          </cell>
          <cell r="Z132" t="str">
            <v>○</v>
          </cell>
          <cell r="AA132" t="str">
            <v>-</v>
          </cell>
          <cell r="AB132" t="str">
            <v>-</v>
          </cell>
          <cell r="AC132" t="str">
            <v>○</v>
          </cell>
          <cell r="AD132" t="str">
            <v>-</v>
          </cell>
          <cell r="AE132" t="str">
            <v>-</v>
          </cell>
          <cell r="AF132" t="str">
            <v>17.5HT</v>
          </cell>
          <cell r="AG132" t="str">
            <v>17.5HT</v>
          </cell>
          <cell r="AH132" t="str">
            <v>-</v>
          </cell>
          <cell r="AI132" t="str">
            <v>-</v>
          </cell>
          <cell r="AJ132" t="str">
            <v>-</v>
          </cell>
          <cell r="AK132" t="str">
            <v>-</v>
          </cell>
          <cell r="AL132" t="str">
            <v>-</v>
          </cell>
          <cell r="AM132" t="str">
            <v>-</v>
          </cell>
          <cell r="AN132" t="str">
            <v>×</v>
          </cell>
          <cell r="AO132" t="str">
            <v>●</v>
          </cell>
          <cell r="AP132" t="str">
            <v>-</v>
          </cell>
          <cell r="AQ132" t="str">
            <v>-</v>
          </cell>
          <cell r="AR132" t="str">
            <v>-</v>
          </cell>
          <cell r="AS132" t="str">
            <v>△</v>
          </cell>
          <cell r="AT132" t="str">
            <v>○</v>
          </cell>
          <cell r="AU132" t="str">
            <v>○</v>
          </cell>
          <cell r="AV132" t="str">
            <v>○</v>
          </cell>
          <cell r="AW132" t="str">
            <v>-</v>
          </cell>
          <cell r="AX132" t="str">
            <v>○</v>
          </cell>
          <cell r="AY132" t="str">
            <v>-</v>
          </cell>
          <cell r="AZ132" t="str">
            <v>-</v>
          </cell>
          <cell r="BA132" t="str">
            <v>-</v>
          </cell>
          <cell r="BB132" t="str">
            <v>-</v>
          </cell>
          <cell r="BC132" t="str">
            <v>○</v>
          </cell>
          <cell r="BD132" t="str">
            <v>-</v>
          </cell>
        </row>
        <row r="133">
          <cell r="J133">
            <v>120.30495486665808</v>
          </cell>
          <cell r="K133" t="str">
            <v>MJD7P</v>
          </cell>
          <cell r="L133">
            <v>5.125</v>
          </cell>
          <cell r="M133">
            <v>4.875</v>
          </cell>
          <cell r="O133">
            <v>5.5709999999999997</v>
          </cell>
          <cell r="Q133" t="str">
            <v>-</v>
          </cell>
          <cell r="R133" t="str">
            <v>-</v>
          </cell>
          <cell r="S133" t="str">
            <v>-</v>
          </cell>
          <cell r="U133" t="str">
            <v>-</v>
          </cell>
          <cell r="W133" t="str">
            <v>-</v>
          </cell>
          <cell r="Y133" t="str">
            <v>-</v>
          </cell>
          <cell r="Z133" t="str">
            <v>○</v>
          </cell>
          <cell r="AA133" t="str">
            <v>-</v>
          </cell>
          <cell r="AB133" t="str">
            <v>-</v>
          </cell>
          <cell r="AC133" t="str">
            <v>○</v>
          </cell>
          <cell r="AD133" t="str">
            <v>-</v>
          </cell>
          <cell r="AE133" t="str">
            <v>-</v>
          </cell>
          <cell r="AF133" t="str">
            <v>17.5HT</v>
          </cell>
          <cell r="AG133" t="str">
            <v>17.5HT</v>
          </cell>
          <cell r="AH133" t="str">
            <v>-</v>
          </cell>
          <cell r="AI133" t="str">
            <v>-</v>
          </cell>
          <cell r="AJ133" t="str">
            <v>-</v>
          </cell>
          <cell r="AK133" t="str">
            <v>-</v>
          </cell>
          <cell r="AL133" t="str">
            <v>-</v>
          </cell>
          <cell r="AM133" t="str">
            <v>-</v>
          </cell>
          <cell r="AN133" t="str">
            <v>▲</v>
          </cell>
          <cell r="AO133" t="str">
            <v>-</v>
          </cell>
          <cell r="AP133" t="str">
            <v>-</v>
          </cell>
          <cell r="AQ133" t="str">
            <v>-</v>
          </cell>
          <cell r="AR133" t="str">
            <v>△</v>
          </cell>
          <cell r="AS133" t="str">
            <v>-</v>
          </cell>
          <cell r="AT133" t="str">
            <v>○</v>
          </cell>
          <cell r="AU133" t="str">
            <v>○</v>
          </cell>
          <cell r="AV133" t="str">
            <v>○</v>
          </cell>
          <cell r="AW133" t="str">
            <v>-</v>
          </cell>
          <cell r="AX133" t="str">
            <v>○</v>
          </cell>
          <cell r="AY133" t="str">
            <v>-</v>
          </cell>
          <cell r="AZ133" t="str">
            <v>-</v>
          </cell>
          <cell r="BA133" t="str">
            <v>-</v>
          </cell>
          <cell r="BB133" t="str">
            <v>-</v>
          </cell>
          <cell r="BC133" t="str">
            <v>△</v>
          </cell>
          <cell r="BD133" t="str">
            <v>-</v>
          </cell>
        </row>
        <row r="134">
          <cell r="J134">
            <v>117.81878749327058</v>
          </cell>
          <cell r="K134" t="str">
            <v>MJD7Q</v>
          </cell>
          <cell r="L134">
            <v>5.5709999999999997</v>
          </cell>
          <cell r="M134">
            <v>5.125</v>
          </cell>
          <cell r="O134">
            <v>6.1420000000000003</v>
          </cell>
          <cell r="Q134" t="str">
            <v>-</v>
          </cell>
          <cell r="R134" t="str">
            <v>-</v>
          </cell>
          <cell r="S134" t="str">
            <v>-</v>
          </cell>
          <cell r="U134" t="str">
            <v>-</v>
          </cell>
          <cell r="W134" t="str">
            <v>-</v>
          </cell>
          <cell r="Y134" t="str">
            <v>-</v>
          </cell>
          <cell r="Z134" t="str">
            <v>○</v>
          </cell>
          <cell r="AA134" t="str">
            <v>-</v>
          </cell>
          <cell r="AB134" t="str">
            <v>-</v>
          </cell>
          <cell r="AC134" t="str">
            <v>○</v>
          </cell>
          <cell r="AD134" t="str">
            <v>-</v>
          </cell>
          <cell r="AE134" t="str">
            <v>-</v>
          </cell>
          <cell r="AF134" t="str">
            <v>17.5HT</v>
          </cell>
          <cell r="AG134" t="str">
            <v>17.5HT</v>
          </cell>
          <cell r="AH134" t="str">
            <v>-</v>
          </cell>
          <cell r="AI134" t="str">
            <v>-</v>
          </cell>
          <cell r="AJ134" t="str">
            <v>-</v>
          </cell>
          <cell r="AK134" t="str">
            <v>-</v>
          </cell>
          <cell r="AL134" t="str">
            <v>-</v>
          </cell>
          <cell r="AM134" t="str">
            <v>-</v>
          </cell>
          <cell r="AN134" t="str">
            <v>▲</v>
          </cell>
          <cell r="AO134" t="str">
            <v>-</v>
          </cell>
          <cell r="AP134" t="str">
            <v>-</v>
          </cell>
          <cell r="AQ134" t="str">
            <v>-</v>
          </cell>
          <cell r="AR134" t="str">
            <v>△</v>
          </cell>
          <cell r="AS134" t="str">
            <v>-</v>
          </cell>
          <cell r="AT134" t="str">
            <v>○</v>
          </cell>
          <cell r="AU134" t="str">
            <v>○</v>
          </cell>
          <cell r="AV134" t="str">
            <v>○</v>
          </cell>
          <cell r="AW134" t="str">
            <v>-</v>
          </cell>
          <cell r="AX134" t="str">
            <v>○</v>
          </cell>
          <cell r="AY134" t="str">
            <v>-</v>
          </cell>
          <cell r="AZ134" t="str">
            <v>-</v>
          </cell>
          <cell r="BA134" t="str">
            <v>-</v>
          </cell>
          <cell r="BB134" t="str">
            <v>-</v>
          </cell>
          <cell r="BC134" t="str">
            <v>△</v>
          </cell>
          <cell r="BD134" t="str">
            <v>-</v>
          </cell>
        </row>
        <row r="135">
          <cell r="J135">
            <v>117.81878749327058</v>
          </cell>
          <cell r="K135" t="str">
            <v>MJD7Q</v>
          </cell>
          <cell r="L135">
            <v>5.5709999999999997</v>
          </cell>
          <cell r="M135">
            <v>5.125</v>
          </cell>
          <cell r="O135">
            <v>6.1420000000000003</v>
          </cell>
          <cell r="Q135" t="str">
            <v>-</v>
          </cell>
          <cell r="R135" t="str">
            <v>-</v>
          </cell>
          <cell r="S135" t="str">
            <v>-</v>
          </cell>
          <cell r="U135" t="str">
            <v>-</v>
          </cell>
          <cell r="W135" t="str">
            <v>-</v>
          </cell>
          <cell r="Y135" t="str">
            <v>-</v>
          </cell>
          <cell r="Z135" t="str">
            <v>○</v>
          </cell>
          <cell r="AA135" t="str">
            <v>-</v>
          </cell>
          <cell r="AB135" t="str">
            <v>-</v>
          </cell>
          <cell r="AC135" t="str">
            <v>○</v>
          </cell>
          <cell r="AD135" t="str">
            <v>-</v>
          </cell>
          <cell r="AE135" t="str">
            <v>-</v>
          </cell>
          <cell r="AF135" t="str">
            <v>17.5HT</v>
          </cell>
          <cell r="AG135" t="str">
            <v>17.5HT</v>
          </cell>
          <cell r="AH135" t="str">
            <v>-</v>
          </cell>
          <cell r="AI135" t="str">
            <v>-</v>
          </cell>
          <cell r="AJ135" t="str">
            <v>-</v>
          </cell>
          <cell r="AK135" t="str">
            <v>-</v>
          </cell>
          <cell r="AL135" t="str">
            <v>-</v>
          </cell>
          <cell r="AM135" t="str">
            <v>-</v>
          </cell>
          <cell r="AN135" t="str">
            <v>▲</v>
          </cell>
          <cell r="AO135" t="str">
            <v>-</v>
          </cell>
          <cell r="AP135" t="str">
            <v>-</v>
          </cell>
          <cell r="AQ135" t="str">
            <v>-</v>
          </cell>
          <cell r="AR135" t="str">
            <v>○</v>
          </cell>
          <cell r="AS135" t="str">
            <v>▲</v>
          </cell>
          <cell r="AT135" t="str">
            <v>○</v>
          </cell>
          <cell r="AU135" t="str">
            <v>○</v>
          </cell>
          <cell r="AV135" t="str">
            <v>○</v>
          </cell>
          <cell r="AW135" t="str">
            <v>-</v>
          </cell>
          <cell r="AX135" t="str">
            <v>○</v>
          </cell>
          <cell r="AY135" t="str">
            <v>-</v>
          </cell>
          <cell r="AZ135" t="str">
            <v>-</v>
          </cell>
          <cell r="BA135" t="str">
            <v>-</v>
          </cell>
          <cell r="BB135" t="str">
            <v>-</v>
          </cell>
          <cell r="BC135" t="str">
            <v>△</v>
          </cell>
          <cell r="BD135" t="str">
            <v>-</v>
          </cell>
        </row>
        <row r="136">
          <cell r="J136">
            <v>117.35401910079219</v>
          </cell>
          <cell r="K136" t="str">
            <v>MJD7Q</v>
          </cell>
          <cell r="L136">
            <v>5.5709999999999997</v>
          </cell>
          <cell r="M136">
            <v>5.125</v>
          </cell>
          <cell r="O136">
            <v>6.1420000000000003</v>
          </cell>
          <cell r="Q136">
            <v>97.55395060535831</v>
          </cell>
          <cell r="R136" t="str">
            <v>MAG6W</v>
          </cell>
          <cell r="S136">
            <v>6.4279999999999999</v>
          </cell>
          <cell r="U136">
            <v>6.1420000000000003</v>
          </cell>
          <cell r="W136">
            <v>6.8330000000000002</v>
          </cell>
          <cell r="Y136" t="str">
            <v>-</v>
          </cell>
          <cell r="Z136" t="str">
            <v>○</v>
          </cell>
          <cell r="AA136" t="str">
            <v>-</v>
          </cell>
          <cell r="AB136" t="str">
            <v>-</v>
          </cell>
          <cell r="AC136" t="str">
            <v>○</v>
          </cell>
          <cell r="AD136" t="str">
            <v>-</v>
          </cell>
          <cell r="AE136" t="str">
            <v>-</v>
          </cell>
          <cell r="AF136" t="str">
            <v>17.5HT</v>
          </cell>
          <cell r="AG136" t="str">
            <v>17.5HT</v>
          </cell>
          <cell r="AH136" t="str">
            <v>-</v>
          </cell>
          <cell r="AI136" t="str">
            <v>-</v>
          </cell>
          <cell r="AJ136" t="str">
            <v>-</v>
          </cell>
          <cell r="AK136" t="str">
            <v>-</v>
          </cell>
          <cell r="AL136" t="str">
            <v>-</v>
          </cell>
          <cell r="AM136" t="str">
            <v>-</v>
          </cell>
          <cell r="AN136" t="str">
            <v>×</v>
          </cell>
          <cell r="AO136" t="str">
            <v>●</v>
          </cell>
          <cell r="AP136" t="str">
            <v>-</v>
          </cell>
          <cell r="AQ136" t="str">
            <v>-</v>
          </cell>
          <cell r="AR136" t="str">
            <v>-</v>
          </cell>
          <cell r="AS136" t="str">
            <v>△</v>
          </cell>
          <cell r="AT136" t="str">
            <v>-</v>
          </cell>
          <cell r="AU136" t="str">
            <v>△</v>
          </cell>
          <cell r="AV136" t="str">
            <v>△</v>
          </cell>
          <cell r="AW136" t="str">
            <v>-</v>
          </cell>
          <cell r="AX136" t="str">
            <v>-</v>
          </cell>
          <cell r="AY136" t="str">
            <v>△</v>
          </cell>
          <cell r="AZ136" t="str">
            <v>△</v>
          </cell>
          <cell r="BA136" t="str">
            <v>○</v>
          </cell>
          <cell r="BB136" t="str">
            <v>-</v>
          </cell>
          <cell r="BC136" t="str">
            <v>○</v>
          </cell>
          <cell r="BD136" t="str">
            <v>-</v>
          </cell>
        </row>
        <row r="137">
          <cell r="J137">
            <v>109.96420166038587</v>
          </cell>
          <cell r="K137" t="str">
            <v>MAG6X</v>
          </cell>
          <cell r="L137">
            <v>5.5709999999999997</v>
          </cell>
          <cell r="M137">
            <v>5.125</v>
          </cell>
          <cell r="O137">
            <v>6.1420000000000003</v>
          </cell>
          <cell r="Q137">
            <v>120.30495486665808</v>
          </cell>
          <cell r="R137" t="str">
            <v>MJD7P</v>
          </cell>
          <cell r="S137">
            <v>5.125</v>
          </cell>
          <cell r="U137">
            <v>4.875</v>
          </cell>
          <cell r="W137">
            <v>5.5709999999999997</v>
          </cell>
          <cell r="Y137" t="str">
            <v>-</v>
          </cell>
          <cell r="Z137" t="str">
            <v>○</v>
          </cell>
          <cell r="AA137" t="str">
            <v>-</v>
          </cell>
          <cell r="AB137" t="str">
            <v>-</v>
          </cell>
          <cell r="AC137" t="str">
            <v>○</v>
          </cell>
          <cell r="AD137" t="str">
            <v>-</v>
          </cell>
          <cell r="AE137" t="str">
            <v>-</v>
          </cell>
          <cell r="AF137" t="str">
            <v>17.5HT</v>
          </cell>
          <cell r="AG137" t="str">
            <v>17.5HT</v>
          </cell>
          <cell r="AH137" t="str">
            <v>-</v>
          </cell>
          <cell r="AI137" t="str">
            <v>-</v>
          </cell>
          <cell r="AJ137" t="str">
            <v>-</v>
          </cell>
          <cell r="AK137" t="str">
            <v>-</v>
          </cell>
          <cell r="AL137" t="str">
            <v>-</v>
          </cell>
          <cell r="AM137" t="str">
            <v>-</v>
          </cell>
          <cell r="AN137" t="str">
            <v>▲</v>
          </cell>
          <cell r="AO137" t="str">
            <v>-</v>
          </cell>
          <cell r="AP137" t="str">
            <v>-</v>
          </cell>
          <cell r="AQ137" t="str">
            <v>-</v>
          </cell>
          <cell r="AR137" t="str">
            <v>△</v>
          </cell>
          <cell r="AS137" t="str">
            <v>-</v>
          </cell>
          <cell r="AT137" t="str">
            <v>-</v>
          </cell>
          <cell r="AU137" t="str">
            <v>△</v>
          </cell>
          <cell r="AV137" t="str">
            <v>△</v>
          </cell>
          <cell r="AW137" t="str">
            <v>-</v>
          </cell>
          <cell r="AX137" t="str">
            <v>-</v>
          </cell>
          <cell r="AY137" t="str">
            <v>△</v>
          </cell>
          <cell r="AZ137" t="str">
            <v>△</v>
          </cell>
          <cell r="BA137" t="str">
            <v>○</v>
          </cell>
          <cell r="BB137" t="str">
            <v>-</v>
          </cell>
          <cell r="BC137" t="str">
            <v>△</v>
          </cell>
          <cell r="BD137" t="str">
            <v>-</v>
          </cell>
        </row>
        <row r="138">
          <cell r="J138">
            <v>104.84723538745061</v>
          </cell>
          <cell r="K138" t="str">
            <v>MAG6G</v>
          </cell>
          <cell r="L138">
            <v>6.4279999999999999</v>
          </cell>
          <cell r="M138">
            <v>6.1420000000000003</v>
          </cell>
          <cell r="O138">
            <v>6.8330000000000002</v>
          </cell>
          <cell r="Q138">
            <v>117.81878749327058</v>
          </cell>
          <cell r="R138" t="str">
            <v>MJD7Q</v>
          </cell>
          <cell r="S138">
            <v>5.5709999999999997</v>
          </cell>
          <cell r="U138">
            <v>5.125</v>
          </cell>
          <cell r="W138">
            <v>6.1420000000000003</v>
          </cell>
          <cell r="Y138" t="str">
            <v>-</v>
          </cell>
          <cell r="Z138" t="str">
            <v>○</v>
          </cell>
          <cell r="AA138" t="str">
            <v>-</v>
          </cell>
          <cell r="AB138" t="str">
            <v>-</v>
          </cell>
          <cell r="AC138" t="str">
            <v>○</v>
          </cell>
          <cell r="AD138" t="str">
            <v>-</v>
          </cell>
          <cell r="AE138" t="str">
            <v>-</v>
          </cell>
          <cell r="AF138" t="str">
            <v>17.5HT</v>
          </cell>
          <cell r="AG138" t="str">
            <v>17.5HT</v>
          </cell>
          <cell r="AH138" t="str">
            <v>-</v>
          </cell>
          <cell r="AI138" t="str">
            <v>-</v>
          </cell>
          <cell r="AJ138" t="str">
            <v>-</v>
          </cell>
          <cell r="AK138" t="str">
            <v>-</v>
          </cell>
          <cell r="AL138" t="str">
            <v>-</v>
          </cell>
          <cell r="AM138" t="str">
            <v>-</v>
          </cell>
          <cell r="AN138" t="str">
            <v>▲</v>
          </cell>
          <cell r="AO138" t="str">
            <v>-</v>
          </cell>
          <cell r="AP138" t="str">
            <v>-</v>
          </cell>
          <cell r="AQ138" t="str">
            <v>-</v>
          </cell>
          <cell r="AR138" t="str">
            <v>△</v>
          </cell>
          <cell r="AS138" t="str">
            <v>-</v>
          </cell>
          <cell r="AT138" t="str">
            <v>-</v>
          </cell>
          <cell r="AU138" t="str">
            <v>△</v>
          </cell>
          <cell r="AV138" t="str">
            <v>△</v>
          </cell>
          <cell r="AW138" t="str">
            <v>-</v>
          </cell>
          <cell r="AX138" t="str">
            <v>-</v>
          </cell>
          <cell r="AY138" t="str">
            <v>△</v>
          </cell>
          <cell r="AZ138" t="str">
            <v>△</v>
          </cell>
          <cell r="BA138" t="str">
            <v>○</v>
          </cell>
          <cell r="BB138" t="str">
            <v>-</v>
          </cell>
          <cell r="BC138" t="str">
            <v>△</v>
          </cell>
          <cell r="BD138" t="str">
            <v>-</v>
          </cell>
        </row>
        <row r="139">
          <cell r="J139">
            <v>117.35401910079219</v>
          </cell>
          <cell r="K139" t="str">
            <v>MJD7Q</v>
          </cell>
          <cell r="L139">
            <v>5.5709999999999997</v>
          </cell>
          <cell r="M139">
            <v>5.125</v>
          </cell>
          <cell r="O139">
            <v>6.1420000000000003</v>
          </cell>
          <cell r="Q139">
            <v>97.55395060535831</v>
          </cell>
          <cell r="R139" t="str">
            <v>MAG6W</v>
          </cell>
          <cell r="S139">
            <v>6.4279999999999999</v>
          </cell>
          <cell r="U139">
            <v>6.1420000000000003</v>
          </cell>
          <cell r="W139">
            <v>6.8330000000000002</v>
          </cell>
          <cell r="Y139" t="str">
            <v>-</v>
          </cell>
          <cell r="Z139" t="str">
            <v>○</v>
          </cell>
          <cell r="AA139" t="str">
            <v>-</v>
          </cell>
          <cell r="AB139" t="str">
            <v>-</v>
          </cell>
          <cell r="AC139" t="str">
            <v>○</v>
          </cell>
          <cell r="AD139" t="str">
            <v>-</v>
          </cell>
          <cell r="AE139" t="str">
            <v>-</v>
          </cell>
          <cell r="AF139" t="str">
            <v>17.5HT</v>
          </cell>
          <cell r="AG139" t="str">
            <v>17.5HT</v>
          </cell>
          <cell r="AH139" t="str">
            <v>-</v>
          </cell>
          <cell r="AI139" t="str">
            <v>-</v>
          </cell>
          <cell r="AJ139" t="str">
            <v>-</v>
          </cell>
          <cell r="AK139" t="str">
            <v>-</v>
          </cell>
          <cell r="AL139" t="str">
            <v>-</v>
          </cell>
          <cell r="AM139" t="str">
            <v>-</v>
          </cell>
          <cell r="AN139" t="str">
            <v>×</v>
          </cell>
          <cell r="AO139" t="str">
            <v>●</v>
          </cell>
          <cell r="AP139" t="str">
            <v>-</v>
          </cell>
          <cell r="AQ139" t="str">
            <v>-</v>
          </cell>
          <cell r="AR139" t="str">
            <v>-</v>
          </cell>
          <cell r="AS139" t="str">
            <v>△</v>
          </cell>
          <cell r="AT139" t="str">
            <v>-</v>
          </cell>
          <cell r="AU139" t="str">
            <v>△</v>
          </cell>
          <cell r="AV139" t="str">
            <v>×</v>
          </cell>
          <cell r="AW139" t="str">
            <v>-</v>
          </cell>
          <cell r="AX139" t="str">
            <v>-</v>
          </cell>
          <cell r="AY139" t="str">
            <v>△</v>
          </cell>
          <cell r="AZ139" t="str">
            <v>△</v>
          </cell>
          <cell r="BA139" t="str">
            <v>○</v>
          </cell>
          <cell r="BB139" t="str">
            <v>-</v>
          </cell>
          <cell r="BC139" t="str">
            <v>○</v>
          </cell>
          <cell r="BD139" t="str">
            <v>-</v>
          </cell>
        </row>
        <row r="140">
          <cell r="J140">
            <v>109.96420166038587</v>
          </cell>
          <cell r="K140" t="str">
            <v>MAG6X</v>
          </cell>
          <cell r="L140">
            <v>5.5709999999999997</v>
          </cell>
          <cell r="M140">
            <v>5.125</v>
          </cell>
          <cell r="O140">
            <v>6.1420000000000003</v>
          </cell>
          <cell r="Q140">
            <v>120.30495486665808</v>
          </cell>
          <cell r="R140" t="str">
            <v>MJD7P</v>
          </cell>
          <cell r="S140">
            <v>5.125</v>
          </cell>
          <cell r="U140">
            <v>4.875</v>
          </cell>
          <cell r="W140">
            <v>5.5709999999999997</v>
          </cell>
          <cell r="Y140" t="str">
            <v>-</v>
          </cell>
          <cell r="Z140" t="str">
            <v>○</v>
          </cell>
          <cell r="AA140" t="str">
            <v>-</v>
          </cell>
          <cell r="AB140" t="str">
            <v>-</v>
          </cell>
          <cell r="AC140" t="str">
            <v>○</v>
          </cell>
          <cell r="AD140" t="str">
            <v>-</v>
          </cell>
          <cell r="AE140" t="str">
            <v>-</v>
          </cell>
          <cell r="AF140" t="str">
            <v>17.5HT</v>
          </cell>
          <cell r="AG140" t="str">
            <v>17.5HT</v>
          </cell>
          <cell r="AH140" t="str">
            <v>-</v>
          </cell>
          <cell r="AI140" t="str">
            <v>-</v>
          </cell>
          <cell r="AJ140" t="str">
            <v>-</v>
          </cell>
          <cell r="AK140" t="str">
            <v>-</v>
          </cell>
          <cell r="AL140" t="str">
            <v>-</v>
          </cell>
          <cell r="AM140" t="str">
            <v>-</v>
          </cell>
          <cell r="AN140" t="str">
            <v>▲</v>
          </cell>
          <cell r="AO140" t="str">
            <v>-</v>
          </cell>
          <cell r="AP140" t="str">
            <v>-</v>
          </cell>
          <cell r="AQ140" t="str">
            <v>-</v>
          </cell>
          <cell r="AR140" t="str">
            <v>△</v>
          </cell>
          <cell r="AS140" t="str">
            <v>-</v>
          </cell>
          <cell r="AT140" t="str">
            <v>-</v>
          </cell>
          <cell r="AU140" t="str">
            <v>△</v>
          </cell>
          <cell r="AV140" t="str">
            <v>△</v>
          </cell>
          <cell r="AW140" t="str">
            <v>-</v>
          </cell>
          <cell r="AX140" t="str">
            <v>-</v>
          </cell>
          <cell r="AY140" t="str">
            <v>△</v>
          </cell>
          <cell r="AZ140" t="str">
            <v>△</v>
          </cell>
          <cell r="BA140" t="str">
            <v>○</v>
          </cell>
          <cell r="BB140" t="str">
            <v>-</v>
          </cell>
          <cell r="BC140" t="str">
            <v>△</v>
          </cell>
          <cell r="BD140" t="str">
            <v>-</v>
          </cell>
        </row>
        <row r="141">
          <cell r="J141">
            <v>104.84723538745061</v>
          </cell>
          <cell r="K141" t="str">
            <v>MAG6G</v>
          </cell>
          <cell r="L141">
            <v>6.4279999999999999</v>
          </cell>
          <cell r="M141">
            <v>6.1420000000000003</v>
          </cell>
          <cell r="O141">
            <v>6.8330000000000002</v>
          </cell>
          <cell r="Q141">
            <v>117.81878749327058</v>
          </cell>
          <cell r="R141" t="str">
            <v>MJD7Q</v>
          </cell>
          <cell r="S141">
            <v>5.5709999999999997</v>
          </cell>
          <cell r="U141">
            <v>5.125</v>
          </cell>
          <cell r="W141">
            <v>6.1420000000000003</v>
          </cell>
          <cell r="Y141" t="str">
            <v>-</v>
          </cell>
          <cell r="Z141" t="str">
            <v>○</v>
          </cell>
          <cell r="AA141" t="str">
            <v>-</v>
          </cell>
          <cell r="AB141" t="str">
            <v>-</v>
          </cell>
          <cell r="AC141" t="str">
            <v>○</v>
          </cell>
          <cell r="AD141" t="str">
            <v>-</v>
          </cell>
          <cell r="AE141" t="str">
            <v>-</v>
          </cell>
          <cell r="AF141" t="str">
            <v>17.5HT</v>
          </cell>
          <cell r="AG141" t="str">
            <v>17.5HT</v>
          </cell>
          <cell r="AH141" t="str">
            <v>-</v>
          </cell>
          <cell r="AI141" t="str">
            <v>-</v>
          </cell>
          <cell r="AJ141" t="str">
            <v>-</v>
          </cell>
          <cell r="AK141" t="str">
            <v>-</v>
          </cell>
          <cell r="AL141" t="str">
            <v>-</v>
          </cell>
          <cell r="AM141" t="str">
            <v>-</v>
          </cell>
          <cell r="AN141" t="str">
            <v>▲</v>
          </cell>
          <cell r="AO141" t="str">
            <v>-</v>
          </cell>
          <cell r="AP141" t="str">
            <v>-</v>
          </cell>
          <cell r="AQ141" t="str">
            <v>-</v>
          </cell>
          <cell r="AR141" t="str">
            <v>△</v>
          </cell>
          <cell r="AS141" t="str">
            <v>-</v>
          </cell>
          <cell r="AT141" t="str">
            <v>-</v>
          </cell>
          <cell r="AU141" t="str">
            <v>△</v>
          </cell>
          <cell r="AV141" t="str">
            <v>△</v>
          </cell>
          <cell r="AW141" t="str">
            <v>-</v>
          </cell>
          <cell r="AX141" t="str">
            <v>-</v>
          </cell>
          <cell r="AY141" t="str">
            <v>△</v>
          </cell>
          <cell r="AZ141" t="str">
            <v>△</v>
          </cell>
          <cell r="BA141" t="str">
            <v>○</v>
          </cell>
          <cell r="BB141" t="str">
            <v>-</v>
          </cell>
          <cell r="BC141" t="str">
            <v>△</v>
          </cell>
          <cell r="BD141" t="str">
            <v>-</v>
          </cell>
        </row>
        <row r="142">
          <cell r="J142">
            <v>117.81878749327058</v>
          </cell>
          <cell r="K142" t="str">
            <v>MJD7Q</v>
          </cell>
          <cell r="L142">
            <v>5.5709999999999997</v>
          </cell>
          <cell r="M142">
            <v>5.125</v>
          </cell>
          <cell r="O142">
            <v>6.1420000000000003</v>
          </cell>
          <cell r="Q142">
            <v>104.84723538745061</v>
          </cell>
          <cell r="R142" t="str">
            <v>MAG6G</v>
          </cell>
          <cell r="S142">
            <v>6.4279999999999999</v>
          </cell>
          <cell r="U142">
            <v>6.1420000000000003</v>
          </cell>
          <cell r="W142">
            <v>6.8330000000000002</v>
          </cell>
          <cell r="Y142" t="str">
            <v>-</v>
          </cell>
          <cell r="Z142" t="str">
            <v>○</v>
          </cell>
          <cell r="AA142" t="str">
            <v>-</v>
          </cell>
          <cell r="AB142" t="str">
            <v>-</v>
          </cell>
          <cell r="AC142" t="str">
            <v>○</v>
          </cell>
          <cell r="AD142" t="str">
            <v>-</v>
          </cell>
          <cell r="AE142" t="str">
            <v>-</v>
          </cell>
          <cell r="AF142" t="str">
            <v>17.5HT</v>
          </cell>
          <cell r="AG142" t="str">
            <v>17.5HT</v>
          </cell>
          <cell r="AH142" t="str">
            <v>-</v>
          </cell>
          <cell r="AI142" t="str">
            <v>-</v>
          </cell>
          <cell r="AJ142" t="str">
            <v>-</v>
          </cell>
          <cell r="AK142" t="str">
            <v>-</v>
          </cell>
          <cell r="AL142" t="str">
            <v>-</v>
          </cell>
          <cell r="AM142" t="str">
            <v>-</v>
          </cell>
          <cell r="AN142" t="str">
            <v>▲</v>
          </cell>
          <cell r="AO142" t="str">
            <v>-</v>
          </cell>
          <cell r="AP142" t="str">
            <v>-</v>
          </cell>
          <cell r="AQ142" t="str">
            <v>-</v>
          </cell>
          <cell r="AR142" t="str">
            <v>○</v>
          </cell>
          <cell r="AS142" t="str">
            <v>▲</v>
          </cell>
          <cell r="AT142" t="str">
            <v>-</v>
          </cell>
          <cell r="AU142" t="str">
            <v>△</v>
          </cell>
          <cell r="AV142" t="str">
            <v>△</v>
          </cell>
          <cell r="AW142" t="str">
            <v>-</v>
          </cell>
          <cell r="AX142" t="str">
            <v>-</v>
          </cell>
          <cell r="AY142" t="str">
            <v>△</v>
          </cell>
          <cell r="AZ142" t="str">
            <v>△</v>
          </cell>
          <cell r="BA142" t="str">
            <v>○</v>
          </cell>
          <cell r="BB142" t="str">
            <v>-</v>
          </cell>
          <cell r="BC142" t="str">
            <v>△</v>
          </cell>
          <cell r="BD142" t="str">
            <v>△</v>
          </cell>
        </row>
        <row r="143">
          <cell r="J143">
            <v>134.63968515384829</v>
          </cell>
          <cell r="K143" t="str">
            <v>MJD7Q</v>
          </cell>
          <cell r="L143">
            <v>4.875</v>
          </cell>
          <cell r="M143">
            <v>4.5549999999999997</v>
          </cell>
          <cell r="O143">
            <v>5.125</v>
          </cell>
          <cell r="Q143" t="str">
            <v>-</v>
          </cell>
          <cell r="R143" t="str">
            <v>-</v>
          </cell>
          <cell r="S143" t="str">
            <v>-</v>
          </cell>
          <cell r="U143" t="str">
            <v>-</v>
          </cell>
          <cell r="W143" t="str">
            <v>-</v>
          </cell>
          <cell r="Y143" t="str">
            <v>○</v>
          </cell>
          <cell r="Z143" t="str">
            <v>-</v>
          </cell>
          <cell r="AA143" t="str">
            <v>-</v>
          </cell>
          <cell r="AB143" t="str">
            <v>○</v>
          </cell>
          <cell r="AC143" t="str">
            <v>-</v>
          </cell>
          <cell r="AD143" t="str">
            <v>-</v>
          </cell>
          <cell r="AE143" t="str">
            <v>-</v>
          </cell>
          <cell r="AF143" t="str">
            <v>18.5H</v>
          </cell>
          <cell r="AG143" t="str">
            <v>-</v>
          </cell>
          <cell r="AH143" t="str">
            <v>-</v>
          </cell>
          <cell r="AI143" t="str">
            <v>-</v>
          </cell>
          <cell r="AJ143" t="str">
            <v>-</v>
          </cell>
          <cell r="AK143" t="str">
            <v>18.5H</v>
          </cell>
          <cell r="AL143" t="str">
            <v>-</v>
          </cell>
          <cell r="AM143" t="str">
            <v>-</v>
          </cell>
          <cell r="AN143" t="str">
            <v>-</v>
          </cell>
          <cell r="AO143" t="str">
            <v>○</v>
          </cell>
          <cell r="AP143" t="str">
            <v>-</v>
          </cell>
          <cell r="AQ143" t="str">
            <v>-</v>
          </cell>
          <cell r="AR143" t="str">
            <v>○</v>
          </cell>
          <cell r="AS143" t="str">
            <v>▲</v>
          </cell>
          <cell r="AT143" t="str">
            <v>○</v>
          </cell>
          <cell r="AU143" t="str">
            <v>○</v>
          </cell>
          <cell r="AV143" t="str">
            <v>○</v>
          </cell>
          <cell r="AW143" t="str">
            <v>-</v>
          </cell>
          <cell r="AX143" t="str">
            <v>○</v>
          </cell>
          <cell r="AY143" t="str">
            <v>-</v>
          </cell>
          <cell r="AZ143" t="str">
            <v>-</v>
          </cell>
          <cell r="BA143" t="str">
            <v>-</v>
          </cell>
          <cell r="BB143" t="str">
            <v>-</v>
          </cell>
          <cell r="BC143" t="str">
            <v>△</v>
          </cell>
          <cell r="BD143" t="str">
            <v>△</v>
          </cell>
        </row>
        <row r="144">
          <cell r="J144">
            <v>134.63968515384829</v>
          </cell>
          <cell r="K144" t="str">
            <v>MJD7Q</v>
          </cell>
          <cell r="L144">
            <v>4.875</v>
          </cell>
          <cell r="M144">
            <v>4.5549999999999997</v>
          </cell>
          <cell r="O144">
            <v>5.125</v>
          </cell>
          <cell r="Q144" t="str">
            <v>-</v>
          </cell>
          <cell r="R144" t="str">
            <v>-</v>
          </cell>
          <cell r="S144" t="str">
            <v>-</v>
          </cell>
          <cell r="U144" t="str">
            <v>-</v>
          </cell>
          <cell r="W144" t="str">
            <v>-</v>
          </cell>
          <cell r="Y144" t="str">
            <v>-</v>
          </cell>
          <cell r="Z144" t="str">
            <v>○</v>
          </cell>
          <cell r="AA144" t="str">
            <v>-</v>
          </cell>
          <cell r="AB144" t="str">
            <v>-</v>
          </cell>
          <cell r="AC144" t="str">
            <v>○</v>
          </cell>
          <cell r="AD144" t="str">
            <v>-</v>
          </cell>
          <cell r="AE144" t="str">
            <v>-</v>
          </cell>
          <cell r="AF144" t="str">
            <v>18.5H</v>
          </cell>
          <cell r="AG144" t="str">
            <v>-</v>
          </cell>
          <cell r="AH144" t="str">
            <v>-</v>
          </cell>
          <cell r="AI144" t="str">
            <v>-</v>
          </cell>
          <cell r="AJ144" t="str">
            <v>-</v>
          </cell>
          <cell r="AK144" t="str">
            <v>18.5H</v>
          </cell>
          <cell r="AL144" t="str">
            <v>-</v>
          </cell>
          <cell r="AM144" t="str">
            <v>-</v>
          </cell>
          <cell r="AN144" t="str">
            <v>-</v>
          </cell>
          <cell r="AO144" t="str">
            <v>-</v>
          </cell>
          <cell r="AP144" t="str">
            <v>○</v>
          </cell>
          <cell r="AQ144" t="str">
            <v>-</v>
          </cell>
          <cell r="AR144" t="str">
            <v>△</v>
          </cell>
          <cell r="AS144" t="str">
            <v>-</v>
          </cell>
          <cell r="AT144" t="str">
            <v>○</v>
          </cell>
          <cell r="AU144" t="str">
            <v>○</v>
          </cell>
          <cell r="AV144" t="str">
            <v>○</v>
          </cell>
          <cell r="AW144" t="str">
            <v>-</v>
          </cell>
          <cell r="AX144" t="str">
            <v>○</v>
          </cell>
          <cell r="AY144" t="str">
            <v>-</v>
          </cell>
          <cell r="AZ144" t="str">
            <v>-</v>
          </cell>
          <cell r="BA144" t="str">
            <v>-</v>
          </cell>
          <cell r="BB144" t="str">
            <v>-</v>
          </cell>
          <cell r="BC144" t="str">
            <v>△</v>
          </cell>
          <cell r="BD144" t="str">
            <v>△</v>
          </cell>
        </row>
        <row r="145">
          <cell r="J145">
            <v>134.63968515384829</v>
          </cell>
          <cell r="K145" t="str">
            <v>MJD7Q</v>
          </cell>
          <cell r="L145">
            <v>4.875</v>
          </cell>
          <cell r="M145">
            <v>4.5549999999999997</v>
          </cell>
          <cell r="O145">
            <v>5.125</v>
          </cell>
          <cell r="Q145" t="str">
            <v>-</v>
          </cell>
          <cell r="R145" t="str">
            <v>-</v>
          </cell>
          <cell r="S145" t="str">
            <v>-</v>
          </cell>
          <cell r="U145" t="str">
            <v>-</v>
          </cell>
          <cell r="W145" t="str">
            <v>-</v>
          </cell>
          <cell r="Y145" t="str">
            <v>-</v>
          </cell>
          <cell r="Z145" t="str">
            <v>○</v>
          </cell>
          <cell r="AA145" t="str">
            <v>-</v>
          </cell>
          <cell r="AB145" t="str">
            <v>-</v>
          </cell>
          <cell r="AC145" t="str">
            <v>○</v>
          </cell>
          <cell r="AD145" t="str">
            <v>-</v>
          </cell>
          <cell r="AE145" t="str">
            <v>-</v>
          </cell>
          <cell r="AF145" t="str">
            <v>18.5H</v>
          </cell>
          <cell r="AG145" t="str">
            <v>-</v>
          </cell>
          <cell r="AH145" t="str">
            <v>-</v>
          </cell>
          <cell r="AI145" t="str">
            <v>-</v>
          </cell>
          <cell r="AJ145" t="str">
            <v>-</v>
          </cell>
          <cell r="AK145" t="str">
            <v>18.5H</v>
          </cell>
          <cell r="AL145" t="str">
            <v>-</v>
          </cell>
          <cell r="AM145" t="str">
            <v>-</v>
          </cell>
          <cell r="AN145" t="str">
            <v>-</v>
          </cell>
          <cell r="AO145" t="str">
            <v>○</v>
          </cell>
          <cell r="AP145" t="str">
            <v>-</v>
          </cell>
          <cell r="AQ145" t="str">
            <v>-</v>
          </cell>
          <cell r="AR145" t="str">
            <v>△</v>
          </cell>
          <cell r="AS145" t="str">
            <v>-</v>
          </cell>
          <cell r="AT145" t="str">
            <v>○</v>
          </cell>
          <cell r="AU145" t="str">
            <v>○</v>
          </cell>
          <cell r="AV145" t="str">
            <v>○</v>
          </cell>
          <cell r="AW145" t="str">
            <v>-</v>
          </cell>
          <cell r="AX145" t="str">
            <v>○</v>
          </cell>
          <cell r="AY145" t="str">
            <v>-</v>
          </cell>
          <cell r="AZ145" t="str">
            <v>-</v>
          </cell>
          <cell r="BA145" t="str">
            <v>-</v>
          </cell>
          <cell r="BB145" t="str">
            <v>-</v>
          </cell>
          <cell r="BC145" t="str">
            <v>△</v>
          </cell>
          <cell r="BD145" t="str">
            <v>△</v>
          </cell>
        </row>
        <row r="146">
          <cell r="J146">
            <v>134.63968515384829</v>
          </cell>
          <cell r="K146" t="str">
            <v>MJD7Q</v>
          </cell>
          <cell r="L146">
            <v>4.875</v>
          </cell>
          <cell r="M146">
            <v>4.5549999999999997</v>
          </cell>
          <cell r="O146">
            <v>5.125</v>
          </cell>
          <cell r="Q146" t="str">
            <v>-</v>
          </cell>
          <cell r="R146" t="str">
            <v>-</v>
          </cell>
          <cell r="S146" t="str">
            <v>-</v>
          </cell>
          <cell r="U146" t="str">
            <v>-</v>
          </cell>
          <cell r="W146" t="str">
            <v>-</v>
          </cell>
          <cell r="Y146" t="str">
            <v>-</v>
          </cell>
          <cell r="Z146" t="str">
            <v>○</v>
          </cell>
          <cell r="AA146" t="str">
            <v>-</v>
          </cell>
          <cell r="AB146" t="str">
            <v>-</v>
          </cell>
          <cell r="AC146" t="str">
            <v>○</v>
          </cell>
          <cell r="AD146" t="str">
            <v>-</v>
          </cell>
          <cell r="AE146" t="str">
            <v>-</v>
          </cell>
          <cell r="AF146" t="str">
            <v>18.5H</v>
          </cell>
          <cell r="AG146" t="str">
            <v>-</v>
          </cell>
          <cell r="AH146" t="str">
            <v>-</v>
          </cell>
          <cell r="AI146" t="str">
            <v>-</v>
          </cell>
          <cell r="AJ146" t="str">
            <v>-</v>
          </cell>
          <cell r="AK146" t="str">
            <v>18.5H</v>
          </cell>
          <cell r="AL146" t="str">
            <v>-</v>
          </cell>
          <cell r="AM146" t="str">
            <v>-</v>
          </cell>
          <cell r="AN146" t="str">
            <v>-</v>
          </cell>
          <cell r="AO146" t="str">
            <v>○</v>
          </cell>
          <cell r="AP146" t="str">
            <v>-</v>
          </cell>
          <cell r="AQ146" t="str">
            <v>-</v>
          </cell>
          <cell r="AR146" t="str">
            <v>○</v>
          </cell>
          <cell r="AS146" t="str">
            <v>▲</v>
          </cell>
          <cell r="AT146" t="str">
            <v>○</v>
          </cell>
          <cell r="AU146" t="str">
            <v>○</v>
          </cell>
          <cell r="AV146" t="str">
            <v>○</v>
          </cell>
          <cell r="AW146" t="str">
            <v>-</v>
          </cell>
          <cell r="AX146" t="str">
            <v>○</v>
          </cell>
          <cell r="AY146" t="str">
            <v>-</v>
          </cell>
          <cell r="AZ146" t="str">
            <v>-</v>
          </cell>
          <cell r="BA146" t="str">
            <v>-</v>
          </cell>
          <cell r="BB146" t="str">
            <v>-</v>
          </cell>
          <cell r="BC146" t="str">
            <v>△</v>
          </cell>
          <cell r="BD146" t="str">
            <v>△</v>
          </cell>
        </row>
        <row r="147">
          <cell r="J147">
            <v>124.16323306384166</v>
          </cell>
          <cell r="K147" t="str">
            <v>MAG6G</v>
          </cell>
          <cell r="L147">
            <v>5.4279999999999999</v>
          </cell>
          <cell r="M147">
            <v>5.125</v>
          </cell>
          <cell r="O147">
            <v>5.8570000000000002</v>
          </cell>
          <cell r="Q147">
            <v>134.63968515384829</v>
          </cell>
          <cell r="R147" t="str">
            <v>MJD7Q</v>
          </cell>
          <cell r="S147">
            <v>4.875</v>
          </cell>
          <cell r="U147">
            <v>4.5549999999999997</v>
          </cell>
          <cell r="W147">
            <v>5.125</v>
          </cell>
          <cell r="Y147" t="str">
            <v>-</v>
          </cell>
          <cell r="Z147" t="str">
            <v>○</v>
          </cell>
          <cell r="AA147" t="str">
            <v>-</v>
          </cell>
          <cell r="AB147" t="str">
            <v>-</v>
          </cell>
          <cell r="AC147" t="str">
            <v>○</v>
          </cell>
          <cell r="AD147" t="str">
            <v>-</v>
          </cell>
          <cell r="AE147" t="str">
            <v>-</v>
          </cell>
          <cell r="AF147" t="str">
            <v>18.5H</v>
          </cell>
          <cell r="AG147" t="str">
            <v>-</v>
          </cell>
          <cell r="AH147" t="str">
            <v>-</v>
          </cell>
          <cell r="AI147" t="str">
            <v>-</v>
          </cell>
          <cell r="AJ147" t="str">
            <v>-</v>
          </cell>
          <cell r="AK147" t="str">
            <v>18.5H</v>
          </cell>
          <cell r="AL147" t="str">
            <v>-</v>
          </cell>
          <cell r="AM147" t="str">
            <v>-</v>
          </cell>
          <cell r="AN147" t="str">
            <v>-</v>
          </cell>
          <cell r="AO147" t="str">
            <v>○</v>
          </cell>
          <cell r="AP147" t="str">
            <v>-</v>
          </cell>
          <cell r="AQ147" t="str">
            <v>-</v>
          </cell>
          <cell r="AR147" t="str">
            <v>△</v>
          </cell>
          <cell r="AS147" t="str">
            <v>-</v>
          </cell>
          <cell r="AT147" t="str">
            <v>-</v>
          </cell>
          <cell r="AU147" t="str">
            <v>△</v>
          </cell>
          <cell r="AV147" t="str">
            <v>△</v>
          </cell>
          <cell r="AW147" t="str">
            <v>-</v>
          </cell>
          <cell r="AX147" t="str">
            <v>-</v>
          </cell>
          <cell r="AY147" t="str">
            <v>△</v>
          </cell>
          <cell r="AZ147" t="str">
            <v>△</v>
          </cell>
          <cell r="BA147" t="str">
            <v>○</v>
          </cell>
          <cell r="BB147" t="str">
            <v>-</v>
          </cell>
          <cell r="BC147" t="str">
            <v>△</v>
          </cell>
          <cell r="BD147" t="str">
            <v>△</v>
          </cell>
        </row>
        <row r="148">
          <cell r="J148">
            <v>125.40132798043267</v>
          </cell>
          <cell r="K148" t="str">
            <v>MJA6Q</v>
          </cell>
          <cell r="L148">
            <v>5.4279999999999999</v>
          </cell>
          <cell r="M148">
            <v>5.125</v>
          </cell>
          <cell r="O148">
            <v>5.8570000000000002</v>
          </cell>
          <cell r="Q148" t="str">
            <v>←(速比:1.022)</v>
          </cell>
          <cell r="S148" t="str">
            <v>-</v>
          </cell>
          <cell r="U148" t="str">
            <v>-</v>
          </cell>
          <cell r="W148" t="str">
            <v>-</v>
          </cell>
          <cell r="Y148" t="str">
            <v>-</v>
          </cell>
          <cell r="Z148" t="str">
            <v>○</v>
          </cell>
          <cell r="AA148" t="str">
            <v>-</v>
          </cell>
          <cell r="AB148" t="str">
            <v>-</v>
          </cell>
          <cell r="AC148" t="str">
            <v>○</v>
          </cell>
          <cell r="AD148" t="str">
            <v>-</v>
          </cell>
          <cell r="AE148" t="str">
            <v>-</v>
          </cell>
          <cell r="AF148" t="str">
            <v>18.5H</v>
          </cell>
          <cell r="AG148" t="str">
            <v>-</v>
          </cell>
          <cell r="AH148" t="str">
            <v>-</v>
          </cell>
          <cell r="AI148" t="str">
            <v>-</v>
          </cell>
          <cell r="AJ148" t="str">
            <v>-</v>
          </cell>
          <cell r="AK148" t="str">
            <v>18.5H</v>
          </cell>
          <cell r="AL148" t="str">
            <v>-</v>
          </cell>
          <cell r="AM148" t="str">
            <v>-</v>
          </cell>
          <cell r="AN148" t="str">
            <v>-</v>
          </cell>
          <cell r="AO148" t="str">
            <v>○</v>
          </cell>
          <cell r="AP148" t="str">
            <v>-</v>
          </cell>
          <cell r="AQ148" t="str">
            <v>-</v>
          </cell>
          <cell r="AR148" t="str">
            <v>△</v>
          </cell>
          <cell r="AS148" t="str">
            <v>-</v>
          </cell>
          <cell r="AT148" t="str">
            <v>-</v>
          </cell>
          <cell r="AU148" t="str">
            <v>×</v>
          </cell>
          <cell r="AV148" t="str">
            <v>×</v>
          </cell>
          <cell r="AW148" t="str">
            <v>○</v>
          </cell>
          <cell r="AX148" t="str">
            <v>-</v>
          </cell>
          <cell r="AY148" t="str">
            <v>-</v>
          </cell>
          <cell r="AZ148" t="str">
            <v>-</v>
          </cell>
          <cell r="BA148" t="str">
            <v>○</v>
          </cell>
          <cell r="BB148" t="str">
            <v>●</v>
          </cell>
          <cell r="BC148" t="str">
            <v>-</v>
          </cell>
          <cell r="BD148" t="str">
            <v>△</v>
          </cell>
        </row>
        <row r="149">
          <cell r="J149">
            <v>124.16323306384166</v>
          </cell>
          <cell r="K149" t="str">
            <v>MAG6G</v>
          </cell>
          <cell r="L149">
            <v>5.4279999999999999</v>
          </cell>
          <cell r="M149">
            <v>5.125</v>
          </cell>
          <cell r="O149">
            <v>5.8570000000000002</v>
          </cell>
          <cell r="Q149">
            <v>134.63968515384829</v>
          </cell>
          <cell r="R149" t="str">
            <v>MJD7Q</v>
          </cell>
          <cell r="S149">
            <v>4.875</v>
          </cell>
          <cell r="U149">
            <v>4.5549999999999997</v>
          </cell>
          <cell r="W149">
            <v>5.125</v>
          </cell>
          <cell r="Y149" t="str">
            <v>-</v>
          </cell>
          <cell r="Z149" t="str">
            <v>○</v>
          </cell>
          <cell r="AA149" t="str">
            <v>-</v>
          </cell>
          <cell r="AB149" t="str">
            <v>-</v>
          </cell>
          <cell r="AC149" t="str">
            <v>○</v>
          </cell>
          <cell r="AD149" t="str">
            <v>-</v>
          </cell>
          <cell r="AE149" t="str">
            <v>-</v>
          </cell>
          <cell r="AF149" t="str">
            <v>18.5H</v>
          </cell>
          <cell r="AG149" t="str">
            <v>-</v>
          </cell>
          <cell r="AH149" t="str">
            <v>-</v>
          </cell>
          <cell r="AI149" t="str">
            <v>-</v>
          </cell>
          <cell r="AJ149" t="str">
            <v>-</v>
          </cell>
          <cell r="AK149" t="str">
            <v>18.5H</v>
          </cell>
          <cell r="AL149" t="str">
            <v>-</v>
          </cell>
          <cell r="AM149" t="str">
            <v>-</v>
          </cell>
          <cell r="AN149" t="str">
            <v>-</v>
          </cell>
          <cell r="AO149" t="str">
            <v>○</v>
          </cell>
          <cell r="AP149" t="str">
            <v>-</v>
          </cell>
          <cell r="AQ149" t="str">
            <v>-</v>
          </cell>
          <cell r="AR149" t="str">
            <v>△</v>
          </cell>
          <cell r="AS149" t="str">
            <v>-</v>
          </cell>
          <cell r="AT149" t="str">
            <v>-</v>
          </cell>
          <cell r="AU149" t="str">
            <v>△</v>
          </cell>
          <cell r="AV149" t="str">
            <v>△</v>
          </cell>
          <cell r="AW149" t="str">
            <v>-</v>
          </cell>
          <cell r="AX149" t="str">
            <v>-</v>
          </cell>
          <cell r="AY149" t="str">
            <v>△</v>
          </cell>
          <cell r="AZ149" t="str">
            <v>△</v>
          </cell>
          <cell r="BA149" t="str">
            <v>○</v>
          </cell>
          <cell r="BB149" t="str">
            <v>-</v>
          </cell>
          <cell r="BC149" t="str">
            <v>△</v>
          </cell>
          <cell r="BD149" t="str">
            <v>△</v>
          </cell>
        </row>
        <row r="150">
          <cell r="J150">
            <v>125.40132798043267</v>
          </cell>
          <cell r="K150" t="str">
            <v>MJA6Q</v>
          </cell>
          <cell r="L150">
            <v>5.4279999999999999</v>
          </cell>
          <cell r="M150">
            <v>5.125</v>
          </cell>
          <cell r="O150">
            <v>5.8570000000000002</v>
          </cell>
          <cell r="Q150" t="str">
            <v>←(速比:1.022)</v>
          </cell>
          <cell r="S150" t="str">
            <v>-</v>
          </cell>
          <cell r="U150" t="str">
            <v>-</v>
          </cell>
          <cell r="W150" t="str">
            <v>-</v>
          </cell>
          <cell r="Y150" t="str">
            <v>-</v>
          </cell>
          <cell r="Z150" t="str">
            <v>○</v>
          </cell>
          <cell r="AA150" t="str">
            <v>-</v>
          </cell>
          <cell r="AB150" t="str">
            <v>-</v>
          </cell>
          <cell r="AC150" t="str">
            <v>○</v>
          </cell>
          <cell r="AD150" t="str">
            <v>-</v>
          </cell>
          <cell r="AE150" t="str">
            <v>-</v>
          </cell>
          <cell r="AF150" t="str">
            <v>18.5H</v>
          </cell>
          <cell r="AG150" t="str">
            <v>-</v>
          </cell>
          <cell r="AH150" t="str">
            <v>-</v>
          </cell>
          <cell r="AI150" t="str">
            <v>-</v>
          </cell>
          <cell r="AJ150" t="str">
            <v>-</v>
          </cell>
          <cell r="AK150" t="str">
            <v>18.5H</v>
          </cell>
          <cell r="AL150" t="str">
            <v>-</v>
          </cell>
          <cell r="AM150" t="str">
            <v>-</v>
          </cell>
          <cell r="AN150" t="str">
            <v>-</v>
          </cell>
          <cell r="AO150" t="str">
            <v>○</v>
          </cell>
          <cell r="AP150" t="str">
            <v>-</v>
          </cell>
          <cell r="AQ150" t="str">
            <v>-</v>
          </cell>
          <cell r="AR150" t="str">
            <v>△</v>
          </cell>
          <cell r="AS150" t="str">
            <v>-</v>
          </cell>
          <cell r="AT150" t="str">
            <v>-</v>
          </cell>
          <cell r="AU150" t="str">
            <v>×</v>
          </cell>
          <cell r="AV150" t="str">
            <v>×</v>
          </cell>
          <cell r="AW150" t="str">
            <v>○</v>
          </cell>
          <cell r="AX150" t="str">
            <v>-</v>
          </cell>
          <cell r="AY150" t="str">
            <v>-</v>
          </cell>
          <cell r="AZ150" t="str">
            <v>-</v>
          </cell>
          <cell r="BA150" t="str">
            <v>○</v>
          </cell>
          <cell r="BB150" t="str">
            <v>●</v>
          </cell>
          <cell r="BC150" t="str">
            <v>-</v>
          </cell>
          <cell r="BD150" t="str">
            <v>△</v>
          </cell>
        </row>
        <row r="151">
          <cell r="J151">
            <v>134.63968515384829</v>
          </cell>
          <cell r="K151" t="str">
            <v>MJD7Q</v>
          </cell>
          <cell r="L151">
            <v>4.875</v>
          </cell>
          <cell r="M151">
            <v>4.5549999999999997</v>
          </cell>
          <cell r="O151">
            <v>5.125</v>
          </cell>
          <cell r="Q151">
            <v>124.16323306384166</v>
          </cell>
          <cell r="R151" t="str">
            <v>MAG6G</v>
          </cell>
          <cell r="S151">
            <v>5.4279999999999999</v>
          </cell>
          <cell r="U151">
            <v>5.125</v>
          </cell>
          <cell r="W151">
            <v>5.8570000000000002</v>
          </cell>
          <cell r="Y151" t="str">
            <v>-</v>
          </cell>
          <cell r="Z151" t="str">
            <v>○</v>
          </cell>
          <cell r="AA151" t="str">
            <v>-</v>
          </cell>
          <cell r="AB151" t="str">
            <v>-</v>
          </cell>
          <cell r="AC151" t="str">
            <v>○</v>
          </cell>
          <cell r="AD151" t="str">
            <v>-</v>
          </cell>
          <cell r="AE151" t="str">
            <v>-</v>
          </cell>
          <cell r="AF151" t="str">
            <v>18.5H</v>
          </cell>
          <cell r="AG151" t="str">
            <v>-</v>
          </cell>
          <cell r="AH151" t="str">
            <v>-</v>
          </cell>
          <cell r="AI151" t="str">
            <v>-</v>
          </cell>
          <cell r="AJ151" t="str">
            <v>-</v>
          </cell>
          <cell r="AK151" t="str">
            <v>18.5H</v>
          </cell>
          <cell r="AL151" t="str">
            <v>-</v>
          </cell>
          <cell r="AM151" t="str">
            <v>-</v>
          </cell>
          <cell r="AN151" t="str">
            <v>-</v>
          </cell>
          <cell r="AO151" t="str">
            <v>○</v>
          </cell>
          <cell r="AP151" t="str">
            <v>-</v>
          </cell>
          <cell r="AQ151" t="str">
            <v>-</v>
          </cell>
          <cell r="AR151" t="str">
            <v>○</v>
          </cell>
          <cell r="AS151" t="str">
            <v>▲</v>
          </cell>
          <cell r="AT151" t="str">
            <v>-</v>
          </cell>
          <cell r="AU151" t="str">
            <v>△</v>
          </cell>
          <cell r="AV151" t="str">
            <v>△</v>
          </cell>
          <cell r="AW151" t="str">
            <v>-</v>
          </cell>
          <cell r="AX151" t="str">
            <v>-</v>
          </cell>
          <cell r="AY151" t="str">
            <v>△</v>
          </cell>
          <cell r="AZ151" t="str">
            <v>△</v>
          </cell>
          <cell r="BA151" t="str">
            <v>○</v>
          </cell>
          <cell r="BB151" t="str">
            <v>-</v>
          </cell>
          <cell r="BC151" t="str">
            <v>△</v>
          </cell>
          <cell r="BD151" t="str">
            <v>△</v>
          </cell>
        </row>
        <row r="152">
          <cell r="J152">
            <v>116.21622132111807</v>
          </cell>
          <cell r="K152" t="str">
            <v>MJA6Q</v>
          </cell>
          <cell r="L152">
            <v>5.8570000000000002</v>
          </cell>
          <cell r="M152">
            <v>5.4279999999999999</v>
          </cell>
          <cell r="O152">
            <v>6.1660000000000004</v>
          </cell>
          <cell r="Q152" t="str">
            <v>←(速比:1.022)</v>
          </cell>
          <cell r="S152" t="str">
            <v>-</v>
          </cell>
          <cell r="U152" t="str">
            <v>-</v>
          </cell>
          <cell r="W152" t="str">
            <v>-</v>
          </cell>
          <cell r="Y152" t="str">
            <v>-</v>
          </cell>
          <cell r="Z152" t="str">
            <v>○</v>
          </cell>
          <cell r="AA152" t="str">
            <v>-</v>
          </cell>
          <cell r="AB152" t="str">
            <v>-</v>
          </cell>
          <cell r="AC152" t="str">
            <v>○</v>
          </cell>
          <cell r="AD152" t="str">
            <v>-</v>
          </cell>
          <cell r="AE152" t="str">
            <v>-</v>
          </cell>
          <cell r="AF152" t="str">
            <v>18.5H</v>
          </cell>
          <cell r="AG152" t="str">
            <v>-</v>
          </cell>
          <cell r="AH152" t="str">
            <v>-</v>
          </cell>
          <cell r="AI152" t="str">
            <v>-</v>
          </cell>
          <cell r="AJ152" t="str">
            <v>-</v>
          </cell>
          <cell r="AK152" t="str">
            <v>18.5H</v>
          </cell>
          <cell r="AL152" t="str">
            <v>-</v>
          </cell>
          <cell r="AM152" t="str">
            <v>-</v>
          </cell>
          <cell r="AN152" t="str">
            <v>-</v>
          </cell>
          <cell r="AO152" t="str">
            <v>○</v>
          </cell>
          <cell r="AP152" t="str">
            <v>-</v>
          </cell>
          <cell r="AQ152" t="str">
            <v>-</v>
          </cell>
          <cell r="AR152" t="str">
            <v>○</v>
          </cell>
          <cell r="AS152" t="str">
            <v>▲</v>
          </cell>
          <cell r="AT152" t="str">
            <v>-</v>
          </cell>
          <cell r="AU152" t="str">
            <v>×</v>
          </cell>
          <cell r="AV152" t="str">
            <v>×</v>
          </cell>
          <cell r="AW152" t="str">
            <v>○</v>
          </cell>
          <cell r="AX152" t="str">
            <v>-</v>
          </cell>
          <cell r="AY152" t="str">
            <v>-</v>
          </cell>
          <cell r="AZ152" t="str">
            <v>-</v>
          </cell>
          <cell r="BA152" t="str">
            <v>○</v>
          </cell>
          <cell r="BB152" t="str">
            <v>●</v>
          </cell>
          <cell r="BC152" t="str">
            <v>-</v>
          </cell>
          <cell r="BD152" t="str">
            <v>△</v>
          </cell>
        </row>
        <row r="153">
          <cell r="J153">
            <v>134.63968515384829</v>
          </cell>
          <cell r="K153" t="str">
            <v>MJD7Q</v>
          </cell>
          <cell r="L153">
            <v>4.875</v>
          </cell>
          <cell r="M153">
            <v>4.5549999999999997</v>
          </cell>
          <cell r="O153">
            <v>5.125</v>
          </cell>
          <cell r="Q153">
            <v>124.16323306384166</v>
          </cell>
          <cell r="R153" t="str">
            <v>MAG6G</v>
          </cell>
          <cell r="S153">
            <v>5.4279999999999999</v>
          </cell>
          <cell r="U153">
            <v>5.125</v>
          </cell>
          <cell r="W153">
            <v>5.8570000000000002</v>
          </cell>
          <cell r="Y153" t="str">
            <v>-</v>
          </cell>
          <cell r="Z153" t="str">
            <v>○</v>
          </cell>
          <cell r="AA153" t="str">
            <v>-</v>
          </cell>
          <cell r="AB153" t="str">
            <v>-</v>
          </cell>
          <cell r="AC153" t="str">
            <v>○</v>
          </cell>
          <cell r="AD153" t="str">
            <v>-</v>
          </cell>
          <cell r="AE153" t="str">
            <v>-</v>
          </cell>
          <cell r="AF153" t="str">
            <v>18.5H</v>
          </cell>
          <cell r="AG153" t="str">
            <v>-</v>
          </cell>
          <cell r="AH153" t="str">
            <v>-</v>
          </cell>
          <cell r="AI153" t="str">
            <v>-</v>
          </cell>
          <cell r="AJ153" t="str">
            <v>-</v>
          </cell>
          <cell r="AK153" t="str">
            <v>18.5H</v>
          </cell>
          <cell r="AL153" t="str">
            <v>-</v>
          </cell>
          <cell r="AM153" t="str">
            <v>-</v>
          </cell>
          <cell r="AN153" t="str">
            <v>-</v>
          </cell>
          <cell r="AO153" t="str">
            <v>○</v>
          </cell>
          <cell r="AP153" t="str">
            <v>-</v>
          </cell>
          <cell r="AQ153" t="str">
            <v>-</v>
          </cell>
          <cell r="AR153" t="str">
            <v>○</v>
          </cell>
          <cell r="AS153" t="str">
            <v>▲</v>
          </cell>
          <cell r="AT153" t="str">
            <v>-</v>
          </cell>
          <cell r="AU153" t="str">
            <v>△</v>
          </cell>
          <cell r="AV153" t="str">
            <v>△</v>
          </cell>
          <cell r="AW153" t="str">
            <v>-</v>
          </cell>
          <cell r="AX153" t="str">
            <v>-</v>
          </cell>
          <cell r="AY153" t="str">
            <v>△</v>
          </cell>
          <cell r="AZ153" t="str">
            <v>△</v>
          </cell>
          <cell r="BA153" t="str">
            <v>○</v>
          </cell>
          <cell r="BB153" t="str">
            <v>-</v>
          </cell>
          <cell r="BC153" t="str">
            <v>△</v>
          </cell>
          <cell r="BD153" t="str">
            <v>△</v>
          </cell>
        </row>
        <row r="154">
          <cell r="J154">
            <v>101.07208685504813</v>
          </cell>
          <cell r="K154" t="str">
            <v>MAL6S</v>
          </cell>
          <cell r="L154">
            <v>5.8570000000000002</v>
          </cell>
          <cell r="M154">
            <v>5.4279999999999999</v>
          </cell>
          <cell r="O154">
            <v>6.1660000000000004</v>
          </cell>
          <cell r="Q154" t="str">
            <v>-</v>
          </cell>
          <cell r="R154" t="str">
            <v>-</v>
          </cell>
          <cell r="S154" t="str">
            <v>-</v>
          </cell>
          <cell r="U154" t="str">
            <v>-</v>
          </cell>
          <cell r="W154" t="str">
            <v>-</v>
          </cell>
          <cell r="Y154" t="str">
            <v>-</v>
          </cell>
          <cell r="Z154" t="str">
            <v>○</v>
          </cell>
          <cell r="AA154" t="str">
            <v>-</v>
          </cell>
          <cell r="AB154" t="str">
            <v>-</v>
          </cell>
          <cell r="AC154" t="str">
            <v>○</v>
          </cell>
          <cell r="AD154" t="str">
            <v>-</v>
          </cell>
          <cell r="AE154" t="str">
            <v>-</v>
          </cell>
          <cell r="AF154" t="str">
            <v>18.5H</v>
          </cell>
          <cell r="AG154" t="str">
            <v>-</v>
          </cell>
          <cell r="AH154" t="str">
            <v>-</v>
          </cell>
          <cell r="AI154" t="str">
            <v>-</v>
          </cell>
          <cell r="AJ154" t="str">
            <v>-</v>
          </cell>
          <cell r="AK154" t="str">
            <v>18.5H</v>
          </cell>
          <cell r="AL154" t="str">
            <v>-</v>
          </cell>
          <cell r="AM154" t="str">
            <v>-</v>
          </cell>
          <cell r="AN154" t="str">
            <v>-</v>
          </cell>
          <cell r="AO154" t="str">
            <v>-</v>
          </cell>
          <cell r="AP154" t="str">
            <v>○</v>
          </cell>
          <cell r="AQ154" t="str">
            <v>-</v>
          </cell>
          <cell r="AR154" t="str">
            <v>△</v>
          </cell>
          <cell r="AS154" t="str">
            <v>-</v>
          </cell>
          <cell r="AT154" t="str">
            <v>-</v>
          </cell>
          <cell r="AU154" t="str">
            <v>×</v>
          </cell>
          <cell r="AV154" t="str">
            <v>×</v>
          </cell>
          <cell r="AW154" t="str">
            <v>○</v>
          </cell>
          <cell r="AX154" t="str">
            <v>-</v>
          </cell>
          <cell r="AY154" t="str">
            <v>△</v>
          </cell>
          <cell r="AZ154" t="str">
            <v>-</v>
          </cell>
          <cell r="BA154" t="str">
            <v>○</v>
          </cell>
          <cell r="BB154" t="str">
            <v>-</v>
          </cell>
          <cell r="BC154" t="str">
            <v>○</v>
          </cell>
          <cell r="BD154" t="str">
            <v>-</v>
          </cell>
        </row>
        <row r="155">
          <cell r="J155">
            <v>123.65562337090185</v>
          </cell>
          <cell r="K155" t="str">
            <v>MAL6T</v>
          </cell>
          <cell r="L155">
            <v>5.125</v>
          </cell>
          <cell r="M155">
            <v>4.875</v>
          </cell>
          <cell r="O155">
            <v>5.4279999999999999</v>
          </cell>
          <cell r="Q155">
            <v>137.71985232150664</v>
          </cell>
          <cell r="R155" t="str">
            <v>MAL7Q</v>
          </cell>
          <cell r="S155">
            <v>5.125</v>
          </cell>
          <cell r="U155">
            <v>4.875</v>
          </cell>
          <cell r="W155">
            <v>5.4279999999999999</v>
          </cell>
          <cell r="Y155" t="str">
            <v>-</v>
          </cell>
          <cell r="Z155" t="str">
            <v>○</v>
          </cell>
          <cell r="AA155" t="str">
            <v>-</v>
          </cell>
          <cell r="AB155" t="str">
            <v>-</v>
          </cell>
          <cell r="AC155" t="str">
            <v>○</v>
          </cell>
          <cell r="AD155" t="str">
            <v>-</v>
          </cell>
          <cell r="AE155" t="str">
            <v>-</v>
          </cell>
          <cell r="AF155" t="str">
            <v>18.5H</v>
          </cell>
          <cell r="AG155" t="str">
            <v>-</v>
          </cell>
          <cell r="AH155" t="str">
            <v>-</v>
          </cell>
          <cell r="AI155" t="str">
            <v>-</v>
          </cell>
          <cell r="AJ155" t="str">
            <v>-</v>
          </cell>
          <cell r="AK155" t="str">
            <v>18.5H</v>
          </cell>
          <cell r="AL155" t="str">
            <v>-</v>
          </cell>
          <cell r="AM155" t="str">
            <v>-</v>
          </cell>
          <cell r="AN155" t="str">
            <v>-</v>
          </cell>
          <cell r="AO155" t="str">
            <v>○</v>
          </cell>
          <cell r="AP155" t="str">
            <v>-</v>
          </cell>
          <cell r="AQ155" t="str">
            <v>-</v>
          </cell>
          <cell r="AR155" t="str">
            <v>△</v>
          </cell>
          <cell r="AS155" t="str">
            <v>-</v>
          </cell>
          <cell r="AT155" t="str">
            <v>-</v>
          </cell>
          <cell r="AU155" t="str">
            <v>△</v>
          </cell>
          <cell r="AV155" t="str">
            <v>△</v>
          </cell>
          <cell r="AW155" t="str">
            <v>-</v>
          </cell>
          <cell r="AX155" t="str">
            <v>-</v>
          </cell>
          <cell r="AY155" t="str">
            <v>△</v>
          </cell>
          <cell r="AZ155" t="str">
            <v>-</v>
          </cell>
          <cell r="BA155" t="str">
            <v>-</v>
          </cell>
          <cell r="BB155" t="str">
            <v>-</v>
          </cell>
          <cell r="BC155" t="str">
            <v>△</v>
          </cell>
          <cell r="BD155" t="str">
            <v>△</v>
          </cell>
        </row>
        <row r="156">
          <cell r="J156">
            <v>101.07208685504813</v>
          </cell>
          <cell r="K156" t="str">
            <v>MAL6S</v>
          </cell>
          <cell r="L156">
            <v>5.8570000000000002</v>
          </cell>
          <cell r="M156">
            <v>5.4279999999999999</v>
          </cell>
          <cell r="O156">
            <v>6.1660000000000004</v>
          </cell>
          <cell r="Q156" t="str">
            <v>-</v>
          </cell>
          <cell r="R156" t="str">
            <v>-</v>
          </cell>
          <cell r="S156" t="str">
            <v>-</v>
          </cell>
          <cell r="U156" t="str">
            <v>-</v>
          </cell>
          <cell r="W156" t="str">
            <v>-</v>
          </cell>
          <cell r="Y156" t="str">
            <v>-</v>
          </cell>
          <cell r="Z156" t="str">
            <v>○</v>
          </cell>
          <cell r="AA156" t="str">
            <v>-</v>
          </cell>
          <cell r="AB156" t="str">
            <v>-</v>
          </cell>
          <cell r="AC156" t="str">
            <v>-</v>
          </cell>
          <cell r="AD156" t="str">
            <v>-</v>
          </cell>
          <cell r="AE156" t="str">
            <v>○</v>
          </cell>
          <cell r="AF156" t="str">
            <v>18.5H</v>
          </cell>
          <cell r="AG156" t="str">
            <v>-</v>
          </cell>
          <cell r="AH156" t="str">
            <v>-</v>
          </cell>
          <cell r="AI156" t="str">
            <v>-</v>
          </cell>
          <cell r="AJ156" t="str">
            <v>-</v>
          </cell>
          <cell r="AK156" t="str">
            <v>18.5H</v>
          </cell>
          <cell r="AL156" t="str">
            <v>-</v>
          </cell>
          <cell r="AM156" t="str">
            <v>-</v>
          </cell>
          <cell r="AN156" t="str">
            <v>-</v>
          </cell>
          <cell r="AO156" t="str">
            <v>-</v>
          </cell>
          <cell r="AP156" t="str">
            <v>○</v>
          </cell>
          <cell r="AQ156" t="str">
            <v>-</v>
          </cell>
          <cell r="AR156" t="str">
            <v>-</v>
          </cell>
          <cell r="AS156" t="str">
            <v>-</v>
          </cell>
          <cell r="AT156" t="str">
            <v>-</v>
          </cell>
          <cell r="AU156" t="str">
            <v>×</v>
          </cell>
          <cell r="AV156" t="str">
            <v>×</v>
          </cell>
          <cell r="AW156" t="str">
            <v>○</v>
          </cell>
          <cell r="AX156" t="str">
            <v>-</v>
          </cell>
          <cell r="AY156" t="str">
            <v>-</v>
          </cell>
          <cell r="AZ156" t="str">
            <v>-</v>
          </cell>
          <cell r="BA156" t="str">
            <v>○</v>
          </cell>
          <cell r="BB156" t="str">
            <v>-</v>
          </cell>
          <cell r="BC156" t="str">
            <v>○</v>
          </cell>
          <cell r="BD156" t="str">
            <v>-</v>
          </cell>
        </row>
        <row r="157">
          <cell r="J157">
            <v>126.80664090230717</v>
          </cell>
          <cell r="K157" t="str">
            <v>MJD7Q</v>
          </cell>
          <cell r="L157">
            <v>4.5549999999999997</v>
          </cell>
          <cell r="M157">
            <v>4.3330000000000002</v>
          </cell>
          <cell r="O157">
            <v>4.875</v>
          </cell>
          <cell r="Q157" t="str">
            <v>※4.333/4.555--ｺﾝﾋﾞﾃﾞｲｽｸ</v>
          </cell>
          <cell r="W157" t="str">
            <v>-</v>
          </cell>
          <cell r="Y157" t="str">
            <v>●</v>
          </cell>
          <cell r="Z157" t="str">
            <v>-</v>
          </cell>
          <cell r="AA157" t="str">
            <v>-</v>
          </cell>
          <cell r="AB157" t="str">
            <v>●</v>
          </cell>
          <cell r="AC157" t="str">
            <v>-</v>
          </cell>
          <cell r="AD157" t="str">
            <v>-</v>
          </cell>
          <cell r="AE157" t="str">
            <v>-</v>
          </cell>
          <cell r="AF157" t="str">
            <v>18.5H</v>
          </cell>
          <cell r="AG157" t="str">
            <v>-</v>
          </cell>
          <cell r="AH157" t="str">
            <v>-</v>
          </cell>
          <cell r="AI157" t="str">
            <v>-</v>
          </cell>
          <cell r="AJ157" t="str">
            <v>-</v>
          </cell>
          <cell r="AK157" t="str">
            <v>18.5H</v>
          </cell>
          <cell r="AL157" t="str">
            <v>-</v>
          </cell>
          <cell r="AM157" t="str">
            <v>-</v>
          </cell>
          <cell r="AN157" t="str">
            <v>-</v>
          </cell>
          <cell r="AO157" t="str">
            <v>●</v>
          </cell>
          <cell r="AP157" t="str">
            <v>-</v>
          </cell>
          <cell r="AQ157" t="str">
            <v>-</v>
          </cell>
          <cell r="AR157" t="str">
            <v>●</v>
          </cell>
          <cell r="AS157" t="str">
            <v>▲</v>
          </cell>
          <cell r="AT157" t="str">
            <v>○</v>
          </cell>
          <cell r="AU157" t="str">
            <v>○</v>
          </cell>
          <cell r="AV157" t="str">
            <v>○</v>
          </cell>
          <cell r="AW157" t="str">
            <v>-</v>
          </cell>
          <cell r="AX157" t="str">
            <v>●</v>
          </cell>
          <cell r="AY157" t="str">
            <v>-</v>
          </cell>
          <cell r="AZ157" t="str">
            <v>-</v>
          </cell>
          <cell r="BA157" t="str">
            <v>-</v>
          </cell>
          <cell r="BB157" t="str">
            <v>-</v>
          </cell>
          <cell r="BC157" t="str">
            <v>▲</v>
          </cell>
          <cell r="BD157" t="str">
            <v>△</v>
          </cell>
        </row>
        <row r="158">
          <cell r="J158">
            <v>125.21932759026721</v>
          </cell>
          <cell r="K158" t="str">
            <v>MJD7P</v>
          </cell>
          <cell r="L158">
            <v>4.3330000000000002</v>
          </cell>
          <cell r="M158">
            <v>4.0999999999999996</v>
          </cell>
          <cell r="O158">
            <v>4.5549999999999997</v>
          </cell>
          <cell r="Q158" t="str">
            <v>-</v>
          </cell>
          <cell r="R158" t="str">
            <v>-</v>
          </cell>
          <cell r="S158" t="str">
            <v>-</v>
          </cell>
          <cell r="U158" t="str">
            <v>-</v>
          </cell>
          <cell r="W158" t="str">
            <v>-</v>
          </cell>
          <cell r="Y158" t="str">
            <v>○</v>
          </cell>
          <cell r="Z158" t="str">
            <v>-</v>
          </cell>
          <cell r="AA158" t="str">
            <v>-</v>
          </cell>
          <cell r="AB158" t="str">
            <v>○</v>
          </cell>
          <cell r="AC158" t="str">
            <v>-</v>
          </cell>
          <cell r="AD158" t="str">
            <v>-</v>
          </cell>
          <cell r="AE158" t="str">
            <v>-</v>
          </cell>
          <cell r="AF158" t="str">
            <v>18.5H</v>
          </cell>
          <cell r="AG158" t="str">
            <v>-</v>
          </cell>
          <cell r="AH158" t="str">
            <v>-</v>
          </cell>
          <cell r="AI158" t="str">
            <v>-</v>
          </cell>
          <cell r="AJ158" t="str">
            <v>-</v>
          </cell>
          <cell r="AK158" t="str">
            <v>18.5H</v>
          </cell>
          <cell r="AL158" t="str">
            <v>-</v>
          </cell>
          <cell r="AM158" t="str">
            <v>-</v>
          </cell>
          <cell r="AN158" t="str">
            <v>-</v>
          </cell>
          <cell r="AO158" t="str">
            <v>○</v>
          </cell>
          <cell r="AP158" t="str">
            <v>-</v>
          </cell>
          <cell r="AQ158" t="str">
            <v>-</v>
          </cell>
          <cell r="AR158" t="str">
            <v>○</v>
          </cell>
          <cell r="AS158" t="str">
            <v>▲</v>
          </cell>
          <cell r="AT158" t="str">
            <v>○</v>
          </cell>
          <cell r="AU158" t="str">
            <v>○</v>
          </cell>
          <cell r="AV158" t="str">
            <v>○</v>
          </cell>
          <cell r="AW158" t="str">
            <v>-</v>
          </cell>
          <cell r="AX158" t="str">
            <v>○</v>
          </cell>
          <cell r="AY158" t="str">
            <v>-</v>
          </cell>
          <cell r="AZ158" t="str">
            <v>-</v>
          </cell>
          <cell r="BA158" t="str">
            <v>-</v>
          </cell>
          <cell r="BB158" t="str">
            <v>-</v>
          </cell>
          <cell r="BC158" t="str">
            <v>△</v>
          </cell>
          <cell r="BD158" t="str">
            <v>△</v>
          </cell>
        </row>
        <row r="159">
          <cell r="J159">
            <v>125.21932759026721</v>
          </cell>
          <cell r="K159" t="str">
            <v>MJD7P</v>
          </cell>
          <cell r="L159">
            <v>4.3330000000000002</v>
          </cell>
          <cell r="M159">
            <v>4.0999999999999996</v>
          </cell>
          <cell r="O159">
            <v>4.5549999999999997</v>
          </cell>
          <cell r="Q159" t="str">
            <v>-</v>
          </cell>
          <cell r="R159" t="str">
            <v>-</v>
          </cell>
          <cell r="S159" t="str">
            <v>-</v>
          </cell>
          <cell r="U159" t="str">
            <v>-</v>
          </cell>
          <cell r="W159" t="str">
            <v>-</v>
          </cell>
          <cell r="Y159" t="str">
            <v>●</v>
          </cell>
          <cell r="Z159" t="str">
            <v>-</v>
          </cell>
          <cell r="AA159" t="str">
            <v>-</v>
          </cell>
          <cell r="AB159" t="str">
            <v>●</v>
          </cell>
          <cell r="AC159" t="str">
            <v>-</v>
          </cell>
          <cell r="AD159" t="str">
            <v>-</v>
          </cell>
          <cell r="AE159" t="str">
            <v>-</v>
          </cell>
          <cell r="AF159" t="str">
            <v>18.5H</v>
          </cell>
          <cell r="AG159" t="str">
            <v>-</v>
          </cell>
          <cell r="AH159" t="str">
            <v>-</v>
          </cell>
          <cell r="AI159" t="str">
            <v>-</v>
          </cell>
          <cell r="AJ159" t="str">
            <v>-</v>
          </cell>
          <cell r="AK159" t="str">
            <v>18.5H</v>
          </cell>
          <cell r="AL159" t="str">
            <v>-</v>
          </cell>
          <cell r="AM159" t="str">
            <v>-</v>
          </cell>
          <cell r="AN159" t="str">
            <v>-</v>
          </cell>
          <cell r="AO159" t="str">
            <v>●</v>
          </cell>
          <cell r="AP159" t="str">
            <v>-</v>
          </cell>
          <cell r="AQ159" t="str">
            <v>-</v>
          </cell>
          <cell r="AR159" t="str">
            <v>●</v>
          </cell>
          <cell r="AS159" t="str">
            <v>▲</v>
          </cell>
          <cell r="AT159" t="str">
            <v>○</v>
          </cell>
          <cell r="AU159" t="str">
            <v>○</v>
          </cell>
          <cell r="AV159" t="str">
            <v>○</v>
          </cell>
          <cell r="AW159" t="str">
            <v>-</v>
          </cell>
          <cell r="AX159" t="str">
            <v>○</v>
          </cell>
          <cell r="AY159" t="str">
            <v>-</v>
          </cell>
          <cell r="AZ159" t="str">
            <v>-</v>
          </cell>
          <cell r="BA159" t="str">
            <v>-</v>
          </cell>
          <cell r="BB159" t="str">
            <v>-</v>
          </cell>
          <cell r="BC159" t="str">
            <v>△</v>
          </cell>
          <cell r="BD159" t="str">
            <v>△</v>
          </cell>
        </row>
        <row r="160">
          <cell r="J160">
            <v>125.21932759026721</v>
          </cell>
          <cell r="K160" t="str">
            <v>MJD7P</v>
          </cell>
          <cell r="L160">
            <v>4.3330000000000002</v>
          </cell>
          <cell r="M160">
            <v>4.0999999999999996</v>
          </cell>
          <cell r="O160">
            <v>4.5549999999999997</v>
          </cell>
          <cell r="Q160" t="str">
            <v>-</v>
          </cell>
          <cell r="R160" t="str">
            <v>-</v>
          </cell>
          <cell r="S160" t="str">
            <v>-</v>
          </cell>
          <cell r="U160" t="str">
            <v>-</v>
          </cell>
          <cell r="W160" t="str">
            <v>-</v>
          </cell>
          <cell r="Y160" t="str">
            <v>-</v>
          </cell>
          <cell r="Z160" t="str">
            <v>○</v>
          </cell>
          <cell r="AA160" t="str">
            <v>-</v>
          </cell>
          <cell r="AB160" t="str">
            <v>○</v>
          </cell>
          <cell r="AC160" t="str">
            <v>-</v>
          </cell>
          <cell r="AD160" t="str">
            <v>-</v>
          </cell>
          <cell r="AE160" t="str">
            <v>-</v>
          </cell>
          <cell r="AF160" t="str">
            <v>18.5H</v>
          </cell>
          <cell r="AG160" t="str">
            <v>-</v>
          </cell>
          <cell r="AH160" t="str">
            <v>-</v>
          </cell>
          <cell r="AI160" t="str">
            <v>-</v>
          </cell>
          <cell r="AJ160" t="str">
            <v>-</v>
          </cell>
          <cell r="AK160" t="str">
            <v>18.5H</v>
          </cell>
          <cell r="AL160" t="str">
            <v>-</v>
          </cell>
          <cell r="AM160" t="str">
            <v>-</v>
          </cell>
          <cell r="AN160" t="str">
            <v>-</v>
          </cell>
          <cell r="AO160" t="str">
            <v>○</v>
          </cell>
          <cell r="AP160" t="str">
            <v>-</v>
          </cell>
          <cell r="AQ160" t="str">
            <v>-</v>
          </cell>
          <cell r="AR160" t="str">
            <v>△</v>
          </cell>
          <cell r="AS160" t="str">
            <v>-</v>
          </cell>
          <cell r="AT160" t="str">
            <v>○</v>
          </cell>
          <cell r="AU160" t="str">
            <v>○</v>
          </cell>
          <cell r="AV160" t="str">
            <v>○</v>
          </cell>
          <cell r="AW160" t="str">
            <v>-</v>
          </cell>
          <cell r="AX160" t="str">
            <v>○</v>
          </cell>
          <cell r="AY160" t="str">
            <v>-</v>
          </cell>
          <cell r="AZ160" t="str">
            <v>-</v>
          </cell>
          <cell r="BA160" t="str">
            <v>-</v>
          </cell>
          <cell r="BB160" t="str">
            <v>-</v>
          </cell>
          <cell r="BC160" t="str">
            <v>△</v>
          </cell>
          <cell r="BD160" t="str">
            <v>△</v>
          </cell>
        </row>
        <row r="161">
          <cell r="J161">
            <v>129.61766069361894</v>
          </cell>
          <cell r="K161" t="str">
            <v>MAL7R</v>
          </cell>
          <cell r="L161">
            <v>5.125</v>
          </cell>
          <cell r="M161">
            <v>4.875</v>
          </cell>
          <cell r="O161">
            <v>5.4279999999999999</v>
          </cell>
          <cell r="Q161" t="str">
            <v>※4.875/5.125--ｺﾝﾋﾞﾃﾞｲｽｸ</v>
          </cell>
          <cell r="W161" t="str">
            <v>-</v>
          </cell>
          <cell r="Y161" t="str">
            <v>-</v>
          </cell>
          <cell r="Z161" t="str">
            <v>●</v>
          </cell>
          <cell r="AA161" t="str">
            <v>-</v>
          </cell>
          <cell r="AB161" t="str">
            <v>-</v>
          </cell>
          <cell r="AC161" t="str">
            <v>●</v>
          </cell>
          <cell r="AD161" t="str">
            <v>-</v>
          </cell>
          <cell r="AE161" t="str">
            <v>-</v>
          </cell>
          <cell r="AF161" t="str">
            <v>18.5H</v>
          </cell>
          <cell r="AG161" t="str">
            <v>-</v>
          </cell>
          <cell r="AH161" t="str">
            <v>-</v>
          </cell>
          <cell r="AI161" t="str">
            <v>-</v>
          </cell>
          <cell r="AJ161" t="str">
            <v>-</v>
          </cell>
          <cell r="AK161" t="str">
            <v>18.5H</v>
          </cell>
          <cell r="AL161" t="str">
            <v>-</v>
          </cell>
          <cell r="AM161" t="str">
            <v>-</v>
          </cell>
          <cell r="AN161" t="str">
            <v>-</v>
          </cell>
          <cell r="AO161" t="str">
            <v>●</v>
          </cell>
          <cell r="AP161" t="str">
            <v>-</v>
          </cell>
          <cell r="AQ161" t="str">
            <v>-</v>
          </cell>
          <cell r="AR161" t="str">
            <v>●</v>
          </cell>
          <cell r="AS161" t="str">
            <v>▲</v>
          </cell>
          <cell r="AT161" t="str">
            <v>○</v>
          </cell>
          <cell r="AU161" t="str">
            <v>○</v>
          </cell>
          <cell r="AV161" t="str">
            <v>○</v>
          </cell>
          <cell r="AW161" t="str">
            <v>-</v>
          </cell>
          <cell r="AX161" t="str">
            <v>○</v>
          </cell>
          <cell r="AY161" t="str">
            <v>-</v>
          </cell>
          <cell r="AZ161" t="str">
            <v>-</v>
          </cell>
          <cell r="BA161" t="str">
            <v>-</v>
          </cell>
          <cell r="BB161" t="str">
            <v>-</v>
          </cell>
          <cell r="BC161" t="str">
            <v>-</v>
          </cell>
          <cell r="BD161" t="str">
            <v>△</v>
          </cell>
        </row>
        <row r="162">
          <cell r="J162">
            <v>132.33545035332389</v>
          </cell>
          <cell r="K162" t="str">
            <v>MJD7P</v>
          </cell>
          <cell r="L162">
            <v>4.0999999999999996</v>
          </cell>
          <cell r="M162">
            <v>4.3330000000000002</v>
          </cell>
          <cell r="O162">
            <v>4.5549999999999997</v>
          </cell>
          <cell r="Q162" t="str">
            <v>-</v>
          </cell>
          <cell r="R162" t="str">
            <v>-</v>
          </cell>
          <cell r="S162" t="str">
            <v>-</v>
          </cell>
          <cell r="U162" t="str">
            <v>-</v>
          </cell>
          <cell r="W162" t="str">
            <v>-</v>
          </cell>
          <cell r="Y162" t="str">
            <v>-</v>
          </cell>
          <cell r="Z162" t="str">
            <v>○</v>
          </cell>
          <cell r="AA162" t="str">
            <v>-</v>
          </cell>
          <cell r="AB162" t="str">
            <v>○</v>
          </cell>
          <cell r="AC162" t="str">
            <v>-</v>
          </cell>
          <cell r="AD162" t="str">
            <v>-</v>
          </cell>
          <cell r="AE162" t="str">
            <v>-</v>
          </cell>
          <cell r="AF162" t="str">
            <v>18.5H</v>
          </cell>
          <cell r="AG162" t="str">
            <v>-</v>
          </cell>
          <cell r="AH162" t="str">
            <v>-</v>
          </cell>
          <cell r="AI162" t="str">
            <v>-</v>
          </cell>
          <cell r="AJ162" t="str">
            <v>-</v>
          </cell>
          <cell r="AK162" t="str">
            <v>18.5H</v>
          </cell>
          <cell r="AL162" t="str">
            <v>-</v>
          </cell>
          <cell r="AM162" t="str">
            <v>-</v>
          </cell>
          <cell r="AN162" t="str">
            <v>-</v>
          </cell>
          <cell r="AO162" t="str">
            <v>○</v>
          </cell>
          <cell r="AP162" t="str">
            <v>-</v>
          </cell>
          <cell r="AQ162" t="str">
            <v>-</v>
          </cell>
          <cell r="AR162" t="str">
            <v>○</v>
          </cell>
          <cell r="AS162" t="str">
            <v>▲</v>
          </cell>
          <cell r="AT162" t="str">
            <v>○</v>
          </cell>
          <cell r="AU162" t="str">
            <v>○</v>
          </cell>
          <cell r="AV162" t="str">
            <v>○</v>
          </cell>
          <cell r="AW162" t="str">
            <v>-</v>
          </cell>
          <cell r="AX162" t="str">
            <v>○</v>
          </cell>
          <cell r="AY162" t="str">
            <v>-</v>
          </cell>
          <cell r="AZ162" t="str">
            <v>-</v>
          </cell>
          <cell r="BA162" t="str">
            <v>-</v>
          </cell>
          <cell r="BB162" t="str">
            <v>-</v>
          </cell>
          <cell r="BC162" t="str">
            <v>△</v>
          </cell>
          <cell r="BD162" t="str">
            <v>△</v>
          </cell>
        </row>
        <row r="163">
          <cell r="J163">
            <v>129.61766069361894</v>
          </cell>
          <cell r="K163" t="str">
            <v>MAL7R</v>
          </cell>
          <cell r="L163">
            <v>5.125</v>
          </cell>
          <cell r="M163">
            <v>4.875</v>
          </cell>
          <cell r="O163">
            <v>5.4279999999999999</v>
          </cell>
          <cell r="Q163" t="str">
            <v>※4.875/5.125--ｺﾝﾋﾞﾃﾞｲｽｸ</v>
          </cell>
          <cell r="W163" t="str">
            <v>-</v>
          </cell>
          <cell r="Y163" t="str">
            <v>-</v>
          </cell>
          <cell r="Z163" t="str">
            <v>●</v>
          </cell>
          <cell r="AA163" t="str">
            <v>-</v>
          </cell>
          <cell r="AB163" t="str">
            <v>-</v>
          </cell>
          <cell r="AC163" t="str">
            <v>●</v>
          </cell>
          <cell r="AD163" t="str">
            <v>-</v>
          </cell>
          <cell r="AE163" t="str">
            <v>-</v>
          </cell>
          <cell r="AF163" t="str">
            <v>18.5H</v>
          </cell>
          <cell r="AG163" t="str">
            <v>-</v>
          </cell>
          <cell r="AH163" t="str">
            <v>-</v>
          </cell>
          <cell r="AI163" t="str">
            <v>-</v>
          </cell>
          <cell r="AJ163" t="str">
            <v>-</v>
          </cell>
          <cell r="AK163" t="str">
            <v>18.5H</v>
          </cell>
          <cell r="AL163" t="str">
            <v>-</v>
          </cell>
          <cell r="AM163" t="str">
            <v>-</v>
          </cell>
          <cell r="AN163" t="str">
            <v>-</v>
          </cell>
          <cell r="AO163" t="str">
            <v>●</v>
          </cell>
          <cell r="AP163" t="str">
            <v>-</v>
          </cell>
          <cell r="AQ163" t="str">
            <v>-</v>
          </cell>
          <cell r="AR163" t="str">
            <v>●</v>
          </cell>
          <cell r="AS163" t="str">
            <v>▲</v>
          </cell>
          <cell r="AT163" t="str">
            <v>○</v>
          </cell>
          <cell r="AU163" t="str">
            <v>○</v>
          </cell>
          <cell r="AV163" t="str">
            <v>○</v>
          </cell>
          <cell r="AW163" t="str">
            <v>-</v>
          </cell>
          <cell r="AX163" t="str">
            <v>○</v>
          </cell>
          <cell r="AY163" t="str">
            <v>-</v>
          </cell>
          <cell r="AZ163" t="str">
            <v>-</v>
          </cell>
          <cell r="BA163" t="str">
            <v>-</v>
          </cell>
          <cell r="BB163" t="str">
            <v>-</v>
          </cell>
          <cell r="BC163" t="str">
            <v>-</v>
          </cell>
          <cell r="BD163" t="str">
            <v>△</v>
          </cell>
        </row>
        <row r="164">
          <cell r="J164">
            <v>125.21932759026721</v>
          </cell>
          <cell r="K164" t="str">
            <v>MJD7P</v>
          </cell>
          <cell r="L164">
            <v>4.3330000000000002</v>
          </cell>
          <cell r="M164">
            <v>4.0999999999999996</v>
          </cell>
          <cell r="O164">
            <v>4.5549999999999997</v>
          </cell>
          <cell r="Q164" t="str">
            <v>-</v>
          </cell>
          <cell r="R164" t="str">
            <v>-</v>
          </cell>
          <cell r="S164" t="str">
            <v>-</v>
          </cell>
          <cell r="U164" t="str">
            <v>-</v>
          </cell>
          <cell r="W164" t="str">
            <v>-</v>
          </cell>
          <cell r="Y164" t="str">
            <v>-</v>
          </cell>
          <cell r="Z164" t="str">
            <v>○</v>
          </cell>
          <cell r="AA164" t="str">
            <v>-</v>
          </cell>
          <cell r="AB164" t="str">
            <v>○</v>
          </cell>
          <cell r="AC164" t="str">
            <v>-</v>
          </cell>
          <cell r="AD164" t="str">
            <v>-</v>
          </cell>
          <cell r="AE164" t="str">
            <v>-</v>
          </cell>
          <cell r="AF164" t="str">
            <v>18.5H</v>
          </cell>
          <cell r="AG164" t="str">
            <v>-</v>
          </cell>
          <cell r="AH164" t="str">
            <v>-</v>
          </cell>
          <cell r="AI164" t="str">
            <v>-</v>
          </cell>
          <cell r="AJ164" t="str">
            <v>-</v>
          </cell>
          <cell r="AK164" t="str">
            <v>18.5H</v>
          </cell>
          <cell r="AL164" t="str">
            <v>-</v>
          </cell>
          <cell r="AM164" t="str">
            <v>-</v>
          </cell>
          <cell r="AN164" t="str">
            <v>-</v>
          </cell>
          <cell r="AO164" t="str">
            <v>○</v>
          </cell>
          <cell r="AP164" t="str">
            <v>-</v>
          </cell>
          <cell r="AQ164" t="str">
            <v>-</v>
          </cell>
          <cell r="AR164" t="str">
            <v>○</v>
          </cell>
          <cell r="AS164" t="str">
            <v>▲</v>
          </cell>
          <cell r="AT164" t="str">
            <v>○</v>
          </cell>
          <cell r="AU164" t="str">
            <v>○</v>
          </cell>
          <cell r="AV164" t="str">
            <v>○</v>
          </cell>
          <cell r="AW164" t="str">
            <v>-</v>
          </cell>
          <cell r="AX164" t="str">
            <v>○</v>
          </cell>
          <cell r="AY164" t="str">
            <v>-</v>
          </cell>
          <cell r="AZ164" t="str">
            <v>-</v>
          </cell>
          <cell r="BA164" t="str">
            <v>-</v>
          </cell>
          <cell r="BB164" t="str">
            <v>-</v>
          </cell>
          <cell r="BC164" t="str">
            <v>△</v>
          </cell>
          <cell r="BD164" t="str">
            <v>△</v>
          </cell>
        </row>
        <row r="165">
          <cell r="J165">
            <v>129.61766069361894</v>
          </cell>
          <cell r="K165" t="str">
            <v>MAL7R</v>
          </cell>
          <cell r="L165">
            <v>5.125</v>
          </cell>
          <cell r="M165">
            <v>4.875</v>
          </cell>
          <cell r="O165">
            <v>5.4279999999999999</v>
          </cell>
          <cell r="Q165" t="str">
            <v>※4.875/5.125--ｺﾝﾋﾞﾃﾞｲｽｸ</v>
          </cell>
          <cell r="W165" t="str">
            <v>-</v>
          </cell>
          <cell r="Y165" t="str">
            <v>-</v>
          </cell>
          <cell r="Z165" t="str">
            <v>●</v>
          </cell>
          <cell r="AA165" t="str">
            <v>-</v>
          </cell>
          <cell r="AB165" t="str">
            <v>-</v>
          </cell>
          <cell r="AC165" t="str">
            <v>●</v>
          </cell>
          <cell r="AD165" t="str">
            <v>-</v>
          </cell>
          <cell r="AE165" t="str">
            <v>-</v>
          </cell>
          <cell r="AF165" t="str">
            <v>18.5H</v>
          </cell>
          <cell r="AG165" t="str">
            <v>-</v>
          </cell>
          <cell r="AH165" t="str">
            <v>-</v>
          </cell>
          <cell r="AI165" t="str">
            <v>-</v>
          </cell>
          <cell r="AJ165" t="str">
            <v>-</v>
          </cell>
          <cell r="AK165" t="str">
            <v>18.5H</v>
          </cell>
          <cell r="AL165" t="str">
            <v>-</v>
          </cell>
          <cell r="AM165" t="str">
            <v>-</v>
          </cell>
          <cell r="AN165" t="str">
            <v>-</v>
          </cell>
          <cell r="AO165" t="str">
            <v>●</v>
          </cell>
          <cell r="AP165" t="str">
            <v>-</v>
          </cell>
          <cell r="AQ165" t="str">
            <v>-</v>
          </cell>
          <cell r="AR165" t="str">
            <v>○</v>
          </cell>
          <cell r="AS165" t="str">
            <v>▲</v>
          </cell>
          <cell r="AT165" t="str">
            <v>○</v>
          </cell>
          <cell r="AU165" t="str">
            <v>○</v>
          </cell>
          <cell r="AV165" t="str">
            <v>○</v>
          </cell>
          <cell r="AW165" t="str">
            <v>-</v>
          </cell>
          <cell r="AX165" t="str">
            <v>○</v>
          </cell>
          <cell r="AY165" t="str">
            <v>-</v>
          </cell>
          <cell r="AZ165" t="str">
            <v>-</v>
          </cell>
          <cell r="BA165" t="str">
            <v>-</v>
          </cell>
          <cell r="BB165" t="str">
            <v>-</v>
          </cell>
          <cell r="BC165" t="str">
            <v>-</v>
          </cell>
          <cell r="BD165" t="str">
            <v>△</v>
          </cell>
        </row>
        <row r="166">
          <cell r="J166">
            <v>118.16780877864343</v>
          </cell>
          <cell r="K166" t="str">
            <v>MJD7Q</v>
          </cell>
          <cell r="L166">
            <v>4.8879999999999999</v>
          </cell>
          <cell r="M166">
            <v>4.5549999999999997</v>
          </cell>
          <cell r="O166">
            <v>5.375</v>
          </cell>
          <cell r="Q166" t="str">
            <v>-</v>
          </cell>
          <cell r="R166" t="str">
            <v>-</v>
          </cell>
          <cell r="S166" t="str">
            <v>-</v>
          </cell>
          <cell r="U166" t="str">
            <v>-</v>
          </cell>
          <cell r="W166" t="str">
            <v>-</v>
          </cell>
          <cell r="Y166" t="str">
            <v>-</v>
          </cell>
          <cell r="Z166" t="str">
            <v>-</v>
          </cell>
          <cell r="AA166" t="str">
            <v>●</v>
          </cell>
          <cell r="AB166" t="str">
            <v>●</v>
          </cell>
          <cell r="AC166" t="str">
            <v>-</v>
          </cell>
          <cell r="AD166" t="str">
            <v>-</v>
          </cell>
          <cell r="AE166" t="str">
            <v>-</v>
          </cell>
          <cell r="AF166" t="str">
            <v>19.5H</v>
          </cell>
          <cell r="AG166" t="str">
            <v>-</v>
          </cell>
          <cell r="AH166" t="str">
            <v>-</v>
          </cell>
          <cell r="AI166" t="str">
            <v>-</v>
          </cell>
          <cell r="AJ166" t="str">
            <v>19.5H</v>
          </cell>
          <cell r="AK166" t="str">
            <v>-</v>
          </cell>
          <cell r="AL166" t="str">
            <v>-</v>
          </cell>
          <cell r="AM166" t="str">
            <v>-</v>
          </cell>
          <cell r="AN166" t="str">
            <v>-</v>
          </cell>
          <cell r="AO166" t="str">
            <v>●</v>
          </cell>
          <cell r="AP166" t="str">
            <v>●</v>
          </cell>
          <cell r="AQ166" t="str">
            <v>-</v>
          </cell>
          <cell r="AR166" t="str">
            <v>-</v>
          </cell>
          <cell r="AS166" t="str">
            <v>▲</v>
          </cell>
          <cell r="AT166" t="str">
            <v>○</v>
          </cell>
          <cell r="AU166" t="str">
            <v>○</v>
          </cell>
          <cell r="AV166" t="str">
            <v>○</v>
          </cell>
          <cell r="AW166" t="str">
            <v>-</v>
          </cell>
          <cell r="AX166" t="str">
            <v>●</v>
          </cell>
          <cell r="AY166" t="str">
            <v>-</v>
          </cell>
          <cell r="AZ166" t="str">
            <v>-</v>
          </cell>
          <cell r="BA166" t="str">
            <v>-</v>
          </cell>
          <cell r="BB166" t="str">
            <v>-</v>
          </cell>
          <cell r="BC166" t="str">
            <v>▲</v>
          </cell>
          <cell r="BD166" t="str">
            <v>△</v>
          </cell>
        </row>
        <row r="167">
          <cell r="R167" t="str">
            <v></v>
          </cell>
          <cell r="S167" t="str">
            <v>強力時リターダのみＭＪＤ７を使用</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sheetData sheetId="41"/>
      <sheetData sheetId="42"/>
    </sheetDataSet>
  </externalBook>
</externalLink>
</file>

<file path=xl/externalLinks/externalLink2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計算表"/>
      <sheetName val="Sheet3"/>
      <sheetName val="段ﾎﾞｰﾙ箱図番･荷姿ｺｰﾄﾞ"/>
      <sheetName val="(9)-1.ﾀﾞﾝﾊﾟｰASSYの機能低下P-FTA"/>
      <sheetName val="yh5特装"/>
      <sheetName val="総合B"/>
      <sheetName val="CAN送信(TRQ関係)"/>
      <sheetName val="Grafic"/>
      <sheetName val="ScrapM"/>
      <sheetName val="99PCB量産品"/>
      <sheetName val="★比較ｸﾞﾗﾌﾃﾞｰﾀｰ１"/>
      <sheetName val="班部番別"/>
      <sheetName val="5pump"/>
      <sheetName val="9809台数"/>
      <sheetName val="レビュー計画表"/>
      <sheetName val="駆動機"/>
      <sheetName val="#REF"/>
      <sheetName val="MPL 技連"/>
      <sheetName val="342E BLOCK"/>
      <sheetName val="1.現状_09(Ec)"/>
      <sheetName val="1.中点誤差(現)"/>
      <sheetName val="リスト"/>
      <sheetName val="ブロック図"/>
      <sheetName val="20"/>
      <sheetName val="supplier info"/>
      <sheetName val="ﾃﾞｰﾀﾍﾞｰｽ"/>
      <sheetName val="日産設通"/>
      <sheetName val="MessageList"/>
      <sheetName val="ZR_M32R"/>
      <sheetName val="Ne算出関数"/>
      <sheetName val="DATA(MKS)"/>
      <sheetName val="ＴＡ２"/>
      <sheetName val="mainCPU"/>
      <sheetName val="定義シート1"/>
      <sheetName val="ﾊﾟｰﾂﾘｽﾄ元"/>
      <sheetName val="モニタ回路"/>
      <sheetName val="ﾓｰﾀ端子電圧"/>
      <sheetName val="A"/>
      <sheetName val="事務所引越見積書"/>
      <sheetName val="原価センター"/>
      <sheetName val="204比較"/>
      <sheetName val="FR"/>
      <sheetName val="損益歴史"/>
      <sheetName val="φ１１４ALT"/>
      <sheetName val="車体構成"/>
      <sheetName val="ﾘｽﾄ①"/>
      <sheetName val="SCH"/>
      <sheetName val="02年UMEX販売計画元資料"/>
      <sheetName val="Sheet2"/>
      <sheetName val="협조전"/>
      <sheetName val="全体"/>
      <sheetName val="機種一覧"/>
      <sheetName val="TM"/>
    </sheetNames>
    <sheetDataSet>
      <sheetData sheetId="0"/>
      <sheetData sheetId="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Set>
  </externalBook>
</externalLink>
</file>

<file path=xl/externalLinks/externalLink2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002(6)"/>
      <sheetName val="002"/>
      <sheetName val="Sheet1"/>
      <sheetName val="002(2)"/>
      <sheetName val="002(3)"/>
      <sheetName val="002(4)"/>
      <sheetName val="002(5)"/>
      <sheetName val="改定記録 "/>
      <sheetName val="製品紹介表"/>
      <sheetName val="TIRE読み替え表"/>
    </sheetNames>
    <sheetDataSet>
      <sheetData sheetId="0" refreshError="1"/>
      <sheetData sheetId="1" refreshError="1"/>
      <sheetData sheetId="2" refreshError="1"/>
      <sheetData sheetId="3" refreshError="1"/>
      <sheetData sheetId="4" refreshError="1"/>
      <sheetData sheetId="5"/>
      <sheetData sheetId="6" refreshError="1"/>
      <sheetData sheetId="7" refreshError="1"/>
      <sheetData sheetId="8"/>
      <sheetData sheetId="9" refreshError="1"/>
    </sheetDataSet>
  </externalBook>
</externalLink>
</file>

<file path=xl/externalLinks/externalLink2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OPL"/>
      <sheetName val="DID全体"/>
      <sheetName val="RID全体"/>
      <sheetName val="No.16"/>
      <sheetName val="No.32"/>
      <sheetName val="No.43"/>
      <sheetName val="No.44"/>
      <sheetName val="No.44_回答"/>
      <sheetName val="No.46"/>
      <sheetName val="No.47"/>
      <sheetName val="GMW_EOLP"/>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externalLinks/externalLink2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その他内訳"/>
      <sheetName val="⑧工数図"/>
      <sheetName val="⑦工数図_旧"/>
      <sheetName val="Sheet2"/>
      <sheetName val="四技合計"/>
      <sheetName val="070122_図"/>
      <sheetName val="070122_工数グラフ"/>
      <sheetName val="フォーマット分類定義"/>
      <sheetName val="Form"/>
      <sheetName val="工数グラフ"/>
      <sheetName val="四技合計(141期)"/>
      <sheetName val="④機種数"/>
      <sheetName val="④開発工数表"/>
      <sheetName val="④開発工数図"/>
      <sheetName val="④開発工数図(参考)"/>
      <sheetName val="ＹＷ１（140期）"/>
      <sheetName val="141通期 当初予想(機種別）"/>
      <sheetName val="開発工数_合計（142-144期）"/>
      <sheetName val="機種別合計"/>
      <sheetName val="ス、S_P"/>
      <sheetName val="Ｄ未"/>
      <sheetName val="ヨⅠ完"/>
      <sheetName val="ヨⅡ完"/>
      <sheetName val="ヨⅢ未"/>
      <sheetName val="ヨⅣ同"/>
      <sheetName val="ヨⅤ完"/>
      <sheetName val="ヨⅥ"/>
      <sheetName val="ヨⅦ・ヨT完"/>
      <sheetName val="ヨＤ完"/>
      <sheetName val="リ完"/>
      <sheetName val="ヌ完"/>
      <sheetName val="キ"/>
      <sheetName val="計算表"/>
      <sheetName val="総合B"/>
      <sheetName val="yh5特装"/>
      <sheetName val="Data"/>
      <sheetName val="DataList"/>
      <sheetName val="⑦070126工数見直し各部_最終"/>
      <sheetName val="X61B ZH2E L1 #1"/>
      <sheetName val="属性_開発日程雛形ナンバ"/>
      <sheetName val="属性_NEW_FMC_MC"/>
      <sheetName val="属性_Main"/>
      <sheetName val="属性_カーライン"/>
      <sheetName val="属性_CNG"/>
      <sheetName val="属性_電動システム"/>
      <sheetName val="属性_駆動"/>
      <sheetName val="属性_エンジン1"/>
      <sheetName val="属性_生産国"/>
      <sheetName val="属性_MSIL開発"/>
      <sheetName val="属性_変更レベル"/>
      <sheetName val="属性_日本分類"/>
      <sheetName val="属性_ボディタイプ"/>
      <sheetName val="属性_セグメント"/>
      <sheetName val="属性_販売地域"/>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Set>
  </externalBook>
</externalLink>
</file>

<file path=xl/externalLinks/externalLink2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ver(development) "/>
      <sheetName val="Contents"/>
      <sheetName val="Revision_History"/>
      <sheetName val="1. Com_Mode"/>
      <sheetName val="1. Com_Mode (2)"/>
      <sheetName val="2. OBD_Spec"/>
      <sheetName val="3.1 Srv$01"/>
      <sheetName val="3.2 Srv$02"/>
      <sheetName val="3.3 Srv$04$14"/>
      <sheetName val="3.4 Srv$06"/>
      <sheetName val="3.5 Srv$09"/>
      <sheetName val="3.6 Srv$12"/>
      <sheetName val="3.7 Srv$1A"/>
      <sheetName val="3.8 Srv$21RLI Map"/>
      <sheetName val="3.8(2) Srv$21RLI$00"/>
      <sheetName val="3.8(3) Srv$21RLI$20"/>
      <sheetName val="3.8(4) Srv$21RLI$21"/>
      <sheetName val="3.8(5) Srv$21RLI$22"/>
      <sheetName val="3.8(6) Srv$21RLI$25"/>
      <sheetName val="3.8(7) Srv$21RLI$27"/>
      <sheetName val="3.8(8) Srv$21RLI$28"/>
      <sheetName val="3.8(9) Srv$21RLI$30$31"/>
      <sheetName val="3.8(10) Srv$21RLI$30$31 (2)"/>
      <sheetName val="3.8(10) Srv$21RLI$30$31_19M"/>
      <sheetName val="3.8(11) Srv$21RLI$30$31"/>
      <sheetName val="3.8(12) Srv$21RLI$32$33"/>
      <sheetName val="3.8(13) Srv$21RLI$32$33"/>
      <sheetName val="3.8(14) Srv$21RLI$32$33_19M"/>
      <sheetName val="3.8(15) Srv$21RLI$32$33"/>
      <sheetName val="3.8(16) Srv$21RLI$34"/>
      <sheetName val="3.8(17) Srv$21RLI$34"/>
      <sheetName val="3.8(18) Srv$21RLI$34"/>
      <sheetName val="3.8(19) Srv$21RLI$35"/>
      <sheetName val="3.8(20) Srv$21RLI$35"/>
      <sheetName val="3.8(21) Srv$21RLI$36"/>
      <sheetName val="3.8(22) Srv$21RLI$36_19M"/>
      <sheetName val="3.8(23) Srv$21RLI$36_(2)"/>
      <sheetName val="3.8(24) Srv$21RLI$3A"/>
      <sheetName val="3.8(25) Srv$21RLI$3B"/>
      <sheetName val="3.8(26) Srv$21RLI$3C"/>
      <sheetName val="3.8(27) Srv$21RLI$3C"/>
      <sheetName val="3.8(28) Srv$21RLI$3D"/>
      <sheetName val="3.8(29) Srv$21RLI$3D"/>
      <sheetName val="3.8(30) Srv$21RLI$3E"/>
      <sheetName val="3.8(31) Srv$21RLI$40$49"/>
      <sheetName val="3.8(32) Srv$21RLI$90"/>
      <sheetName val="3.8(33) Srv$21RLI$91"/>
      <sheetName val="3.8(34) Srv$21RLI$A2"/>
      <sheetName val="3.8(35) Srv$21RLI$A2"/>
      <sheetName val="3.8(36) Srv$21RLI$C0"/>
      <sheetName val="3.9 Srv$23"/>
      <sheetName val="3.10 Srv$30"/>
      <sheetName val="3.10 Srv$30 (2)"/>
      <sheetName val="3.11 Srv$3B"/>
      <sheetName val="4.Flash ROM Reprogramming"/>
      <sheetName val="3.8Service$21(13)RLI$3C"/>
      <sheetName val="DTC List (!for internal use!) "/>
      <sheetName val="ISO15031-6"/>
      <sheetName val="設定"/>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Set>
  </externalBook>
</externalLink>
</file>

<file path=xl/externalLinks/externalLink2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ver"/>
      <sheetName val="History"/>
      <sheetName val="RQ1"/>
      <sheetName val="NetworkPram"/>
      <sheetName val="SID"/>
      <sheetName val="NRC"/>
      <sheetName val="PID"/>
      <sheetName val="OBDMID (SID06)"/>
      <sheetName val="InfoType (SID09)"/>
      <sheetName val="DID"/>
      <sheetName val="DID1000 (Byte)"/>
      <sheetName val="DID1000 (Bit)"/>
      <sheetName val="DID1020"/>
      <sheetName val="DIDF18C"/>
      <sheetName val="IOCBI"/>
      <sheetName val="RID"/>
      <sheetName val="BC_Structure"/>
      <sheetName val="ReproSequence"/>
      <sheetName val="ContainerToolChain"/>
    </sheetNames>
    <sheetDataSet>
      <sheetData sheetId="0"/>
      <sheetData sheetId="1"/>
      <sheetData sheetId="2"/>
      <sheetData sheetId="3"/>
      <sheetData sheetId="4"/>
      <sheetData sheetId="5"/>
      <sheetData sheetId="6">
        <row r="305">
          <cell r="A305">
            <v>128</v>
          </cell>
        </row>
        <row r="306">
          <cell r="A306">
            <v>64</v>
          </cell>
        </row>
        <row r="307">
          <cell r="A307">
            <v>32</v>
          </cell>
        </row>
        <row r="308">
          <cell r="A308">
            <v>16</v>
          </cell>
        </row>
        <row r="309">
          <cell r="A309">
            <v>8</v>
          </cell>
        </row>
        <row r="310">
          <cell r="A310">
            <v>4</v>
          </cell>
        </row>
        <row r="311">
          <cell r="A311">
            <v>2</v>
          </cell>
        </row>
        <row r="312">
          <cell r="A312">
            <v>1</v>
          </cell>
        </row>
      </sheetData>
      <sheetData sheetId="7"/>
      <sheetData sheetId="8"/>
      <sheetData sheetId="9"/>
      <sheetData sheetId="10"/>
      <sheetData sheetId="11"/>
      <sheetData sheetId="12"/>
      <sheetData sheetId="13"/>
      <sheetData sheetId="14"/>
      <sheetData sheetId="15"/>
      <sheetData sheetId="16"/>
      <sheetData sheetId="17"/>
      <sheetData sheetId="18"/>
    </sheetDataSet>
  </externalBook>
</externalLink>
</file>

<file path=xl/externalLinks/externalLink2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ver"/>
      <sheetName val="History"/>
      <sheetName val="SID"/>
      <sheetName val="PID"/>
      <sheetName val="OBDMID (SID06)"/>
      <sheetName val="InfoType (SID09)"/>
      <sheetName val="DID_overview"/>
      <sheetName val="DID$0xxx"/>
      <sheetName val="DID$1xxx_$3xxx"/>
      <sheetName val="DID$2xxx_$4xxx"/>
      <sheetName val="IOLI"/>
      <sheetName val="DID$Fxxx"/>
      <sheetName val="DID$0101"/>
      <sheetName val="DID$0102"/>
      <sheetName val="DID$1010_HistorySWsignal"/>
      <sheetName val="DID$1011_SWsignal"/>
      <sheetName val="RID$1xxx"/>
      <sheetName val="RC"/>
      <sheetName val="RID$1001"/>
      <sheetName val="&lt;sample&gt; DID_base_Sheet"/>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ow r="301">
          <cell r="A301">
            <v>128</v>
          </cell>
        </row>
        <row r="302">
          <cell r="A302">
            <v>64</v>
          </cell>
        </row>
        <row r="303">
          <cell r="A303">
            <v>32</v>
          </cell>
        </row>
        <row r="304">
          <cell r="A304">
            <v>16</v>
          </cell>
        </row>
        <row r="305">
          <cell r="A305">
            <v>8</v>
          </cell>
        </row>
        <row r="306">
          <cell r="A306">
            <v>4</v>
          </cell>
        </row>
        <row r="307">
          <cell r="A307">
            <v>2</v>
          </cell>
        </row>
      </sheetData>
    </sheetDataSet>
  </externalBook>
</externalLink>
</file>

<file path=xl/externalLinks/externalLink2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入力シート"/>
      <sheetName val="計算結果"/>
      <sheetName val="グラフ"/>
      <sheetName val="グラフの説明"/>
      <sheetName val="計算方法の説明"/>
      <sheetName val="マクロ"/>
      <sheetName val="マクロ２"/>
    </sheetNames>
    <sheetDataSet>
      <sheetData sheetId="0"/>
      <sheetData sheetId="1"/>
      <sheetData sheetId="2" refreshError="1"/>
      <sheetData sheetId="3"/>
      <sheetData sheetId="4"/>
      <sheetData sheetId="5" refreshError="1"/>
      <sheetData sheetId="6" refreshError="1"/>
    </sheetDataSet>
  </externalBook>
</externalLink>
</file>

<file path=xl/externalLinks/externalLink2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CU_requirement_review_checklis"/>
      <sheetName val="Item Explanation"/>
      <sheetName val="Sheet1"/>
    </sheetNames>
    <sheetDataSet>
      <sheetData sheetId="0">
        <row r="93">
          <cell r="C93" t="str">
            <v>OK</v>
          </cell>
        </row>
        <row r="94">
          <cell r="C94" t="str">
            <v>NG</v>
          </cell>
        </row>
        <row r="95">
          <cell r="C95" t="str">
            <v>Not necessary</v>
          </cell>
        </row>
        <row r="96">
          <cell r="C96" t="str">
            <v>Not Yet</v>
          </cell>
        </row>
      </sheetData>
      <sheetData sheetId="1"/>
      <sheetData sheetId="2"/>
    </sheetDataSet>
  </externalBook>
</externalLink>
</file>

<file path=xl/externalLinks/externalLink3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ﾗﾝﾌﾟ仕様(ABS)"/>
      <sheetName val="ﾗﾝﾌﾟ仕様(ESP)"/>
      <sheetName val="DataList"/>
      <sheetName val="ヨⅥ"/>
      <sheetName val="計算表"/>
    </sheetNames>
    <sheetDataSet>
      <sheetData sheetId="0"/>
      <sheetData sheetId="1"/>
      <sheetData sheetId="2"/>
      <sheetData sheetId="3" refreshError="1"/>
      <sheetData sheetId="4" refreshError="1"/>
    </sheetDataSet>
  </externalBook>
</externalLink>
</file>

<file path=xl/externalLinks/externalLink3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op"/>
      <sheetName val="TableofContents"/>
      <sheetName val="IDMatrix"/>
      <sheetName val="SignalMatrix"/>
      <sheetName val="DataList"/>
      <sheetName val="RevisionHistory"/>
      <sheetName val="General(Japanese)"/>
      <sheetName val="Appendix"/>
      <sheetName val="TimingList"/>
    </sheetNames>
    <sheetDataSet>
      <sheetData sheetId="0" refreshError="1"/>
      <sheetData sheetId="1" refreshError="1"/>
      <sheetData sheetId="2" refreshError="1"/>
      <sheetData sheetId="3"/>
      <sheetData sheetId="4"/>
      <sheetData sheetId="5" refreshError="1"/>
      <sheetData sheetId="6"/>
      <sheetData sheetId="7"/>
      <sheetData sheetId="8"/>
    </sheetDataSet>
  </externalBook>
</externalLink>
</file>

<file path=xl/externalLinks/externalLink3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op"/>
      <sheetName val="TableofContents"/>
      <sheetName val="General(English)"/>
      <sheetName val="General(Japanese)"/>
      <sheetName val="Special(English)"/>
      <sheetName val="Special(Japanese)"/>
      <sheetName val="作成中_OptionalECU(Japanese)"/>
      <sheetName val="IDMatrix"/>
      <sheetName val="SignalMatrix"/>
      <sheetName val="DataList"/>
      <sheetName val="Appendix"/>
      <sheetName val="RevisionHistory"/>
      <sheetName val="TimingList"/>
      <sheetName val="RevisionHistory_案"/>
    </sheetNames>
    <sheetDataSet>
      <sheetData sheetId="0" refreshError="1"/>
      <sheetData sheetId="1" refreshError="1"/>
      <sheetData sheetId="2" refreshError="1"/>
      <sheetData sheetId="3" refreshError="1"/>
      <sheetData sheetId="4" refreshError="1"/>
      <sheetData sheetId="5" refreshError="1"/>
      <sheetData sheetId="6" refreshError="1"/>
      <sheetData sheetId="7"/>
      <sheetData sheetId="8"/>
      <sheetData sheetId="9"/>
      <sheetData sheetId="10"/>
      <sheetData sheetId="11"/>
      <sheetData sheetId="12" refreshError="1"/>
      <sheetData sheetId="13" refreshError="1"/>
    </sheetDataSet>
  </externalBook>
</externalLink>
</file>

<file path=xl/externalLinks/externalLink3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op"/>
      <sheetName val="TableofContents"/>
      <sheetName val="General(English)"/>
      <sheetName val="General(Japanese)"/>
      <sheetName val="Special(Japanese)"/>
      <sheetName val="IDMatrix"/>
      <sheetName val="SignalMatrix"/>
      <sheetName val="DataList"/>
      <sheetName val="Appendix"/>
      <sheetName val="RevisionHistory"/>
      <sheetName val="TimingList"/>
      <sheetName val="YP6series_SMC_CAN_SPEC_PART2_Ve"/>
    </sheetNames>
    <sheetDataSet>
      <sheetData sheetId="0"/>
      <sheetData sheetId="1"/>
      <sheetData sheetId="2"/>
      <sheetData sheetId="3"/>
      <sheetData sheetId="4"/>
      <sheetData sheetId="5"/>
      <sheetData sheetId="6"/>
      <sheetData sheetId="7"/>
      <sheetData sheetId="8"/>
      <sheetData sheetId="9"/>
      <sheetData sheetId="10"/>
      <sheetData sheetId="11" refreshError="1"/>
    </sheetDataSet>
  </externalBook>
</externalLink>
</file>

<file path=xl/externalLinks/externalLink3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3-2.駆動系展開"/>
      <sheetName val="3-2.駆動系展開ｵﾌﾟｼｮﾝ毎備考"/>
      <sheetName val="DATA01"/>
      <sheetName val="駆動系1"/>
      <sheetName val="量産準備実施依頼書"/>
      <sheetName val="DB"/>
      <sheetName val="96期(川崎)"/>
    </sheetNames>
    <sheetDataSet>
      <sheetData sheetId="0" refreshError="1"/>
      <sheetData sheetId="1" refreshError="1"/>
      <sheetData sheetId="2" refreshError="1">
        <row r="2">
          <cell r="C2" t="str">
            <v/>
          </cell>
        </row>
        <row r="3">
          <cell r="C3" t="str">
            <v>△海コン</v>
          </cell>
          <cell r="E3" t="str">
            <v>RG7</v>
          </cell>
        </row>
        <row r="4">
          <cell r="C4" t="str">
            <v>△汎用</v>
          </cell>
          <cell r="E4" t="str">
            <v>XQ7</v>
          </cell>
          <cell r="K4">
            <v>16</v>
          </cell>
          <cell r="L4">
            <v>20</v>
          </cell>
          <cell r="M4">
            <v>21</v>
          </cell>
          <cell r="N4">
            <v>22</v>
          </cell>
          <cell r="O4">
            <v>23</v>
          </cell>
          <cell r="P4">
            <v>25</v>
          </cell>
        </row>
        <row r="5">
          <cell r="C5" t="str">
            <v>◇海コン：Ｄ，Ｅのみ</v>
          </cell>
          <cell r="E5" t="str">
            <v>RG7</v>
          </cell>
          <cell r="I5" t="str">
            <v>CVR</v>
          </cell>
        </row>
        <row r="6">
          <cell r="C6" t="str">
            <v>○リフトカプラ</v>
          </cell>
          <cell r="E6" t="str">
            <v>Y41</v>
          </cell>
          <cell r="I6" t="str">
            <v>CXG</v>
          </cell>
          <cell r="N6" t="str">
            <v>-Y32</v>
          </cell>
          <cell r="O6" t="str">
            <v>&amp;Y32</v>
          </cell>
        </row>
        <row r="7">
          <cell r="C7" t="str">
            <v>○ローリ</v>
          </cell>
          <cell r="E7" t="str">
            <v>RD5</v>
          </cell>
          <cell r="I7" t="str">
            <v>CXＬ</v>
          </cell>
          <cell r="N7" t="str">
            <v>-RD2</v>
          </cell>
          <cell r="O7" t="str">
            <v>-RD2</v>
          </cell>
          <cell r="P7" t="str">
            <v>&amp;RD2</v>
          </cell>
        </row>
        <row r="8">
          <cell r="C8" t="str">
            <v>○車載，亀子車載</v>
          </cell>
          <cell r="E8" t="str">
            <v>XQ2</v>
          </cell>
          <cell r="I8" t="str">
            <v>CXM</v>
          </cell>
          <cell r="N8" t="str">
            <v>-RD2</v>
          </cell>
          <cell r="O8" t="str">
            <v>-RD2</v>
          </cell>
          <cell r="P8" t="str">
            <v>&amp;RD2</v>
          </cell>
        </row>
        <row r="9">
          <cell r="C9" t="str">
            <v>○増トン</v>
          </cell>
          <cell r="E9" t="str">
            <v>XQ8</v>
          </cell>
          <cell r="I9" t="str">
            <v>CXY</v>
          </cell>
          <cell r="L9" t="str">
            <v>-Y21</v>
          </cell>
          <cell r="N9" t="str">
            <v>-Y21/RD2</v>
          </cell>
          <cell r="O9" t="str">
            <v>-Y21/RD2</v>
          </cell>
          <cell r="P9" t="str">
            <v>&amp;RD2</v>
          </cell>
        </row>
        <row r="10">
          <cell r="C10" t="str">
            <v>２０Ｋｌローリー</v>
          </cell>
          <cell r="E10" t="str">
            <v>RD5</v>
          </cell>
          <cell r="I10" t="str">
            <v>CXZ</v>
          </cell>
          <cell r="L10" t="str">
            <v>-Y21</v>
          </cell>
          <cell r="N10" t="str">
            <v>-Y21/RD2</v>
          </cell>
          <cell r="O10" t="str">
            <v>-Y21/RD2</v>
          </cell>
          <cell r="P10" t="str">
            <v>&amp;RD2</v>
          </cell>
        </row>
        <row r="11">
          <cell r="C11" t="str">
            <v>ＩＨＩＣＰ</v>
          </cell>
          <cell r="E11" t="str">
            <v>RA5</v>
          </cell>
          <cell r="I11" t="str">
            <v>CYG</v>
          </cell>
          <cell r="N11" t="str">
            <v>-Y32</v>
          </cell>
          <cell r="O11" t="str">
            <v>&amp;Y32</v>
          </cell>
        </row>
        <row r="12">
          <cell r="C12" t="str">
            <v>コンクリートポンプ</v>
          </cell>
          <cell r="E12" t="str">
            <v>RA5</v>
          </cell>
          <cell r="I12" t="str">
            <v>CYH</v>
          </cell>
          <cell r="M12" t="str">
            <v>&amp;Y21</v>
          </cell>
          <cell r="O12" t="str">
            <v>-Y21/Y32</v>
          </cell>
          <cell r="P12" t="str">
            <v>&amp;Y32</v>
          </cell>
        </row>
        <row r="13">
          <cell r="C13" t="str">
            <v>セルフローダー</v>
          </cell>
          <cell r="E13" t="str">
            <v>Y26</v>
          </cell>
          <cell r="I13" t="str">
            <v>CYJ</v>
          </cell>
          <cell r="M13" t="str">
            <v>&amp;Y21</v>
          </cell>
          <cell r="O13" t="str">
            <v>-Y21/Y32</v>
          </cell>
          <cell r="P13" t="str">
            <v>&amp;Y32</v>
          </cell>
        </row>
        <row r="14">
          <cell r="C14" t="str">
            <v>ダンプ</v>
          </cell>
          <cell r="E14" t="str">
            <v>RA1</v>
          </cell>
          <cell r="I14" t="str">
            <v>CYL</v>
          </cell>
          <cell r="N14" t="str">
            <v>-RD2</v>
          </cell>
          <cell r="O14" t="str">
            <v>-RD2</v>
          </cell>
          <cell r="P14" t="str">
            <v>&amp;RD2</v>
          </cell>
        </row>
        <row r="15">
          <cell r="C15" t="str">
            <v>フルトレベース</v>
          </cell>
          <cell r="I15" t="str">
            <v>CYM</v>
          </cell>
          <cell r="N15" t="str">
            <v>-RD2</v>
          </cell>
          <cell r="O15" t="str">
            <v>-RD2</v>
          </cell>
          <cell r="P15" t="str">
            <v>&amp;RD2</v>
          </cell>
        </row>
        <row r="16">
          <cell r="C16" t="str">
            <v>ポールトレ</v>
          </cell>
          <cell r="E16" t="str">
            <v>XQ6</v>
          </cell>
          <cell r="I16" t="str">
            <v>CYY</v>
          </cell>
          <cell r="L16" t="str">
            <v>-Y21</v>
          </cell>
          <cell r="N16" t="str">
            <v>-Y21/RD2</v>
          </cell>
          <cell r="O16" t="str">
            <v>-Y21/RD2</v>
          </cell>
          <cell r="P16" t="str">
            <v>&amp;RD2</v>
          </cell>
        </row>
        <row r="17">
          <cell r="C17" t="str">
            <v>ミキサ</v>
          </cell>
          <cell r="E17" t="str">
            <v>RA2</v>
          </cell>
          <cell r="I17" t="str">
            <v>CYZ</v>
          </cell>
          <cell r="L17" t="str">
            <v>-Y21</v>
          </cell>
          <cell r="N17" t="str">
            <v>-Y21/RD2</v>
          </cell>
          <cell r="O17" t="str">
            <v>-Y21/RD2</v>
          </cell>
          <cell r="P17" t="str">
            <v>&amp;RD2</v>
          </cell>
        </row>
        <row r="18">
          <cell r="C18" t="str">
            <v>ローリ</v>
          </cell>
          <cell r="E18" t="str">
            <v>RD5</v>
          </cell>
          <cell r="J18" t="str">
            <v>J</v>
          </cell>
          <cell r="L18" t="str">
            <v>&amp;Y21</v>
          </cell>
          <cell r="N18" t="str">
            <v>&amp;Y21</v>
          </cell>
        </row>
        <row r="19">
          <cell r="C19" t="str">
            <v>ローリ、バルク</v>
          </cell>
        </row>
        <row r="20">
          <cell r="C20" t="str">
            <v>運材</v>
          </cell>
          <cell r="E20" t="str">
            <v>XP4</v>
          </cell>
        </row>
        <row r="21">
          <cell r="C21" t="str">
            <v>緩和１６～２０㌧</v>
          </cell>
          <cell r="E21" t="str">
            <v>Y46</v>
          </cell>
        </row>
        <row r="22">
          <cell r="C22" t="str">
            <v>基準内</v>
          </cell>
          <cell r="E22" t="str">
            <v>XQ7</v>
          </cell>
        </row>
        <row r="23">
          <cell r="C23" t="str">
            <v>極東ＣＰ</v>
          </cell>
          <cell r="E23" t="str">
            <v>XQ5</v>
          </cell>
        </row>
      </sheetData>
      <sheetData sheetId="3" refreshError="1"/>
      <sheetData sheetId="4" refreshError="1"/>
      <sheetData sheetId="5" refreshError="1"/>
      <sheetData sheetId="6" refreshError="1"/>
    </sheetDataSet>
  </externalBook>
</externalLink>
</file>

<file path=xl/externalLinks/externalLink3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選酋表"/>
      <sheetName val="MY03 Y"/>
      <sheetName val="MY04Z B"/>
      <sheetName val="MY04Z D"/>
      <sheetName val="MY03Z"/>
      <sheetName val="00年9月"/>
      <sheetName val="NCAB"/>
      <sheetName val="Table Master"/>
      <sheetName val="結果"/>
      <sheetName val="DATA"/>
      <sheetName val="FC"/>
      <sheetName val="ﾌﾟﾛﾄ_P772分解5号機"/>
      <sheetName val="A"/>
      <sheetName val="総合B"/>
      <sheetName val="COST O.K."/>
      <sheetName val="NEW003"/>
      <sheetName val="C3_N DC改造投資"/>
      <sheetName val="MY03_Y"/>
      <sheetName val="MY04Z_B"/>
      <sheetName val="MY04Z_D"/>
      <sheetName val="Table_Master"/>
      <sheetName val="COST_O_K_"/>
      <sheetName val="Euro4 部品管理表"/>
      <sheetName val="ENG油洩れ"/>
      <sheetName val="_B007"/>
      <sheetName val="1-C,D"/>
      <sheetName val="Sheet1"/>
      <sheetName val="NK仕様21"/>
      <sheetName val="疲労限B"/>
      <sheetName val="133NPR55 69 EC"/>
      <sheetName val="計算結果"/>
      <sheetName val="99年度営担別拡販 (3)"/>
      <sheetName val="平板Ｃ"/>
      <sheetName val="在庫表"/>
      <sheetName val="124NKR55(ISUZU)"/>
      <sheetName val="着座衝撃力(IN)"/>
      <sheetName val="Sheet2"/>
      <sheetName val="V6D"/>
      <sheetName val="A010"/>
      <sheetName val="ﾏﾙC改造投資詳細"/>
      <sheetName val="COST"/>
      <sheetName val="ISO_250"/>
      <sheetName val="Annual Production"/>
      <sheetName val="ﾕｰｻﾞｰ設定"/>
      <sheetName val="MY03_Y1"/>
      <sheetName val="MY04Z_B1"/>
      <sheetName val="MY04Z_D1"/>
      <sheetName val="Annual_Production"/>
      <sheetName val="Euro4_部品管理表"/>
      <sheetName val="approval"/>
      <sheetName val="Ref"/>
      <sheetName val="Fiel List"/>
      <sheetName val="投資ﾘｽﾄ"/>
      <sheetName val="作業要素"/>
      <sheetName val="ELF"/>
      <sheetName val="New DYNA"/>
      <sheetName val="Km"/>
      <sheetName val="Report for CCD-Dec.05"/>
      <sheetName val="DB"/>
      <sheetName val="リース台帳"/>
      <sheetName val="181"/>
      <sheetName val="DATA01"/>
      <sheetName val="Submission Address"/>
      <sheetName val="SMALL"/>
      <sheetName val="Sheet7 NEW"/>
      <sheetName val="96期(川崎)"/>
      <sheetName val="Pro_type_Master"/>
      <sheetName val="ポンプ作動耐久回数検討"/>
      <sheetName val="REVENUE"/>
      <sheetName val=" IB-PL-YTD"/>
      <sheetName val="liste"/>
      <sheetName val="list"/>
      <sheetName val="日程"/>
      <sheetName val="2005"/>
      <sheetName val="MOTO"/>
      <sheetName val="A2 990"/>
      <sheetName val="Detail"/>
      <sheetName val="s-code"/>
      <sheetName val="国ｺｰﾄﾞ"/>
      <sheetName val="分類"/>
      <sheetName val="金額"/>
      <sheetName val="1_A_B"/>
      <sheetName val=" CV ALL"/>
      <sheetName val="Table"/>
      <sheetName val="BT_CALC"/>
      <sheetName val="Working_time"/>
      <sheetName val="Calculated"/>
      <sheetName val="BT_Monthly_Darft"/>
      <sheetName val="Production_Seq_data"/>
      <sheetName val="Wvð"/>
      <sheetName val="NCeA"/>
      <sheetName val="HärQ"/>
      <sheetName val="工数比較２"/>
      <sheetName val="WŒvðŒ"/>
      <sheetName val="ƒNƒ‰ƒCƒeƒŠƒA"/>
      <sheetName val="H””äŠr‚Q"/>
      <sheetName val="00-1"/>
      <sheetName val="???"/>
      <sheetName val="Unit Price"/>
      <sheetName val="生産台数内訳"/>
      <sheetName val="クライテリア"/>
      <sheetName val="Prm"/>
      <sheetName val="Honda trading"/>
      <sheetName val="ＴＦ関連Ｐｒｊ日程表"/>
      <sheetName val="COVER"/>
      <sheetName val="県別ﾏﾙﾁ"/>
      <sheetName val="Invoice"/>
      <sheetName val="Delivery Schedule"/>
      <sheetName val="Received"/>
      <sheetName val="DatadiskEE0304FULLDATAVERSION"/>
      <sheetName val="96_97研究費_全体"/>
      <sheetName val="99"/>
      <sheetName val="集計用"/>
      <sheetName val="10"/>
      <sheetName val="90_2"/>
      <sheetName val="101"/>
      <sheetName val="19"/>
      <sheetName val="57F"/>
      <sheetName val="Table_Master1"/>
      <sheetName val="COST_O_K_1"/>
      <sheetName val="C3_N_DC改造投資"/>
      <sheetName val="名簿データ"/>
      <sheetName val="??????"/>
      <sheetName val="96・(・・)"/>
      <sheetName val="(原単位)"/>
      <sheetName val="346Proj日程991124"/>
      <sheetName val="A-K研車型"/>
      <sheetName val="190BODY EMATRIX"/>
      <sheetName val=" Sale Order -N"/>
      <sheetName val="Gross Prifit-N"/>
      <sheetName val="ST外率"/>
      <sheetName val="CFS3"/>
      <sheetName val="MY03_Y2"/>
      <sheetName val="MY04Z_B2"/>
      <sheetName val="MY04Z_D2"/>
      <sheetName val="Euro4_部品管理表1"/>
      <sheetName val="A2_990"/>
      <sheetName val="Annual_Production1"/>
      <sheetName val="Fiel_List"/>
      <sheetName val="New_DYNA"/>
      <sheetName val="Report_for_CCD-Dec_05"/>
      <sheetName val="Submission_Address"/>
      <sheetName val="Sheet7_NEW"/>
      <sheetName val="_Sale_Order_-N"/>
      <sheetName val="133NPR55_69_EC"/>
      <sheetName val="_IB-PL-YTD"/>
      <sheetName val="Gross_Prifit-N"/>
      <sheetName val="99年度営担別拡販_(3)"/>
      <sheetName val="_CV_ALL"/>
      <sheetName val="Unit_Price"/>
      <sheetName val="Honda_trading"/>
      <sheetName val="Delivery_Schedule"/>
      <sheetName val="FVR発進加速燃費まとめ"/>
      <sheetName val="Customize Your Purchase Order"/>
      <sheetName val="16,7"/>
      <sheetName val="schedule"/>
      <sheetName val="List Line"/>
      <sheetName val="New Target"/>
      <sheetName val="Stator"/>
      <sheetName val="Rotor"/>
      <sheetName val="VD50"/>
      <sheetName val="B Leadwire"/>
      <sheetName val="Mg.switch"/>
      <sheetName val="Yoke assy"/>
      <sheetName val="Field coil"/>
      <sheetName val="Armature"/>
      <sheetName val="Lead wire"/>
      <sheetName val="Pinion"/>
      <sheetName val="Brush Holder "/>
      <sheetName val="Motor Gear"/>
      <sheetName val="TPS"/>
      <sheetName val="CC"/>
      <sheetName val="SALES"/>
      <sheetName val="#ofclose"/>
      <sheetName val="___"/>
      <sheetName val="QR20-1101"/>
      <sheetName val="Assumptions"/>
      <sheetName val="______"/>
      <sheetName val="DatadiskEE0304FULLDATAVE_x0000__x0000__x0000__x0000_聎"/>
      <sheetName val="選酋表 &amp;崪Ֆ_x0000__x0000_ചȂച2_x0000__x0000_ᓈ ᓎ _x0000__x0000__x0000_"/>
      <sheetName val="案"/>
      <sheetName val="H””ärQ"/>
      <sheetName val="Customize_Your_Purchase_Order"/>
      <sheetName val="List_Line"/>
      <sheetName val="New_Target"/>
      <sheetName val="B_Leadwire"/>
      <sheetName val="Mg_switch"/>
      <sheetName val="Yoke_assy"/>
      <sheetName val="Field_coil"/>
      <sheetName val="Lead_wire"/>
      <sheetName val="Brush_Holder_"/>
      <sheetName val="Motor_Gear"/>
      <sheetName val="BOM"/>
      <sheetName val="DatadiskEE0304FULLDATAVE????聎"/>
      <sheetName val="Sheet3"/>
      <sheetName val="SPEC LIST"/>
      <sheetName val="OD"/>
      <sheetName val="P10"/>
      <sheetName val="P2"/>
      <sheetName val="P3"/>
      <sheetName val="P6"/>
      <sheetName val="P9"/>
      <sheetName val="Absorber"/>
      <sheetName val="まとめ"/>
      <sheetName val="TOTAL"/>
      <sheetName val="Wv?"/>
      <sheetName val="条件表"/>
      <sheetName val="Asset"/>
      <sheetName val="4JA1"/>
      <sheetName val="90-2"/>
      <sheetName val="Basic_Information"/>
      <sheetName val="SEAL"/>
      <sheetName val="DatadiskEE0304FULLDATAVE"/>
      <sheetName val="選酋表 &amp;崪Ֆ"/>
      <sheetName val="MH"/>
      <sheetName val="_01_004"/>
      <sheetName val="Pareto Others + Daily Graph"/>
      <sheetName val="16_7"/>
      <sheetName val="MZX EPH暫定対策"/>
      <sheetName val="MZX現状（中央値）"/>
      <sheetName val="MZX新規SPRING ALT1"/>
      <sheetName val="MZX新規SPRING ALT2"/>
      <sheetName val="ASMｼﾌﾄ後"/>
      <sheetName val="DATA（仮）"/>
      <sheetName val="IMCT_Data"/>
      <sheetName val="MY03_Y3"/>
      <sheetName val="MY04Z_B3"/>
      <sheetName val="MY04Z_D3"/>
      <sheetName val="Table_Master2"/>
      <sheetName val="COST_O_K_2"/>
      <sheetName val="C3_N_DC改造投資1"/>
      <sheetName val="Euro4_部品管理表2"/>
      <sheetName val="Submission_Address1"/>
      <sheetName val="Annual_Production2"/>
      <sheetName val="Fiel_List1"/>
      <sheetName val="New_DYNA1"/>
      <sheetName val="Report_for_CCD-Dec_051"/>
      <sheetName val="Sheet7_NEW1"/>
      <sheetName val="133NPR55_69_EC1"/>
      <sheetName val="_IB-PL-YTD1"/>
      <sheetName val="A2_9901"/>
      <sheetName val="99年度営担別拡販_(3)1"/>
      <sheetName val="_CV_ALL1"/>
      <sheetName val="Unit_Price1"/>
      <sheetName val="Honda_trading1"/>
      <sheetName val="Delivery_Schedule1"/>
      <sheetName val="_Sale_Order_-N1"/>
      <sheetName val="Gross_Prifit-N1"/>
      <sheetName val="190BODY_EMATRIX"/>
      <sheetName val="Customize_Your_Purchase_Order1"/>
      <sheetName val="List_Line1"/>
      <sheetName val="New_Target1"/>
      <sheetName val="B_Leadwire1"/>
      <sheetName val="Mg_switch1"/>
      <sheetName val="Yoke_assy1"/>
      <sheetName val="Field_coil1"/>
      <sheetName val="Lead_wire1"/>
      <sheetName val="Brush_Holder_1"/>
      <sheetName val="Motor_Gear1"/>
      <sheetName val="選酋表_&amp;崪ՖചȂച2ᓈ_ᓎ_"/>
      <sheetName val="SPEC_LIST"/>
      <sheetName val="MY03_Y4"/>
      <sheetName val="MY04Z_B4"/>
      <sheetName val="MY04Z_D4"/>
      <sheetName val="Table_Master3"/>
      <sheetName val="COST_O_K_3"/>
      <sheetName val="C3_N_DC改造投資2"/>
      <sheetName val="Euro4_部品管理表3"/>
      <sheetName val="Submission_Address2"/>
      <sheetName val="Annual_Production3"/>
      <sheetName val="Fiel_List2"/>
      <sheetName val="New_DYNA2"/>
      <sheetName val="Report_for_CCD-Dec_052"/>
      <sheetName val="Sheet7_NEW2"/>
      <sheetName val="133NPR55_69_EC2"/>
      <sheetName val="_IB-PL-YTD2"/>
      <sheetName val="A2_9902"/>
      <sheetName val="99年度営担別拡販_(3)2"/>
      <sheetName val="_CV_ALL2"/>
      <sheetName val="Unit_Price2"/>
      <sheetName val="Honda_trading2"/>
      <sheetName val="Delivery_Schedule2"/>
      <sheetName val="_Sale_Order_-N2"/>
      <sheetName val="Gross_Prifit-N2"/>
      <sheetName val="190BODY_EMATRIX1"/>
      <sheetName val="Customize_Your_Purchase_Order2"/>
      <sheetName val="List_Line2"/>
      <sheetName val="New_Target2"/>
      <sheetName val="B_Leadwire2"/>
      <sheetName val="Mg_switch2"/>
      <sheetName val="Yoke_assy2"/>
      <sheetName val="Field_coil2"/>
      <sheetName val="Lead_wire2"/>
      <sheetName val="Brush_Holder_2"/>
      <sheetName val="Motor_Gear2"/>
      <sheetName val="SPEC_LIST1"/>
      <sheetName val="OCT"/>
      <sheetName val="選酋表 &amp;崪Ֆ??ചȂച2??ᓈ ᓎ ???"/>
      <sheetName val="Summary volume 2020"/>
      <sheetName val="IMCT Working condition"/>
      <sheetName val="Summary"/>
      <sheetName val="Reply Sheet (FOB)"/>
      <sheetName val="Reply Sheet(WAM Hi)"/>
      <sheetName val="Reply Sheet (WAM Low)"/>
      <sheetName val="Reply Sheet (WAM Mid)"/>
      <sheetName val="Example (Rev.1)"/>
      <sheetName val="COAT&amp;WRAP-QIOT-#3"/>
      <sheetName val="PNT-QUOT-#3"/>
      <sheetName val="星取表"/>
      <sheetName val="MY03_Y5"/>
      <sheetName val="MY04Z_B5"/>
      <sheetName val="MY04Z_D5"/>
      <sheetName val="Table_Master4"/>
      <sheetName val="COST_O_K_4"/>
      <sheetName val="C3_N_DC改造投資3"/>
      <sheetName val="Euro4_部品管理表4"/>
      <sheetName val="Submission_Address3"/>
      <sheetName val="Annual_Production4"/>
      <sheetName val="Fiel_List3"/>
      <sheetName val="New_DYNA3"/>
      <sheetName val="Report_for_CCD-Dec_053"/>
      <sheetName val="Sheet7_NEW3"/>
      <sheetName val="_IB-PL-YTD3"/>
      <sheetName val="133NPR55_69_EC3"/>
      <sheetName val="A2_9903"/>
      <sheetName val="99年度営担別拡販_(3)3"/>
      <sheetName val="_CV_ALL3"/>
      <sheetName val="Unit_Price3"/>
      <sheetName val="Honda_trading3"/>
      <sheetName val="Delivery_Schedule3"/>
      <sheetName val="_Sale_Order_-N3"/>
      <sheetName val="Gross_Prifit-N3"/>
      <sheetName val="190BODY_EMATRIX2"/>
      <sheetName val="Customize_Your_Purchase_Order3"/>
      <sheetName val="List_Line3"/>
      <sheetName val="New_Target3"/>
      <sheetName val="B_Leadwire3"/>
      <sheetName val="Mg_switch3"/>
      <sheetName val="Yoke_assy3"/>
      <sheetName val="Field_coil3"/>
      <sheetName val="Lead_wire3"/>
      <sheetName val="Brush_Holder_3"/>
      <sheetName val="Motor_Gear3"/>
      <sheetName val="SPEC_LIST2"/>
      <sheetName val="Pareto_Others_+_Daily_Graph"/>
      <sheetName val="Summary_volume_2020"/>
      <sheetName val="IMCT_Working_condition"/>
      <sheetName val="Reply_Sheet_(FOB)"/>
      <sheetName val="Reply_Sheet(WAM_Hi)"/>
      <sheetName val="Reply_Sheet_(WAM_Low)"/>
      <sheetName val="Reply_Sheet_(WAM_Mid)"/>
      <sheetName val="Example_(Rev_1)"/>
      <sheetName val="選酋表_&amp;崪Ֆ??ചȂച2??ᓈ_ᓎ_???"/>
      <sheetName val="MY03_Y6"/>
      <sheetName val="MY04Z_B6"/>
      <sheetName val="MY04Z_D6"/>
      <sheetName val="Table_Master5"/>
      <sheetName val="COST_O_K_5"/>
      <sheetName val="C3_N_DC改造投資4"/>
      <sheetName val="Euro4_部品管理表5"/>
      <sheetName val="Submission_Address4"/>
      <sheetName val="Annual_Production5"/>
      <sheetName val="Fiel_List4"/>
      <sheetName val="New_DYNA4"/>
      <sheetName val="Report_for_CCD-Dec_054"/>
      <sheetName val="Sheet7_NEW4"/>
      <sheetName val="_IB-PL-YTD4"/>
      <sheetName val="133NPR55_69_EC4"/>
      <sheetName val="A2_9904"/>
      <sheetName val="99年度営担別拡販_(3)4"/>
      <sheetName val="_CV_ALL4"/>
      <sheetName val="Unit_Price4"/>
      <sheetName val="Honda_trading4"/>
      <sheetName val="Delivery_Schedule4"/>
      <sheetName val="_Sale_Order_-N4"/>
      <sheetName val="Gross_Prifit-N4"/>
      <sheetName val="190BODY_EMATRIX3"/>
      <sheetName val="Customize_Your_Purchase_Order4"/>
      <sheetName val="List_Line4"/>
      <sheetName val="New_Target4"/>
      <sheetName val="B_Leadwire4"/>
      <sheetName val="Mg_switch4"/>
      <sheetName val="Yoke_assy4"/>
      <sheetName val="Field_coil4"/>
      <sheetName val="Lead_wire4"/>
      <sheetName val="Brush_Holder_4"/>
      <sheetName val="Motor_Gear4"/>
      <sheetName val="SPEC_LIST3"/>
      <sheetName val="Pareto_Others_+_Daily_Graph1"/>
      <sheetName val="Summary_volume_20201"/>
      <sheetName val="IMCT_Working_condition1"/>
      <sheetName val="Reply_Sheet_(FOB)1"/>
      <sheetName val="Reply_Sheet(WAM_Hi)1"/>
      <sheetName val="Reply_Sheet_(WAM_Low)1"/>
      <sheetName val="Reply_Sheet_(WAM_Mid)1"/>
      <sheetName val="Example_(Rev_1)1"/>
      <sheetName val="選酋表_&amp;崪Ֆ??ചȂച2??ᓈ_ᓎ_???1"/>
      <sheetName val="選酋表 &amp;崪Ֆ_x0000__x0000_ചȂച2_x0000"/>
      <sheetName val="Wv_"/>
      <sheetName val="DatadiskEE0304FULLDATAVE____聎"/>
      <sheetName val="選酋表 _x0000__x0000__x0000__x0000__x0000__x0000_⇚_x0013__x0000__x0000__x0000__x0000__x0000_"/>
      <sheetName val="星取・"/>
      <sheetName val="サーバイメージ図"/>
      <sheetName val="(Pull-down)QTY"/>
      <sheetName val="MOULD"/>
      <sheetName val="選酋表 ??????⇚_x0013_?????"/>
      <sheetName val="Manpower"/>
      <sheetName val="ﾕﾆｯﾄｽﾍﾟｯｸ　85X69"/>
      <sheetName val="選酋表 _x0000__x0000_ᓈ ᓎ _x0000__x0000__x0000__x0000_ᓈ _x0000__x0000_"/>
      <sheetName val="ラミ"/>
      <sheetName val="p2-1"/>
      <sheetName val="2"/>
      <sheetName val="GLOBAL SALES  MARCH 2002"/>
      <sheetName val="表紙"/>
      <sheetName val="6SWRF_W"/>
      <sheetName val="ACT Cashflow"/>
      <sheetName val="LVMAY"/>
      <sheetName val="①Input一覧シート"/>
      <sheetName val="BS"/>
      <sheetName val="DefectDetails"/>
      <sheetName val="G Van - Price Build up"/>
      <sheetName val="HYO"/>
      <sheetName val="เงินกู้ธนชาติ"/>
      <sheetName val="เงินกู้ MGC"/>
      <sheetName val="DataIn"/>
      <sheetName val="GLOBAL_SALES__MARCH_2002"/>
      <sheetName val="ACT_Cashflow"/>
      <sheetName val="GLOBAL_SALES__MARCH_20021"/>
      <sheetName val="ACT_Cashflow1"/>
      <sheetName val="MY03_Y7"/>
      <sheetName val="MY04Z_B7"/>
      <sheetName val="MY04Z_D7"/>
      <sheetName val="Table_Master6"/>
      <sheetName val="COST_O_K_6"/>
      <sheetName val="C3_N_DC改造投資5"/>
      <sheetName val="Euro4_部品管理表6"/>
      <sheetName val="Submission_Address5"/>
      <sheetName val="Annual_Production6"/>
      <sheetName val="Fiel_List5"/>
      <sheetName val="New_DYNA5"/>
      <sheetName val="Report_for_CCD-Dec_055"/>
      <sheetName val="Sheet7_NEW5"/>
      <sheetName val="_IB-PL-YTD5"/>
      <sheetName val="133NPR55_69_EC5"/>
      <sheetName val="A2_9905"/>
      <sheetName val="99年度営担別拡販_(3)5"/>
      <sheetName val="_CV_ALL5"/>
      <sheetName val="Unit_Price5"/>
      <sheetName val="Honda_trading5"/>
      <sheetName val="Delivery_Schedule5"/>
      <sheetName val="_Sale_Order_-N5"/>
      <sheetName val="Gross_Prifit-N5"/>
      <sheetName val="190BODY_EMATRIX4"/>
      <sheetName val="Customize_Your_Purchase_Order5"/>
      <sheetName val="List_Line5"/>
      <sheetName val="New_Target5"/>
      <sheetName val="B_Leadwire5"/>
      <sheetName val="Mg_switch5"/>
      <sheetName val="Yoke_assy5"/>
      <sheetName val="Field_coil5"/>
      <sheetName val="Lead_wire5"/>
      <sheetName val="Brush_Holder_5"/>
      <sheetName val="Motor_Gear5"/>
      <sheetName val="SPEC_LIST4"/>
      <sheetName val="Pareto_Others_+_Daily_Graph2"/>
      <sheetName val="Summary_volume_20202"/>
      <sheetName val="IMCT_Working_condition2"/>
      <sheetName val="Reply_Sheet_(FOB)2"/>
      <sheetName val="Reply_Sheet(WAM_Hi)2"/>
      <sheetName val="Reply_Sheet_(WAM_Low)2"/>
      <sheetName val="Reply_Sheet_(WAM_Mid)2"/>
      <sheetName val="Example_(Rev_1)2"/>
      <sheetName val="選酋表_&amp;崪Ֆ??ചȂച2??ᓈ_ᓎ_???2"/>
      <sheetName val="MY03_Y8"/>
      <sheetName val="MY04Z_B8"/>
      <sheetName val="MY04Z_D8"/>
      <sheetName val="Table_Master7"/>
      <sheetName val="COST_O_K_7"/>
      <sheetName val="C3_N_DC改造投資6"/>
      <sheetName val="Euro4_部品管理表7"/>
      <sheetName val="Submission_Address6"/>
      <sheetName val="Annual_Production7"/>
      <sheetName val="Fiel_List6"/>
      <sheetName val="New_DYNA6"/>
      <sheetName val="Report_for_CCD-Dec_056"/>
      <sheetName val="Sheet7_NEW6"/>
      <sheetName val="_IB-PL-YTD6"/>
      <sheetName val="133NPR55_69_EC6"/>
      <sheetName val="A2_9906"/>
      <sheetName val="99年度営担別拡販_(3)6"/>
      <sheetName val="_CV_ALL6"/>
      <sheetName val="Unit_Price6"/>
      <sheetName val="Honda_trading6"/>
      <sheetName val="Delivery_Schedule6"/>
      <sheetName val="_Sale_Order_-N6"/>
      <sheetName val="Gross_Prifit-N6"/>
      <sheetName val="190BODY_EMATRIX5"/>
      <sheetName val="Customize_Your_Purchase_Order6"/>
      <sheetName val="List_Line6"/>
      <sheetName val="New_Target6"/>
      <sheetName val="B_Leadwire6"/>
      <sheetName val="Mg_switch6"/>
      <sheetName val="Yoke_assy6"/>
      <sheetName val="Field_coil6"/>
      <sheetName val="Lead_wire6"/>
      <sheetName val="Brush_Holder_6"/>
      <sheetName val="Motor_Gear6"/>
      <sheetName val="SPEC_LIST5"/>
      <sheetName val="Pareto_Others_+_Daily_Graph3"/>
      <sheetName val="Summary_volume_20203"/>
      <sheetName val="IMCT_Working_condition3"/>
      <sheetName val="Reply_Sheet_(FOB)3"/>
      <sheetName val="Reply_Sheet(WAM_Hi)3"/>
      <sheetName val="Reply_Sheet_(WAM_Low)3"/>
      <sheetName val="Reply_Sheet_(WAM_Mid)3"/>
      <sheetName val="Example_(Rev_1)3"/>
      <sheetName val="選酋表_&amp;崪Ֆ??ചȂച2??ᓈ_ᓎ_???3"/>
      <sheetName val="MY03_Y9"/>
      <sheetName val="MY04Z_B9"/>
      <sheetName val="MY04Z_D9"/>
      <sheetName val="Table_Master8"/>
      <sheetName val="COST_O_K_8"/>
      <sheetName val="C3_N_DC改造投資7"/>
      <sheetName val="Euro4_部品管理表8"/>
      <sheetName val="Submission_Address7"/>
      <sheetName val="Annual_Production8"/>
      <sheetName val="Fiel_List7"/>
      <sheetName val="New_DYNA7"/>
      <sheetName val="Report_for_CCD-Dec_057"/>
      <sheetName val="Sheet7_NEW7"/>
      <sheetName val="_IB-PL-YTD7"/>
      <sheetName val="133NPR55_69_EC7"/>
      <sheetName val="A2_9907"/>
      <sheetName val="99年度営担別拡販_(3)7"/>
      <sheetName val="_CV_ALL7"/>
      <sheetName val="Unit_Price7"/>
      <sheetName val="Honda_trading7"/>
      <sheetName val="Delivery_Schedule7"/>
      <sheetName val="_Sale_Order_-N7"/>
      <sheetName val="Gross_Prifit-N7"/>
      <sheetName val="190BODY_EMATRIX6"/>
      <sheetName val="Customize_Your_Purchase_Order7"/>
      <sheetName val="List_Line7"/>
      <sheetName val="New_Target7"/>
      <sheetName val="B_Leadwire7"/>
      <sheetName val="Mg_switch7"/>
      <sheetName val="Yoke_assy7"/>
      <sheetName val="Field_coil7"/>
      <sheetName val="Lead_wire7"/>
      <sheetName val="Brush_Holder_7"/>
      <sheetName val="Motor_Gear7"/>
      <sheetName val="SPEC_LIST6"/>
      <sheetName val="Pareto_Others_+_Daily_Graph4"/>
      <sheetName val="Summary_volume_20204"/>
      <sheetName val="IMCT_Working_condition4"/>
      <sheetName val="Reply_Sheet_(FOB)4"/>
      <sheetName val="Reply_Sheet(WAM_Hi)4"/>
      <sheetName val="Reply_Sheet_(WAM_Low)4"/>
      <sheetName val="Reply_Sheet_(WAM_Mid)4"/>
      <sheetName val="Example_(Rev_1)4"/>
      <sheetName val="選酋表_&amp;崪Ֆ??ചȂച2??ᓈ_ᓎ_???4"/>
      <sheetName val="MY03_Y10"/>
      <sheetName val="MY04Z_B10"/>
      <sheetName val="MY04Z_D10"/>
      <sheetName val="Table_Master9"/>
      <sheetName val="COST_O_K_9"/>
      <sheetName val="C3_N_DC改造投資8"/>
      <sheetName val="Euro4_部品管理表9"/>
      <sheetName val="Submission_Address8"/>
      <sheetName val="Annual_Production9"/>
      <sheetName val="Fiel_List8"/>
      <sheetName val="New_DYNA8"/>
      <sheetName val="Report_for_CCD-Dec_058"/>
      <sheetName val="Sheet7_NEW8"/>
      <sheetName val="_IB-PL-YTD8"/>
      <sheetName val="133NPR55_69_EC8"/>
      <sheetName val="A2_9908"/>
      <sheetName val="99年度営担別拡販_(3)8"/>
      <sheetName val="_CV_ALL8"/>
      <sheetName val="Unit_Price8"/>
      <sheetName val="Honda_trading8"/>
      <sheetName val="Delivery_Schedule8"/>
      <sheetName val="_Sale_Order_-N8"/>
      <sheetName val="Gross_Prifit-N8"/>
      <sheetName val="190BODY_EMATRIX7"/>
      <sheetName val="Customize_Your_Purchase_Order8"/>
      <sheetName val="List_Line8"/>
      <sheetName val="New_Target8"/>
      <sheetName val="B_Leadwire8"/>
      <sheetName val="Mg_switch8"/>
      <sheetName val="Yoke_assy8"/>
      <sheetName val="Field_coil8"/>
      <sheetName val="Lead_wire8"/>
      <sheetName val="Brush_Holder_8"/>
      <sheetName val="Motor_Gear8"/>
      <sheetName val="SPEC_LIST7"/>
      <sheetName val="Pareto_Others_+_Daily_Graph5"/>
      <sheetName val="Summary_volume_20205"/>
      <sheetName val="IMCT_Working_condition5"/>
      <sheetName val="Reply_Sheet_(FOB)5"/>
      <sheetName val="Reply_Sheet(WAM_Hi)5"/>
      <sheetName val="Reply_Sheet_(WAM_Low)5"/>
      <sheetName val="Reply_Sheet_(WAM_Mid)5"/>
      <sheetName val="Example_(Rev_1)5"/>
      <sheetName val="選酋表_&amp;崪Ֆ??ചȂച2??ᓈ_ᓎ_???5"/>
      <sheetName val="MY03_Y11"/>
      <sheetName val="MY04Z_B11"/>
      <sheetName val="MY04Z_D11"/>
      <sheetName val="Table_Master10"/>
      <sheetName val="COST_O_K_10"/>
      <sheetName val="C3_N_DC改造投資9"/>
      <sheetName val="Euro4_部品管理表10"/>
      <sheetName val="Submission_Address9"/>
      <sheetName val="Annual_Production10"/>
      <sheetName val="Fiel_List9"/>
      <sheetName val="New_DYNA9"/>
      <sheetName val="Report_for_CCD-Dec_059"/>
      <sheetName val="Sheet7_NEW9"/>
      <sheetName val="_IB-PL-YTD9"/>
      <sheetName val="133NPR55_69_EC9"/>
      <sheetName val="A2_9909"/>
      <sheetName val="99年度営担別拡販_(3)9"/>
      <sheetName val="_CV_ALL9"/>
      <sheetName val="Unit_Price9"/>
      <sheetName val="Honda_trading9"/>
      <sheetName val="Delivery_Schedule9"/>
      <sheetName val="_Sale_Order_-N9"/>
      <sheetName val="Gross_Prifit-N9"/>
      <sheetName val="190BODY_EMATRIX8"/>
      <sheetName val="Customize_Your_Purchase_Order9"/>
      <sheetName val="List_Line9"/>
      <sheetName val="New_Target9"/>
      <sheetName val="B_Leadwire9"/>
      <sheetName val="Mg_switch9"/>
      <sheetName val="Yoke_assy9"/>
      <sheetName val="Field_coil9"/>
      <sheetName val="Lead_wire9"/>
      <sheetName val="Brush_Holder_9"/>
      <sheetName val="Motor_Gear9"/>
      <sheetName val="SPEC_LIST8"/>
      <sheetName val="Pareto_Others_+_Daily_Graph6"/>
      <sheetName val="Summary_volume_20206"/>
      <sheetName val="IMCT_Working_condition6"/>
      <sheetName val="Reply_Sheet_(FOB)6"/>
      <sheetName val="Reply_Sheet(WAM_Hi)6"/>
      <sheetName val="Reply_Sheet_(WAM_Low)6"/>
      <sheetName val="Reply_Sheet_(WAM_Mid)6"/>
      <sheetName val="Example_(Rev_1)6"/>
      <sheetName val="選酋表_&amp;崪Ֆ??ചȂച2??ᓈ_ᓎ_???6"/>
      <sheetName val="MY03_Y12"/>
      <sheetName val="MY04Z_B12"/>
      <sheetName val="MY04Z_D12"/>
      <sheetName val="Table_Master11"/>
      <sheetName val="COST_O_K_11"/>
      <sheetName val="C3_N_DC改造投資10"/>
      <sheetName val="Euro4_部品管理表11"/>
      <sheetName val="Submission_Address10"/>
      <sheetName val="Annual_Production11"/>
      <sheetName val="Fiel_List10"/>
      <sheetName val="New_DYNA10"/>
      <sheetName val="Report_for_CCD-Dec_0510"/>
      <sheetName val="Sheet7_NEW10"/>
      <sheetName val="_IB-PL-YTD10"/>
      <sheetName val="133NPR55_69_EC10"/>
      <sheetName val="A2_99010"/>
      <sheetName val="99年度営担別拡販_(3)10"/>
      <sheetName val="_CV_ALL10"/>
      <sheetName val="Unit_Price10"/>
      <sheetName val="Honda_trading10"/>
      <sheetName val="Delivery_Schedule10"/>
      <sheetName val="_Sale_Order_-N10"/>
      <sheetName val="Gross_Prifit-N10"/>
      <sheetName val="190BODY_EMATRIX9"/>
      <sheetName val="Customize_Your_Purchase_Order10"/>
      <sheetName val="List_Line10"/>
      <sheetName val="New_Target10"/>
      <sheetName val="B_Leadwire10"/>
      <sheetName val="Mg_switch10"/>
      <sheetName val="Yoke_assy10"/>
      <sheetName val="Field_coil10"/>
      <sheetName val="Lead_wire10"/>
      <sheetName val="Brush_Holder_10"/>
      <sheetName val="Motor_Gear10"/>
      <sheetName val="SPEC_LIST9"/>
      <sheetName val="Pareto_Others_+_Daily_Graph7"/>
      <sheetName val="Summary_volume_20207"/>
      <sheetName val="IMCT_Working_condition7"/>
      <sheetName val="Reply_Sheet_(FOB)7"/>
      <sheetName val="Reply_Sheet(WAM_Hi)7"/>
      <sheetName val="Reply_Sheet_(WAM_Low)7"/>
      <sheetName val="Reply_Sheet_(WAM_Mid)7"/>
      <sheetName val="Example_(Rev_1)7"/>
      <sheetName val="選酋表_&amp;崪Ֆ??ചȂച2??ᓈ_ᓎ_???7"/>
      <sheetName val="MY03_Y13"/>
      <sheetName val="MY04Z_B13"/>
      <sheetName val="MY04Z_D13"/>
      <sheetName val="Table_Master12"/>
      <sheetName val="COST_O_K_12"/>
      <sheetName val="C3_N_DC改造投資11"/>
      <sheetName val="Euro4_部品管理表12"/>
      <sheetName val="Submission_Address11"/>
      <sheetName val="Annual_Production12"/>
      <sheetName val="Fiel_List11"/>
      <sheetName val="New_DYNA11"/>
      <sheetName val="Report_for_CCD-Dec_0511"/>
      <sheetName val="Sheet7_NEW11"/>
      <sheetName val="_IB-PL-YTD11"/>
      <sheetName val="133NPR55_69_EC11"/>
      <sheetName val="A2_99011"/>
      <sheetName val="99年度営担別拡販_(3)11"/>
      <sheetName val="_CV_ALL11"/>
      <sheetName val="Unit_Price11"/>
      <sheetName val="Honda_trading11"/>
      <sheetName val="Delivery_Schedule11"/>
      <sheetName val="_Sale_Order_-N11"/>
      <sheetName val="Gross_Prifit-N11"/>
      <sheetName val="190BODY_EMATRIX10"/>
      <sheetName val="Customize_Your_Purchase_Order11"/>
      <sheetName val="List_Line11"/>
      <sheetName val="New_Target11"/>
      <sheetName val="B_Leadwire11"/>
      <sheetName val="Mg_switch11"/>
      <sheetName val="Yoke_assy11"/>
      <sheetName val="Field_coil11"/>
      <sheetName val="Lead_wire11"/>
      <sheetName val="Brush_Holder_11"/>
      <sheetName val="Motor_Gear11"/>
      <sheetName val="SPEC_LIST10"/>
      <sheetName val="Pareto_Others_+_Daily_Graph8"/>
      <sheetName val="Summary_volume_20208"/>
      <sheetName val="IMCT_Working_condition8"/>
      <sheetName val="Reply_Sheet_(FOB)8"/>
      <sheetName val="Reply_Sheet(WAM_Hi)8"/>
      <sheetName val="Reply_Sheet_(WAM_Low)8"/>
      <sheetName val="Reply_Sheet_(WAM_Mid)8"/>
      <sheetName val="Example_(Rev_1)8"/>
      <sheetName val="選酋表_&amp;崪Ֆ??ചȂച2??ᓈ_ᓎ_???8"/>
      <sheetName val="MY03_Y14"/>
      <sheetName val="MY04Z_B14"/>
      <sheetName val="MY04Z_D14"/>
      <sheetName val="Table_Master13"/>
      <sheetName val="COST_O_K_13"/>
      <sheetName val="C3_N_DC改造投資12"/>
      <sheetName val="Euro4_部品管理表13"/>
      <sheetName val="Submission_Address12"/>
      <sheetName val="Annual_Production13"/>
      <sheetName val="Fiel_List12"/>
      <sheetName val="New_DYNA12"/>
      <sheetName val="Report_for_CCD-Dec_0512"/>
      <sheetName val="Sheet7_NEW12"/>
      <sheetName val="_IB-PL-YTD12"/>
      <sheetName val="133NPR55_69_EC12"/>
      <sheetName val="A2_99012"/>
      <sheetName val="99年度営担別拡販_(3)12"/>
      <sheetName val="_CV_ALL12"/>
      <sheetName val="Unit_Price12"/>
      <sheetName val="Honda_trading12"/>
      <sheetName val="Delivery_Schedule12"/>
      <sheetName val="_Sale_Order_-N12"/>
      <sheetName val="Gross_Prifit-N12"/>
      <sheetName val="190BODY_EMATRIX11"/>
      <sheetName val="Customize_Your_Purchase_Order12"/>
      <sheetName val="List_Line12"/>
      <sheetName val="New_Target12"/>
      <sheetName val="B_Leadwire12"/>
      <sheetName val="Mg_switch12"/>
      <sheetName val="Yoke_assy12"/>
      <sheetName val="Field_coil12"/>
      <sheetName val="Lead_wire12"/>
      <sheetName val="Brush_Holder_12"/>
      <sheetName val="Motor_Gear12"/>
      <sheetName val="SPEC_LIST11"/>
      <sheetName val="Pareto_Others_+_Daily_Graph9"/>
      <sheetName val="Summary_volume_20209"/>
      <sheetName val="IMCT_Working_condition9"/>
      <sheetName val="Reply_Sheet_(FOB)9"/>
      <sheetName val="Reply_Sheet(WAM_Hi)9"/>
      <sheetName val="Reply_Sheet_(WAM_Low)9"/>
      <sheetName val="Reply_Sheet_(WAM_Mid)9"/>
      <sheetName val="Example_(Rev_1)9"/>
      <sheetName val="選酋表_&amp;崪Ֆ??ചȂച2??ᓈ_ᓎ_???9"/>
      <sheetName val="MY03_Y15"/>
      <sheetName val="MY04Z_B15"/>
      <sheetName val="MY04Z_D15"/>
      <sheetName val="Table_Master14"/>
      <sheetName val="COST_O_K_14"/>
      <sheetName val="C3_N_DC改造投資13"/>
      <sheetName val="Euro4_部品管理表14"/>
      <sheetName val="Submission_Address13"/>
      <sheetName val="Annual_Production14"/>
      <sheetName val="Fiel_List13"/>
      <sheetName val="New_DYNA13"/>
      <sheetName val="Report_for_CCD-Dec_0513"/>
      <sheetName val="Sheet7_NEW13"/>
      <sheetName val="_IB-PL-YTD13"/>
      <sheetName val="133NPR55_69_EC13"/>
      <sheetName val="A2_99013"/>
      <sheetName val="99年度営担別拡販_(3)13"/>
      <sheetName val="_CV_ALL13"/>
      <sheetName val="Unit_Price13"/>
      <sheetName val="Honda_trading13"/>
      <sheetName val="Delivery_Schedule13"/>
      <sheetName val="_Sale_Order_-N13"/>
      <sheetName val="Gross_Prifit-N13"/>
      <sheetName val="190BODY_EMATRIX12"/>
      <sheetName val="Customize_Your_Purchase_Order13"/>
      <sheetName val="List_Line13"/>
      <sheetName val="New_Target13"/>
      <sheetName val="B_Leadwire13"/>
      <sheetName val="Mg_switch13"/>
      <sheetName val="Yoke_assy13"/>
      <sheetName val="Field_coil13"/>
      <sheetName val="Lead_wire13"/>
      <sheetName val="Brush_Holder_13"/>
      <sheetName val="Motor_Gear13"/>
      <sheetName val="SPEC_LIST12"/>
      <sheetName val="Pareto_Others_+_Daily_Graph10"/>
      <sheetName val="Summary_volume_202010"/>
      <sheetName val="IMCT_Working_condition10"/>
      <sheetName val="Reply_Sheet_(FOB)10"/>
      <sheetName val="Reply_Sheet(WAM_Hi)10"/>
      <sheetName val="Reply_Sheet_(WAM_Low)10"/>
      <sheetName val="Reply_Sheet_(WAM_Mid)10"/>
      <sheetName val="Example_(Rev_1)10"/>
      <sheetName val="選酋表_&amp;崪Ֆ??ചȂച2??ᓈ_ᓎ_???10"/>
      <sheetName val="TIRE読み替え表"/>
      <sheetName val="2TUP"/>
      <sheetName val="入力・計算シート"/>
    </sheetNames>
    <sheetDataSet>
      <sheetData sheetId="0"/>
      <sheetData sheetId="1"/>
      <sheetData sheetId="2"/>
      <sheetData sheetId="3"/>
      <sheetData sheetId="4"/>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 sheetId="99" refreshError="1"/>
      <sheetData sheetId="100" refreshError="1"/>
      <sheetData sheetId="101" refreshError="1"/>
      <sheetData sheetId="102" refreshError="1"/>
      <sheetData sheetId="103" refreshError="1"/>
      <sheetData sheetId="104" refreshError="1"/>
      <sheetData sheetId="105" refreshError="1"/>
      <sheetData sheetId="106" refreshError="1"/>
      <sheetData sheetId="107" refreshError="1"/>
      <sheetData sheetId="108" refreshError="1"/>
      <sheetData sheetId="109" refreshError="1"/>
      <sheetData sheetId="110" refreshError="1"/>
      <sheetData sheetId="111" refreshError="1"/>
      <sheetData sheetId="112" refreshError="1"/>
      <sheetData sheetId="113" refreshError="1"/>
      <sheetData sheetId="114" refreshError="1"/>
      <sheetData sheetId="115" refreshError="1"/>
      <sheetData sheetId="116" refreshError="1"/>
      <sheetData sheetId="117" refreshError="1"/>
      <sheetData sheetId="118"/>
      <sheetData sheetId="119"/>
      <sheetData sheetId="120"/>
      <sheetData sheetId="121" refreshError="1"/>
      <sheetData sheetId="122" refreshError="1"/>
      <sheetData sheetId="123" refreshError="1"/>
      <sheetData sheetId="124" refreshError="1"/>
      <sheetData sheetId="125" refreshError="1"/>
      <sheetData sheetId="126" refreshError="1"/>
      <sheetData sheetId="127" refreshError="1"/>
      <sheetData sheetId="128" refreshError="1"/>
      <sheetData sheetId="129" refreshError="1"/>
      <sheetData sheetId="130" refreshError="1"/>
      <sheetData sheetId="131" refreshError="1"/>
      <sheetData sheetId="132" refreshError="1"/>
      <sheetData sheetId="133" refreshError="1"/>
      <sheetData sheetId="134" refreshError="1"/>
      <sheetData sheetId="135" refreshError="1"/>
      <sheetData sheetId="136" refreshError="1"/>
      <sheetData sheetId="137" refreshError="1"/>
      <sheetData sheetId="138" refreshError="1"/>
      <sheetData sheetId="139" refreshError="1"/>
      <sheetData sheetId="140" refreshError="1"/>
      <sheetData sheetId="141" refreshError="1"/>
      <sheetData sheetId="142" refreshError="1"/>
      <sheetData sheetId="143" refreshError="1"/>
      <sheetData sheetId="144" refreshError="1"/>
      <sheetData sheetId="145" refreshError="1"/>
      <sheetData sheetId="146" refreshError="1"/>
      <sheetData sheetId="147" refreshError="1"/>
      <sheetData sheetId="148" refreshError="1"/>
      <sheetData sheetId="149" refreshError="1"/>
      <sheetData sheetId="150" refreshError="1"/>
      <sheetData sheetId="151" refreshError="1"/>
      <sheetData sheetId="152" refreshError="1"/>
      <sheetData sheetId="153" refreshError="1"/>
      <sheetData sheetId="154" refreshError="1"/>
      <sheetData sheetId="155" refreshError="1"/>
      <sheetData sheetId="156" refreshError="1"/>
      <sheetData sheetId="157" refreshError="1"/>
      <sheetData sheetId="158" refreshError="1"/>
      <sheetData sheetId="159" refreshError="1"/>
      <sheetData sheetId="160" refreshError="1"/>
      <sheetData sheetId="161" refreshError="1"/>
      <sheetData sheetId="162" refreshError="1"/>
      <sheetData sheetId="163" refreshError="1"/>
      <sheetData sheetId="164" refreshError="1"/>
      <sheetData sheetId="165" refreshError="1"/>
      <sheetData sheetId="166" refreshError="1"/>
      <sheetData sheetId="167" refreshError="1"/>
      <sheetData sheetId="168" refreshError="1"/>
      <sheetData sheetId="169" refreshError="1"/>
      <sheetData sheetId="170" refreshError="1"/>
      <sheetData sheetId="171" refreshError="1"/>
      <sheetData sheetId="172" refreshError="1"/>
      <sheetData sheetId="173" refreshError="1"/>
      <sheetData sheetId="174" refreshError="1"/>
      <sheetData sheetId="175" refreshError="1"/>
      <sheetData sheetId="176" refreshError="1"/>
      <sheetData sheetId="177" refreshError="1"/>
      <sheetData sheetId="178" refreshError="1"/>
      <sheetData sheetId="179" refreshError="1"/>
      <sheetData sheetId="180" refreshError="1"/>
      <sheetData sheetId="181" refreshError="1"/>
      <sheetData sheetId="182" refreshError="1"/>
      <sheetData sheetId="183" refreshError="1"/>
      <sheetData sheetId="184" refreshError="1"/>
      <sheetData sheetId="185" refreshError="1"/>
      <sheetData sheetId="186" refreshError="1"/>
      <sheetData sheetId="187" refreshError="1"/>
      <sheetData sheetId="188" refreshError="1"/>
      <sheetData sheetId="189" refreshError="1"/>
      <sheetData sheetId="190" refreshError="1"/>
      <sheetData sheetId="191" refreshError="1"/>
      <sheetData sheetId="192" refreshError="1"/>
      <sheetData sheetId="193" refreshError="1"/>
      <sheetData sheetId="194" refreshError="1"/>
      <sheetData sheetId="195" refreshError="1"/>
      <sheetData sheetId="196" refreshError="1"/>
      <sheetData sheetId="197" refreshError="1"/>
      <sheetData sheetId="198" refreshError="1"/>
      <sheetData sheetId="199" refreshError="1"/>
      <sheetData sheetId="200"/>
      <sheetData sheetId="201" refreshError="1"/>
      <sheetData sheetId="202" refreshError="1"/>
      <sheetData sheetId="203" refreshError="1"/>
      <sheetData sheetId="204" refreshError="1"/>
      <sheetData sheetId="205" refreshError="1"/>
      <sheetData sheetId="206" refreshError="1"/>
      <sheetData sheetId="207" refreshError="1"/>
      <sheetData sheetId="208" refreshError="1"/>
      <sheetData sheetId="209" refreshError="1"/>
      <sheetData sheetId="210" refreshError="1"/>
      <sheetData sheetId="211" refreshError="1"/>
      <sheetData sheetId="212" refreshError="1"/>
      <sheetData sheetId="213" refreshError="1"/>
      <sheetData sheetId="214" refreshError="1"/>
      <sheetData sheetId="215" refreshError="1"/>
      <sheetData sheetId="216" refreshError="1"/>
      <sheetData sheetId="217" refreshError="1"/>
      <sheetData sheetId="218" refreshError="1"/>
      <sheetData sheetId="219" refreshError="1"/>
      <sheetData sheetId="220" refreshError="1"/>
      <sheetData sheetId="221" refreshError="1"/>
      <sheetData sheetId="222" refreshError="1"/>
      <sheetData sheetId="223" refreshError="1"/>
      <sheetData sheetId="224" refreshError="1"/>
      <sheetData sheetId="225"/>
      <sheetData sheetId="226"/>
      <sheetData sheetId="227"/>
      <sheetData sheetId="228"/>
      <sheetData sheetId="229"/>
      <sheetData sheetId="230"/>
      <sheetData sheetId="231"/>
      <sheetData sheetId="232"/>
      <sheetData sheetId="233"/>
      <sheetData sheetId="234"/>
      <sheetData sheetId="235"/>
      <sheetData sheetId="236"/>
      <sheetData sheetId="237"/>
      <sheetData sheetId="238"/>
      <sheetData sheetId="239"/>
      <sheetData sheetId="240"/>
      <sheetData sheetId="241"/>
      <sheetData sheetId="242"/>
      <sheetData sheetId="243"/>
      <sheetData sheetId="244"/>
      <sheetData sheetId="245"/>
      <sheetData sheetId="246"/>
      <sheetData sheetId="247"/>
      <sheetData sheetId="248"/>
      <sheetData sheetId="249"/>
      <sheetData sheetId="250"/>
      <sheetData sheetId="251"/>
      <sheetData sheetId="252"/>
      <sheetData sheetId="253"/>
      <sheetData sheetId="254"/>
      <sheetData sheetId="255"/>
      <sheetData sheetId="256"/>
      <sheetData sheetId="257"/>
      <sheetData sheetId="258"/>
      <sheetData sheetId="259"/>
      <sheetData sheetId="260"/>
      <sheetData sheetId="261"/>
      <sheetData sheetId="262"/>
      <sheetData sheetId="263"/>
      <sheetData sheetId="264"/>
      <sheetData sheetId="265"/>
      <sheetData sheetId="266"/>
      <sheetData sheetId="267"/>
      <sheetData sheetId="268"/>
      <sheetData sheetId="269"/>
      <sheetData sheetId="270"/>
      <sheetData sheetId="271"/>
      <sheetData sheetId="272"/>
      <sheetData sheetId="273"/>
      <sheetData sheetId="274"/>
      <sheetData sheetId="275"/>
      <sheetData sheetId="276"/>
      <sheetData sheetId="277"/>
      <sheetData sheetId="278"/>
      <sheetData sheetId="279"/>
      <sheetData sheetId="280"/>
      <sheetData sheetId="281"/>
      <sheetData sheetId="282"/>
      <sheetData sheetId="283"/>
      <sheetData sheetId="284"/>
      <sheetData sheetId="285"/>
      <sheetData sheetId="286"/>
      <sheetData sheetId="287"/>
      <sheetData sheetId="288"/>
      <sheetData sheetId="289"/>
      <sheetData sheetId="290"/>
      <sheetData sheetId="291"/>
      <sheetData sheetId="292"/>
      <sheetData sheetId="293"/>
      <sheetData sheetId="294"/>
      <sheetData sheetId="295" refreshError="1"/>
      <sheetData sheetId="296" refreshError="1"/>
      <sheetData sheetId="297" refreshError="1"/>
      <sheetData sheetId="298" refreshError="1"/>
      <sheetData sheetId="299" refreshError="1"/>
      <sheetData sheetId="300" refreshError="1"/>
      <sheetData sheetId="301" refreshError="1"/>
      <sheetData sheetId="302" refreshError="1"/>
      <sheetData sheetId="303" refreshError="1"/>
      <sheetData sheetId="304" refreshError="1"/>
      <sheetData sheetId="305" refreshError="1"/>
      <sheetData sheetId="306" refreshError="1"/>
      <sheetData sheetId="307" refreshError="1"/>
      <sheetData sheetId="308"/>
      <sheetData sheetId="309"/>
      <sheetData sheetId="310"/>
      <sheetData sheetId="311"/>
      <sheetData sheetId="312"/>
      <sheetData sheetId="313"/>
      <sheetData sheetId="314"/>
      <sheetData sheetId="315"/>
      <sheetData sheetId="316"/>
      <sheetData sheetId="317"/>
      <sheetData sheetId="318"/>
      <sheetData sheetId="319"/>
      <sheetData sheetId="320"/>
      <sheetData sheetId="321"/>
      <sheetData sheetId="322"/>
      <sheetData sheetId="323"/>
      <sheetData sheetId="324"/>
      <sheetData sheetId="325"/>
      <sheetData sheetId="326"/>
      <sheetData sheetId="327"/>
      <sheetData sheetId="328"/>
      <sheetData sheetId="329"/>
      <sheetData sheetId="330"/>
      <sheetData sheetId="331"/>
      <sheetData sheetId="332"/>
      <sheetData sheetId="333"/>
      <sheetData sheetId="334"/>
      <sheetData sheetId="335"/>
      <sheetData sheetId="336"/>
      <sheetData sheetId="337"/>
      <sheetData sheetId="338"/>
      <sheetData sheetId="339"/>
      <sheetData sheetId="340"/>
      <sheetData sheetId="341"/>
      <sheetData sheetId="342"/>
      <sheetData sheetId="343"/>
      <sheetData sheetId="344"/>
      <sheetData sheetId="345"/>
      <sheetData sheetId="346"/>
      <sheetData sheetId="347"/>
      <sheetData sheetId="348"/>
      <sheetData sheetId="349"/>
      <sheetData sheetId="350"/>
      <sheetData sheetId="351"/>
      <sheetData sheetId="352"/>
      <sheetData sheetId="353"/>
      <sheetData sheetId="354"/>
      <sheetData sheetId="355"/>
      <sheetData sheetId="356"/>
      <sheetData sheetId="357"/>
      <sheetData sheetId="358"/>
      <sheetData sheetId="359"/>
      <sheetData sheetId="360"/>
      <sheetData sheetId="361"/>
      <sheetData sheetId="362"/>
      <sheetData sheetId="363"/>
      <sheetData sheetId="364"/>
      <sheetData sheetId="365"/>
      <sheetData sheetId="366"/>
      <sheetData sheetId="367"/>
      <sheetData sheetId="368"/>
      <sheetData sheetId="369"/>
      <sheetData sheetId="370"/>
      <sheetData sheetId="371"/>
      <sheetData sheetId="372"/>
      <sheetData sheetId="373"/>
      <sheetData sheetId="374"/>
      <sheetData sheetId="375"/>
      <sheetData sheetId="376"/>
      <sheetData sheetId="377"/>
      <sheetData sheetId="378"/>
      <sheetData sheetId="379"/>
      <sheetData sheetId="380"/>
      <sheetData sheetId="381"/>
      <sheetData sheetId="382"/>
      <sheetData sheetId="383"/>
      <sheetData sheetId="384"/>
      <sheetData sheetId="385"/>
      <sheetData sheetId="386"/>
      <sheetData sheetId="387"/>
      <sheetData sheetId="388"/>
      <sheetData sheetId="389"/>
      <sheetData sheetId="390"/>
      <sheetData sheetId="391"/>
      <sheetData sheetId="392"/>
      <sheetData sheetId="393"/>
      <sheetData sheetId="394"/>
      <sheetData sheetId="395"/>
      <sheetData sheetId="396" refreshError="1"/>
      <sheetData sheetId="397" refreshError="1"/>
      <sheetData sheetId="398" refreshError="1"/>
      <sheetData sheetId="399" refreshError="1"/>
      <sheetData sheetId="400"/>
      <sheetData sheetId="401"/>
      <sheetData sheetId="402"/>
      <sheetData sheetId="403"/>
      <sheetData sheetId="404"/>
      <sheetData sheetId="405"/>
      <sheetData sheetId="406"/>
      <sheetData sheetId="407"/>
      <sheetData sheetId="408"/>
      <sheetData sheetId="409"/>
      <sheetData sheetId="410" refreshError="1"/>
      <sheetData sheetId="411" refreshError="1"/>
      <sheetData sheetId="412" refreshError="1"/>
      <sheetData sheetId="413" refreshError="1"/>
      <sheetData sheetId="414" refreshError="1"/>
      <sheetData sheetId="415" refreshError="1"/>
      <sheetData sheetId="416" refreshError="1"/>
      <sheetData sheetId="417" refreshError="1"/>
      <sheetData sheetId="418" refreshError="1"/>
      <sheetData sheetId="419" refreshError="1"/>
      <sheetData sheetId="420" refreshError="1"/>
      <sheetData sheetId="421" refreshError="1"/>
      <sheetData sheetId="422" refreshError="1"/>
      <sheetData sheetId="423" refreshError="1"/>
      <sheetData sheetId="424" refreshError="1"/>
      <sheetData sheetId="425" refreshError="1"/>
      <sheetData sheetId="426" refreshError="1"/>
      <sheetData sheetId="427" refreshError="1"/>
      <sheetData sheetId="428" refreshError="1"/>
      <sheetData sheetId="429"/>
      <sheetData sheetId="430"/>
      <sheetData sheetId="431"/>
      <sheetData sheetId="432"/>
      <sheetData sheetId="433"/>
      <sheetData sheetId="434"/>
      <sheetData sheetId="435"/>
      <sheetData sheetId="436"/>
      <sheetData sheetId="437"/>
      <sheetData sheetId="438"/>
      <sheetData sheetId="439"/>
      <sheetData sheetId="440"/>
      <sheetData sheetId="441"/>
      <sheetData sheetId="442"/>
      <sheetData sheetId="443"/>
      <sheetData sheetId="444"/>
      <sheetData sheetId="445"/>
      <sheetData sheetId="446"/>
      <sheetData sheetId="447"/>
      <sheetData sheetId="448"/>
      <sheetData sheetId="449"/>
      <sheetData sheetId="450"/>
      <sheetData sheetId="451"/>
      <sheetData sheetId="452"/>
      <sheetData sheetId="453"/>
      <sheetData sheetId="454"/>
      <sheetData sheetId="455"/>
      <sheetData sheetId="456"/>
      <sheetData sheetId="457"/>
      <sheetData sheetId="458"/>
      <sheetData sheetId="459"/>
      <sheetData sheetId="460"/>
      <sheetData sheetId="461"/>
      <sheetData sheetId="462"/>
      <sheetData sheetId="463"/>
      <sheetData sheetId="464"/>
      <sheetData sheetId="465"/>
      <sheetData sheetId="466"/>
      <sheetData sheetId="467"/>
      <sheetData sheetId="468"/>
      <sheetData sheetId="469"/>
      <sheetData sheetId="470"/>
      <sheetData sheetId="471"/>
      <sheetData sheetId="472"/>
      <sheetData sheetId="473"/>
      <sheetData sheetId="474"/>
      <sheetData sheetId="475"/>
      <sheetData sheetId="476"/>
      <sheetData sheetId="477"/>
      <sheetData sheetId="478"/>
      <sheetData sheetId="479"/>
      <sheetData sheetId="480"/>
      <sheetData sheetId="481"/>
      <sheetData sheetId="482"/>
      <sheetData sheetId="483"/>
      <sheetData sheetId="484"/>
      <sheetData sheetId="485"/>
      <sheetData sheetId="486"/>
      <sheetData sheetId="487"/>
      <sheetData sheetId="488"/>
      <sheetData sheetId="489"/>
      <sheetData sheetId="490"/>
      <sheetData sheetId="491"/>
      <sheetData sheetId="492"/>
      <sheetData sheetId="493"/>
      <sheetData sheetId="494"/>
      <sheetData sheetId="495"/>
      <sheetData sheetId="496"/>
      <sheetData sheetId="497"/>
      <sheetData sheetId="498"/>
      <sheetData sheetId="499"/>
      <sheetData sheetId="500"/>
      <sheetData sheetId="501"/>
      <sheetData sheetId="502"/>
      <sheetData sheetId="503"/>
      <sheetData sheetId="504"/>
      <sheetData sheetId="505"/>
      <sheetData sheetId="506"/>
      <sheetData sheetId="507"/>
      <sheetData sheetId="508"/>
      <sheetData sheetId="509"/>
      <sheetData sheetId="510"/>
      <sheetData sheetId="511"/>
      <sheetData sheetId="512"/>
      <sheetData sheetId="513"/>
      <sheetData sheetId="514"/>
      <sheetData sheetId="515"/>
      <sheetData sheetId="516"/>
      <sheetData sheetId="517"/>
      <sheetData sheetId="518"/>
      <sheetData sheetId="519"/>
      <sheetData sheetId="520"/>
      <sheetData sheetId="521"/>
      <sheetData sheetId="522"/>
      <sheetData sheetId="523"/>
      <sheetData sheetId="524"/>
      <sheetData sheetId="525"/>
      <sheetData sheetId="526"/>
      <sheetData sheetId="527"/>
      <sheetData sheetId="528"/>
      <sheetData sheetId="529"/>
      <sheetData sheetId="530"/>
      <sheetData sheetId="531"/>
      <sheetData sheetId="532"/>
      <sheetData sheetId="533"/>
      <sheetData sheetId="534"/>
      <sheetData sheetId="535"/>
      <sheetData sheetId="536"/>
      <sheetData sheetId="537"/>
      <sheetData sheetId="538"/>
      <sheetData sheetId="539"/>
      <sheetData sheetId="540"/>
      <sheetData sheetId="541"/>
      <sheetData sheetId="542"/>
      <sheetData sheetId="543"/>
      <sheetData sheetId="544"/>
      <sheetData sheetId="545"/>
      <sheetData sheetId="546"/>
      <sheetData sheetId="547"/>
      <sheetData sheetId="548"/>
      <sheetData sheetId="549"/>
      <sheetData sheetId="550"/>
      <sheetData sheetId="551"/>
      <sheetData sheetId="552"/>
      <sheetData sheetId="553"/>
      <sheetData sheetId="554"/>
      <sheetData sheetId="555"/>
      <sheetData sheetId="556"/>
      <sheetData sheetId="557"/>
      <sheetData sheetId="558"/>
      <sheetData sheetId="559"/>
      <sheetData sheetId="560"/>
      <sheetData sheetId="561"/>
      <sheetData sheetId="562"/>
      <sheetData sheetId="563"/>
      <sheetData sheetId="564"/>
      <sheetData sheetId="565"/>
      <sheetData sheetId="566"/>
      <sheetData sheetId="567"/>
      <sheetData sheetId="568"/>
      <sheetData sheetId="569"/>
      <sheetData sheetId="570"/>
      <sheetData sheetId="571"/>
      <sheetData sheetId="572"/>
      <sheetData sheetId="573"/>
      <sheetData sheetId="574"/>
      <sheetData sheetId="575"/>
      <sheetData sheetId="576"/>
      <sheetData sheetId="577"/>
      <sheetData sheetId="578"/>
      <sheetData sheetId="579"/>
      <sheetData sheetId="580"/>
      <sheetData sheetId="581"/>
      <sheetData sheetId="582"/>
      <sheetData sheetId="583"/>
      <sheetData sheetId="584"/>
      <sheetData sheetId="585"/>
      <sheetData sheetId="586"/>
      <sheetData sheetId="587"/>
      <sheetData sheetId="588"/>
      <sheetData sheetId="589"/>
      <sheetData sheetId="590"/>
      <sheetData sheetId="591"/>
      <sheetData sheetId="592"/>
      <sheetData sheetId="593"/>
      <sheetData sheetId="594"/>
      <sheetData sheetId="595"/>
      <sheetData sheetId="596"/>
      <sheetData sheetId="597"/>
      <sheetData sheetId="598"/>
      <sheetData sheetId="599"/>
      <sheetData sheetId="600"/>
      <sheetData sheetId="601"/>
      <sheetData sheetId="602"/>
      <sheetData sheetId="603"/>
      <sheetData sheetId="604"/>
      <sheetData sheetId="605"/>
      <sheetData sheetId="606"/>
      <sheetData sheetId="607"/>
      <sheetData sheetId="608"/>
      <sheetData sheetId="609"/>
      <sheetData sheetId="610"/>
      <sheetData sheetId="611"/>
      <sheetData sheetId="612"/>
      <sheetData sheetId="613"/>
      <sheetData sheetId="614"/>
      <sheetData sheetId="615"/>
      <sheetData sheetId="616"/>
      <sheetData sheetId="617"/>
      <sheetData sheetId="618"/>
      <sheetData sheetId="619"/>
      <sheetData sheetId="620"/>
      <sheetData sheetId="621"/>
      <sheetData sheetId="622"/>
      <sheetData sheetId="623"/>
      <sheetData sheetId="624"/>
      <sheetData sheetId="625"/>
      <sheetData sheetId="626"/>
      <sheetData sheetId="627"/>
      <sheetData sheetId="628"/>
      <sheetData sheetId="629"/>
      <sheetData sheetId="630"/>
      <sheetData sheetId="631"/>
      <sheetData sheetId="632"/>
      <sheetData sheetId="633"/>
      <sheetData sheetId="634"/>
      <sheetData sheetId="635"/>
      <sheetData sheetId="636"/>
      <sheetData sheetId="637"/>
      <sheetData sheetId="638"/>
      <sheetData sheetId="639"/>
      <sheetData sheetId="640"/>
      <sheetData sheetId="641"/>
      <sheetData sheetId="642"/>
      <sheetData sheetId="643"/>
      <sheetData sheetId="644"/>
      <sheetData sheetId="645"/>
      <sheetData sheetId="646"/>
      <sheetData sheetId="647"/>
      <sheetData sheetId="648"/>
      <sheetData sheetId="649"/>
      <sheetData sheetId="650"/>
      <sheetData sheetId="651"/>
      <sheetData sheetId="652"/>
      <sheetData sheetId="653"/>
      <sheetData sheetId="654"/>
      <sheetData sheetId="655"/>
      <sheetData sheetId="656"/>
      <sheetData sheetId="657"/>
      <sheetData sheetId="658"/>
      <sheetData sheetId="659"/>
      <sheetData sheetId="660"/>
      <sheetData sheetId="661"/>
      <sheetData sheetId="662"/>
      <sheetData sheetId="663"/>
      <sheetData sheetId="664"/>
      <sheetData sheetId="665"/>
      <sheetData sheetId="666"/>
      <sheetData sheetId="667"/>
      <sheetData sheetId="668"/>
      <sheetData sheetId="669"/>
      <sheetData sheetId="670"/>
      <sheetData sheetId="671"/>
      <sheetData sheetId="672"/>
      <sheetData sheetId="673"/>
      <sheetData sheetId="674"/>
      <sheetData sheetId="675"/>
      <sheetData sheetId="676"/>
      <sheetData sheetId="677"/>
      <sheetData sheetId="678"/>
      <sheetData sheetId="679"/>
      <sheetData sheetId="680"/>
      <sheetData sheetId="681"/>
      <sheetData sheetId="682"/>
      <sheetData sheetId="683"/>
      <sheetData sheetId="684"/>
      <sheetData sheetId="685"/>
      <sheetData sheetId="686"/>
      <sheetData sheetId="687"/>
      <sheetData sheetId="688"/>
      <sheetData sheetId="689"/>
      <sheetData sheetId="690"/>
      <sheetData sheetId="691"/>
      <sheetData sheetId="692"/>
      <sheetData sheetId="693"/>
      <sheetData sheetId="694"/>
      <sheetData sheetId="695"/>
      <sheetData sheetId="696"/>
      <sheetData sheetId="697"/>
      <sheetData sheetId="698"/>
      <sheetData sheetId="699"/>
      <sheetData sheetId="700"/>
      <sheetData sheetId="701"/>
      <sheetData sheetId="702"/>
      <sheetData sheetId="703"/>
      <sheetData sheetId="704"/>
      <sheetData sheetId="705"/>
      <sheetData sheetId="706"/>
      <sheetData sheetId="707"/>
      <sheetData sheetId="708"/>
      <sheetData sheetId="709"/>
      <sheetData sheetId="710"/>
      <sheetData sheetId="711"/>
      <sheetData sheetId="712"/>
      <sheetData sheetId="713"/>
      <sheetData sheetId="714"/>
      <sheetData sheetId="715"/>
      <sheetData sheetId="716"/>
      <sheetData sheetId="717"/>
      <sheetData sheetId="718"/>
      <sheetData sheetId="719"/>
      <sheetData sheetId="720"/>
      <sheetData sheetId="721"/>
      <sheetData sheetId="722"/>
      <sheetData sheetId="723"/>
      <sheetData sheetId="724"/>
      <sheetData sheetId="725"/>
      <sheetData sheetId="726"/>
      <sheetData sheetId="727"/>
      <sheetData sheetId="728"/>
      <sheetData sheetId="729"/>
      <sheetData sheetId="730"/>
      <sheetData sheetId="731"/>
      <sheetData sheetId="732"/>
      <sheetData sheetId="733"/>
      <sheetData sheetId="734"/>
      <sheetData sheetId="735"/>
      <sheetData sheetId="736"/>
      <sheetData sheetId="737"/>
      <sheetData sheetId="738"/>
      <sheetData sheetId="739"/>
      <sheetData sheetId="740"/>
      <sheetData sheetId="741"/>
      <sheetData sheetId="742"/>
      <sheetData sheetId="743"/>
      <sheetData sheetId="744"/>
      <sheetData sheetId="745"/>
      <sheetData sheetId="746"/>
      <sheetData sheetId="747"/>
      <sheetData sheetId="748"/>
      <sheetData sheetId="749"/>
      <sheetData sheetId="750"/>
      <sheetData sheetId="751"/>
      <sheetData sheetId="752"/>
      <sheetData sheetId="753"/>
      <sheetData sheetId="754"/>
      <sheetData sheetId="755"/>
      <sheetData sheetId="756"/>
      <sheetData sheetId="757"/>
      <sheetData sheetId="758"/>
      <sheetData sheetId="759"/>
      <sheetData sheetId="760"/>
      <sheetData sheetId="761"/>
      <sheetData sheetId="762"/>
      <sheetData sheetId="763"/>
      <sheetData sheetId="764"/>
      <sheetData sheetId="765"/>
      <sheetData sheetId="766"/>
      <sheetData sheetId="767"/>
      <sheetData sheetId="768"/>
      <sheetData sheetId="769"/>
      <sheetData sheetId="770"/>
      <sheetData sheetId="771"/>
      <sheetData sheetId="772"/>
      <sheetData sheetId="773"/>
      <sheetData sheetId="774"/>
      <sheetData sheetId="775"/>
      <sheetData sheetId="776" refreshError="1"/>
      <sheetData sheetId="777"/>
      <sheetData sheetId="778" refreshError="1"/>
      <sheetData sheetId="779" refreshError="1"/>
      <sheetData sheetId="780" refreshError="1"/>
      <sheetData sheetId="781"/>
      <sheetData sheetId="782"/>
      <sheetData sheetId="783"/>
      <sheetData sheetId="784"/>
      <sheetData sheetId="785"/>
      <sheetData sheetId="786"/>
      <sheetData sheetId="787"/>
      <sheetData sheetId="788"/>
      <sheetData sheetId="789" refreshError="1"/>
      <sheetData sheetId="790" refreshError="1"/>
      <sheetData sheetId="791" refreshError="1"/>
      <sheetData sheetId="792" refreshError="1"/>
      <sheetData sheetId="793" refreshError="1"/>
      <sheetData sheetId="794" refreshError="1"/>
      <sheetData sheetId="795" refreshError="1"/>
      <sheetData sheetId="796" refreshError="1"/>
      <sheetData sheetId="797" refreshError="1"/>
      <sheetData sheetId="798" refreshError="1"/>
      <sheetData sheetId="799" refreshError="1"/>
      <sheetData sheetId="800" refreshError="1"/>
      <sheetData sheetId="801" refreshError="1"/>
      <sheetData sheetId="802" refreshError="1"/>
      <sheetData sheetId="803" refreshError="1"/>
      <sheetData sheetId="804" refreshError="1"/>
      <sheetData sheetId="805" refreshError="1"/>
      <sheetData sheetId="806" refreshError="1"/>
      <sheetData sheetId="807" refreshError="1"/>
      <sheetData sheetId="808" refreshError="1"/>
      <sheetData sheetId="809" refreshError="1"/>
      <sheetData sheetId="810" refreshError="1"/>
      <sheetData sheetId="811" refreshError="1"/>
      <sheetData sheetId="812" refreshError="1"/>
      <sheetData sheetId="813" refreshError="1"/>
      <sheetData sheetId="814" refreshError="1"/>
      <sheetData sheetId="815" refreshError="1"/>
      <sheetData sheetId="816" refreshError="1"/>
      <sheetData sheetId="817" refreshError="1"/>
      <sheetData sheetId="818" refreshError="1"/>
      <sheetData sheetId="819" refreshError="1"/>
      <sheetData sheetId="820" refreshError="1"/>
      <sheetData sheetId="821" refreshError="1"/>
      <sheetData sheetId="822" refreshError="1"/>
      <sheetData sheetId="823" refreshError="1"/>
      <sheetData sheetId="824" refreshError="1"/>
      <sheetData sheetId="825" refreshError="1"/>
      <sheetData sheetId="826" refreshError="1"/>
      <sheetData sheetId="827" refreshError="1"/>
    </sheetDataSet>
  </externalBook>
</externalLink>
</file>

<file path=xl/externalLinks/externalLink3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計画書"/>
      <sheetName val="添付①摺り合せ"/>
      <sheetName val="添付②、③性能比較-1"/>
      <sheetName val="添付④ﾌﾞﾛｰﾊﾞｲ"/>
      <sheetName val="添付⑤ﾌﾞﾛｰﾊﾞｲ"/>
      <sheetName val="data"/>
    </sheetNames>
    <sheetDataSet>
      <sheetData sheetId="0"/>
      <sheetData sheetId="1"/>
      <sheetData sheetId="2"/>
      <sheetData sheetId="3"/>
      <sheetData sheetId="4"/>
      <sheetData sheetId="5">
        <row r="8">
          <cell r="C8" t="str">
            <v>横田</v>
          </cell>
          <cell r="F8" t="str">
            <v>T687FP1ZS1150</v>
          </cell>
          <cell r="H8" t="str">
            <v>W-4</v>
          </cell>
        </row>
        <row r="9">
          <cell r="C9" t="str">
            <v>石川</v>
          </cell>
          <cell r="F9" t="str">
            <v>T688FP1ZN4850</v>
          </cell>
          <cell r="H9" t="str">
            <v>T-3</v>
          </cell>
        </row>
        <row r="10">
          <cell r="C10" t="str">
            <v>藤田</v>
          </cell>
          <cell r="F10" t="str">
            <v>T727FP1ZS0450</v>
          </cell>
          <cell r="H10" t="str">
            <v>1実準備</v>
          </cell>
        </row>
        <row r="11">
          <cell r="C11" t="str">
            <v>中澤</v>
          </cell>
          <cell r="F11" t="str">
            <v>T642FP1ZP3600</v>
          </cell>
          <cell r="H11" t="str">
            <v>2実準備</v>
          </cell>
        </row>
        <row r="12">
          <cell r="C12" t="str">
            <v>堀切</v>
          </cell>
          <cell r="F12" t="str">
            <v>T643FP1ZS0270</v>
          </cell>
          <cell r="H12" t="str">
            <v>108ﾍﾞﾝﾁ南</v>
          </cell>
        </row>
        <row r="13">
          <cell r="C13" t="str">
            <v>高橋</v>
          </cell>
          <cell r="F13" t="str">
            <v>J366FP1Z00010</v>
          </cell>
          <cell r="H13" t="str">
            <v>108ﾍﾞﾝﾁ北</v>
          </cell>
        </row>
        <row r="14">
          <cell r="C14" t="str">
            <v>八木</v>
          </cell>
          <cell r="H14" t="str">
            <v>113ﾍﾞﾝﾁ南</v>
          </cell>
        </row>
        <row r="15">
          <cell r="H15" t="str">
            <v>113ﾍﾞﾝﾁ北</v>
          </cell>
        </row>
        <row r="16">
          <cell r="H16" t="str">
            <v>117ﾍﾞﾝﾁ南</v>
          </cell>
        </row>
        <row r="17">
          <cell r="H17" t="str">
            <v>117ﾍﾞﾝﾁ北</v>
          </cell>
        </row>
        <row r="18">
          <cell r="H18" t="str">
            <v>207ﾍﾞﾝﾁ東</v>
          </cell>
        </row>
        <row r="19">
          <cell r="H19" t="str">
            <v>207ﾍﾞﾝﾁ西</v>
          </cell>
        </row>
        <row r="20">
          <cell r="H20" t="str">
            <v>技7-3Ｆ</v>
          </cell>
        </row>
        <row r="21">
          <cell r="H21" t="str">
            <v>ﾃｽﾄｺｰｽ</v>
          </cell>
        </row>
      </sheetData>
    </sheetDataSet>
  </externalBook>
</externalLink>
</file>

<file path=xl/externalLinks/externalLink3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op"/>
      <sheetName val="TableofContents"/>
      <sheetName val="General(Japanese)"/>
      <sheetName val="IDMatrix"/>
      <sheetName val="SignalMatrix"/>
      <sheetName val="DataList"/>
      <sheetName val="Appendix"/>
      <sheetName val="RevisionHistory"/>
      <sheetName val="TimingList"/>
      <sheetName val="仕様表"/>
      <sheetName val="表紙"/>
      <sheetName val="総合B"/>
      <sheetName val="CAN仕様 修正点"/>
      <sheetName val="(Draft)YC5_CAN_SPECIFICATION_PA"/>
    </sheetNames>
    <sheetDataSet>
      <sheetData sheetId="0" refreshError="1"/>
      <sheetData sheetId="1" refreshError="1"/>
      <sheetData sheetId="2" refreshError="1"/>
      <sheetData sheetId="3"/>
      <sheetData sheetId="4" refreshError="1"/>
      <sheetData sheetId="5"/>
      <sheetData sheetId="6" refreshError="1"/>
      <sheetData sheetId="7" refreshError="1"/>
      <sheetData sheetId="8" refreshError="1"/>
      <sheetData sheetId="9" refreshError="1"/>
      <sheetData sheetId="10" refreshError="1"/>
      <sheetData sheetId="11" refreshError="1"/>
      <sheetData sheetId="12" refreshError="1"/>
      <sheetData sheetId="13" refreshError="1"/>
    </sheetDataSet>
  </externalBook>
</externalLink>
</file>

<file path=xl/externalLinks/externalLink3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lannedDelivery"/>
      <sheetName val="ProtocolOverview"/>
      <sheetName val="ServiceOverview"/>
      <sheetName val="DSC(0x10)"/>
      <sheetName val="RESET(0x11)"/>
      <sheetName val="SECA(0x27)"/>
      <sheetName val="SECA"/>
      <sheetName val="CC(0x28)"/>
      <sheetName val="TP(0x3E)"/>
      <sheetName val="CDTC(0x85)"/>
      <sheetName val="RDBI(0x22)"/>
      <sheetName val="WDBI(0x2E)"/>
      <sheetName val="CDI(0x14)"/>
      <sheetName val="RDTC(0x19)"/>
      <sheetName val="IOCBI(0x2F)"/>
      <sheetName val="RC(0x31)"/>
      <sheetName val="RD(0x34)"/>
      <sheetName val="TD(0x36)"/>
      <sheetName val="RTE(0x37)"/>
      <sheetName val="dict"/>
      <sheetName val="DID_List"/>
      <sheetName val="OPL"/>
      <sheetName val="Related_Calib"/>
      <sheetName val="Service_process"/>
      <sheetName val="ECU_ID_ECMSpec"/>
      <sheetName val="Repro_Sequence"/>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ow r="1">
          <cell r="A1" t="str">
            <v>$00 - returnControlToECU</v>
          </cell>
        </row>
        <row r="2">
          <cell r="A2" t="str">
            <v>$01 - resetToDefault</v>
          </cell>
        </row>
        <row r="3">
          <cell r="A3" t="str">
            <v>$02 - freezeCurrentState</v>
          </cell>
        </row>
        <row r="4">
          <cell r="A4" t="str">
            <v>$03 - shortTermAdjustment</v>
          </cell>
        </row>
      </sheetData>
      <sheetData sheetId="20" refreshError="1"/>
      <sheetData sheetId="21" refreshError="1"/>
      <sheetData sheetId="22" refreshError="1"/>
      <sheetData sheetId="23" refreshError="1"/>
      <sheetData sheetId="24" refreshError="1"/>
      <sheetData sheetId="25" refreshError="1"/>
    </sheetDataSet>
  </externalBook>
</externalLink>
</file>

<file path=xl/externalLinks/externalLink3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h8_DOD_(Soak)"/>
      <sheetName val="Ch2_VBATFIL"/>
      <sheetName val="Ch2_TBAT_ave_CAN"/>
      <sheetName val="Ch2_TBAT_ave(判定YC5）"/>
      <sheetName val="Ch2_TBATADFIL"/>
      <sheetName val="Ch2_TBATFIL(YC5)"/>
      <sheetName val="Ch2_TBATFIL(YC5)判定"/>
      <sheetName val="Ch2_CSFIL"/>
      <sheetName val="Ch2_CS_ave_CAN"/>
      <sheetName val="Ch2_CS_zchgchrf3_YC5_"/>
      <sheetName val="Ch2_NSW_anneal"/>
      <sheetName val="NSW_AD_gearin_error_normaｌ量試"/>
      <sheetName val="TimeResult1"/>
      <sheetName val="MessageSignalList"/>
      <sheetName val="５．２満充電要求判定　５．２満充電条件判定時間 (テーブル値)"/>
      <sheetName val="Ch8_OCV"/>
      <sheetName val="Ch8_DOD(Cranking)"/>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sheetData sheetId="14" refreshError="1"/>
      <sheetData sheetId="15" refreshError="1"/>
      <sheetData sheetId="16" refreshError="1"/>
    </sheetDataSet>
  </externalBook>
</externalLink>
</file>

<file path=xl/externalLinks/externalLink4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op"/>
      <sheetName val="TableofContents"/>
      <sheetName val="General(English)"/>
      <sheetName val="General(Japanese)"/>
      <sheetName val="IDMatrix"/>
      <sheetName val="SignalMatrix"/>
      <sheetName val="Appendix"/>
      <sheetName val="RevisionHistory"/>
      <sheetName val="TimingList"/>
      <sheetName val="DataList"/>
      <sheetName val="ヨⅥ"/>
      <sheetName val="76極"/>
    </sheetNames>
    <sheetDataSet>
      <sheetData sheetId="0" refreshError="1"/>
      <sheetData sheetId="1" refreshError="1"/>
      <sheetData sheetId="2"/>
      <sheetData sheetId="3"/>
      <sheetData sheetId="4"/>
      <sheetData sheetId="5"/>
      <sheetData sheetId="6"/>
      <sheetData sheetId="7"/>
      <sheetData sheetId="8"/>
      <sheetData sheetId="9" refreshError="1"/>
      <sheetData sheetId="10" refreshError="1"/>
      <sheetData sheetId="11" refreshError="1"/>
    </sheetDataSet>
  </externalBook>
</externalLink>
</file>

<file path=xl/externalLinks/externalLink4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76極"/>
      <sheetName val="162"/>
      <sheetName val="93極full"/>
      <sheetName val="SignalMatrix"/>
      <sheetName val="DataList"/>
      <sheetName val="総合B"/>
      <sheetName val="ヨⅥ"/>
      <sheetName val="流量特性ｸﾞﾗﾌ"/>
      <sheetName val="V6GDI"/>
      <sheetName val="Sheet1"/>
      <sheetName val="DRIFT処理"/>
      <sheetName val="VCCWT"/>
      <sheetName val="結果シート(N)再設定"/>
      <sheetName val="ハンチング対策結果一覧 (加工)"/>
      <sheetName val="Header"/>
      <sheetName val="A"/>
    </sheetNames>
    <sheetDataSet>
      <sheetData sheetId="0"/>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Set>
  </externalBook>
</externalLink>
</file>

<file path=xl/externalLinks/externalLink4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eckbl PQ25"/>
      <sheetName val="History"/>
      <sheetName val="Inhalt"/>
      <sheetName val="PQ25 Komfort"/>
      <sheetName val="IDMatrix"/>
    </sheetNames>
    <sheetDataSet>
      <sheetData sheetId="0" refreshError="1"/>
      <sheetData sheetId="1" refreshError="1"/>
      <sheetData sheetId="2" refreshError="1"/>
      <sheetData sheetId="3"/>
      <sheetData sheetId="4" refreshError="1"/>
    </sheetDataSet>
  </externalBook>
</externalLink>
</file>

<file path=xl/externalLinks/externalLink4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eckblatt Colorado NF"/>
      <sheetName val="History"/>
      <sheetName val="Inhalt"/>
      <sheetName val="VW526_CAN_Antrieb"/>
      <sheetName val="PQ25 Komfort"/>
      <sheetName val="SignalMatrix"/>
    </sheetNames>
    <sheetDataSet>
      <sheetData sheetId="0" refreshError="1"/>
      <sheetData sheetId="1" refreshError="1"/>
      <sheetData sheetId="2" refreshError="1"/>
      <sheetData sheetId="3"/>
      <sheetData sheetId="4" refreshError="1"/>
      <sheetData sheetId="5" refreshError="1"/>
    </sheetDataSet>
  </externalBook>
</externalLink>
</file>

<file path=xl/externalLinks/externalLink4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96期(川崎)"/>
      <sheetName val="96期_川崎_"/>
      <sheetName val="#001"/>
      <sheetName val="#002"/>
      <sheetName val="#003"/>
      <sheetName val="BASE"/>
      <sheetName val="ENG油洩れ"/>
      <sheetName val="ＴＦ関連Ｐｒｊ日程表"/>
      <sheetName val="1-A､B"/>
      <sheetName val="試作DPロット日程"/>
      <sheetName val="ITEM"/>
      <sheetName val="駆動系1"/>
      <sheetName val="24204"/>
      <sheetName val="洩れ"/>
      <sheetName val="駆動力（入力シート）"/>
      <sheetName val="一覧"/>
      <sheetName val="量産準備実施依頼書"/>
      <sheetName val="1-C,D"/>
      <sheetName val="噴射系"/>
      <sheetName val="集計条件"/>
      <sheetName val="第1期"/>
      <sheetName val="Sheet1"/>
      <sheetName val="資料_700部品点数設定"/>
      <sheetName val="?????"/>
      <sheetName val="NCAB"/>
      <sheetName val="9003"/>
      <sheetName val="96_97研究費_全体"/>
      <sheetName val="SS"/>
      <sheetName val="計算結果"/>
      <sheetName val="_____"/>
      <sheetName val="MOD"/>
      <sheetName val="Unit Price"/>
      <sheetName val="生産台数内訳"/>
      <sheetName val="クライテリア"/>
      <sheetName val="SPEC LIST"/>
      <sheetName val="NEW003"/>
      <sheetName val="名簿データ"/>
      <sheetName val="Macro1old"/>
      <sheetName val="定数定義"/>
      <sheetName val="JOB_FO"/>
      <sheetName val="CRITERIA3"/>
      <sheetName val="CRITERIA1"/>
      <sheetName val="CRITERIA2"/>
      <sheetName val="業務計画"/>
      <sheetName val="ｴｱﾃﾞｨｽｸ"/>
      <sheetName val="133NPR55 69 EC"/>
      <sheetName val="①評価項目_メーカー"/>
      <sheetName val="出図表"/>
      <sheetName val="A"/>
      <sheetName val="APEAL詳細項目"/>
      <sheetName val="TOC"/>
      <sheetName val="iqs_data"/>
      <sheetName val="iqs_index"/>
      <sheetName val="VQS⑦-⑭"/>
      <sheetName val="VQS⑮"/>
      <sheetName val="01"/>
      <sheetName val="新中部位"/>
      <sheetName val="data"/>
      <sheetName val="(原単位)"/>
      <sheetName val="104-Ⅰ計画"/>
      <sheetName val="Unit_Price"/>
      <sheetName val="SPEC_LIST"/>
      <sheetName val="Master Updated(517)"/>
      <sheetName val="MAXMINเดินระบบKB"/>
      <sheetName val="Annual Sales"/>
      <sheetName val="total change&amp;add"/>
      <sheetName val="00-1"/>
      <sheetName val="HCCE01"/>
      <sheetName val="F混流"/>
      <sheetName val="16,7"/>
      <sheetName val="FTRQINT20F"/>
      <sheetName val="Production Database 399"/>
      <sheetName val="条件入力"/>
      <sheetName val="FML"/>
      <sheetName val="DATA01"/>
      <sheetName val="日付"/>
      <sheetName val="第1期投資実績"/>
      <sheetName val="02MY投資実績"/>
      <sheetName val="150K-1投資"/>
      <sheetName val="150K-2投資"/>
      <sheetName val="ｽﾍﾟｯｸﾘｽﾄ（駆動系）"/>
      <sheetName val="2.대외공문"/>
      <sheetName val="ﾊﾞﾗﾝｻｰcal"/>
      <sheetName val="ｺﾝﾛｯﾄﾞcal"/>
      <sheetName val="ｸﾗﾝｸｹｰｽcal"/>
      <sheetName val="ヘッダ"/>
      <sheetName val="Assumptions"/>
      <sheetName val="車両仕様"/>
      <sheetName val="ｺｰﾄﾞ表"/>
      <sheetName val="ﾌﾟﾙﾀﾞｳﾝﾒﾆｭｰ用ｺｰﾄﾞ表"/>
      <sheetName val="問提書ｺｰﾄﾞ表"/>
      <sheetName val="Menu"/>
      <sheetName val="00年9月"/>
      <sheetName val="invt mvt"/>
      <sheetName val="Defects"/>
      <sheetName val="99"/>
      <sheetName val="10"/>
      <sheetName val="90-2"/>
      <sheetName val="101"/>
      <sheetName val="19"/>
      <sheetName val="57"/>
      <sheetName val="11.CPU単価"/>
      <sheetName val="08.P772報告書030530"/>
      <sheetName val="投資ﾘｽﾄ"/>
      <sheetName val="ﾀｲﾔ"/>
      <sheetName val="ﾃﾞｰﾀ"/>
      <sheetName val="DB"/>
      <sheetName val="加工"/>
      <sheetName val="組立"/>
      <sheetName val="HE5AA実測"/>
      <sheetName val="G Van - Price Build up"/>
      <sheetName val="推移用データ"/>
      <sheetName val="Fiel List"/>
      <sheetName val="#20号車排ガス"/>
      <sheetName val="GMT900 IPC"/>
      <sheetName val="GRACE"/>
      <sheetName val="ＦＴＲ連結採算"/>
      <sheetName val="Vehicle Number"/>
      <sheetName val="ST SHEET"/>
      <sheetName val="002(4)"/>
      <sheetName val="MOTO"/>
      <sheetName val="溶接条件表"/>
      <sheetName val="会社概況(国内)"/>
      <sheetName val="見積依頼書(海外)"/>
      <sheetName val="朱書き（業種）"/>
      <sheetName val="量産品番"/>
      <sheetName val="Information"/>
      <sheetName val="1_A_B"/>
      <sheetName val="2-A､B 3-A"/>
      <sheetName val="Master Parts List"/>
      <sheetName val="PROFILE"/>
      <sheetName val="06-Quotation"/>
      <sheetName val="【資料】730改造投資"/>
      <sheetName val="時刻指定"/>
      <sheetName val="TIRE読み替え表"/>
      <sheetName val="PartsRist"/>
      <sheetName val="#REF"/>
      <sheetName val="BELT検討"/>
      <sheetName val="180K投資"/>
      <sheetName val="_CONFIG-2"/>
      <sheetName val="Unit_Price1"/>
      <sheetName val="SPEC_LIST1"/>
      <sheetName val="133NPR55_69_EC"/>
      <sheetName val="Master_Updated(517)"/>
      <sheetName val="Annual_Sales"/>
      <sheetName val="total_change&amp;add"/>
      <sheetName val="C3_N DC改造投資"/>
      <sheetName val="売掛"/>
      <sheetName val="選酋表"/>
      <sheetName val="設定シート"/>
      <sheetName val="Orig Study for PPAP"/>
      <sheetName val="研試"/>
      <sheetName val="CR"/>
      <sheetName val="プロト"/>
      <sheetName val="081105ECR会議結果"/>
      <sheetName val="Sheet2"/>
      <sheetName val="ｵｰﾊﾞｰｽﾗﾝｸﾞ関連ecr"/>
      <sheetName val="02MY"/>
      <sheetName val="150K-1"/>
      <sheetName val="150K-2"/>
      <sheetName val="基本情報ｄｂ"/>
      <sheetName val="財務諸表"/>
      <sheetName val="6W"/>
      <sheetName val="6S"/>
      <sheetName val="P"/>
      <sheetName val="4H"/>
      <sheetName val="COST O.K."/>
      <sheetName val="IGI"/>
      <sheetName val="list"/>
      <sheetName val="Production"/>
      <sheetName val="原単位"/>
      <sheetName val="変換"/>
      <sheetName val="s-code"/>
      <sheetName val="#ofclose"/>
      <sheetName val="TP_Bud05_reGM"/>
      <sheetName val="分類"/>
      <sheetName val="国ｺｰﾄﾞ"/>
      <sheetName val="DOM-競合車SPEC"/>
      <sheetName val="グループDB"/>
      <sheetName val="Sales Mod. Yr"/>
      <sheetName val="Unit_Price2"/>
      <sheetName val="SPEC_LIST2"/>
      <sheetName val="133NPR55_69_EC1"/>
      <sheetName val="Master_Updated(517)1"/>
      <sheetName val="Annual_Sales1"/>
      <sheetName val="total_change&amp;add1"/>
      <sheetName val="Production_Database_3991"/>
      <sheetName val="2_대외공문1"/>
      <sheetName val="invt_mvt1"/>
      <sheetName val="11_CPU単価1"/>
      <sheetName val="08_P772報告書0305301"/>
      <sheetName val="G_Van_-_Price_Build_up1"/>
      <sheetName val="Fiel_List1"/>
      <sheetName val="GMT900_IPC1"/>
      <sheetName val="Vehicle_Number1"/>
      <sheetName val="ST_SHEET1"/>
      <sheetName val="Production_Database_399"/>
      <sheetName val="2_대외공문"/>
      <sheetName val="invt_mvt"/>
      <sheetName val="11_CPU単価"/>
      <sheetName val="08_P772報告書030530"/>
      <sheetName val="G_Van_-_Price_Build_up"/>
      <sheetName val="Fiel_List"/>
      <sheetName val="GMT900_IPC"/>
      <sheetName val="Vehicle_Number"/>
      <sheetName val="ST_SHEET"/>
      <sheetName val="ELF"/>
      <sheetName val="FRAME ASM 重量ﾏｽﾀｰ全"/>
      <sheetName val="CK50 仮Vc設定用"/>
      <sheetName val="部品別・部位別Vc (2)"/>
      <sheetName val="CK50 仮Vc設定用  (2)"/>
      <sheetName val="VOL材料費(3･19Rev条件）"/>
      <sheetName val="General"/>
      <sheetName val="AUG"/>
      <sheetName val="APR"/>
      <sheetName val="DEC"/>
      <sheetName val="JULY"/>
      <sheetName val="JUNE"/>
      <sheetName val="Mar"/>
      <sheetName val="MAY"/>
      <sheetName val="NOV"/>
      <sheetName val="OCT"/>
      <sheetName val="SEPT"/>
      <sheetName val="各部寸検結果"/>
      <sheetName val="TM"/>
      <sheetName val="MC3(main)"/>
      <sheetName val="MC1"/>
      <sheetName val="P_NAME_DWG"/>
      <sheetName val="ISO_250"/>
      <sheetName val="シャープアイ実績"/>
      <sheetName val="マスター"/>
      <sheetName val="名簿ﾃﾞｰﾀ"/>
      <sheetName val="Annual Production"/>
      <sheetName val="Table"/>
      <sheetName val="タ行"/>
      <sheetName val="型式"/>
      <sheetName val="Master part"/>
      <sheetName val="calculate"/>
      <sheetName val="工数比較２"/>
      <sheetName val="350CXZCO"/>
      <sheetName val="条件表"/>
      <sheetName val="6SWRF_W"/>
      <sheetName val="EquipmentTrimming Cabin NS"/>
      <sheetName val="A3_フレーム"/>
      <sheetName val="A5_フレーム"/>
      <sheetName val="フレーム重心(UG測定)"/>
      <sheetName val="寸法"/>
      <sheetName val="コード表"/>
      <sheetName val="設変１"/>
      <sheetName val="号車仕様"/>
      <sheetName val="FEBDE"/>
      <sheetName val=""/>
      <sheetName val="USD"/>
      <sheetName val="wire"/>
      <sheetName val="part"/>
      <sheetName val="Invoice"/>
      <sheetName val="Header"/>
      <sheetName val="作業要素"/>
      <sheetName val="New DYNA"/>
      <sheetName val="部品毎VOL"/>
      <sheetName val="日程表 3X"/>
      <sheetName val="96・(・・)"/>
      <sheetName val="Side &amp; Pole"/>
      <sheetName val="SMALL"/>
      <sheetName val="Sim-UC3"/>
      <sheetName val="Car Input"/>
      <sheetName val="2a. 1804 "/>
      <sheetName val="マスタ"/>
      <sheetName val="基準"/>
      <sheetName val="#REF!"/>
      <sheetName val="CYJ"/>
      <sheetName val="F4301"/>
      <sheetName val="INPUT"/>
      <sheetName val="ＩＤ表"/>
      <sheetName val="表紙"/>
      <sheetName val="IＤ表"/>
      <sheetName val="座面面圧計算表の使用方法"/>
      <sheetName val="加工条件"/>
      <sheetName val="内製費単価"/>
      <sheetName val="ガス溶断査定資料"/>
      <sheetName val="手扱時間"/>
      <sheetName val="Unit_Price3"/>
      <sheetName val="SPEC_LIST3"/>
      <sheetName val="133NPR55_69_EC2"/>
      <sheetName val="total_change&amp;add2"/>
      <sheetName val="Master_Updated(517)2"/>
      <sheetName val="Annual_Sales2"/>
      <sheetName val="Production_Database_3992"/>
      <sheetName val="invt_mvt2"/>
      <sheetName val="2_대외공문2"/>
      <sheetName val="G_Van_-_Price_Build_up2"/>
      <sheetName val="Fiel_List2"/>
      <sheetName val="11_CPU単価2"/>
      <sheetName val="08_P772報告書0305302"/>
      <sheetName val="Vehicle_Number2"/>
      <sheetName val="GMT900_IPC2"/>
      <sheetName val="ST_SHEET2"/>
      <sheetName val="2-A､B_3-A"/>
      <sheetName val="Master_Parts_List"/>
      <sheetName val="C3_N_DC改造投資"/>
      <sheetName val="Orig_Study_for_PPAP"/>
      <sheetName val="COST_O_K_"/>
      <sheetName val="Sales_Mod__Yr"/>
      <sheetName val="FRAME_ASM_重量ﾏｽﾀｰ全"/>
      <sheetName val="CK50_仮Vc設定用"/>
      <sheetName val="部品別・部位別Vc_(2)"/>
      <sheetName val="CK50_仮Vc設定用__(2)"/>
      <sheetName val="Annual_Production"/>
      <sheetName val="Master_part"/>
      <sheetName val="EquipmentTrimming_Cabin_NS"/>
      <sheetName val="日程表_3X"/>
      <sheetName val="Side_&amp;_Pole"/>
      <sheetName val="Car_Input"/>
      <sheetName val="2a__1804_"/>
      <sheetName val="ACTION PLAN2"/>
      <sheetName val="IBASE"/>
      <sheetName val="LINK ASSY"/>
      <sheetName val="การหาผลรวม"/>
      <sheetName val="定義"/>
      <sheetName val="FG List"/>
      <sheetName val="Sales TS Group"/>
      <sheetName val="Sum Budget"/>
      <sheetName val="200307検収漏れ"/>
      <sheetName val="★VN12_フレーム重心TL_COPY"/>
      <sheetName val="Sheet3"/>
      <sheetName val="MARCH-APRIL. 03"/>
      <sheetName val="1"/>
      <sheetName val="05下 採算表データ(自動車全データ)"/>
      <sheetName val="決算貸借対照表"/>
      <sheetName val="#ofclose .xl"/>
      <sheetName val="日程"/>
      <sheetName val="進め方"/>
      <sheetName val="課題一覧"/>
      <sheetName val="OTHERS x620"/>
      <sheetName val="SPI-VOL"/>
      <sheetName val="バス"/>
      <sheetName val="降坂性能"/>
      <sheetName val="Graph DPU&amp;FTQ "/>
      <sheetName val="MH"/>
      <sheetName val="職種別原価"/>
      <sheetName val="05-2"/>
      <sheetName val="基本入力"/>
      <sheetName val="原価集計"/>
      <sheetName val="社内検査データ"/>
      <sheetName val="124NKR55(ISUZU)"/>
      <sheetName val="差材料、表面处理及技术要求"/>
      <sheetName val="A2 990"/>
      <sheetName val="金額"/>
      <sheetName val="項目別投資工数-P1"/>
      <sheetName val="補助シート"/>
      <sheetName val="副資材"/>
      <sheetName val="2tonﾀｲﾌﾟ"/>
      <sheetName val="結果"/>
      <sheetName val="LY7 vs 3800SC PMT Coding"/>
      <sheetName val="3800SC Costbook"/>
      <sheetName val="LVMAY"/>
      <sheetName val="1-C,D,E"/>
      <sheetName val="集計用"/>
      <sheetName val="MZX EPH暫定対策"/>
      <sheetName val="MZX現状（中央値）"/>
      <sheetName val="MZX新規SPRING ALT1"/>
      <sheetName val="MZX新規SPRING ALT2"/>
      <sheetName val="ASMｼﾌﾄ後"/>
      <sheetName val="入力1"/>
      <sheetName val="Supp.List"/>
      <sheetName val="Test Data"/>
      <sheetName val="_MISSION"/>
      <sheetName val="V6D"/>
      <sheetName val="DDリスト"/>
      <sheetName val="DID"/>
      <sheetName val="General ECU Information"/>
      <sheetName val="CPID"/>
      <sheetName val="Special ECU Information"/>
      <sheetName val="Tech 2 Menu"/>
      <sheetName val="Competitor Compare"/>
      <sheetName val="(旧)LIST"/>
      <sheetName val="表示"/>
      <sheetName val="CSummary"/>
      <sheetName val="MZX_EPH暫定対策"/>
      <sheetName val="MZX新規SPRING_ALT1"/>
      <sheetName val="MZX新規SPRING_ALT2"/>
      <sheetName val="MZX_EPH暫定対策1"/>
      <sheetName val="MZX新規SPRING_ALT11"/>
      <sheetName val="MZX新規SPRING_ALT21"/>
      <sheetName val="C3_N_DC改造投資1"/>
      <sheetName val="MZX_EPH暫定対策2"/>
      <sheetName val="MZX新規SPRING_ALT12"/>
      <sheetName val="MZX新規SPRING_ALT22"/>
      <sheetName val="C3_N_DC改造投資2"/>
      <sheetName val="システム部門のCAD端末数"/>
      <sheetName val="開発部門のCAD端末数"/>
      <sheetName val="耐久進捗data"/>
      <sheetName val="タイヤ"/>
      <sheetName val="製作工数"/>
      <sheetName val="入力分類"/>
      <sheetName val="ワークシート関数の使用例"/>
      <sheetName val="RDP"/>
      <sheetName val="mia2"/>
      <sheetName val="exp"/>
      <sheetName val="05-3"/>
      <sheetName val="ｵｰﾊﾞ塰ȴ_x0006_䔀䍓䑕ɏ_x0006_嘀呉剁"/>
      <sheetName val="108VOL"/>
      <sheetName val="台帳集計"/>
      <sheetName val="Macro1"/>
      <sheetName val="リスト用"/>
      <sheetName val="ACTION_PLAN2"/>
      <sheetName val="FG_List"/>
      <sheetName val="Sales_TS_Group"/>
      <sheetName val="Sum_Budget"/>
      <sheetName val="LINK_ASSY"/>
      <sheetName val="Unit_Price4"/>
      <sheetName val="SPEC_LIST4"/>
      <sheetName val="Master_Updated(517)3"/>
      <sheetName val="Annual_Sales3"/>
      <sheetName val="total_change&amp;add3"/>
      <sheetName val="133NPR55_69_EC3"/>
      <sheetName val="2a__1804_1"/>
      <sheetName val="Production_Database_3993"/>
      <sheetName val="invt_mvt3"/>
      <sheetName val="2_대외공문3"/>
      <sheetName val="11_CPU単価3"/>
      <sheetName val="08_P772報告書0305303"/>
      <sheetName val="G_Van_-_Price_Build_up3"/>
      <sheetName val="Fiel_List3"/>
      <sheetName val="GMT900_IPC3"/>
      <sheetName val="Vehicle_Number3"/>
      <sheetName val="ST_SHEET3"/>
      <sheetName val="2-A､B_3-A1"/>
      <sheetName val="Master_Parts_List1"/>
      <sheetName val="Orig_Study_for_PPAP1"/>
      <sheetName val="COST_O_K_1"/>
      <sheetName val="Sales_Mod__Yr1"/>
      <sheetName val="ACTION_PLAN21"/>
      <sheetName val="Annual_Production1"/>
      <sheetName val="Master_part1"/>
      <sheetName val="日程表_3X1"/>
      <sheetName val="FG_List1"/>
      <sheetName val="Sales_TS_Group1"/>
      <sheetName val="Sum_Budget1"/>
      <sheetName val="LINK_ASSY1"/>
      <sheetName val="Unit_Price5"/>
      <sheetName val="SPEC_LIST5"/>
      <sheetName val="Master_Updated(517)4"/>
      <sheetName val="Annual_Sales4"/>
      <sheetName val="total_change&amp;add4"/>
      <sheetName val="133NPR55_69_EC4"/>
      <sheetName val="2a__1804_2"/>
      <sheetName val="Production_Database_3994"/>
      <sheetName val="invt_mvt4"/>
      <sheetName val="2_대외공문4"/>
      <sheetName val="11_CPU単価4"/>
      <sheetName val="08_P772報告書0305304"/>
      <sheetName val="G_Van_-_Price_Build_up4"/>
      <sheetName val="Fiel_List4"/>
      <sheetName val="GMT900_IPC4"/>
      <sheetName val="Vehicle_Number4"/>
      <sheetName val="ST_SHEET4"/>
      <sheetName val="2-A､B_3-A2"/>
      <sheetName val="Master_Parts_List2"/>
      <sheetName val="Orig_Study_for_PPAP2"/>
      <sheetName val="COST_O_K_2"/>
      <sheetName val="Sales_Mod__Yr2"/>
      <sheetName val="ACTION_PLAN22"/>
      <sheetName val="Annual_Production2"/>
      <sheetName val="Master_part2"/>
      <sheetName val="日程表_3X2"/>
      <sheetName val="FG_List2"/>
      <sheetName val="Sales_TS_Group2"/>
      <sheetName val="Sum_Budget2"/>
      <sheetName val="LINK_ASSY2"/>
      <sheetName val="Unit_Price6"/>
      <sheetName val="SPEC_LIST6"/>
      <sheetName val="Master_Updated(517)5"/>
      <sheetName val="Annual_Sales5"/>
      <sheetName val="total_change&amp;add5"/>
      <sheetName val="133NPR55_69_EC5"/>
      <sheetName val="2a__1804_3"/>
      <sheetName val="Production_Database_3995"/>
      <sheetName val="invt_mvt5"/>
      <sheetName val="2_대외공문5"/>
      <sheetName val="11_CPU単価5"/>
      <sheetName val="08_P772報告書0305305"/>
      <sheetName val="G_Van_-_Price_Build_up5"/>
      <sheetName val="Fiel_List5"/>
      <sheetName val="GMT900_IPC5"/>
      <sheetName val="Vehicle_Number5"/>
      <sheetName val="ST_SHEET5"/>
      <sheetName val="2-A､B_3-A3"/>
      <sheetName val="Master_Parts_List3"/>
      <sheetName val="C3_N_DC改造投資3"/>
      <sheetName val="Orig_Study_for_PPAP3"/>
      <sheetName val="COST_O_K_3"/>
      <sheetName val="Sales_Mod__Yr3"/>
      <sheetName val="ACTION_PLAN23"/>
      <sheetName val="Annual_Production3"/>
      <sheetName val="Master_part3"/>
      <sheetName val="日程表_3X3"/>
      <sheetName val="FG_List3"/>
      <sheetName val="Sales_TS_Group3"/>
      <sheetName val="Sum_Budget3"/>
      <sheetName val="LINK_ASSY3"/>
      <sheetName val="Unit_Price8"/>
      <sheetName val="SPEC_LIST8"/>
      <sheetName val="Master_Updated(517)7"/>
      <sheetName val="Annual_Sales7"/>
      <sheetName val="total_change&amp;add7"/>
      <sheetName val="133NPR55_69_EC7"/>
      <sheetName val="2a__1804_5"/>
      <sheetName val="Production_Database_3997"/>
      <sheetName val="invt_mvt7"/>
      <sheetName val="2_대외공문7"/>
      <sheetName val="11_CPU単価7"/>
      <sheetName val="08_P772報告書0305307"/>
      <sheetName val="G_Van_-_Price_Build_up7"/>
      <sheetName val="Fiel_List7"/>
      <sheetName val="GMT900_IPC7"/>
      <sheetName val="Vehicle_Number7"/>
      <sheetName val="ST_SHEET7"/>
      <sheetName val="2-A､B_3-A5"/>
      <sheetName val="Master_Parts_List5"/>
      <sheetName val="C3_N_DC改造投資5"/>
      <sheetName val="Orig_Study_for_PPAP5"/>
      <sheetName val="COST_O_K_5"/>
      <sheetName val="Sales_Mod__Yr5"/>
      <sheetName val="ACTION_PLAN25"/>
      <sheetName val="Annual_Production5"/>
      <sheetName val="Master_part5"/>
      <sheetName val="日程表_3X5"/>
      <sheetName val="FG_List5"/>
      <sheetName val="Sales_TS_Group5"/>
      <sheetName val="Sum_Budget5"/>
      <sheetName val="LINK_ASSY5"/>
      <sheetName val="Unit_Price7"/>
      <sheetName val="SPEC_LIST7"/>
      <sheetName val="Master_Updated(517)6"/>
      <sheetName val="Annual_Sales6"/>
      <sheetName val="total_change&amp;add6"/>
      <sheetName val="133NPR55_69_EC6"/>
      <sheetName val="2a__1804_4"/>
      <sheetName val="Production_Database_3996"/>
      <sheetName val="invt_mvt6"/>
      <sheetName val="2_대외공문6"/>
      <sheetName val="11_CPU単価6"/>
      <sheetName val="08_P772報告書0305306"/>
      <sheetName val="G_Van_-_Price_Build_up6"/>
      <sheetName val="Fiel_List6"/>
      <sheetName val="GMT900_IPC6"/>
      <sheetName val="Vehicle_Number6"/>
      <sheetName val="ST_SHEET6"/>
      <sheetName val="2-A､B_3-A4"/>
      <sheetName val="Master_Parts_List4"/>
      <sheetName val="C3_N_DC改造投資4"/>
      <sheetName val="Orig_Study_for_PPAP4"/>
      <sheetName val="COST_O_K_4"/>
      <sheetName val="Sales_Mod__Yr4"/>
      <sheetName val="ACTION_PLAN24"/>
      <sheetName val="Annual_Production4"/>
      <sheetName val="Master_part4"/>
      <sheetName val="日程表_3X4"/>
      <sheetName val="FG_List4"/>
      <sheetName val="Sales_TS_Group4"/>
      <sheetName val="Sum_Budget4"/>
      <sheetName val="LINK_ASSY4"/>
      <sheetName val="Unit_Price9"/>
      <sheetName val="SPEC_LIST9"/>
      <sheetName val="Master_Updated(517)8"/>
      <sheetName val="Annual_Sales8"/>
      <sheetName val="total_change&amp;add8"/>
      <sheetName val="133NPR55_69_EC8"/>
      <sheetName val="2a__1804_6"/>
      <sheetName val="Production_Database_3998"/>
      <sheetName val="invt_mvt8"/>
      <sheetName val="2_대외공문8"/>
      <sheetName val="11_CPU単価8"/>
      <sheetName val="08_P772報告書0305308"/>
      <sheetName val="G_Van_-_Price_Build_up8"/>
      <sheetName val="Fiel_List8"/>
      <sheetName val="GMT900_IPC8"/>
      <sheetName val="Vehicle_Number8"/>
      <sheetName val="ST_SHEET8"/>
      <sheetName val="2-A､B_3-A6"/>
      <sheetName val="Master_Parts_List6"/>
      <sheetName val="C3_N_DC改造投資6"/>
      <sheetName val="Orig_Study_for_PPAP6"/>
      <sheetName val="COST_O_K_6"/>
      <sheetName val="Sales_Mod__Yr6"/>
      <sheetName val="ACTION_PLAN26"/>
      <sheetName val="Annual_Production6"/>
      <sheetName val="Master_part6"/>
      <sheetName val="日程表_3X6"/>
      <sheetName val="FG_List6"/>
      <sheetName val="Sales_TS_Group6"/>
      <sheetName val="Sum_Budget6"/>
      <sheetName val="LINK_ASSY6"/>
      <sheetName val="Unit_Price10"/>
      <sheetName val="SPEC_LIST10"/>
      <sheetName val="Master_Updated(517)9"/>
      <sheetName val="Annual_Sales9"/>
      <sheetName val="total_change&amp;add9"/>
      <sheetName val="133NPR55_69_EC9"/>
      <sheetName val="2a__1804_7"/>
      <sheetName val="Production_Database_3999"/>
      <sheetName val="invt_mvt9"/>
      <sheetName val="2_대외공문9"/>
      <sheetName val="11_CPU単価9"/>
      <sheetName val="08_P772報告書0305309"/>
      <sheetName val="G_Van_-_Price_Build_up9"/>
      <sheetName val="Fiel_List9"/>
      <sheetName val="GMT900_IPC9"/>
      <sheetName val="Vehicle_Number9"/>
      <sheetName val="ST_SHEET9"/>
      <sheetName val="2-A､B_3-A7"/>
      <sheetName val="Master_Parts_List7"/>
      <sheetName val="C3_N_DC改造投資7"/>
      <sheetName val="Orig_Study_for_PPAP7"/>
      <sheetName val="COST_O_K_7"/>
      <sheetName val="Sales_Mod__Yr7"/>
      <sheetName val="ACTION_PLAN27"/>
      <sheetName val="FG_List7"/>
      <sheetName val="Sales_TS_Group7"/>
      <sheetName val="Sum_Budget7"/>
      <sheetName val="Annual_Production7"/>
      <sheetName val="Master_part7"/>
      <sheetName val="日程表_3X7"/>
      <sheetName val="LINK_ASSY7"/>
      <sheetName val="Assumption TSG"/>
      <sheetName val="PL by GL NEW"/>
      <sheetName val="1.PL Summary"/>
      <sheetName val="2.BS"/>
      <sheetName val="3.CF"/>
      <sheetName val="4.Loan"/>
      <sheetName val="5.Sales per head."/>
      <sheetName val="6.Sales By Intercompany"/>
      <sheetName val="7.Sales By Customer"/>
      <sheetName val="8.Investment"/>
      <sheetName val="9.AP Over Due"/>
      <sheetName val="General Info"/>
      <sheetName val="ｴﾝｼﾞﾝ・ﾄﾙｸ"/>
      <sheetName val="FRAME_ASM_重量ﾏｽﾀｰ全1"/>
      <sheetName val="CK50_仮Vc設定用1"/>
      <sheetName val="部品別・部位別Vc_(2)1"/>
      <sheetName val="CK50_仮Vc設定用__(2)1"/>
      <sheetName val="Side_&amp;_Pole1"/>
      <sheetName val="Car_Input1"/>
      <sheetName val="EquipmentTrimming_Cabin_NS1"/>
      <sheetName val="New_DYNA"/>
      <sheetName val="MARCH-APRIL__03"/>
      <sheetName val="SCH"/>
      <sheetName val="UPG表"/>
      <sheetName val="PS(UC)"/>
      <sheetName val="316N, 503N COMPARE"/>
      <sheetName val="SALE"/>
      <sheetName val="ITEM  STUDY (2)"/>
      <sheetName val="NWEA1180(2)"/>
      <sheetName val="PAC14"/>
      <sheetName val="Tables"/>
      <sheetName val="engline"/>
      <sheetName val="05下_採算表データ(自動車全データ)"/>
      <sheetName val="#ofclose__xl"/>
      <sheetName val="OTHERS_x620"/>
      <sheetName val="A2_990"/>
      <sheetName val="Unit_Price11"/>
      <sheetName val="SPEC_LIST11"/>
      <sheetName val="133NPR55_69_EC10"/>
      <sheetName val="Production_Database_39910"/>
      <sheetName val="Master_Updated(517)10"/>
      <sheetName val="Annual_Sales10"/>
      <sheetName val="total_change&amp;add10"/>
      <sheetName val="2_대외공문10"/>
      <sheetName val="invt_mvt10"/>
      <sheetName val="11_CPU単価10"/>
      <sheetName val="08_P772報告書03053010"/>
      <sheetName val="G_Van_-_Price_Build_up10"/>
      <sheetName val="Fiel_List10"/>
      <sheetName val="Vehicle_Number10"/>
      <sheetName val="GMT900_IPC10"/>
      <sheetName val="ST_SHEET10"/>
      <sheetName val="Master_Parts_List8"/>
      <sheetName val="2-A､B_3-A8"/>
      <sheetName val="C3_N_DC改造投資8"/>
      <sheetName val="Orig_Study_for_PPAP8"/>
      <sheetName val="COST_O_K_8"/>
      <sheetName val="Sales_Mod__Yr8"/>
      <sheetName val="FRAME_ASM_重量ﾏｽﾀｰ全2"/>
      <sheetName val="CK50_仮Vc設定用2"/>
      <sheetName val="部品別・部位別Vc_(2)2"/>
      <sheetName val="CK50_仮Vc設定用__(2)2"/>
      <sheetName val="Annual_Production8"/>
      <sheetName val="Master_part8"/>
      <sheetName val="EquipmentTrimming_Cabin_NS2"/>
      <sheetName val="New_DYNA1"/>
      <sheetName val="日程表_3X8"/>
      <sheetName val="Side_&amp;_Pole2"/>
      <sheetName val="Car_Input2"/>
      <sheetName val="2a__1804_8"/>
      <sheetName val="ACTION_PLAN28"/>
      <sheetName val="LINK_ASSY8"/>
      <sheetName val="FG_List8"/>
      <sheetName val="Sales_TS_Group8"/>
      <sheetName val="Sum_Budget8"/>
      <sheetName val="MARCH-APRIL__031"/>
      <sheetName val="05下_採算表データ(自動車全データ)1"/>
      <sheetName val="#ofclose__xl1"/>
      <sheetName val="OTHERS_x6201"/>
      <sheetName val="A2_9901"/>
      <sheetName val="Graph_DPU&amp;FTQ_"/>
      <sheetName val="ｵｰﾊﾞ塰ȴ䔀䍓䑕ɏ嘀呉剁"/>
      <sheetName val="LY7_vs_3800SC_PMT_Coding"/>
      <sheetName val="3800SC_Costbook"/>
      <sheetName val="MZX_EPH暫定対策3"/>
      <sheetName val="MZX新規SPRING_ALT13"/>
      <sheetName val="MZX新規SPRING_ALT23"/>
      <sheetName val="Supp_List"/>
      <sheetName val="Test_Data"/>
      <sheetName val="General_ECU_Information"/>
      <sheetName val="Special_ECU_Information"/>
      <sheetName val="Tech_2_Menu"/>
      <sheetName val="Competitor_Compare"/>
      <sheetName val="Assumption_TSG"/>
      <sheetName val="PL_by_GL_NEW"/>
      <sheetName val="1_PL_Summary"/>
      <sheetName val="2_BS"/>
      <sheetName val="3_CF"/>
      <sheetName val="4_Loan"/>
      <sheetName val="5_Sales_per_head_"/>
      <sheetName val="6_Sales_By_Intercompany"/>
      <sheetName val="7_Sales_By_Customer"/>
      <sheetName val="8_Investment"/>
      <sheetName val="9_AP_Over_Due"/>
      <sheetName val="General_Info"/>
    </sheetNames>
    <sheetDataSet>
      <sheetData sheetId="0"/>
      <sheetData sheetId="1"/>
      <sheetData sheetId="2"/>
      <sheetData sheetId="3"/>
      <sheetData sheetId="4"/>
      <sheetData sheetId="5"/>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sheetData sheetId="6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 sheetId="99" refreshError="1"/>
      <sheetData sheetId="100" refreshError="1"/>
      <sheetData sheetId="101" refreshError="1"/>
      <sheetData sheetId="102" refreshError="1"/>
      <sheetData sheetId="103" refreshError="1"/>
      <sheetData sheetId="104" refreshError="1"/>
      <sheetData sheetId="105" refreshError="1"/>
      <sheetData sheetId="106" refreshError="1"/>
      <sheetData sheetId="107" refreshError="1"/>
      <sheetData sheetId="108" refreshError="1"/>
      <sheetData sheetId="109" refreshError="1"/>
      <sheetData sheetId="110" refreshError="1"/>
      <sheetData sheetId="111" refreshError="1"/>
      <sheetData sheetId="112" refreshError="1"/>
      <sheetData sheetId="113" refreshError="1"/>
      <sheetData sheetId="114" refreshError="1"/>
      <sheetData sheetId="115" refreshError="1"/>
      <sheetData sheetId="116" refreshError="1"/>
      <sheetData sheetId="117" refreshError="1"/>
      <sheetData sheetId="118" refreshError="1"/>
      <sheetData sheetId="119" refreshError="1"/>
      <sheetData sheetId="120" refreshError="1"/>
      <sheetData sheetId="121" refreshError="1"/>
      <sheetData sheetId="122" refreshError="1"/>
      <sheetData sheetId="123" refreshError="1"/>
      <sheetData sheetId="124" refreshError="1"/>
      <sheetData sheetId="125" refreshError="1"/>
      <sheetData sheetId="126" refreshError="1"/>
      <sheetData sheetId="127" refreshError="1"/>
      <sheetData sheetId="128" refreshError="1"/>
      <sheetData sheetId="129" refreshError="1"/>
      <sheetData sheetId="130" refreshError="1"/>
      <sheetData sheetId="131" refreshError="1"/>
      <sheetData sheetId="132" refreshError="1"/>
      <sheetData sheetId="133" refreshError="1"/>
      <sheetData sheetId="134" refreshError="1"/>
      <sheetData sheetId="135" refreshError="1"/>
      <sheetData sheetId="136" refreshError="1"/>
      <sheetData sheetId="137" refreshError="1"/>
      <sheetData sheetId="138" refreshError="1"/>
      <sheetData sheetId="139" refreshError="1"/>
      <sheetData sheetId="140"/>
      <sheetData sheetId="141"/>
      <sheetData sheetId="142"/>
      <sheetData sheetId="143"/>
      <sheetData sheetId="144"/>
      <sheetData sheetId="145" refreshError="1"/>
      <sheetData sheetId="146" refreshError="1"/>
      <sheetData sheetId="147" refreshError="1"/>
      <sheetData sheetId="148" refreshError="1"/>
      <sheetData sheetId="149" refreshError="1"/>
      <sheetData sheetId="150" refreshError="1"/>
      <sheetData sheetId="151" refreshError="1"/>
      <sheetData sheetId="152" refreshError="1"/>
      <sheetData sheetId="153" refreshError="1"/>
      <sheetData sheetId="154" refreshError="1"/>
      <sheetData sheetId="155" refreshError="1"/>
      <sheetData sheetId="156" refreshError="1"/>
      <sheetData sheetId="157" refreshError="1"/>
      <sheetData sheetId="158" refreshError="1"/>
      <sheetData sheetId="159" refreshError="1"/>
      <sheetData sheetId="160" refreshError="1"/>
      <sheetData sheetId="161" refreshError="1"/>
      <sheetData sheetId="162" refreshError="1"/>
      <sheetData sheetId="163" refreshError="1"/>
      <sheetData sheetId="164" refreshError="1"/>
      <sheetData sheetId="165" refreshError="1"/>
      <sheetData sheetId="166" refreshError="1"/>
      <sheetData sheetId="167" refreshError="1"/>
      <sheetData sheetId="168" refreshError="1"/>
      <sheetData sheetId="169" refreshError="1"/>
      <sheetData sheetId="170" refreshError="1"/>
      <sheetData sheetId="171" refreshError="1"/>
      <sheetData sheetId="172" refreshError="1"/>
      <sheetData sheetId="173" refreshError="1"/>
      <sheetData sheetId="174" refreshError="1"/>
      <sheetData sheetId="175" refreshError="1"/>
      <sheetData sheetId="176" refreshError="1"/>
      <sheetData sheetId="177" refreshError="1"/>
      <sheetData sheetId="178" refreshError="1"/>
      <sheetData sheetId="179" refreshError="1"/>
      <sheetData sheetId="180"/>
      <sheetData sheetId="181"/>
      <sheetData sheetId="182"/>
      <sheetData sheetId="183"/>
      <sheetData sheetId="184"/>
      <sheetData sheetId="185"/>
      <sheetData sheetId="186"/>
      <sheetData sheetId="187"/>
      <sheetData sheetId="188"/>
      <sheetData sheetId="189"/>
      <sheetData sheetId="190"/>
      <sheetData sheetId="191"/>
      <sheetData sheetId="192"/>
      <sheetData sheetId="193"/>
      <sheetData sheetId="194"/>
      <sheetData sheetId="195"/>
      <sheetData sheetId="196"/>
      <sheetData sheetId="197"/>
      <sheetData sheetId="198"/>
      <sheetData sheetId="199"/>
      <sheetData sheetId="200"/>
      <sheetData sheetId="201"/>
      <sheetData sheetId="202"/>
      <sheetData sheetId="203"/>
      <sheetData sheetId="204"/>
      <sheetData sheetId="205"/>
      <sheetData sheetId="206" refreshError="1"/>
      <sheetData sheetId="207" refreshError="1"/>
      <sheetData sheetId="208" refreshError="1"/>
      <sheetData sheetId="209" refreshError="1"/>
      <sheetData sheetId="210" refreshError="1"/>
      <sheetData sheetId="211" refreshError="1"/>
      <sheetData sheetId="212" refreshError="1"/>
      <sheetData sheetId="213" refreshError="1"/>
      <sheetData sheetId="214" refreshError="1"/>
      <sheetData sheetId="215" refreshError="1"/>
      <sheetData sheetId="216" refreshError="1"/>
      <sheetData sheetId="217" refreshError="1"/>
      <sheetData sheetId="218" refreshError="1"/>
      <sheetData sheetId="219" refreshError="1"/>
      <sheetData sheetId="220" refreshError="1"/>
      <sheetData sheetId="221" refreshError="1"/>
      <sheetData sheetId="222" refreshError="1"/>
      <sheetData sheetId="223" refreshError="1"/>
      <sheetData sheetId="224" refreshError="1"/>
      <sheetData sheetId="225" refreshError="1"/>
      <sheetData sheetId="226" refreshError="1"/>
      <sheetData sheetId="227" refreshError="1"/>
      <sheetData sheetId="228" refreshError="1"/>
      <sheetData sheetId="229" refreshError="1"/>
      <sheetData sheetId="230" refreshError="1"/>
      <sheetData sheetId="231" refreshError="1"/>
      <sheetData sheetId="232" refreshError="1"/>
      <sheetData sheetId="233" refreshError="1"/>
      <sheetData sheetId="234" refreshError="1"/>
      <sheetData sheetId="235" refreshError="1"/>
      <sheetData sheetId="236" refreshError="1"/>
      <sheetData sheetId="237" refreshError="1"/>
      <sheetData sheetId="238" refreshError="1"/>
      <sheetData sheetId="239" refreshError="1"/>
      <sheetData sheetId="240" refreshError="1"/>
      <sheetData sheetId="241" refreshError="1"/>
      <sheetData sheetId="242" refreshError="1"/>
      <sheetData sheetId="243" refreshError="1"/>
      <sheetData sheetId="244" refreshError="1"/>
      <sheetData sheetId="245" refreshError="1"/>
      <sheetData sheetId="246" refreshError="1"/>
      <sheetData sheetId="247" refreshError="1"/>
      <sheetData sheetId="248" refreshError="1"/>
      <sheetData sheetId="249" refreshError="1"/>
      <sheetData sheetId="250" refreshError="1"/>
      <sheetData sheetId="251" refreshError="1"/>
      <sheetData sheetId="252" refreshError="1"/>
      <sheetData sheetId="253" refreshError="1"/>
      <sheetData sheetId="254" refreshError="1"/>
      <sheetData sheetId="255" refreshError="1"/>
      <sheetData sheetId="256" refreshError="1"/>
      <sheetData sheetId="257" refreshError="1"/>
      <sheetData sheetId="258" refreshError="1"/>
      <sheetData sheetId="259" refreshError="1"/>
      <sheetData sheetId="260" refreshError="1"/>
      <sheetData sheetId="261" refreshError="1"/>
      <sheetData sheetId="262" refreshError="1"/>
      <sheetData sheetId="263" refreshError="1"/>
      <sheetData sheetId="264" refreshError="1"/>
      <sheetData sheetId="265" refreshError="1"/>
      <sheetData sheetId="266" refreshError="1"/>
      <sheetData sheetId="267" refreshError="1"/>
      <sheetData sheetId="268" refreshError="1"/>
      <sheetData sheetId="269"/>
      <sheetData sheetId="270" refreshError="1"/>
      <sheetData sheetId="271" refreshError="1"/>
      <sheetData sheetId="272" refreshError="1"/>
      <sheetData sheetId="273" refreshError="1"/>
      <sheetData sheetId="274" refreshError="1"/>
      <sheetData sheetId="275" refreshError="1"/>
      <sheetData sheetId="276" refreshError="1"/>
      <sheetData sheetId="277" refreshError="1"/>
      <sheetData sheetId="278" refreshError="1"/>
      <sheetData sheetId="279" refreshError="1"/>
      <sheetData sheetId="280" refreshError="1"/>
      <sheetData sheetId="281" refreshError="1"/>
      <sheetData sheetId="282" refreshError="1"/>
      <sheetData sheetId="283" refreshError="1"/>
      <sheetData sheetId="284" refreshError="1"/>
      <sheetData sheetId="285"/>
      <sheetData sheetId="286"/>
      <sheetData sheetId="287"/>
      <sheetData sheetId="288"/>
      <sheetData sheetId="289"/>
      <sheetData sheetId="290"/>
      <sheetData sheetId="291"/>
      <sheetData sheetId="292"/>
      <sheetData sheetId="293"/>
      <sheetData sheetId="294"/>
      <sheetData sheetId="295"/>
      <sheetData sheetId="296"/>
      <sheetData sheetId="297"/>
      <sheetData sheetId="298"/>
      <sheetData sheetId="299"/>
      <sheetData sheetId="300"/>
      <sheetData sheetId="301"/>
      <sheetData sheetId="302"/>
      <sheetData sheetId="303"/>
      <sheetData sheetId="304"/>
      <sheetData sheetId="305"/>
      <sheetData sheetId="306"/>
      <sheetData sheetId="307"/>
      <sheetData sheetId="308"/>
      <sheetData sheetId="309"/>
      <sheetData sheetId="310"/>
      <sheetData sheetId="311"/>
      <sheetData sheetId="312"/>
      <sheetData sheetId="313"/>
      <sheetData sheetId="314" refreshError="1"/>
      <sheetData sheetId="315" refreshError="1"/>
      <sheetData sheetId="316" refreshError="1"/>
      <sheetData sheetId="317" refreshError="1"/>
      <sheetData sheetId="318" refreshError="1"/>
      <sheetData sheetId="319" refreshError="1"/>
      <sheetData sheetId="320" refreshError="1"/>
      <sheetData sheetId="321" refreshError="1"/>
      <sheetData sheetId="322" refreshError="1"/>
      <sheetData sheetId="323" refreshError="1"/>
      <sheetData sheetId="324" refreshError="1"/>
      <sheetData sheetId="325" refreshError="1"/>
      <sheetData sheetId="326" refreshError="1"/>
      <sheetData sheetId="327" refreshError="1"/>
      <sheetData sheetId="328" refreshError="1"/>
      <sheetData sheetId="329" refreshError="1"/>
      <sheetData sheetId="330" refreshError="1"/>
      <sheetData sheetId="331" refreshError="1"/>
      <sheetData sheetId="332" refreshError="1"/>
      <sheetData sheetId="333" refreshError="1"/>
      <sheetData sheetId="334" refreshError="1"/>
      <sheetData sheetId="335" refreshError="1"/>
      <sheetData sheetId="336" refreshError="1"/>
      <sheetData sheetId="337" refreshError="1"/>
      <sheetData sheetId="338" refreshError="1"/>
      <sheetData sheetId="339" refreshError="1"/>
      <sheetData sheetId="340" refreshError="1"/>
      <sheetData sheetId="341" refreshError="1"/>
      <sheetData sheetId="342" refreshError="1"/>
      <sheetData sheetId="343" refreshError="1"/>
      <sheetData sheetId="344" refreshError="1"/>
      <sheetData sheetId="345" refreshError="1"/>
      <sheetData sheetId="346" refreshError="1"/>
      <sheetData sheetId="347" refreshError="1"/>
      <sheetData sheetId="348" refreshError="1"/>
      <sheetData sheetId="349" refreshError="1"/>
      <sheetData sheetId="350" refreshError="1"/>
      <sheetData sheetId="351" refreshError="1"/>
      <sheetData sheetId="352" refreshError="1"/>
      <sheetData sheetId="353" refreshError="1"/>
      <sheetData sheetId="354" refreshError="1"/>
      <sheetData sheetId="355" refreshError="1"/>
      <sheetData sheetId="356" refreshError="1"/>
      <sheetData sheetId="357" refreshError="1"/>
      <sheetData sheetId="358" refreshError="1"/>
      <sheetData sheetId="359" refreshError="1"/>
      <sheetData sheetId="360" refreshError="1"/>
      <sheetData sheetId="361" refreshError="1"/>
      <sheetData sheetId="362" refreshError="1"/>
      <sheetData sheetId="363" refreshError="1"/>
      <sheetData sheetId="364" refreshError="1"/>
      <sheetData sheetId="365" refreshError="1"/>
      <sheetData sheetId="366" refreshError="1"/>
      <sheetData sheetId="367" refreshError="1"/>
      <sheetData sheetId="368" refreshError="1"/>
      <sheetData sheetId="369" refreshError="1"/>
      <sheetData sheetId="370" refreshError="1"/>
      <sheetData sheetId="371" refreshError="1"/>
      <sheetData sheetId="372" refreshError="1"/>
      <sheetData sheetId="373" refreshError="1"/>
      <sheetData sheetId="374" refreshError="1"/>
      <sheetData sheetId="375" refreshError="1"/>
      <sheetData sheetId="376" refreshError="1"/>
      <sheetData sheetId="377" refreshError="1"/>
      <sheetData sheetId="378"/>
      <sheetData sheetId="379"/>
      <sheetData sheetId="380"/>
      <sheetData sheetId="381"/>
      <sheetData sheetId="382"/>
      <sheetData sheetId="383"/>
      <sheetData sheetId="384"/>
      <sheetData sheetId="385"/>
      <sheetData sheetId="386"/>
      <sheetData sheetId="387"/>
      <sheetData sheetId="388"/>
      <sheetData sheetId="389" refreshError="1"/>
      <sheetData sheetId="390" refreshError="1"/>
      <sheetData sheetId="391" refreshError="1"/>
      <sheetData sheetId="392" refreshError="1"/>
      <sheetData sheetId="393" refreshError="1"/>
      <sheetData sheetId="394" refreshError="1"/>
      <sheetData sheetId="395" refreshError="1"/>
      <sheetData sheetId="396" refreshError="1"/>
      <sheetData sheetId="397" refreshError="1"/>
      <sheetData sheetId="398" refreshError="1"/>
      <sheetData sheetId="399" refreshError="1"/>
      <sheetData sheetId="400" refreshError="1"/>
      <sheetData sheetId="401" refreshError="1"/>
      <sheetData sheetId="402" refreshError="1"/>
      <sheetData sheetId="403" refreshError="1"/>
      <sheetData sheetId="404"/>
      <sheetData sheetId="405"/>
      <sheetData sheetId="406"/>
      <sheetData sheetId="407"/>
      <sheetData sheetId="408"/>
      <sheetData sheetId="409"/>
      <sheetData sheetId="410"/>
      <sheetData sheetId="411"/>
      <sheetData sheetId="412"/>
      <sheetData sheetId="413"/>
      <sheetData sheetId="414"/>
      <sheetData sheetId="415"/>
      <sheetData sheetId="416"/>
      <sheetData sheetId="417"/>
      <sheetData sheetId="418"/>
      <sheetData sheetId="419"/>
      <sheetData sheetId="420"/>
      <sheetData sheetId="421"/>
      <sheetData sheetId="422"/>
      <sheetData sheetId="423"/>
      <sheetData sheetId="424"/>
      <sheetData sheetId="425"/>
      <sheetData sheetId="426"/>
      <sheetData sheetId="427"/>
      <sheetData sheetId="428"/>
      <sheetData sheetId="429"/>
      <sheetData sheetId="430"/>
      <sheetData sheetId="431"/>
      <sheetData sheetId="432"/>
      <sheetData sheetId="433"/>
      <sheetData sheetId="434"/>
      <sheetData sheetId="435"/>
      <sheetData sheetId="436"/>
      <sheetData sheetId="437"/>
      <sheetData sheetId="438"/>
      <sheetData sheetId="439"/>
      <sheetData sheetId="440"/>
      <sheetData sheetId="441"/>
      <sheetData sheetId="442"/>
      <sheetData sheetId="443"/>
      <sheetData sheetId="444"/>
      <sheetData sheetId="445"/>
      <sheetData sheetId="446"/>
      <sheetData sheetId="447"/>
      <sheetData sheetId="448"/>
      <sheetData sheetId="449"/>
      <sheetData sheetId="450"/>
      <sheetData sheetId="451"/>
      <sheetData sheetId="452"/>
      <sheetData sheetId="453"/>
      <sheetData sheetId="454"/>
      <sheetData sheetId="455"/>
      <sheetData sheetId="456"/>
      <sheetData sheetId="457"/>
      <sheetData sheetId="458"/>
      <sheetData sheetId="459"/>
      <sheetData sheetId="460"/>
      <sheetData sheetId="461"/>
      <sheetData sheetId="462"/>
      <sheetData sheetId="463"/>
      <sheetData sheetId="464"/>
      <sheetData sheetId="465"/>
      <sheetData sheetId="466"/>
      <sheetData sheetId="467"/>
      <sheetData sheetId="468"/>
      <sheetData sheetId="469"/>
      <sheetData sheetId="470"/>
      <sheetData sheetId="471"/>
      <sheetData sheetId="472"/>
      <sheetData sheetId="473"/>
      <sheetData sheetId="474"/>
      <sheetData sheetId="475"/>
      <sheetData sheetId="476"/>
      <sheetData sheetId="477"/>
      <sheetData sheetId="478"/>
      <sheetData sheetId="479"/>
      <sheetData sheetId="480"/>
      <sheetData sheetId="481"/>
      <sheetData sheetId="482"/>
      <sheetData sheetId="483"/>
      <sheetData sheetId="484"/>
      <sheetData sheetId="485"/>
      <sheetData sheetId="486"/>
      <sheetData sheetId="487"/>
      <sheetData sheetId="488"/>
      <sheetData sheetId="489"/>
      <sheetData sheetId="490"/>
      <sheetData sheetId="491"/>
      <sheetData sheetId="492"/>
      <sheetData sheetId="493"/>
      <sheetData sheetId="494"/>
      <sheetData sheetId="495"/>
      <sheetData sheetId="496"/>
      <sheetData sheetId="497"/>
      <sheetData sheetId="498"/>
      <sheetData sheetId="499"/>
      <sheetData sheetId="500"/>
      <sheetData sheetId="501"/>
      <sheetData sheetId="502"/>
      <sheetData sheetId="503"/>
      <sheetData sheetId="504"/>
      <sheetData sheetId="505"/>
      <sheetData sheetId="506"/>
      <sheetData sheetId="507"/>
      <sheetData sheetId="508"/>
      <sheetData sheetId="509"/>
      <sheetData sheetId="510"/>
      <sheetData sheetId="511"/>
      <sheetData sheetId="512"/>
      <sheetData sheetId="513"/>
      <sheetData sheetId="514"/>
      <sheetData sheetId="515"/>
      <sheetData sheetId="516"/>
      <sheetData sheetId="517"/>
      <sheetData sheetId="518"/>
      <sheetData sheetId="519"/>
      <sheetData sheetId="520"/>
      <sheetData sheetId="521"/>
      <sheetData sheetId="522"/>
      <sheetData sheetId="523"/>
      <sheetData sheetId="524"/>
      <sheetData sheetId="525"/>
      <sheetData sheetId="526"/>
      <sheetData sheetId="527"/>
      <sheetData sheetId="528"/>
      <sheetData sheetId="529"/>
      <sheetData sheetId="530"/>
      <sheetData sheetId="531"/>
      <sheetData sheetId="532"/>
      <sheetData sheetId="533"/>
      <sheetData sheetId="534"/>
      <sheetData sheetId="535"/>
      <sheetData sheetId="536"/>
      <sheetData sheetId="537"/>
      <sheetData sheetId="538"/>
      <sheetData sheetId="539"/>
      <sheetData sheetId="540"/>
      <sheetData sheetId="541"/>
      <sheetData sheetId="542"/>
      <sheetData sheetId="543"/>
      <sheetData sheetId="544"/>
      <sheetData sheetId="545"/>
      <sheetData sheetId="546"/>
      <sheetData sheetId="547"/>
      <sheetData sheetId="548"/>
      <sheetData sheetId="549"/>
      <sheetData sheetId="550"/>
      <sheetData sheetId="551"/>
      <sheetData sheetId="552"/>
      <sheetData sheetId="553"/>
      <sheetData sheetId="554"/>
      <sheetData sheetId="555"/>
      <sheetData sheetId="556"/>
      <sheetData sheetId="557"/>
      <sheetData sheetId="558"/>
      <sheetData sheetId="559"/>
      <sheetData sheetId="560"/>
      <sheetData sheetId="561"/>
      <sheetData sheetId="562"/>
      <sheetData sheetId="563"/>
      <sheetData sheetId="564"/>
      <sheetData sheetId="565"/>
      <sheetData sheetId="566"/>
      <sheetData sheetId="567"/>
      <sheetData sheetId="568"/>
      <sheetData sheetId="569"/>
      <sheetData sheetId="570"/>
      <sheetData sheetId="571"/>
      <sheetData sheetId="572"/>
      <sheetData sheetId="573"/>
      <sheetData sheetId="574"/>
      <sheetData sheetId="575"/>
      <sheetData sheetId="576"/>
      <sheetData sheetId="577"/>
      <sheetData sheetId="578"/>
      <sheetData sheetId="579"/>
      <sheetData sheetId="580"/>
      <sheetData sheetId="581"/>
      <sheetData sheetId="582"/>
      <sheetData sheetId="583"/>
      <sheetData sheetId="584"/>
      <sheetData sheetId="585"/>
      <sheetData sheetId="586"/>
      <sheetData sheetId="587"/>
      <sheetData sheetId="588"/>
      <sheetData sheetId="589"/>
      <sheetData sheetId="590"/>
      <sheetData sheetId="591"/>
      <sheetData sheetId="592"/>
      <sheetData sheetId="593"/>
      <sheetData sheetId="594"/>
      <sheetData sheetId="595"/>
      <sheetData sheetId="596"/>
      <sheetData sheetId="597"/>
      <sheetData sheetId="598"/>
      <sheetData sheetId="599"/>
      <sheetData sheetId="600"/>
      <sheetData sheetId="601"/>
      <sheetData sheetId="602"/>
      <sheetData sheetId="603"/>
      <sheetData sheetId="604"/>
      <sheetData sheetId="605"/>
      <sheetData sheetId="606"/>
      <sheetData sheetId="607"/>
      <sheetData sheetId="608"/>
      <sheetData sheetId="609"/>
      <sheetData sheetId="610"/>
      <sheetData sheetId="611"/>
      <sheetData sheetId="612"/>
      <sheetData sheetId="613"/>
      <sheetData sheetId="614"/>
      <sheetData sheetId="615" refreshError="1"/>
      <sheetData sheetId="616" refreshError="1"/>
      <sheetData sheetId="617" refreshError="1"/>
      <sheetData sheetId="618" refreshError="1"/>
      <sheetData sheetId="619" refreshError="1"/>
      <sheetData sheetId="620" refreshError="1"/>
      <sheetData sheetId="621" refreshError="1"/>
      <sheetData sheetId="622" refreshError="1"/>
      <sheetData sheetId="623" refreshError="1"/>
      <sheetData sheetId="624" refreshError="1"/>
      <sheetData sheetId="625" refreshError="1"/>
      <sheetData sheetId="626" refreshError="1"/>
      <sheetData sheetId="627" refreshError="1"/>
      <sheetData sheetId="628" refreshError="1"/>
      <sheetData sheetId="629" refreshError="1"/>
      <sheetData sheetId="630" refreshError="1"/>
      <sheetData sheetId="631" refreshError="1"/>
      <sheetData sheetId="632" refreshError="1"/>
      <sheetData sheetId="633" refreshError="1"/>
      <sheetData sheetId="634" refreshError="1"/>
      <sheetData sheetId="635" refreshError="1"/>
      <sheetData sheetId="636" refreshError="1"/>
      <sheetData sheetId="637" refreshError="1"/>
      <sheetData sheetId="638"/>
      <sheetData sheetId="639"/>
      <sheetData sheetId="640"/>
      <sheetData sheetId="641"/>
      <sheetData sheetId="642"/>
      <sheetData sheetId="643"/>
      <sheetData sheetId="644"/>
      <sheetData sheetId="645"/>
      <sheetData sheetId="646"/>
      <sheetData sheetId="647" refreshError="1"/>
      <sheetData sheetId="648" refreshError="1"/>
      <sheetData sheetId="649" refreshError="1"/>
      <sheetData sheetId="650" refreshError="1"/>
      <sheetData sheetId="651" refreshError="1"/>
      <sheetData sheetId="652" refreshError="1"/>
      <sheetData sheetId="653" refreshError="1"/>
      <sheetData sheetId="654" refreshError="1"/>
      <sheetData sheetId="655" refreshError="1"/>
      <sheetData sheetId="656" refreshError="1"/>
      <sheetData sheetId="657"/>
      <sheetData sheetId="658"/>
      <sheetData sheetId="659"/>
      <sheetData sheetId="660"/>
      <sheetData sheetId="661"/>
      <sheetData sheetId="662"/>
      <sheetData sheetId="663"/>
      <sheetData sheetId="664"/>
      <sheetData sheetId="665"/>
      <sheetData sheetId="666"/>
      <sheetData sheetId="667"/>
      <sheetData sheetId="668"/>
      <sheetData sheetId="669"/>
      <sheetData sheetId="670"/>
      <sheetData sheetId="671"/>
      <sheetData sheetId="672"/>
      <sheetData sheetId="673"/>
      <sheetData sheetId="674"/>
      <sheetData sheetId="675"/>
      <sheetData sheetId="676"/>
      <sheetData sheetId="677"/>
      <sheetData sheetId="678"/>
      <sheetData sheetId="679"/>
      <sheetData sheetId="680"/>
      <sheetData sheetId="681"/>
      <sheetData sheetId="682"/>
      <sheetData sheetId="683"/>
      <sheetData sheetId="684"/>
      <sheetData sheetId="685"/>
      <sheetData sheetId="686"/>
      <sheetData sheetId="687"/>
      <sheetData sheetId="688"/>
      <sheetData sheetId="689"/>
      <sheetData sheetId="690"/>
      <sheetData sheetId="691"/>
      <sheetData sheetId="692"/>
      <sheetData sheetId="693"/>
      <sheetData sheetId="694"/>
      <sheetData sheetId="695"/>
      <sheetData sheetId="696"/>
      <sheetData sheetId="697"/>
      <sheetData sheetId="698"/>
      <sheetData sheetId="699"/>
      <sheetData sheetId="700"/>
      <sheetData sheetId="701"/>
      <sheetData sheetId="702"/>
      <sheetData sheetId="703"/>
      <sheetData sheetId="704"/>
      <sheetData sheetId="705"/>
      <sheetData sheetId="706"/>
      <sheetData sheetId="707"/>
      <sheetData sheetId="708"/>
      <sheetData sheetId="709"/>
      <sheetData sheetId="710"/>
      <sheetData sheetId="711"/>
      <sheetData sheetId="712"/>
      <sheetData sheetId="713"/>
      <sheetData sheetId="714"/>
      <sheetData sheetId="715"/>
      <sheetData sheetId="716"/>
      <sheetData sheetId="717"/>
      <sheetData sheetId="718"/>
      <sheetData sheetId="719"/>
      <sheetData sheetId="720"/>
      <sheetData sheetId="721"/>
      <sheetData sheetId="722"/>
      <sheetData sheetId="723"/>
      <sheetData sheetId="724"/>
      <sheetData sheetId="725"/>
      <sheetData sheetId="726"/>
      <sheetData sheetId="727"/>
      <sheetData sheetId="728"/>
      <sheetData sheetId="729"/>
    </sheetDataSet>
  </externalBook>
</externalLink>
</file>

<file path=xl/externalLinks/externalLink4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Quotation"/>
      <sheetName val="Tabelle1"/>
    </sheetNames>
    <sheetDataSet>
      <sheetData sheetId="0"/>
      <sheetData sheetId="1"/>
    </sheetDataSet>
  </externalBook>
</externalLink>
</file>

<file path=xl/externalLinks/externalLink4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vision History"/>
      <sheetName val="MPI Data"/>
      <sheetName val="Sheet1"/>
      <sheetName val="Reference"/>
    </sheetNames>
    <sheetDataSet>
      <sheetData sheetId="0" refreshError="1"/>
      <sheetData sheetId="1" refreshError="1"/>
      <sheetData sheetId="2" refreshError="1"/>
      <sheetData sheetId="3">
        <row r="1">
          <cell r="A1" t="str">
            <v>FF</v>
          </cell>
        </row>
        <row r="2">
          <cell r="A2" t="str">
            <v>FV</v>
          </cell>
        </row>
        <row r="3">
          <cell r="A3" t="str">
            <v>DY</v>
          </cell>
        </row>
        <row r="4">
          <cell r="A4" t="str">
            <v>DF</v>
          </cell>
        </row>
        <row r="5">
          <cell r="A5" t="str">
            <v>CC</v>
          </cell>
        </row>
        <row r="6">
          <cell r="A6" t="str">
            <v>FC</v>
          </cell>
        </row>
        <row r="7">
          <cell r="A7" t="str">
            <v>DC</v>
          </cell>
        </row>
      </sheetData>
    </sheetDataSet>
  </externalBook>
</externalLink>
</file>

<file path=xl/externalLinks/externalLink4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S2(AFA、AFBgr）へ提示021218"/>
      <sheetName val="SS2へ提示021212"/>
      <sheetName val="#REF"/>
      <sheetName val="m_Ausgabe"/>
      <sheetName val="#REF!"/>
      <sheetName val="AFA TC特性"/>
      <sheetName val="MessageSignalList"/>
      <sheetName val="ブロック図"/>
      <sheetName val="Stator"/>
      <sheetName val="λ逆計算2"/>
      <sheetName val="循環流速"/>
      <sheetName val="Eng"/>
      <sheetName val="166KⅡﾏｽﾀ"/>
      <sheetName val="損益歴史"/>
    </sheetNames>
    <definedNames>
      <definedName name="subGraph"/>
      <definedName name="subMap"/>
    </definedNames>
    <sheetDataSet>
      <sheetData sheetId="0"/>
      <sheetData sheetId="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Set>
  </externalBook>
</externalLink>
</file>

<file path=xl/externalLinks/externalLink4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駆動系1"/>
      <sheetName val="96期(川崎)"/>
      <sheetName val="TM"/>
      <sheetName val="推移用データ"/>
      <sheetName val="DB"/>
      <sheetName val="Production Database 399"/>
      <sheetName val="Vehicle Number"/>
      <sheetName val="INCA"/>
      <sheetName val="TLSC"/>
      <sheetName val="ID音"/>
      <sheetName val="ID音策"/>
      <sheetName val="ﾊﾞﾗ研"/>
      <sheetName val="DATA01"/>
      <sheetName val="main"/>
      <sheetName val="IGI"/>
      <sheetName val="目標MAP_K3_MAP_TRG_MAX"/>
      <sheetName val="ENG油洩れ"/>
      <sheetName val="6W"/>
      <sheetName val="6S"/>
      <sheetName val="P"/>
      <sheetName val="4H"/>
      <sheetName val="K"/>
      <sheetName val="一覧と近似式"/>
      <sheetName val="資料_700部品点数設定"/>
      <sheetName val="ﾃﾞｰﾀ入力ｼｰﾄ"/>
      <sheetName val="TIRE読み替え表"/>
      <sheetName val="Sheet3"/>
      <sheetName val="Schedule(detail)"/>
      <sheetName val="業務計画"/>
      <sheetName val="Sheet1"/>
      <sheetName val="00年9月"/>
      <sheetName val="入力規則"/>
      <sheetName val="表紙(代表者)"/>
      <sheetName val="ALL"/>
      <sheetName val="Annual Production"/>
      <sheetName val="Annual Sales"/>
      <sheetName val="MZX EPH暫定対策"/>
      <sheetName val="MZX現状（中央値）"/>
      <sheetName val="MZX新規SPRING ALT1"/>
      <sheetName val="MZX新規SPRING ALT2"/>
      <sheetName val="ASMｼﾌﾄ後"/>
      <sheetName val="Production_Database_399"/>
      <sheetName val="Vehicle_Number"/>
      <sheetName val="#ofclose"/>
      <sheetName val="Production_Database_3991"/>
      <sheetName val="Vehicle_Number1"/>
      <sheetName val="Annual_Production"/>
      <sheetName val="Annual_Sales"/>
      <sheetName val="MZX_EPH暫定対策"/>
      <sheetName val="MZX新規SPRING_ALT1"/>
      <sheetName val="MZX新規SPRING_ALT2"/>
    </sheetNames>
    <sheetDataSet>
      <sheetData sheetId="0" refreshError="1">
        <row r="110">
          <cell r="J110">
            <v>129.61766069361894</v>
          </cell>
          <cell r="K110" t="str">
            <v>MAL7R</v>
          </cell>
          <cell r="L110">
            <v>5.125</v>
          </cell>
          <cell r="M110">
            <v>4.875</v>
          </cell>
          <cell r="O110">
            <v>5.5709999999999997</v>
          </cell>
          <cell r="Q110" t="str">
            <v>-</v>
          </cell>
          <cell r="R110" t="str">
            <v>-</v>
          </cell>
          <cell r="S110" t="str">
            <v>-</v>
          </cell>
          <cell r="U110" t="str">
            <v>-</v>
          </cell>
          <cell r="W110" t="str">
            <v>-</v>
          </cell>
          <cell r="Y110" t="str">
            <v>-</v>
          </cell>
          <cell r="Z110" t="str">
            <v>○</v>
          </cell>
          <cell r="AA110" t="str">
            <v>-</v>
          </cell>
          <cell r="AB110" t="str">
            <v>-</v>
          </cell>
          <cell r="AC110" t="str">
            <v>-</v>
          </cell>
          <cell r="AD110" t="str">
            <v>○</v>
          </cell>
          <cell r="AE110" t="str">
            <v>-</v>
          </cell>
          <cell r="AF110" t="str">
            <v>17.5H</v>
          </cell>
          <cell r="AG110" t="str">
            <v>-</v>
          </cell>
          <cell r="AH110" t="str">
            <v>-</v>
          </cell>
          <cell r="AI110" t="str">
            <v>-</v>
          </cell>
          <cell r="AJ110" t="str">
            <v>-</v>
          </cell>
          <cell r="AK110" t="str">
            <v>-</v>
          </cell>
          <cell r="AL110" t="str">
            <v>17.5H</v>
          </cell>
          <cell r="AM110" t="str">
            <v>-</v>
          </cell>
          <cell r="AN110" t="str">
            <v>-</v>
          </cell>
          <cell r="AO110" t="str">
            <v>-</v>
          </cell>
          <cell r="AP110" t="str">
            <v>○</v>
          </cell>
          <cell r="AQ110" t="str">
            <v>-</v>
          </cell>
          <cell r="AR110" t="str">
            <v>△</v>
          </cell>
          <cell r="AS110" t="str">
            <v>-</v>
          </cell>
          <cell r="AT110" t="str">
            <v>○</v>
          </cell>
          <cell r="AU110" t="str">
            <v>○</v>
          </cell>
          <cell r="AV110" t="str">
            <v>○</v>
          </cell>
          <cell r="AW110" t="str">
            <v>-</v>
          </cell>
          <cell r="AX110" t="str">
            <v>○</v>
          </cell>
          <cell r="AY110" t="str">
            <v>-</v>
          </cell>
          <cell r="AZ110" t="str">
            <v>-</v>
          </cell>
          <cell r="BA110" t="str">
            <v>-</v>
          </cell>
          <cell r="BB110" t="str">
            <v>-</v>
          </cell>
          <cell r="BC110" t="str">
            <v>○</v>
          </cell>
          <cell r="BD110" t="str">
            <v>△</v>
          </cell>
        </row>
        <row r="111">
          <cell r="J111">
            <v>129.61766069361894</v>
          </cell>
          <cell r="K111" t="str">
            <v>MAL7R</v>
          </cell>
          <cell r="L111">
            <v>5.125</v>
          </cell>
          <cell r="M111">
            <v>4.875</v>
          </cell>
          <cell r="O111">
            <v>5.5709999999999997</v>
          </cell>
          <cell r="Q111" t="str">
            <v>-</v>
          </cell>
          <cell r="R111" t="str">
            <v>-</v>
          </cell>
          <cell r="S111" t="str">
            <v>-</v>
          </cell>
          <cell r="U111" t="str">
            <v>-</v>
          </cell>
          <cell r="W111" t="str">
            <v>-</v>
          </cell>
          <cell r="Y111" t="str">
            <v>-</v>
          </cell>
          <cell r="Z111" t="str">
            <v>○</v>
          </cell>
          <cell r="AA111" t="str">
            <v>-</v>
          </cell>
          <cell r="AB111" t="str">
            <v>-</v>
          </cell>
          <cell r="AC111" t="str">
            <v>-</v>
          </cell>
          <cell r="AD111" t="str">
            <v>○</v>
          </cell>
          <cell r="AE111" t="str">
            <v>-</v>
          </cell>
          <cell r="AF111" t="str">
            <v>17.5H</v>
          </cell>
          <cell r="AG111" t="str">
            <v>-</v>
          </cell>
          <cell r="AH111" t="str">
            <v>-</v>
          </cell>
          <cell r="AI111" t="str">
            <v>-</v>
          </cell>
          <cell r="AJ111" t="str">
            <v>-</v>
          </cell>
          <cell r="AK111" t="str">
            <v>-</v>
          </cell>
          <cell r="AL111" t="str">
            <v>17.5H</v>
          </cell>
          <cell r="AM111" t="str">
            <v>-</v>
          </cell>
          <cell r="AN111" t="str">
            <v>-</v>
          </cell>
          <cell r="AO111" t="str">
            <v>●</v>
          </cell>
          <cell r="AP111" t="str">
            <v>-</v>
          </cell>
          <cell r="AQ111" t="str">
            <v>-</v>
          </cell>
          <cell r="AR111" t="str">
            <v>△</v>
          </cell>
          <cell r="AS111" t="str">
            <v>-</v>
          </cell>
          <cell r="AT111" t="str">
            <v>○</v>
          </cell>
          <cell r="AU111" t="str">
            <v>○</v>
          </cell>
          <cell r="AV111" t="str">
            <v>○</v>
          </cell>
          <cell r="AW111" t="str">
            <v>-</v>
          </cell>
          <cell r="AX111" t="str">
            <v>○</v>
          </cell>
          <cell r="AY111" t="str">
            <v>-</v>
          </cell>
          <cell r="AZ111" t="str">
            <v>-</v>
          </cell>
          <cell r="BA111" t="str">
            <v>-</v>
          </cell>
          <cell r="BB111" t="str">
            <v>-</v>
          </cell>
          <cell r="BC111" t="str">
            <v>-</v>
          </cell>
          <cell r="BD111" t="str">
            <v>△</v>
          </cell>
        </row>
        <row r="112">
          <cell r="J112">
            <v>129.61766069361894</v>
          </cell>
          <cell r="K112" t="str">
            <v>MAL7R</v>
          </cell>
          <cell r="L112">
            <v>5.125</v>
          </cell>
          <cell r="M112">
            <v>4.875</v>
          </cell>
          <cell r="O112">
            <v>5.5709999999999997</v>
          </cell>
          <cell r="Q112" t="str">
            <v>-</v>
          </cell>
          <cell r="R112" t="str">
            <v>-</v>
          </cell>
          <cell r="S112" t="str">
            <v>-</v>
          </cell>
          <cell r="U112" t="str">
            <v>-</v>
          </cell>
          <cell r="W112" t="str">
            <v>-</v>
          </cell>
          <cell r="Y112" t="str">
            <v>-</v>
          </cell>
          <cell r="Z112" t="str">
            <v>○</v>
          </cell>
          <cell r="AA112" t="str">
            <v>-</v>
          </cell>
          <cell r="AB112" t="str">
            <v>-</v>
          </cell>
          <cell r="AC112" t="str">
            <v>-</v>
          </cell>
          <cell r="AD112" t="str">
            <v>○</v>
          </cell>
          <cell r="AE112" t="str">
            <v>-</v>
          </cell>
          <cell r="AF112" t="str">
            <v>17.5H</v>
          </cell>
          <cell r="AG112" t="str">
            <v>-</v>
          </cell>
          <cell r="AH112" t="str">
            <v>-</v>
          </cell>
          <cell r="AI112" t="str">
            <v>-</v>
          </cell>
          <cell r="AJ112" t="str">
            <v>-</v>
          </cell>
          <cell r="AK112" t="str">
            <v>-</v>
          </cell>
          <cell r="AL112" t="str">
            <v>17.5H</v>
          </cell>
          <cell r="AM112" t="str">
            <v>-</v>
          </cell>
          <cell r="AN112" t="str">
            <v>-</v>
          </cell>
          <cell r="AO112" t="str">
            <v>-</v>
          </cell>
          <cell r="AP112" t="str">
            <v>○</v>
          </cell>
          <cell r="AQ112" t="str">
            <v>-</v>
          </cell>
          <cell r="AR112" t="str">
            <v>△</v>
          </cell>
          <cell r="AS112" t="str">
            <v>-</v>
          </cell>
          <cell r="AT112" t="str">
            <v>○</v>
          </cell>
          <cell r="AU112" t="str">
            <v>○</v>
          </cell>
          <cell r="AV112" t="str">
            <v>○</v>
          </cell>
          <cell r="AW112" t="str">
            <v>-</v>
          </cell>
          <cell r="AX112" t="str">
            <v>○</v>
          </cell>
          <cell r="AY112" t="str">
            <v>-</v>
          </cell>
          <cell r="AZ112" t="str">
            <v>-</v>
          </cell>
          <cell r="BA112" t="str">
            <v>-</v>
          </cell>
          <cell r="BB112" t="str">
            <v>-</v>
          </cell>
          <cell r="BC112" t="str">
            <v>△</v>
          </cell>
          <cell r="BD112" t="str">
            <v>△</v>
          </cell>
        </row>
        <row r="113">
          <cell r="J113">
            <v>129.61766069361894</v>
          </cell>
          <cell r="K113" t="str">
            <v>MAL7R</v>
          </cell>
          <cell r="L113">
            <v>5.125</v>
          </cell>
          <cell r="M113">
            <v>4.875</v>
          </cell>
          <cell r="O113">
            <v>5.5709999999999997</v>
          </cell>
          <cell r="Q113" t="str">
            <v>-</v>
          </cell>
          <cell r="R113" t="str">
            <v>-</v>
          </cell>
          <cell r="S113" t="str">
            <v>-</v>
          </cell>
          <cell r="U113" t="str">
            <v>-</v>
          </cell>
          <cell r="W113" t="str">
            <v>-</v>
          </cell>
          <cell r="Y113" t="str">
            <v>-</v>
          </cell>
          <cell r="Z113" t="str">
            <v>○</v>
          </cell>
          <cell r="AA113" t="str">
            <v>-</v>
          </cell>
          <cell r="AB113" t="str">
            <v>-</v>
          </cell>
          <cell r="AC113" t="str">
            <v>-</v>
          </cell>
          <cell r="AD113" t="str">
            <v>○</v>
          </cell>
          <cell r="AE113" t="str">
            <v>-</v>
          </cell>
          <cell r="AF113" t="str">
            <v>17.5H</v>
          </cell>
          <cell r="AG113" t="str">
            <v>-</v>
          </cell>
          <cell r="AH113" t="str">
            <v>-</v>
          </cell>
          <cell r="AI113" t="str">
            <v>-</v>
          </cell>
          <cell r="AJ113" t="str">
            <v>-</v>
          </cell>
          <cell r="AK113" t="str">
            <v>-</v>
          </cell>
          <cell r="AL113" t="str">
            <v>17.5H</v>
          </cell>
          <cell r="AM113" t="str">
            <v>-</v>
          </cell>
          <cell r="AN113" t="str">
            <v>-</v>
          </cell>
          <cell r="AO113" t="str">
            <v>-</v>
          </cell>
          <cell r="AP113" t="str">
            <v>○</v>
          </cell>
          <cell r="AQ113" t="str">
            <v>-</v>
          </cell>
          <cell r="AR113" t="str">
            <v>△</v>
          </cell>
          <cell r="AS113" t="str">
            <v>-</v>
          </cell>
          <cell r="AT113" t="str">
            <v>○</v>
          </cell>
          <cell r="AU113" t="str">
            <v>○</v>
          </cell>
          <cell r="AV113" t="str">
            <v>○</v>
          </cell>
          <cell r="AW113" t="str">
            <v>-</v>
          </cell>
          <cell r="AX113" t="str">
            <v>○</v>
          </cell>
          <cell r="AY113" t="str">
            <v>-</v>
          </cell>
          <cell r="AZ113" t="str">
            <v>-</v>
          </cell>
          <cell r="BA113" t="str">
            <v>-</v>
          </cell>
          <cell r="BB113" t="str">
            <v>-</v>
          </cell>
          <cell r="BC113" t="str">
            <v>△</v>
          </cell>
          <cell r="BD113" t="str">
            <v>△</v>
          </cell>
        </row>
        <row r="114">
          <cell r="J114">
            <v>129.61766069361894</v>
          </cell>
          <cell r="K114" t="str">
            <v>MAL7R</v>
          </cell>
          <cell r="L114">
            <v>5.125</v>
          </cell>
          <cell r="M114">
            <v>4.875</v>
          </cell>
          <cell r="O114">
            <v>5.5709999999999997</v>
          </cell>
          <cell r="Q114" t="str">
            <v>-</v>
          </cell>
          <cell r="R114" t="str">
            <v>-</v>
          </cell>
          <cell r="S114" t="str">
            <v>-</v>
          </cell>
          <cell r="U114" t="str">
            <v>-</v>
          </cell>
          <cell r="W114" t="str">
            <v>-</v>
          </cell>
          <cell r="Y114" t="str">
            <v>-</v>
          </cell>
          <cell r="Z114" t="str">
            <v>○</v>
          </cell>
          <cell r="AA114" t="str">
            <v>-</v>
          </cell>
          <cell r="AB114" t="str">
            <v>-</v>
          </cell>
          <cell r="AC114" t="str">
            <v>-</v>
          </cell>
          <cell r="AD114" t="str">
            <v>○</v>
          </cell>
          <cell r="AE114" t="str">
            <v>-</v>
          </cell>
          <cell r="AF114" t="str">
            <v>17.5H</v>
          </cell>
          <cell r="AG114" t="str">
            <v>-</v>
          </cell>
          <cell r="AH114" t="str">
            <v>-</v>
          </cell>
          <cell r="AI114" t="str">
            <v>-</v>
          </cell>
          <cell r="AJ114" t="str">
            <v>-</v>
          </cell>
          <cell r="AK114" t="str">
            <v>-</v>
          </cell>
          <cell r="AL114" t="str">
            <v>17.5H</v>
          </cell>
          <cell r="AM114" t="str">
            <v>-</v>
          </cell>
          <cell r="AN114" t="str">
            <v>-</v>
          </cell>
          <cell r="AO114" t="str">
            <v>-</v>
          </cell>
          <cell r="AP114" t="str">
            <v>○</v>
          </cell>
          <cell r="AQ114" t="str">
            <v>-</v>
          </cell>
          <cell r="AR114" t="str">
            <v>△</v>
          </cell>
          <cell r="AS114" t="str">
            <v>-</v>
          </cell>
          <cell r="AT114" t="str">
            <v>○</v>
          </cell>
          <cell r="AU114" t="str">
            <v>○</v>
          </cell>
          <cell r="AV114" t="str">
            <v>○</v>
          </cell>
          <cell r="AW114" t="str">
            <v>-</v>
          </cell>
          <cell r="AX114" t="str">
            <v>○</v>
          </cell>
          <cell r="AY114" t="str">
            <v>-</v>
          </cell>
          <cell r="AZ114" t="str">
            <v>-</v>
          </cell>
          <cell r="BA114" t="str">
            <v>-</v>
          </cell>
          <cell r="BB114" t="str">
            <v>-</v>
          </cell>
          <cell r="BC114" t="str">
            <v>-</v>
          </cell>
          <cell r="BD114" t="str">
            <v>△</v>
          </cell>
        </row>
        <row r="115">
          <cell r="J115">
            <v>136.26472021636866</v>
          </cell>
          <cell r="K115" t="str">
            <v>MAL7R</v>
          </cell>
          <cell r="L115">
            <v>4.875</v>
          </cell>
          <cell r="M115">
            <v>4.5549999999999997</v>
          </cell>
          <cell r="O115">
            <v>5.125</v>
          </cell>
          <cell r="Q115" t="str">
            <v>-</v>
          </cell>
          <cell r="R115" t="str">
            <v>-</v>
          </cell>
          <cell r="S115" t="str">
            <v>-</v>
          </cell>
          <cell r="U115" t="str">
            <v>-</v>
          </cell>
          <cell r="W115" t="str">
            <v>-</v>
          </cell>
          <cell r="Y115" t="str">
            <v>-</v>
          </cell>
          <cell r="Z115" t="str">
            <v>○</v>
          </cell>
          <cell r="AA115" t="str">
            <v>-</v>
          </cell>
          <cell r="AB115" t="str">
            <v>-</v>
          </cell>
          <cell r="AC115" t="str">
            <v>-</v>
          </cell>
          <cell r="AD115" t="str">
            <v>○</v>
          </cell>
          <cell r="AE115" t="str">
            <v>-</v>
          </cell>
          <cell r="AF115" t="str">
            <v>17.5H</v>
          </cell>
          <cell r="AG115" t="str">
            <v>-</v>
          </cell>
          <cell r="AH115" t="str">
            <v>-</v>
          </cell>
          <cell r="AI115" t="str">
            <v>-</v>
          </cell>
          <cell r="AJ115" t="str">
            <v>-</v>
          </cell>
          <cell r="AK115" t="str">
            <v>-</v>
          </cell>
          <cell r="AL115" t="str">
            <v>17.5H</v>
          </cell>
          <cell r="AM115" t="str">
            <v>-</v>
          </cell>
          <cell r="AN115" t="str">
            <v>-</v>
          </cell>
          <cell r="AO115" t="str">
            <v>-</v>
          </cell>
          <cell r="AP115" t="str">
            <v>○</v>
          </cell>
          <cell r="AQ115" t="str">
            <v>-</v>
          </cell>
          <cell r="AR115" t="str">
            <v>△</v>
          </cell>
          <cell r="AS115" t="str">
            <v>-</v>
          </cell>
          <cell r="AT115" t="str">
            <v>○</v>
          </cell>
          <cell r="AU115" t="str">
            <v>○</v>
          </cell>
          <cell r="AV115" t="str">
            <v>○</v>
          </cell>
          <cell r="AW115" t="str">
            <v>-</v>
          </cell>
          <cell r="AX115" t="str">
            <v>○</v>
          </cell>
          <cell r="AY115" t="str">
            <v>-</v>
          </cell>
          <cell r="AZ115" t="str">
            <v>-</v>
          </cell>
          <cell r="BA115" t="str">
            <v>-</v>
          </cell>
          <cell r="BB115" t="str">
            <v>-</v>
          </cell>
          <cell r="BC115" t="str">
            <v>-</v>
          </cell>
          <cell r="BD115" t="str">
            <v>△</v>
          </cell>
        </row>
        <row r="116">
          <cell r="J116">
            <v>129.61766069361894</v>
          </cell>
          <cell r="K116" t="str">
            <v>MAL7R</v>
          </cell>
          <cell r="L116">
            <v>5.125</v>
          </cell>
          <cell r="M116">
            <v>4.875</v>
          </cell>
          <cell r="O116">
            <v>5.5709999999999997</v>
          </cell>
          <cell r="Q116" t="str">
            <v>-</v>
          </cell>
          <cell r="R116" t="str">
            <v>-</v>
          </cell>
          <cell r="S116" t="str">
            <v>-</v>
          </cell>
          <cell r="U116" t="str">
            <v>-</v>
          </cell>
          <cell r="W116" t="str">
            <v>-</v>
          </cell>
          <cell r="Y116" t="str">
            <v>-</v>
          </cell>
          <cell r="Z116" t="str">
            <v>○</v>
          </cell>
          <cell r="AA116" t="str">
            <v>-</v>
          </cell>
          <cell r="AB116" t="str">
            <v>-</v>
          </cell>
          <cell r="AC116" t="str">
            <v>○</v>
          </cell>
          <cell r="AD116" t="str">
            <v>-</v>
          </cell>
          <cell r="AE116" t="str">
            <v>-</v>
          </cell>
          <cell r="AF116" t="str">
            <v>17.5H</v>
          </cell>
          <cell r="AG116" t="str">
            <v>-</v>
          </cell>
          <cell r="AH116" t="str">
            <v>-</v>
          </cell>
          <cell r="AI116" t="str">
            <v>-</v>
          </cell>
          <cell r="AJ116" t="str">
            <v>-</v>
          </cell>
          <cell r="AK116" t="str">
            <v>-</v>
          </cell>
          <cell r="AL116" t="str">
            <v>17.5H</v>
          </cell>
          <cell r="AM116" t="str">
            <v>-</v>
          </cell>
          <cell r="AN116" t="str">
            <v>-</v>
          </cell>
          <cell r="AO116" t="str">
            <v>-</v>
          </cell>
          <cell r="AP116" t="str">
            <v>○</v>
          </cell>
          <cell r="AQ116" t="str">
            <v>-</v>
          </cell>
          <cell r="AR116" t="str">
            <v>△</v>
          </cell>
          <cell r="AS116" t="str">
            <v>-</v>
          </cell>
          <cell r="AT116" t="str">
            <v>○</v>
          </cell>
          <cell r="AU116" t="str">
            <v>○</v>
          </cell>
          <cell r="AV116" t="str">
            <v>○</v>
          </cell>
          <cell r="AW116" t="str">
            <v>-</v>
          </cell>
          <cell r="AX116" t="str">
            <v>○</v>
          </cell>
          <cell r="AY116" t="str">
            <v>-</v>
          </cell>
          <cell r="AZ116" t="str">
            <v>-</v>
          </cell>
          <cell r="BA116" t="str">
            <v>-</v>
          </cell>
          <cell r="BB116" t="str">
            <v>-</v>
          </cell>
          <cell r="BC116" t="str">
            <v>△</v>
          </cell>
          <cell r="BD116" t="str">
            <v>△</v>
          </cell>
        </row>
        <row r="117">
          <cell r="J117">
            <v>129.61766069361894</v>
          </cell>
          <cell r="K117" t="str">
            <v>MAL7R</v>
          </cell>
          <cell r="L117">
            <v>5.125</v>
          </cell>
          <cell r="M117">
            <v>4.875</v>
          </cell>
          <cell r="O117">
            <v>5.5709999999999997</v>
          </cell>
          <cell r="Q117" t="str">
            <v>-</v>
          </cell>
          <cell r="R117" t="str">
            <v>-</v>
          </cell>
          <cell r="S117" t="str">
            <v>-</v>
          </cell>
          <cell r="U117" t="str">
            <v>-</v>
          </cell>
          <cell r="W117" t="str">
            <v>-</v>
          </cell>
          <cell r="Y117" t="str">
            <v>-</v>
          </cell>
          <cell r="Z117" t="str">
            <v>○</v>
          </cell>
          <cell r="AA117" t="str">
            <v>-</v>
          </cell>
          <cell r="AB117" t="str">
            <v>-</v>
          </cell>
          <cell r="AC117" t="str">
            <v>○</v>
          </cell>
          <cell r="AD117" t="str">
            <v>-</v>
          </cell>
          <cell r="AE117" t="str">
            <v>-</v>
          </cell>
          <cell r="AF117" t="str">
            <v>17.5H</v>
          </cell>
          <cell r="AG117" t="str">
            <v>-</v>
          </cell>
          <cell r="AH117" t="str">
            <v>-</v>
          </cell>
          <cell r="AI117" t="str">
            <v>-</v>
          </cell>
          <cell r="AJ117" t="str">
            <v>-</v>
          </cell>
          <cell r="AK117" t="str">
            <v>-</v>
          </cell>
          <cell r="AL117" t="str">
            <v>17.5H</v>
          </cell>
          <cell r="AM117" t="str">
            <v>-</v>
          </cell>
          <cell r="AN117" t="str">
            <v>-</v>
          </cell>
          <cell r="AO117" t="str">
            <v>○</v>
          </cell>
          <cell r="AP117" t="str">
            <v>-</v>
          </cell>
          <cell r="AQ117" t="str">
            <v>-</v>
          </cell>
          <cell r="AR117" t="str">
            <v>△</v>
          </cell>
          <cell r="AS117" t="str">
            <v>-</v>
          </cell>
          <cell r="AT117" t="str">
            <v>○</v>
          </cell>
          <cell r="AU117" t="str">
            <v>○</v>
          </cell>
          <cell r="AV117" t="str">
            <v>○</v>
          </cell>
          <cell r="AW117" t="str">
            <v>-</v>
          </cell>
          <cell r="AX117" t="str">
            <v>○</v>
          </cell>
          <cell r="AY117" t="str">
            <v>-</v>
          </cell>
          <cell r="AZ117" t="str">
            <v>-</v>
          </cell>
          <cell r="BA117" t="str">
            <v>-</v>
          </cell>
          <cell r="BB117" t="str">
            <v>-</v>
          </cell>
          <cell r="BC117" t="str">
            <v>△</v>
          </cell>
          <cell r="BD117" t="str">
            <v>△</v>
          </cell>
        </row>
        <row r="118">
          <cell r="J118">
            <v>129.61766069361894</v>
          </cell>
          <cell r="K118" t="str">
            <v>MAL7R</v>
          </cell>
          <cell r="L118">
            <v>5.125</v>
          </cell>
          <cell r="M118">
            <v>4.875</v>
          </cell>
          <cell r="O118">
            <v>5.5709999999999997</v>
          </cell>
          <cell r="Q118" t="str">
            <v>-</v>
          </cell>
          <cell r="R118" t="str">
            <v>-</v>
          </cell>
          <cell r="S118" t="str">
            <v>-</v>
          </cell>
          <cell r="U118" t="str">
            <v>-</v>
          </cell>
          <cell r="W118" t="str">
            <v>-</v>
          </cell>
          <cell r="Y118" t="str">
            <v>-</v>
          </cell>
          <cell r="Z118" t="str">
            <v>○</v>
          </cell>
          <cell r="AA118" t="str">
            <v>-</v>
          </cell>
          <cell r="AB118" t="str">
            <v>-</v>
          </cell>
          <cell r="AC118" t="str">
            <v>○</v>
          </cell>
          <cell r="AD118" t="str">
            <v>-</v>
          </cell>
          <cell r="AE118" t="str">
            <v>-</v>
          </cell>
          <cell r="AF118" t="str">
            <v>17.5H</v>
          </cell>
          <cell r="AG118" t="str">
            <v>-</v>
          </cell>
          <cell r="AH118" t="str">
            <v>-</v>
          </cell>
          <cell r="AI118" t="str">
            <v>-</v>
          </cell>
          <cell r="AJ118" t="str">
            <v>-</v>
          </cell>
          <cell r="AK118" t="str">
            <v>-</v>
          </cell>
          <cell r="AL118" t="str">
            <v>17.5H</v>
          </cell>
          <cell r="AM118" t="str">
            <v>-</v>
          </cell>
          <cell r="AN118" t="str">
            <v>-</v>
          </cell>
          <cell r="AO118" t="str">
            <v>-</v>
          </cell>
          <cell r="AP118" t="str">
            <v>○</v>
          </cell>
          <cell r="AQ118" t="str">
            <v>-</v>
          </cell>
          <cell r="AR118" t="str">
            <v>△</v>
          </cell>
          <cell r="AS118" t="str">
            <v>-</v>
          </cell>
          <cell r="AT118" t="str">
            <v>○</v>
          </cell>
          <cell r="AU118" t="str">
            <v>○</v>
          </cell>
          <cell r="AV118" t="str">
            <v>○</v>
          </cell>
          <cell r="AW118" t="str">
            <v>-</v>
          </cell>
          <cell r="AX118" t="str">
            <v>○</v>
          </cell>
          <cell r="AY118" t="str">
            <v>-</v>
          </cell>
          <cell r="AZ118" t="str">
            <v>-</v>
          </cell>
          <cell r="BA118" t="str">
            <v>-</v>
          </cell>
          <cell r="BB118" t="str">
            <v>-</v>
          </cell>
          <cell r="BC118" t="str">
            <v>△</v>
          </cell>
          <cell r="BD118" t="str">
            <v>△</v>
          </cell>
        </row>
        <row r="119">
          <cell r="J119">
            <v>129.61766069361894</v>
          </cell>
          <cell r="K119" t="str">
            <v>MAL7R</v>
          </cell>
          <cell r="L119">
            <v>5.125</v>
          </cell>
          <cell r="M119">
            <v>4.875</v>
          </cell>
          <cell r="O119">
            <v>5.5709999999999997</v>
          </cell>
          <cell r="Q119" t="str">
            <v>-</v>
          </cell>
          <cell r="R119" t="str">
            <v>-</v>
          </cell>
          <cell r="S119" t="str">
            <v>-</v>
          </cell>
          <cell r="U119" t="str">
            <v>-</v>
          </cell>
          <cell r="W119" t="str">
            <v>-</v>
          </cell>
          <cell r="Y119" t="str">
            <v>-</v>
          </cell>
          <cell r="Z119" t="str">
            <v>○</v>
          </cell>
          <cell r="AA119" t="str">
            <v>-</v>
          </cell>
          <cell r="AB119" t="str">
            <v>-</v>
          </cell>
          <cell r="AC119" t="str">
            <v>○</v>
          </cell>
          <cell r="AD119" t="str">
            <v>-</v>
          </cell>
          <cell r="AE119" t="str">
            <v>-</v>
          </cell>
          <cell r="AF119" t="str">
            <v>17.5H</v>
          </cell>
          <cell r="AG119" t="str">
            <v>-</v>
          </cell>
          <cell r="AH119" t="str">
            <v>-</v>
          </cell>
          <cell r="AI119" t="str">
            <v>-</v>
          </cell>
          <cell r="AJ119" t="str">
            <v>-</v>
          </cell>
          <cell r="AK119" t="str">
            <v>-</v>
          </cell>
          <cell r="AL119" t="str">
            <v>17.5H</v>
          </cell>
          <cell r="AM119" t="str">
            <v>-</v>
          </cell>
          <cell r="AN119" t="str">
            <v>-</v>
          </cell>
          <cell r="AO119" t="str">
            <v>○</v>
          </cell>
          <cell r="AP119" t="str">
            <v>-</v>
          </cell>
          <cell r="AQ119" t="str">
            <v>-</v>
          </cell>
          <cell r="AR119" t="str">
            <v>△</v>
          </cell>
          <cell r="AS119" t="str">
            <v>-</v>
          </cell>
          <cell r="AT119" t="str">
            <v>○</v>
          </cell>
          <cell r="AU119" t="str">
            <v>○</v>
          </cell>
          <cell r="AV119" t="str">
            <v>○</v>
          </cell>
          <cell r="AW119" t="str">
            <v>-</v>
          </cell>
          <cell r="AX119" t="str">
            <v>○</v>
          </cell>
          <cell r="AY119" t="str">
            <v>-</v>
          </cell>
          <cell r="AZ119" t="str">
            <v>-</v>
          </cell>
          <cell r="BA119" t="str">
            <v>-</v>
          </cell>
          <cell r="BB119" t="str">
            <v>-</v>
          </cell>
          <cell r="BC119" t="str">
            <v>△</v>
          </cell>
          <cell r="BD119" t="str">
            <v>△</v>
          </cell>
        </row>
        <row r="120">
          <cell r="J120">
            <v>129.61766069361894</v>
          </cell>
          <cell r="K120" t="str">
            <v>MAL7R</v>
          </cell>
          <cell r="L120">
            <v>5.125</v>
          </cell>
          <cell r="M120">
            <v>4.875</v>
          </cell>
          <cell r="O120">
            <v>5.5709999999999997</v>
          </cell>
          <cell r="Q120" t="str">
            <v>-</v>
          </cell>
          <cell r="R120" t="str">
            <v>-</v>
          </cell>
          <cell r="S120" t="str">
            <v>-</v>
          </cell>
          <cell r="U120" t="str">
            <v>-</v>
          </cell>
          <cell r="W120" t="str">
            <v>-</v>
          </cell>
          <cell r="Y120" t="str">
            <v>-</v>
          </cell>
          <cell r="Z120" t="str">
            <v>○</v>
          </cell>
          <cell r="AA120" t="str">
            <v>-</v>
          </cell>
          <cell r="AB120" t="str">
            <v>-</v>
          </cell>
          <cell r="AC120" t="str">
            <v>-</v>
          </cell>
          <cell r="AD120" t="str">
            <v>○</v>
          </cell>
          <cell r="AE120" t="str">
            <v>-</v>
          </cell>
          <cell r="AF120" t="str">
            <v>17.5H</v>
          </cell>
          <cell r="AG120" t="str">
            <v>-</v>
          </cell>
          <cell r="AH120" t="str">
            <v>-</v>
          </cell>
          <cell r="AI120" t="str">
            <v>-</v>
          </cell>
          <cell r="AJ120" t="str">
            <v>-</v>
          </cell>
          <cell r="AK120" t="str">
            <v>-</v>
          </cell>
          <cell r="AL120" t="str">
            <v>17.5H</v>
          </cell>
          <cell r="AM120" t="str">
            <v>-</v>
          </cell>
          <cell r="AN120" t="str">
            <v>-</v>
          </cell>
          <cell r="AO120" t="str">
            <v>-</v>
          </cell>
          <cell r="AP120" t="str">
            <v>○</v>
          </cell>
          <cell r="AQ120" t="str">
            <v>-</v>
          </cell>
          <cell r="AR120" t="str">
            <v>△</v>
          </cell>
          <cell r="AS120" t="str">
            <v>-</v>
          </cell>
          <cell r="AT120" t="str">
            <v>○</v>
          </cell>
          <cell r="AU120" t="str">
            <v>○</v>
          </cell>
          <cell r="AV120" t="str">
            <v>○</v>
          </cell>
          <cell r="AW120" t="str">
            <v>-</v>
          </cell>
          <cell r="AX120" t="str">
            <v>○</v>
          </cell>
          <cell r="AY120" t="str">
            <v>-</v>
          </cell>
          <cell r="AZ120" t="str">
            <v>-</v>
          </cell>
          <cell r="BA120" t="str">
            <v>-</v>
          </cell>
          <cell r="BB120" t="str">
            <v>-</v>
          </cell>
          <cell r="BC120" t="str">
            <v>○</v>
          </cell>
          <cell r="BD120" t="str">
            <v>△</v>
          </cell>
        </row>
        <row r="121">
          <cell r="J121">
            <v>136.26472021636866</v>
          </cell>
          <cell r="K121" t="str">
            <v>MAL7R</v>
          </cell>
          <cell r="L121">
            <v>4.875</v>
          </cell>
          <cell r="M121">
            <v>4.5549999999999997</v>
          </cell>
          <cell r="O121">
            <v>5.125</v>
          </cell>
          <cell r="Q121" t="str">
            <v>-</v>
          </cell>
          <cell r="R121" t="str">
            <v>-</v>
          </cell>
          <cell r="S121" t="str">
            <v>-</v>
          </cell>
          <cell r="U121" t="str">
            <v>-</v>
          </cell>
          <cell r="W121" t="str">
            <v>-</v>
          </cell>
          <cell r="Y121" t="str">
            <v>-</v>
          </cell>
          <cell r="Z121" t="str">
            <v>○</v>
          </cell>
          <cell r="AA121" t="str">
            <v>-</v>
          </cell>
          <cell r="AB121" t="str">
            <v>-</v>
          </cell>
          <cell r="AC121" t="str">
            <v>-</v>
          </cell>
          <cell r="AD121" t="str">
            <v>○</v>
          </cell>
          <cell r="AE121" t="str">
            <v>-</v>
          </cell>
          <cell r="AF121" t="str">
            <v>17.5H</v>
          </cell>
          <cell r="AG121" t="str">
            <v>-</v>
          </cell>
          <cell r="AH121" t="str">
            <v>-</v>
          </cell>
          <cell r="AI121" t="str">
            <v>-</v>
          </cell>
          <cell r="AJ121" t="str">
            <v>-</v>
          </cell>
          <cell r="AK121" t="str">
            <v>-</v>
          </cell>
          <cell r="AL121" t="str">
            <v>17.5H</v>
          </cell>
          <cell r="AM121" t="str">
            <v>-</v>
          </cell>
          <cell r="AN121" t="str">
            <v>-</v>
          </cell>
          <cell r="AO121" t="str">
            <v>●</v>
          </cell>
          <cell r="AP121" t="str">
            <v>-</v>
          </cell>
          <cell r="AQ121" t="str">
            <v>-</v>
          </cell>
          <cell r="AR121" t="str">
            <v>△</v>
          </cell>
          <cell r="AS121" t="str">
            <v>-</v>
          </cell>
          <cell r="AT121" t="str">
            <v>○</v>
          </cell>
          <cell r="AU121" t="str">
            <v>○</v>
          </cell>
          <cell r="AV121" t="str">
            <v>○</v>
          </cell>
          <cell r="AW121" t="str">
            <v>-</v>
          </cell>
          <cell r="AX121" t="str">
            <v>○</v>
          </cell>
          <cell r="AY121" t="str">
            <v>-</v>
          </cell>
          <cell r="AZ121" t="str">
            <v>-</v>
          </cell>
          <cell r="BA121" t="str">
            <v>-</v>
          </cell>
          <cell r="BB121" t="str">
            <v>-</v>
          </cell>
          <cell r="BC121" t="str">
            <v>-</v>
          </cell>
          <cell r="BD121" t="str">
            <v>△</v>
          </cell>
        </row>
        <row r="122">
          <cell r="J122">
            <v>117.81878749327058</v>
          </cell>
          <cell r="K122" t="str">
            <v>MJD7Q</v>
          </cell>
          <cell r="L122">
            <v>5.5709999999999997</v>
          </cell>
          <cell r="M122">
            <v>5.125</v>
          </cell>
          <cell r="O122">
            <v>6.1420000000000003</v>
          </cell>
          <cell r="Q122" t="str">
            <v>-</v>
          </cell>
          <cell r="R122" t="str">
            <v>-</v>
          </cell>
          <cell r="S122" t="str">
            <v>-</v>
          </cell>
          <cell r="U122" t="str">
            <v>-</v>
          </cell>
          <cell r="W122" t="str">
            <v>-</v>
          </cell>
          <cell r="Y122" t="str">
            <v>○</v>
          </cell>
          <cell r="Z122" t="str">
            <v>-</v>
          </cell>
          <cell r="AA122" t="str">
            <v>-</v>
          </cell>
          <cell r="AB122" t="str">
            <v>○</v>
          </cell>
          <cell r="AC122" t="str">
            <v>-</v>
          </cell>
          <cell r="AD122" t="str">
            <v>-</v>
          </cell>
          <cell r="AE122" t="str">
            <v>-</v>
          </cell>
          <cell r="AF122" t="str">
            <v>17.5HT</v>
          </cell>
          <cell r="AG122" t="str">
            <v>17.5HT</v>
          </cell>
          <cell r="AH122" t="str">
            <v>-</v>
          </cell>
          <cell r="AI122" t="str">
            <v>-</v>
          </cell>
          <cell r="AJ122" t="str">
            <v>-</v>
          </cell>
          <cell r="AK122" t="str">
            <v>-</v>
          </cell>
          <cell r="AL122" t="str">
            <v>-</v>
          </cell>
          <cell r="AM122" t="str">
            <v>-</v>
          </cell>
          <cell r="AN122" t="str">
            <v>×</v>
          </cell>
          <cell r="AO122" t="str">
            <v>●</v>
          </cell>
          <cell r="AP122" t="str">
            <v>-</v>
          </cell>
          <cell r="AQ122" t="str">
            <v>-</v>
          </cell>
          <cell r="AR122" t="str">
            <v>-</v>
          </cell>
          <cell r="AS122" t="str">
            <v>△</v>
          </cell>
          <cell r="AT122" t="str">
            <v>○</v>
          </cell>
          <cell r="AU122" t="str">
            <v>○</v>
          </cell>
          <cell r="AV122" t="str">
            <v>○</v>
          </cell>
          <cell r="AW122" t="str">
            <v>-</v>
          </cell>
          <cell r="AX122" t="str">
            <v>○</v>
          </cell>
          <cell r="AY122" t="str">
            <v>-</v>
          </cell>
          <cell r="AZ122" t="str">
            <v>-</v>
          </cell>
          <cell r="BA122" t="str">
            <v>-</v>
          </cell>
          <cell r="BB122" t="str">
            <v>-</v>
          </cell>
          <cell r="BC122" t="str">
            <v>○</v>
          </cell>
          <cell r="BD122" t="str">
            <v>-</v>
          </cell>
        </row>
        <row r="123">
          <cell r="J123">
            <v>117.81878749327058</v>
          </cell>
          <cell r="K123" t="str">
            <v>MJD7Q</v>
          </cell>
          <cell r="L123">
            <v>5.5709999999999997</v>
          </cell>
          <cell r="M123">
            <v>5.125</v>
          </cell>
          <cell r="O123">
            <v>6.1420000000000003</v>
          </cell>
          <cell r="Q123" t="str">
            <v>-</v>
          </cell>
          <cell r="R123" t="str">
            <v>-</v>
          </cell>
          <cell r="S123" t="str">
            <v>-</v>
          </cell>
          <cell r="U123" t="str">
            <v>-</v>
          </cell>
          <cell r="W123" t="str">
            <v>-</v>
          </cell>
          <cell r="Y123" t="str">
            <v>○</v>
          </cell>
          <cell r="Z123" t="str">
            <v>-</v>
          </cell>
          <cell r="AA123" t="str">
            <v>-</v>
          </cell>
          <cell r="AB123" t="str">
            <v>○</v>
          </cell>
          <cell r="AC123" t="str">
            <v>-</v>
          </cell>
          <cell r="AD123" t="str">
            <v>-</v>
          </cell>
          <cell r="AE123" t="str">
            <v>-</v>
          </cell>
          <cell r="AF123" t="str">
            <v>17.5HT</v>
          </cell>
          <cell r="AG123" t="str">
            <v>17.5HT</v>
          </cell>
          <cell r="AH123" t="str">
            <v>-</v>
          </cell>
          <cell r="AI123" t="str">
            <v>-</v>
          </cell>
          <cell r="AJ123" t="str">
            <v>-</v>
          </cell>
          <cell r="AK123" t="str">
            <v>-</v>
          </cell>
          <cell r="AL123" t="str">
            <v>-</v>
          </cell>
          <cell r="AM123" t="str">
            <v>-</v>
          </cell>
          <cell r="AN123" t="str">
            <v>▲</v>
          </cell>
          <cell r="AO123" t="str">
            <v>-</v>
          </cell>
          <cell r="AP123" t="str">
            <v>-</v>
          </cell>
          <cell r="AQ123" t="str">
            <v>-</v>
          </cell>
          <cell r="AR123" t="str">
            <v>○</v>
          </cell>
          <cell r="AS123" t="str">
            <v>▲</v>
          </cell>
          <cell r="AT123" t="str">
            <v>○</v>
          </cell>
          <cell r="AU123" t="str">
            <v>○</v>
          </cell>
          <cell r="AV123" t="str">
            <v>○</v>
          </cell>
          <cell r="AW123" t="str">
            <v>-</v>
          </cell>
          <cell r="AX123" t="str">
            <v>○</v>
          </cell>
          <cell r="AY123" t="str">
            <v>-</v>
          </cell>
          <cell r="AZ123" t="str">
            <v>-</v>
          </cell>
          <cell r="BA123" t="str">
            <v>-</v>
          </cell>
          <cell r="BB123" t="str">
            <v>-</v>
          </cell>
          <cell r="BC123" t="str">
            <v>△</v>
          </cell>
          <cell r="BD123" t="str">
            <v>-</v>
          </cell>
        </row>
        <row r="124">
          <cell r="J124">
            <v>102.11083776058032</v>
          </cell>
          <cell r="K124" t="str">
            <v>MJD7Q</v>
          </cell>
          <cell r="L124">
            <v>6.4279999999999999</v>
          </cell>
          <cell r="M124">
            <v>6.1420000000000003</v>
          </cell>
          <cell r="O124">
            <v>6.8330000000000002</v>
          </cell>
          <cell r="Q124" t="str">
            <v>-</v>
          </cell>
          <cell r="R124" t="str">
            <v>-</v>
          </cell>
          <cell r="S124" t="str">
            <v>-</v>
          </cell>
          <cell r="U124" t="str">
            <v>-</v>
          </cell>
          <cell r="W124" t="str">
            <v>-</v>
          </cell>
          <cell r="Y124" t="str">
            <v>-</v>
          </cell>
          <cell r="Z124" t="str">
            <v>-</v>
          </cell>
          <cell r="AA124" t="str">
            <v>○</v>
          </cell>
          <cell r="AB124" t="str">
            <v>○</v>
          </cell>
          <cell r="AC124" t="str">
            <v>-</v>
          </cell>
          <cell r="AD124" t="str">
            <v>-</v>
          </cell>
          <cell r="AE124" t="str">
            <v>-</v>
          </cell>
          <cell r="AF124" t="str">
            <v>17.5HT</v>
          </cell>
          <cell r="AG124" t="str">
            <v>17.5HT</v>
          </cell>
          <cell r="AH124" t="str">
            <v>-</v>
          </cell>
          <cell r="AI124" t="str">
            <v>-</v>
          </cell>
          <cell r="AJ124" t="str">
            <v>-</v>
          </cell>
          <cell r="AK124" t="str">
            <v>-</v>
          </cell>
          <cell r="AL124" t="str">
            <v>-</v>
          </cell>
          <cell r="AM124" t="str">
            <v>-</v>
          </cell>
          <cell r="AN124" t="str">
            <v>×</v>
          </cell>
          <cell r="AO124" t="str">
            <v>●</v>
          </cell>
          <cell r="AP124" t="str">
            <v>-</v>
          </cell>
          <cell r="AQ124" t="str">
            <v>-</v>
          </cell>
          <cell r="AR124" t="str">
            <v>-</v>
          </cell>
          <cell r="AS124" t="str">
            <v>▲</v>
          </cell>
          <cell r="AT124" t="str">
            <v>○</v>
          </cell>
          <cell r="AU124" t="str">
            <v>○</v>
          </cell>
          <cell r="AV124" t="str">
            <v>○</v>
          </cell>
          <cell r="AW124" t="str">
            <v>-</v>
          </cell>
          <cell r="AX124" t="str">
            <v>○</v>
          </cell>
          <cell r="AY124" t="str">
            <v>-</v>
          </cell>
          <cell r="AZ124" t="str">
            <v>-</v>
          </cell>
          <cell r="BA124" t="str">
            <v>-</v>
          </cell>
          <cell r="BB124" t="str">
            <v>-</v>
          </cell>
          <cell r="BC124" t="str">
            <v>△</v>
          </cell>
          <cell r="BD124" t="str">
            <v>△</v>
          </cell>
        </row>
        <row r="125">
          <cell r="J125">
            <v>117.35401910079219</v>
          </cell>
          <cell r="K125" t="str">
            <v>MJD7Q</v>
          </cell>
          <cell r="L125">
            <v>5.5709999999999997</v>
          </cell>
          <cell r="M125">
            <v>5.125</v>
          </cell>
          <cell r="O125">
            <v>6.1420000000000003</v>
          </cell>
          <cell r="Q125" t="str">
            <v>-</v>
          </cell>
          <cell r="R125" t="str">
            <v>-</v>
          </cell>
          <cell r="S125" t="str">
            <v>-</v>
          </cell>
          <cell r="U125" t="str">
            <v>-</v>
          </cell>
          <cell r="W125" t="str">
            <v>-</v>
          </cell>
          <cell r="Y125" t="str">
            <v>○</v>
          </cell>
          <cell r="Z125" t="str">
            <v>-</v>
          </cell>
          <cell r="AA125" t="str">
            <v>-</v>
          </cell>
          <cell r="AB125" t="str">
            <v>○</v>
          </cell>
          <cell r="AC125" t="str">
            <v>-</v>
          </cell>
          <cell r="AD125" t="str">
            <v>-</v>
          </cell>
          <cell r="AE125" t="str">
            <v>-</v>
          </cell>
          <cell r="AF125" t="str">
            <v>17.5HT</v>
          </cell>
          <cell r="AG125" t="str">
            <v>17.5HT</v>
          </cell>
          <cell r="AH125" t="str">
            <v>-</v>
          </cell>
          <cell r="AI125" t="str">
            <v>-</v>
          </cell>
          <cell r="AJ125" t="str">
            <v>-</v>
          </cell>
          <cell r="AK125" t="str">
            <v>-</v>
          </cell>
          <cell r="AL125" t="str">
            <v>-</v>
          </cell>
          <cell r="AM125" t="str">
            <v>-</v>
          </cell>
          <cell r="AN125" t="str">
            <v>×</v>
          </cell>
          <cell r="AO125" t="str">
            <v>●</v>
          </cell>
          <cell r="AP125" t="str">
            <v>-</v>
          </cell>
          <cell r="AQ125" t="str">
            <v>-</v>
          </cell>
          <cell r="AR125" t="str">
            <v>-</v>
          </cell>
          <cell r="AS125" t="str">
            <v>△</v>
          </cell>
          <cell r="AT125" t="str">
            <v>○</v>
          </cell>
          <cell r="AU125" t="str">
            <v>○</v>
          </cell>
          <cell r="AV125" t="str">
            <v>○</v>
          </cell>
          <cell r="AW125" t="str">
            <v>-</v>
          </cell>
          <cell r="AX125" t="str">
            <v>○</v>
          </cell>
          <cell r="AY125" t="str">
            <v>-</v>
          </cell>
          <cell r="AZ125" t="str">
            <v>-</v>
          </cell>
          <cell r="BA125" t="str">
            <v>-</v>
          </cell>
          <cell r="BB125" t="str">
            <v>-</v>
          </cell>
          <cell r="BC125" t="str">
            <v>○</v>
          </cell>
          <cell r="BD125" t="str">
            <v>-</v>
          </cell>
        </row>
        <row r="126">
          <cell r="J126">
            <v>117.35401910079219</v>
          </cell>
          <cell r="K126" t="str">
            <v>MJD7Q</v>
          </cell>
          <cell r="L126">
            <v>5.5709999999999997</v>
          </cell>
          <cell r="M126">
            <v>5.125</v>
          </cell>
          <cell r="O126">
            <v>6.1420000000000003</v>
          </cell>
          <cell r="Q126" t="str">
            <v>-</v>
          </cell>
          <cell r="R126" t="str">
            <v>-</v>
          </cell>
          <cell r="S126" t="str">
            <v>-</v>
          </cell>
          <cell r="U126" t="str">
            <v>-</v>
          </cell>
          <cell r="W126" t="str">
            <v>-</v>
          </cell>
          <cell r="Y126" t="str">
            <v>○</v>
          </cell>
          <cell r="Z126" t="str">
            <v>-</v>
          </cell>
          <cell r="AA126" t="str">
            <v>-</v>
          </cell>
          <cell r="AB126" t="str">
            <v>○</v>
          </cell>
          <cell r="AC126" t="str">
            <v>-</v>
          </cell>
          <cell r="AD126" t="str">
            <v>-</v>
          </cell>
          <cell r="AE126" t="str">
            <v>-</v>
          </cell>
          <cell r="AF126" t="str">
            <v>17.5HT</v>
          </cell>
          <cell r="AG126" t="str">
            <v>17.5HT</v>
          </cell>
          <cell r="AH126" t="str">
            <v>-</v>
          </cell>
          <cell r="AI126" t="str">
            <v>-</v>
          </cell>
          <cell r="AJ126" t="str">
            <v>-</v>
          </cell>
          <cell r="AK126" t="str">
            <v>-</v>
          </cell>
          <cell r="AL126" t="str">
            <v>-</v>
          </cell>
          <cell r="AM126" t="str">
            <v>-</v>
          </cell>
          <cell r="AN126" t="str">
            <v>×</v>
          </cell>
          <cell r="AO126" t="str">
            <v>●</v>
          </cell>
          <cell r="AP126" t="str">
            <v>-</v>
          </cell>
          <cell r="AQ126" t="str">
            <v>-</v>
          </cell>
          <cell r="AR126" t="str">
            <v>-</v>
          </cell>
          <cell r="AS126" t="str">
            <v>△</v>
          </cell>
          <cell r="AT126" t="str">
            <v>○</v>
          </cell>
          <cell r="AU126" t="str">
            <v>○</v>
          </cell>
          <cell r="AV126" t="str">
            <v>○</v>
          </cell>
          <cell r="AW126" t="str">
            <v>-</v>
          </cell>
          <cell r="AX126" t="str">
            <v>○</v>
          </cell>
          <cell r="AY126" t="str">
            <v>-</v>
          </cell>
          <cell r="AZ126" t="str">
            <v>-</v>
          </cell>
          <cell r="BA126" t="str">
            <v>-</v>
          </cell>
          <cell r="BB126" t="str">
            <v>-</v>
          </cell>
          <cell r="BC126" t="str">
            <v>○</v>
          </cell>
          <cell r="BD126" t="str">
            <v>-</v>
          </cell>
        </row>
        <row r="127">
          <cell r="J127">
            <v>120.30495486665808</v>
          </cell>
          <cell r="K127" t="str">
            <v>MJD7P</v>
          </cell>
          <cell r="L127">
            <v>5.125</v>
          </cell>
          <cell r="M127">
            <v>4.875</v>
          </cell>
          <cell r="O127">
            <v>5.5709999999999997</v>
          </cell>
          <cell r="Q127" t="str">
            <v>-</v>
          </cell>
          <cell r="R127" t="str">
            <v>-</v>
          </cell>
          <cell r="S127" t="str">
            <v>-</v>
          </cell>
          <cell r="U127" t="str">
            <v>-</v>
          </cell>
          <cell r="W127" t="str">
            <v>-</v>
          </cell>
          <cell r="Y127" t="str">
            <v>○</v>
          </cell>
          <cell r="Z127" t="str">
            <v>-</v>
          </cell>
          <cell r="AA127" t="str">
            <v>-</v>
          </cell>
          <cell r="AB127" t="str">
            <v>○</v>
          </cell>
          <cell r="AC127" t="str">
            <v>-</v>
          </cell>
          <cell r="AD127" t="str">
            <v>-</v>
          </cell>
          <cell r="AE127" t="str">
            <v>-</v>
          </cell>
          <cell r="AF127" t="str">
            <v>17.5HT</v>
          </cell>
          <cell r="AG127" t="str">
            <v>17.5HT</v>
          </cell>
          <cell r="AH127" t="str">
            <v>-</v>
          </cell>
          <cell r="AI127" t="str">
            <v>-</v>
          </cell>
          <cell r="AJ127" t="str">
            <v>-</v>
          </cell>
          <cell r="AK127" t="str">
            <v>-</v>
          </cell>
          <cell r="AL127" t="str">
            <v>-</v>
          </cell>
          <cell r="AM127" t="str">
            <v>-</v>
          </cell>
          <cell r="AN127" t="str">
            <v>▲</v>
          </cell>
          <cell r="AO127" t="str">
            <v>-</v>
          </cell>
          <cell r="AP127" t="str">
            <v>-</v>
          </cell>
          <cell r="AQ127" t="str">
            <v>-</v>
          </cell>
          <cell r="AR127" t="str">
            <v>△</v>
          </cell>
          <cell r="AS127" t="str">
            <v>-</v>
          </cell>
          <cell r="AT127" t="str">
            <v>○</v>
          </cell>
          <cell r="AU127" t="str">
            <v>○</v>
          </cell>
          <cell r="AV127" t="str">
            <v>○</v>
          </cell>
          <cell r="AW127" t="str">
            <v>-</v>
          </cell>
          <cell r="AX127" t="str">
            <v>○</v>
          </cell>
          <cell r="AY127" t="str">
            <v>-</v>
          </cell>
          <cell r="AZ127" t="str">
            <v>-</v>
          </cell>
          <cell r="BA127" t="str">
            <v>-</v>
          </cell>
          <cell r="BB127" t="str">
            <v>-</v>
          </cell>
          <cell r="BC127" t="str">
            <v>△</v>
          </cell>
          <cell r="BD127" t="str">
            <v>-</v>
          </cell>
        </row>
        <row r="128">
          <cell r="J128">
            <v>117.81878749327058</v>
          </cell>
          <cell r="K128" t="str">
            <v>MJD7Q</v>
          </cell>
          <cell r="L128">
            <v>5.5709999999999997</v>
          </cell>
          <cell r="M128">
            <v>5.125</v>
          </cell>
          <cell r="O128">
            <v>6.1420000000000003</v>
          </cell>
          <cell r="Q128" t="str">
            <v>-</v>
          </cell>
          <cell r="R128" t="str">
            <v>-</v>
          </cell>
          <cell r="S128" t="str">
            <v>-</v>
          </cell>
          <cell r="U128" t="str">
            <v>-</v>
          </cell>
          <cell r="W128" t="str">
            <v>-</v>
          </cell>
          <cell r="Y128" t="str">
            <v>○</v>
          </cell>
          <cell r="Z128" t="str">
            <v>-</v>
          </cell>
          <cell r="AA128" t="str">
            <v>-</v>
          </cell>
          <cell r="AB128" t="str">
            <v>○</v>
          </cell>
          <cell r="AC128" t="str">
            <v>-</v>
          </cell>
          <cell r="AD128" t="str">
            <v>-</v>
          </cell>
          <cell r="AE128" t="str">
            <v>-</v>
          </cell>
          <cell r="AF128" t="str">
            <v>17.5HT</v>
          </cell>
          <cell r="AG128" t="str">
            <v>17.5HT</v>
          </cell>
          <cell r="AH128" t="str">
            <v>-</v>
          </cell>
          <cell r="AI128" t="str">
            <v>-</v>
          </cell>
          <cell r="AJ128" t="str">
            <v>-</v>
          </cell>
          <cell r="AK128" t="str">
            <v>-</v>
          </cell>
          <cell r="AL128" t="str">
            <v>-</v>
          </cell>
          <cell r="AM128" t="str">
            <v>-</v>
          </cell>
          <cell r="AN128" t="str">
            <v>▲</v>
          </cell>
          <cell r="AO128" t="str">
            <v>-</v>
          </cell>
          <cell r="AP128" t="str">
            <v>-</v>
          </cell>
          <cell r="AQ128" t="str">
            <v>-</v>
          </cell>
          <cell r="AR128" t="str">
            <v>△</v>
          </cell>
          <cell r="AS128" t="str">
            <v>-</v>
          </cell>
          <cell r="AT128" t="str">
            <v>○</v>
          </cell>
          <cell r="AU128" t="str">
            <v>○</v>
          </cell>
          <cell r="AV128" t="str">
            <v>○</v>
          </cell>
          <cell r="AW128" t="str">
            <v>-</v>
          </cell>
          <cell r="AX128" t="str">
            <v>○</v>
          </cell>
          <cell r="AY128" t="str">
            <v>-</v>
          </cell>
          <cell r="AZ128" t="str">
            <v>-</v>
          </cell>
          <cell r="BA128" t="str">
            <v>-</v>
          </cell>
          <cell r="BB128" t="str">
            <v>-</v>
          </cell>
          <cell r="BC128" t="str">
            <v>△</v>
          </cell>
          <cell r="BD128" t="str">
            <v>-</v>
          </cell>
        </row>
        <row r="129">
          <cell r="J129">
            <v>117.81878749327058</v>
          </cell>
          <cell r="K129" t="str">
            <v>MJD7Q</v>
          </cell>
          <cell r="L129">
            <v>5.5709999999999997</v>
          </cell>
          <cell r="M129">
            <v>5.125</v>
          </cell>
          <cell r="O129">
            <v>6.1420000000000003</v>
          </cell>
          <cell r="Q129" t="str">
            <v>-</v>
          </cell>
          <cell r="R129" t="str">
            <v>-</v>
          </cell>
          <cell r="S129" t="str">
            <v>-</v>
          </cell>
          <cell r="U129" t="str">
            <v>-</v>
          </cell>
          <cell r="W129" t="str">
            <v>-</v>
          </cell>
          <cell r="Y129" t="str">
            <v>○</v>
          </cell>
          <cell r="Z129" t="str">
            <v>-</v>
          </cell>
          <cell r="AA129" t="str">
            <v>-</v>
          </cell>
          <cell r="AB129" t="str">
            <v>○</v>
          </cell>
          <cell r="AC129" t="str">
            <v>-</v>
          </cell>
          <cell r="AD129" t="str">
            <v>-</v>
          </cell>
          <cell r="AE129" t="str">
            <v>-</v>
          </cell>
          <cell r="AF129" t="str">
            <v>17.5HT</v>
          </cell>
          <cell r="AG129" t="str">
            <v>17.5HT</v>
          </cell>
          <cell r="AH129" t="str">
            <v>-</v>
          </cell>
          <cell r="AI129" t="str">
            <v>-</v>
          </cell>
          <cell r="AJ129" t="str">
            <v>-</v>
          </cell>
          <cell r="AK129" t="str">
            <v>-</v>
          </cell>
          <cell r="AL129" t="str">
            <v>-</v>
          </cell>
          <cell r="AM129" t="str">
            <v>-</v>
          </cell>
          <cell r="AN129" t="str">
            <v>▲</v>
          </cell>
          <cell r="AO129" t="str">
            <v>-</v>
          </cell>
          <cell r="AP129" t="str">
            <v>-</v>
          </cell>
          <cell r="AQ129" t="str">
            <v>-</v>
          </cell>
          <cell r="AR129" t="str">
            <v>○</v>
          </cell>
          <cell r="AS129" t="str">
            <v>▲</v>
          </cell>
          <cell r="AT129" t="str">
            <v>○</v>
          </cell>
          <cell r="AU129" t="str">
            <v>○</v>
          </cell>
          <cell r="AV129" t="str">
            <v>○</v>
          </cell>
          <cell r="AW129" t="str">
            <v>-</v>
          </cell>
          <cell r="AX129" t="str">
            <v>○</v>
          </cell>
          <cell r="AY129" t="str">
            <v>-</v>
          </cell>
          <cell r="AZ129" t="str">
            <v>-</v>
          </cell>
          <cell r="BA129" t="str">
            <v>-</v>
          </cell>
          <cell r="BB129" t="str">
            <v>-</v>
          </cell>
          <cell r="BC129" t="str">
            <v>△</v>
          </cell>
          <cell r="BD129" t="str">
            <v>-</v>
          </cell>
        </row>
        <row r="130">
          <cell r="J130">
            <v>102.11083776058032</v>
          </cell>
          <cell r="K130" t="str">
            <v>MJD7Q</v>
          </cell>
          <cell r="L130">
            <v>6.4279999999999999</v>
          </cell>
          <cell r="M130">
            <v>6.1420000000000003</v>
          </cell>
          <cell r="O130">
            <v>6.8330000000000002</v>
          </cell>
          <cell r="Q130" t="str">
            <v>-</v>
          </cell>
          <cell r="R130" t="str">
            <v>-</v>
          </cell>
          <cell r="S130" t="str">
            <v>-</v>
          </cell>
          <cell r="U130" t="str">
            <v>-</v>
          </cell>
          <cell r="W130" t="str">
            <v>-</v>
          </cell>
          <cell r="Y130" t="str">
            <v>-</v>
          </cell>
          <cell r="Z130" t="str">
            <v>-</v>
          </cell>
          <cell r="AA130" t="str">
            <v>○</v>
          </cell>
          <cell r="AB130" t="str">
            <v>○</v>
          </cell>
          <cell r="AC130" t="str">
            <v>-</v>
          </cell>
          <cell r="AD130" t="str">
            <v>-</v>
          </cell>
          <cell r="AE130" t="str">
            <v>-</v>
          </cell>
          <cell r="AF130" t="str">
            <v>17.5HT</v>
          </cell>
          <cell r="AG130" t="str">
            <v>17.5HT</v>
          </cell>
          <cell r="AH130" t="str">
            <v>-</v>
          </cell>
          <cell r="AI130" t="str">
            <v>-</v>
          </cell>
          <cell r="AJ130" t="str">
            <v>-</v>
          </cell>
          <cell r="AK130" t="str">
            <v>-</v>
          </cell>
          <cell r="AL130" t="str">
            <v>-</v>
          </cell>
          <cell r="AM130" t="str">
            <v>-</v>
          </cell>
          <cell r="AN130" t="str">
            <v>×</v>
          </cell>
          <cell r="AO130" t="str">
            <v>●</v>
          </cell>
          <cell r="AP130" t="str">
            <v>-</v>
          </cell>
          <cell r="AQ130" t="str">
            <v>-</v>
          </cell>
          <cell r="AR130" t="str">
            <v>-</v>
          </cell>
          <cell r="AS130" t="str">
            <v>▲</v>
          </cell>
          <cell r="AT130" t="str">
            <v>○</v>
          </cell>
          <cell r="AU130" t="str">
            <v>○</v>
          </cell>
          <cell r="AV130" t="str">
            <v>○</v>
          </cell>
          <cell r="AW130" t="str">
            <v>-</v>
          </cell>
          <cell r="AX130" t="str">
            <v>○</v>
          </cell>
          <cell r="AY130" t="str">
            <v>-</v>
          </cell>
          <cell r="AZ130" t="str">
            <v>-</v>
          </cell>
          <cell r="BA130" t="str">
            <v>-</v>
          </cell>
          <cell r="BB130" t="str">
            <v>-</v>
          </cell>
          <cell r="BC130" t="str">
            <v>△</v>
          </cell>
          <cell r="BD130" t="str">
            <v>△</v>
          </cell>
        </row>
        <row r="131">
          <cell r="J131">
            <v>117.35401910079219</v>
          </cell>
          <cell r="K131" t="str">
            <v>MJD7Q</v>
          </cell>
          <cell r="L131">
            <v>5.5709999999999997</v>
          </cell>
          <cell r="M131">
            <v>5.125</v>
          </cell>
          <cell r="O131">
            <v>6.1420000000000003</v>
          </cell>
          <cell r="Q131" t="str">
            <v>-</v>
          </cell>
          <cell r="R131" t="str">
            <v>-</v>
          </cell>
          <cell r="S131" t="str">
            <v>-</v>
          </cell>
          <cell r="U131" t="str">
            <v>-</v>
          </cell>
          <cell r="W131" t="str">
            <v>-</v>
          </cell>
          <cell r="Y131" t="str">
            <v>-</v>
          </cell>
          <cell r="Z131" t="str">
            <v>○</v>
          </cell>
          <cell r="AA131" t="str">
            <v>-</v>
          </cell>
          <cell r="AB131" t="str">
            <v>-</v>
          </cell>
          <cell r="AC131" t="str">
            <v>○</v>
          </cell>
          <cell r="AD131" t="str">
            <v>-</v>
          </cell>
          <cell r="AE131" t="str">
            <v>-</v>
          </cell>
          <cell r="AF131" t="str">
            <v>17.5HT</v>
          </cell>
          <cell r="AG131" t="str">
            <v>17.5HT</v>
          </cell>
          <cell r="AH131" t="str">
            <v>-</v>
          </cell>
          <cell r="AI131" t="str">
            <v>-</v>
          </cell>
          <cell r="AJ131" t="str">
            <v>-</v>
          </cell>
          <cell r="AK131" t="str">
            <v>-</v>
          </cell>
          <cell r="AL131" t="str">
            <v>-</v>
          </cell>
          <cell r="AM131" t="str">
            <v>-</v>
          </cell>
          <cell r="AN131" t="str">
            <v>×</v>
          </cell>
          <cell r="AO131" t="str">
            <v>●</v>
          </cell>
          <cell r="AP131" t="str">
            <v>-</v>
          </cell>
          <cell r="AQ131" t="str">
            <v>-</v>
          </cell>
          <cell r="AR131" t="str">
            <v>-</v>
          </cell>
          <cell r="AS131" t="str">
            <v>△</v>
          </cell>
          <cell r="AT131" t="str">
            <v>○</v>
          </cell>
          <cell r="AU131" t="str">
            <v>○</v>
          </cell>
          <cell r="AV131" t="str">
            <v>○</v>
          </cell>
          <cell r="AW131" t="str">
            <v>-</v>
          </cell>
          <cell r="AX131" t="str">
            <v>○</v>
          </cell>
          <cell r="AY131" t="str">
            <v>-</v>
          </cell>
          <cell r="AZ131" t="str">
            <v>-</v>
          </cell>
          <cell r="BA131" t="str">
            <v>-</v>
          </cell>
          <cell r="BB131" t="str">
            <v>-</v>
          </cell>
          <cell r="BC131" t="str">
            <v>○</v>
          </cell>
          <cell r="BD131" t="str">
            <v>-</v>
          </cell>
        </row>
        <row r="132">
          <cell r="J132">
            <v>117.35401910079219</v>
          </cell>
          <cell r="K132" t="str">
            <v>MJD7Q</v>
          </cell>
          <cell r="L132">
            <v>5.5709999999999997</v>
          </cell>
          <cell r="M132">
            <v>5.125</v>
          </cell>
          <cell r="O132">
            <v>6.1420000000000003</v>
          </cell>
          <cell r="Q132" t="str">
            <v>-</v>
          </cell>
          <cell r="R132" t="str">
            <v>-</v>
          </cell>
          <cell r="S132" t="str">
            <v>-</v>
          </cell>
          <cell r="U132" t="str">
            <v>-</v>
          </cell>
          <cell r="W132" t="str">
            <v>-</v>
          </cell>
          <cell r="Y132" t="str">
            <v>-</v>
          </cell>
          <cell r="Z132" t="str">
            <v>○</v>
          </cell>
          <cell r="AA132" t="str">
            <v>-</v>
          </cell>
          <cell r="AB132" t="str">
            <v>-</v>
          </cell>
          <cell r="AC132" t="str">
            <v>○</v>
          </cell>
          <cell r="AD132" t="str">
            <v>-</v>
          </cell>
          <cell r="AE132" t="str">
            <v>-</v>
          </cell>
          <cell r="AF132" t="str">
            <v>17.5HT</v>
          </cell>
          <cell r="AG132" t="str">
            <v>17.5HT</v>
          </cell>
          <cell r="AH132" t="str">
            <v>-</v>
          </cell>
          <cell r="AI132" t="str">
            <v>-</v>
          </cell>
          <cell r="AJ132" t="str">
            <v>-</v>
          </cell>
          <cell r="AK132" t="str">
            <v>-</v>
          </cell>
          <cell r="AL132" t="str">
            <v>-</v>
          </cell>
          <cell r="AM132" t="str">
            <v>-</v>
          </cell>
          <cell r="AN132" t="str">
            <v>×</v>
          </cell>
          <cell r="AO132" t="str">
            <v>●</v>
          </cell>
          <cell r="AP132" t="str">
            <v>-</v>
          </cell>
          <cell r="AQ132" t="str">
            <v>-</v>
          </cell>
          <cell r="AR132" t="str">
            <v>-</v>
          </cell>
          <cell r="AS132" t="str">
            <v>△</v>
          </cell>
          <cell r="AT132" t="str">
            <v>○</v>
          </cell>
          <cell r="AU132" t="str">
            <v>○</v>
          </cell>
          <cell r="AV132" t="str">
            <v>○</v>
          </cell>
          <cell r="AW132" t="str">
            <v>-</v>
          </cell>
          <cell r="AX132" t="str">
            <v>○</v>
          </cell>
          <cell r="AY132" t="str">
            <v>-</v>
          </cell>
          <cell r="AZ132" t="str">
            <v>-</v>
          </cell>
          <cell r="BA132" t="str">
            <v>-</v>
          </cell>
          <cell r="BB132" t="str">
            <v>-</v>
          </cell>
          <cell r="BC132" t="str">
            <v>○</v>
          </cell>
          <cell r="BD132" t="str">
            <v>-</v>
          </cell>
        </row>
        <row r="133">
          <cell r="J133">
            <v>120.30495486665808</v>
          </cell>
          <cell r="K133" t="str">
            <v>MJD7P</v>
          </cell>
          <cell r="L133">
            <v>5.125</v>
          </cell>
          <cell r="M133">
            <v>4.875</v>
          </cell>
          <cell r="O133">
            <v>5.5709999999999997</v>
          </cell>
          <cell r="Q133" t="str">
            <v>-</v>
          </cell>
          <cell r="R133" t="str">
            <v>-</v>
          </cell>
          <cell r="S133" t="str">
            <v>-</v>
          </cell>
          <cell r="U133" t="str">
            <v>-</v>
          </cell>
          <cell r="W133" t="str">
            <v>-</v>
          </cell>
          <cell r="Y133" t="str">
            <v>-</v>
          </cell>
          <cell r="Z133" t="str">
            <v>○</v>
          </cell>
          <cell r="AA133" t="str">
            <v>-</v>
          </cell>
          <cell r="AB133" t="str">
            <v>-</v>
          </cell>
          <cell r="AC133" t="str">
            <v>○</v>
          </cell>
          <cell r="AD133" t="str">
            <v>-</v>
          </cell>
          <cell r="AE133" t="str">
            <v>-</v>
          </cell>
          <cell r="AF133" t="str">
            <v>17.5HT</v>
          </cell>
          <cell r="AG133" t="str">
            <v>17.5HT</v>
          </cell>
          <cell r="AH133" t="str">
            <v>-</v>
          </cell>
          <cell r="AI133" t="str">
            <v>-</v>
          </cell>
          <cell r="AJ133" t="str">
            <v>-</v>
          </cell>
          <cell r="AK133" t="str">
            <v>-</v>
          </cell>
          <cell r="AL133" t="str">
            <v>-</v>
          </cell>
          <cell r="AM133" t="str">
            <v>-</v>
          </cell>
          <cell r="AN133" t="str">
            <v>▲</v>
          </cell>
          <cell r="AO133" t="str">
            <v>-</v>
          </cell>
          <cell r="AP133" t="str">
            <v>-</v>
          </cell>
          <cell r="AQ133" t="str">
            <v>-</v>
          </cell>
          <cell r="AR133" t="str">
            <v>△</v>
          </cell>
          <cell r="AS133" t="str">
            <v>-</v>
          </cell>
          <cell r="AT133" t="str">
            <v>○</v>
          </cell>
          <cell r="AU133" t="str">
            <v>○</v>
          </cell>
          <cell r="AV133" t="str">
            <v>○</v>
          </cell>
          <cell r="AW133" t="str">
            <v>-</v>
          </cell>
          <cell r="AX133" t="str">
            <v>○</v>
          </cell>
          <cell r="AY133" t="str">
            <v>-</v>
          </cell>
          <cell r="AZ133" t="str">
            <v>-</v>
          </cell>
          <cell r="BA133" t="str">
            <v>-</v>
          </cell>
          <cell r="BB133" t="str">
            <v>-</v>
          </cell>
          <cell r="BC133" t="str">
            <v>△</v>
          </cell>
          <cell r="BD133" t="str">
            <v>-</v>
          </cell>
        </row>
        <row r="134">
          <cell r="J134">
            <v>117.81878749327058</v>
          </cell>
          <cell r="K134" t="str">
            <v>MJD7Q</v>
          </cell>
          <cell r="L134">
            <v>5.5709999999999997</v>
          </cell>
          <cell r="M134">
            <v>5.125</v>
          </cell>
          <cell r="O134">
            <v>6.1420000000000003</v>
          </cell>
          <cell r="Q134" t="str">
            <v>-</v>
          </cell>
          <cell r="R134" t="str">
            <v>-</v>
          </cell>
          <cell r="S134" t="str">
            <v>-</v>
          </cell>
          <cell r="U134" t="str">
            <v>-</v>
          </cell>
          <cell r="W134" t="str">
            <v>-</v>
          </cell>
          <cell r="Y134" t="str">
            <v>-</v>
          </cell>
          <cell r="Z134" t="str">
            <v>○</v>
          </cell>
          <cell r="AA134" t="str">
            <v>-</v>
          </cell>
          <cell r="AB134" t="str">
            <v>-</v>
          </cell>
          <cell r="AC134" t="str">
            <v>○</v>
          </cell>
          <cell r="AD134" t="str">
            <v>-</v>
          </cell>
          <cell r="AE134" t="str">
            <v>-</v>
          </cell>
          <cell r="AF134" t="str">
            <v>17.5HT</v>
          </cell>
          <cell r="AG134" t="str">
            <v>17.5HT</v>
          </cell>
          <cell r="AH134" t="str">
            <v>-</v>
          </cell>
          <cell r="AI134" t="str">
            <v>-</v>
          </cell>
          <cell r="AJ134" t="str">
            <v>-</v>
          </cell>
          <cell r="AK134" t="str">
            <v>-</v>
          </cell>
          <cell r="AL134" t="str">
            <v>-</v>
          </cell>
          <cell r="AM134" t="str">
            <v>-</v>
          </cell>
          <cell r="AN134" t="str">
            <v>▲</v>
          </cell>
          <cell r="AO134" t="str">
            <v>-</v>
          </cell>
          <cell r="AP134" t="str">
            <v>-</v>
          </cell>
          <cell r="AQ134" t="str">
            <v>-</v>
          </cell>
          <cell r="AR134" t="str">
            <v>△</v>
          </cell>
          <cell r="AS134" t="str">
            <v>-</v>
          </cell>
          <cell r="AT134" t="str">
            <v>○</v>
          </cell>
          <cell r="AU134" t="str">
            <v>○</v>
          </cell>
          <cell r="AV134" t="str">
            <v>○</v>
          </cell>
          <cell r="AW134" t="str">
            <v>-</v>
          </cell>
          <cell r="AX134" t="str">
            <v>○</v>
          </cell>
          <cell r="AY134" t="str">
            <v>-</v>
          </cell>
          <cell r="AZ134" t="str">
            <v>-</v>
          </cell>
          <cell r="BA134" t="str">
            <v>-</v>
          </cell>
          <cell r="BB134" t="str">
            <v>-</v>
          </cell>
          <cell r="BC134" t="str">
            <v>△</v>
          </cell>
          <cell r="BD134" t="str">
            <v>-</v>
          </cell>
        </row>
        <row r="135">
          <cell r="J135">
            <v>117.81878749327058</v>
          </cell>
          <cell r="K135" t="str">
            <v>MJD7Q</v>
          </cell>
          <cell r="L135">
            <v>5.5709999999999997</v>
          </cell>
          <cell r="M135">
            <v>5.125</v>
          </cell>
          <cell r="O135">
            <v>6.1420000000000003</v>
          </cell>
          <cell r="Q135" t="str">
            <v>-</v>
          </cell>
          <cell r="R135" t="str">
            <v>-</v>
          </cell>
          <cell r="S135" t="str">
            <v>-</v>
          </cell>
          <cell r="U135" t="str">
            <v>-</v>
          </cell>
          <cell r="W135" t="str">
            <v>-</v>
          </cell>
          <cell r="Y135" t="str">
            <v>-</v>
          </cell>
          <cell r="Z135" t="str">
            <v>○</v>
          </cell>
          <cell r="AA135" t="str">
            <v>-</v>
          </cell>
          <cell r="AB135" t="str">
            <v>-</v>
          </cell>
          <cell r="AC135" t="str">
            <v>○</v>
          </cell>
          <cell r="AD135" t="str">
            <v>-</v>
          </cell>
          <cell r="AE135" t="str">
            <v>-</v>
          </cell>
          <cell r="AF135" t="str">
            <v>17.5HT</v>
          </cell>
          <cell r="AG135" t="str">
            <v>17.5HT</v>
          </cell>
          <cell r="AH135" t="str">
            <v>-</v>
          </cell>
          <cell r="AI135" t="str">
            <v>-</v>
          </cell>
          <cell r="AJ135" t="str">
            <v>-</v>
          </cell>
          <cell r="AK135" t="str">
            <v>-</v>
          </cell>
          <cell r="AL135" t="str">
            <v>-</v>
          </cell>
          <cell r="AM135" t="str">
            <v>-</v>
          </cell>
          <cell r="AN135" t="str">
            <v>▲</v>
          </cell>
          <cell r="AO135" t="str">
            <v>-</v>
          </cell>
          <cell r="AP135" t="str">
            <v>-</v>
          </cell>
          <cell r="AQ135" t="str">
            <v>-</v>
          </cell>
          <cell r="AR135" t="str">
            <v>○</v>
          </cell>
          <cell r="AS135" t="str">
            <v>▲</v>
          </cell>
          <cell r="AT135" t="str">
            <v>○</v>
          </cell>
          <cell r="AU135" t="str">
            <v>○</v>
          </cell>
          <cell r="AV135" t="str">
            <v>○</v>
          </cell>
          <cell r="AW135" t="str">
            <v>-</v>
          </cell>
          <cell r="AX135" t="str">
            <v>○</v>
          </cell>
          <cell r="AY135" t="str">
            <v>-</v>
          </cell>
          <cell r="AZ135" t="str">
            <v>-</v>
          </cell>
          <cell r="BA135" t="str">
            <v>-</v>
          </cell>
          <cell r="BB135" t="str">
            <v>-</v>
          </cell>
          <cell r="BC135" t="str">
            <v>△</v>
          </cell>
          <cell r="BD135" t="str">
            <v>-</v>
          </cell>
        </row>
        <row r="136">
          <cell r="J136">
            <v>117.35401910079219</v>
          </cell>
          <cell r="K136" t="str">
            <v>MJD7Q</v>
          </cell>
          <cell r="L136">
            <v>5.5709999999999997</v>
          </cell>
          <cell r="M136">
            <v>5.125</v>
          </cell>
          <cell r="O136">
            <v>6.1420000000000003</v>
          </cell>
          <cell r="Q136">
            <v>97.55395060535831</v>
          </cell>
          <cell r="R136" t="str">
            <v>MAG6W</v>
          </cell>
          <cell r="S136">
            <v>6.4279999999999999</v>
          </cell>
          <cell r="U136">
            <v>6.1420000000000003</v>
          </cell>
          <cell r="W136">
            <v>6.8330000000000002</v>
          </cell>
          <cell r="Y136" t="str">
            <v>-</v>
          </cell>
          <cell r="Z136" t="str">
            <v>○</v>
          </cell>
          <cell r="AA136" t="str">
            <v>-</v>
          </cell>
          <cell r="AB136" t="str">
            <v>-</v>
          </cell>
          <cell r="AC136" t="str">
            <v>○</v>
          </cell>
          <cell r="AD136" t="str">
            <v>-</v>
          </cell>
          <cell r="AE136" t="str">
            <v>-</v>
          </cell>
          <cell r="AF136" t="str">
            <v>17.5HT</v>
          </cell>
          <cell r="AG136" t="str">
            <v>17.5HT</v>
          </cell>
          <cell r="AH136" t="str">
            <v>-</v>
          </cell>
          <cell r="AI136" t="str">
            <v>-</v>
          </cell>
          <cell r="AJ136" t="str">
            <v>-</v>
          </cell>
          <cell r="AK136" t="str">
            <v>-</v>
          </cell>
          <cell r="AL136" t="str">
            <v>-</v>
          </cell>
          <cell r="AM136" t="str">
            <v>-</v>
          </cell>
          <cell r="AN136" t="str">
            <v>×</v>
          </cell>
          <cell r="AO136" t="str">
            <v>●</v>
          </cell>
          <cell r="AP136" t="str">
            <v>-</v>
          </cell>
          <cell r="AQ136" t="str">
            <v>-</v>
          </cell>
          <cell r="AR136" t="str">
            <v>-</v>
          </cell>
          <cell r="AS136" t="str">
            <v>△</v>
          </cell>
          <cell r="AT136" t="str">
            <v>-</v>
          </cell>
          <cell r="AU136" t="str">
            <v>△</v>
          </cell>
          <cell r="AV136" t="str">
            <v>△</v>
          </cell>
          <cell r="AW136" t="str">
            <v>-</v>
          </cell>
          <cell r="AX136" t="str">
            <v>-</v>
          </cell>
          <cell r="AY136" t="str">
            <v>△</v>
          </cell>
          <cell r="AZ136" t="str">
            <v>△</v>
          </cell>
          <cell r="BA136" t="str">
            <v>○</v>
          </cell>
          <cell r="BB136" t="str">
            <v>-</v>
          </cell>
          <cell r="BC136" t="str">
            <v>○</v>
          </cell>
          <cell r="BD136" t="str">
            <v>-</v>
          </cell>
        </row>
        <row r="137">
          <cell r="J137">
            <v>109.96420166038587</v>
          </cell>
          <cell r="K137" t="str">
            <v>MAG6X</v>
          </cell>
          <cell r="L137">
            <v>5.5709999999999997</v>
          </cell>
          <cell r="M137">
            <v>5.125</v>
          </cell>
          <cell r="O137">
            <v>6.1420000000000003</v>
          </cell>
          <cell r="Q137">
            <v>120.30495486665808</v>
          </cell>
          <cell r="R137" t="str">
            <v>MJD7P</v>
          </cell>
          <cell r="S137">
            <v>5.125</v>
          </cell>
          <cell r="U137">
            <v>4.875</v>
          </cell>
          <cell r="W137">
            <v>5.5709999999999997</v>
          </cell>
          <cell r="Y137" t="str">
            <v>-</v>
          </cell>
          <cell r="Z137" t="str">
            <v>○</v>
          </cell>
          <cell r="AA137" t="str">
            <v>-</v>
          </cell>
          <cell r="AB137" t="str">
            <v>-</v>
          </cell>
          <cell r="AC137" t="str">
            <v>○</v>
          </cell>
          <cell r="AD137" t="str">
            <v>-</v>
          </cell>
          <cell r="AE137" t="str">
            <v>-</v>
          </cell>
          <cell r="AF137" t="str">
            <v>17.5HT</v>
          </cell>
          <cell r="AG137" t="str">
            <v>17.5HT</v>
          </cell>
          <cell r="AH137" t="str">
            <v>-</v>
          </cell>
          <cell r="AI137" t="str">
            <v>-</v>
          </cell>
          <cell r="AJ137" t="str">
            <v>-</v>
          </cell>
          <cell r="AK137" t="str">
            <v>-</v>
          </cell>
          <cell r="AL137" t="str">
            <v>-</v>
          </cell>
          <cell r="AM137" t="str">
            <v>-</v>
          </cell>
          <cell r="AN137" t="str">
            <v>▲</v>
          </cell>
          <cell r="AO137" t="str">
            <v>-</v>
          </cell>
          <cell r="AP137" t="str">
            <v>-</v>
          </cell>
          <cell r="AQ137" t="str">
            <v>-</v>
          </cell>
          <cell r="AR137" t="str">
            <v>△</v>
          </cell>
          <cell r="AS137" t="str">
            <v>-</v>
          </cell>
          <cell r="AT137" t="str">
            <v>-</v>
          </cell>
          <cell r="AU137" t="str">
            <v>△</v>
          </cell>
          <cell r="AV137" t="str">
            <v>△</v>
          </cell>
          <cell r="AW137" t="str">
            <v>-</v>
          </cell>
          <cell r="AX137" t="str">
            <v>-</v>
          </cell>
          <cell r="AY137" t="str">
            <v>△</v>
          </cell>
          <cell r="AZ137" t="str">
            <v>△</v>
          </cell>
          <cell r="BA137" t="str">
            <v>○</v>
          </cell>
          <cell r="BB137" t="str">
            <v>-</v>
          </cell>
          <cell r="BC137" t="str">
            <v>△</v>
          </cell>
          <cell r="BD137" t="str">
            <v>-</v>
          </cell>
        </row>
        <row r="138">
          <cell r="J138">
            <v>104.84723538745061</v>
          </cell>
          <cell r="K138" t="str">
            <v>MAG6G</v>
          </cell>
          <cell r="L138">
            <v>6.4279999999999999</v>
          </cell>
          <cell r="M138">
            <v>6.1420000000000003</v>
          </cell>
          <cell r="O138">
            <v>6.8330000000000002</v>
          </cell>
          <cell r="Q138">
            <v>117.81878749327058</v>
          </cell>
          <cell r="R138" t="str">
            <v>MJD7Q</v>
          </cell>
          <cell r="S138">
            <v>5.5709999999999997</v>
          </cell>
          <cell r="U138">
            <v>5.125</v>
          </cell>
          <cell r="W138">
            <v>6.1420000000000003</v>
          </cell>
          <cell r="Y138" t="str">
            <v>-</v>
          </cell>
          <cell r="Z138" t="str">
            <v>○</v>
          </cell>
          <cell r="AA138" t="str">
            <v>-</v>
          </cell>
          <cell r="AB138" t="str">
            <v>-</v>
          </cell>
          <cell r="AC138" t="str">
            <v>○</v>
          </cell>
          <cell r="AD138" t="str">
            <v>-</v>
          </cell>
          <cell r="AE138" t="str">
            <v>-</v>
          </cell>
          <cell r="AF138" t="str">
            <v>17.5HT</v>
          </cell>
          <cell r="AG138" t="str">
            <v>17.5HT</v>
          </cell>
          <cell r="AH138" t="str">
            <v>-</v>
          </cell>
          <cell r="AI138" t="str">
            <v>-</v>
          </cell>
          <cell r="AJ138" t="str">
            <v>-</v>
          </cell>
          <cell r="AK138" t="str">
            <v>-</v>
          </cell>
          <cell r="AL138" t="str">
            <v>-</v>
          </cell>
          <cell r="AM138" t="str">
            <v>-</v>
          </cell>
          <cell r="AN138" t="str">
            <v>▲</v>
          </cell>
          <cell r="AO138" t="str">
            <v>-</v>
          </cell>
          <cell r="AP138" t="str">
            <v>-</v>
          </cell>
          <cell r="AQ138" t="str">
            <v>-</v>
          </cell>
          <cell r="AR138" t="str">
            <v>△</v>
          </cell>
          <cell r="AS138" t="str">
            <v>-</v>
          </cell>
          <cell r="AT138" t="str">
            <v>-</v>
          </cell>
          <cell r="AU138" t="str">
            <v>△</v>
          </cell>
          <cell r="AV138" t="str">
            <v>△</v>
          </cell>
          <cell r="AW138" t="str">
            <v>-</v>
          </cell>
          <cell r="AX138" t="str">
            <v>-</v>
          </cell>
          <cell r="AY138" t="str">
            <v>△</v>
          </cell>
          <cell r="AZ138" t="str">
            <v>△</v>
          </cell>
          <cell r="BA138" t="str">
            <v>○</v>
          </cell>
          <cell r="BB138" t="str">
            <v>-</v>
          </cell>
          <cell r="BC138" t="str">
            <v>△</v>
          </cell>
          <cell r="BD138" t="str">
            <v>-</v>
          </cell>
        </row>
        <row r="139">
          <cell r="J139">
            <v>117.35401910079219</v>
          </cell>
          <cell r="K139" t="str">
            <v>MJD7Q</v>
          </cell>
          <cell r="L139">
            <v>5.5709999999999997</v>
          </cell>
          <cell r="M139">
            <v>5.125</v>
          </cell>
          <cell r="O139">
            <v>6.1420000000000003</v>
          </cell>
          <cell r="Q139">
            <v>97.55395060535831</v>
          </cell>
          <cell r="R139" t="str">
            <v>MAG6W</v>
          </cell>
          <cell r="S139">
            <v>6.4279999999999999</v>
          </cell>
          <cell r="U139">
            <v>6.1420000000000003</v>
          </cell>
          <cell r="W139">
            <v>6.8330000000000002</v>
          </cell>
          <cell r="Y139" t="str">
            <v>-</v>
          </cell>
          <cell r="Z139" t="str">
            <v>○</v>
          </cell>
          <cell r="AA139" t="str">
            <v>-</v>
          </cell>
          <cell r="AB139" t="str">
            <v>-</v>
          </cell>
          <cell r="AC139" t="str">
            <v>○</v>
          </cell>
          <cell r="AD139" t="str">
            <v>-</v>
          </cell>
          <cell r="AE139" t="str">
            <v>-</v>
          </cell>
          <cell r="AF139" t="str">
            <v>17.5HT</v>
          </cell>
          <cell r="AG139" t="str">
            <v>17.5HT</v>
          </cell>
          <cell r="AH139" t="str">
            <v>-</v>
          </cell>
          <cell r="AI139" t="str">
            <v>-</v>
          </cell>
          <cell r="AJ139" t="str">
            <v>-</v>
          </cell>
          <cell r="AK139" t="str">
            <v>-</v>
          </cell>
          <cell r="AL139" t="str">
            <v>-</v>
          </cell>
          <cell r="AM139" t="str">
            <v>-</v>
          </cell>
          <cell r="AN139" t="str">
            <v>×</v>
          </cell>
          <cell r="AO139" t="str">
            <v>●</v>
          </cell>
          <cell r="AP139" t="str">
            <v>-</v>
          </cell>
          <cell r="AQ139" t="str">
            <v>-</v>
          </cell>
          <cell r="AR139" t="str">
            <v>-</v>
          </cell>
          <cell r="AS139" t="str">
            <v>△</v>
          </cell>
          <cell r="AT139" t="str">
            <v>-</v>
          </cell>
          <cell r="AU139" t="str">
            <v>△</v>
          </cell>
          <cell r="AV139" t="str">
            <v>×</v>
          </cell>
          <cell r="AW139" t="str">
            <v>-</v>
          </cell>
          <cell r="AX139" t="str">
            <v>-</v>
          </cell>
          <cell r="AY139" t="str">
            <v>△</v>
          </cell>
          <cell r="AZ139" t="str">
            <v>△</v>
          </cell>
          <cell r="BA139" t="str">
            <v>○</v>
          </cell>
          <cell r="BB139" t="str">
            <v>-</v>
          </cell>
          <cell r="BC139" t="str">
            <v>○</v>
          </cell>
          <cell r="BD139" t="str">
            <v>-</v>
          </cell>
        </row>
        <row r="140">
          <cell r="J140">
            <v>109.96420166038587</v>
          </cell>
          <cell r="K140" t="str">
            <v>MAG6X</v>
          </cell>
          <cell r="L140">
            <v>5.5709999999999997</v>
          </cell>
          <cell r="M140">
            <v>5.125</v>
          </cell>
          <cell r="O140">
            <v>6.1420000000000003</v>
          </cell>
          <cell r="Q140">
            <v>120.30495486665808</v>
          </cell>
          <cell r="R140" t="str">
            <v>MJD7P</v>
          </cell>
          <cell r="S140">
            <v>5.125</v>
          </cell>
          <cell r="U140">
            <v>4.875</v>
          </cell>
          <cell r="W140">
            <v>5.5709999999999997</v>
          </cell>
          <cell r="Y140" t="str">
            <v>-</v>
          </cell>
          <cell r="Z140" t="str">
            <v>○</v>
          </cell>
          <cell r="AA140" t="str">
            <v>-</v>
          </cell>
          <cell r="AB140" t="str">
            <v>-</v>
          </cell>
          <cell r="AC140" t="str">
            <v>○</v>
          </cell>
          <cell r="AD140" t="str">
            <v>-</v>
          </cell>
          <cell r="AE140" t="str">
            <v>-</v>
          </cell>
          <cell r="AF140" t="str">
            <v>17.5HT</v>
          </cell>
          <cell r="AG140" t="str">
            <v>17.5HT</v>
          </cell>
          <cell r="AH140" t="str">
            <v>-</v>
          </cell>
          <cell r="AI140" t="str">
            <v>-</v>
          </cell>
          <cell r="AJ140" t="str">
            <v>-</v>
          </cell>
          <cell r="AK140" t="str">
            <v>-</v>
          </cell>
          <cell r="AL140" t="str">
            <v>-</v>
          </cell>
          <cell r="AM140" t="str">
            <v>-</v>
          </cell>
          <cell r="AN140" t="str">
            <v>▲</v>
          </cell>
          <cell r="AO140" t="str">
            <v>-</v>
          </cell>
          <cell r="AP140" t="str">
            <v>-</v>
          </cell>
          <cell r="AQ140" t="str">
            <v>-</v>
          </cell>
          <cell r="AR140" t="str">
            <v>△</v>
          </cell>
          <cell r="AS140" t="str">
            <v>-</v>
          </cell>
          <cell r="AT140" t="str">
            <v>-</v>
          </cell>
          <cell r="AU140" t="str">
            <v>△</v>
          </cell>
          <cell r="AV140" t="str">
            <v>△</v>
          </cell>
          <cell r="AW140" t="str">
            <v>-</v>
          </cell>
          <cell r="AX140" t="str">
            <v>-</v>
          </cell>
          <cell r="AY140" t="str">
            <v>△</v>
          </cell>
          <cell r="AZ140" t="str">
            <v>△</v>
          </cell>
          <cell r="BA140" t="str">
            <v>○</v>
          </cell>
          <cell r="BB140" t="str">
            <v>-</v>
          </cell>
          <cell r="BC140" t="str">
            <v>△</v>
          </cell>
          <cell r="BD140" t="str">
            <v>-</v>
          </cell>
        </row>
        <row r="141">
          <cell r="J141">
            <v>104.84723538745061</v>
          </cell>
          <cell r="K141" t="str">
            <v>MAG6G</v>
          </cell>
          <cell r="L141">
            <v>6.4279999999999999</v>
          </cell>
          <cell r="M141">
            <v>6.1420000000000003</v>
          </cell>
          <cell r="O141">
            <v>6.8330000000000002</v>
          </cell>
          <cell r="Q141">
            <v>117.81878749327058</v>
          </cell>
          <cell r="R141" t="str">
            <v>MJD7Q</v>
          </cell>
          <cell r="S141">
            <v>5.5709999999999997</v>
          </cell>
          <cell r="U141">
            <v>5.125</v>
          </cell>
          <cell r="W141">
            <v>6.1420000000000003</v>
          </cell>
          <cell r="Y141" t="str">
            <v>-</v>
          </cell>
          <cell r="Z141" t="str">
            <v>○</v>
          </cell>
          <cell r="AA141" t="str">
            <v>-</v>
          </cell>
          <cell r="AB141" t="str">
            <v>-</v>
          </cell>
          <cell r="AC141" t="str">
            <v>○</v>
          </cell>
          <cell r="AD141" t="str">
            <v>-</v>
          </cell>
          <cell r="AE141" t="str">
            <v>-</v>
          </cell>
          <cell r="AF141" t="str">
            <v>17.5HT</v>
          </cell>
          <cell r="AG141" t="str">
            <v>17.5HT</v>
          </cell>
          <cell r="AH141" t="str">
            <v>-</v>
          </cell>
          <cell r="AI141" t="str">
            <v>-</v>
          </cell>
          <cell r="AJ141" t="str">
            <v>-</v>
          </cell>
          <cell r="AK141" t="str">
            <v>-</v>
          </cell>
          <cell r="AL141" t="str">
            <v>-</v>
          </cell>
          <cell r="AM141" t="str">
            <v>-</v>
          </cell>
          <cell r="AN141" t="str">
            <v>▲</v>
          </cell>
          <cell r="AO141" t="str">
            <v>-</v>
          </cell>
          <cell r="AP141" t="str">
            <v>-</v>
          </cell>
          <cell r="AQ141" t="str">
            <v>-</v>
          </cell>
          <cell r="AR141" t="str">
            <v>△</v>
          </cell>
          <cell r="AS141" t="str">
            <v>-</v>
          </cell>
          <cell r="AT141" t="str">
            <v>-</v>
          </cell>
          <cell r="AU141" t="str">
            <v>△</v>
          </cell>
          <cell r="AV141" t="str">
            <v>△</v>
          </cell>
          <cell r="AW141" t="str">
            <v>-</v>
          </cell>
          <cell r="AX141" t="str">
            <v>-</v>
          </cell>
          <cell r="AY141" t="str">
            <v>△</v>
          </cell>
          <cell r="AZ141" t="str">
            <v>△</v>
          </cell>
          <cell r="BA141" t="str">
            <v>○</v>
          </cell>
          <cell r="BB141" t="str">
            <v>-</v>
          </cell>
          <cell r="BC141" t="str">
            <v>△</v>
          </cell>
          <cell r="BD141" t="str">
            <v>-</v>
          </cell>
        </row>
        <row r="142">
          <cell r="J142">
            <v>117.81878749327058</v>
          </cell>
          <cell r="K142" t="str">
            <v>MJD7Q</v>
          </cell>
          <cell r="L142">
            <v>5.5709999999999997</v>
          </cell>
          <cell r="M142">
            <v>5.125</v>
          </cell>
          <cell r="O142">
            <v>6.1420000000000003</v>
          </cell>
          <cell r="Q142">
            <v>104.84723538745061</v>
          </cell>
          <cell r="R142" t="str">
            <v>MAG6G</v>
          </cell>
          <cell r="S142">
            <v>6.4279999999999999</v>
          </cell>
          <cell r="U142">
            <v>6.1420000000000003</v>
          </cell>
          <cell r="W142">
            <v>6.8330000000000002</v>
          </cell>
          <cell r="Y142" t="str">
            <v>-</v>
          </cell>
          <cell r="Z142" t="str">
            <v>○</v>
          </cell>
          <cell r="AA142" t="str">
            <v>-</v>
          </cell>
          <cell r="AB142" t="str">
            <v>-</v>
          </cell>
          <cell r="AC142" t="str">
            <v>○</v>
          </cell>
          <cell r="AD142" t="str">
            <v>-</v>
          </cell>
          <cell r="AE142" t="str">
            <v>-</v>
          </cell>
          <cell r="AF142" t="str">
            <v>17.5HT</v>
          </cell>
          <cell r="AG142" t="str">
            <v>17.5HT</v>
          </cell>
          <cell r="AH142" t="str">
            <v>-</v>
          </cell>
          <cell r="AI142" t="str">
            <v>-</v>
          </cell>
          <cell r="AJ142" t="str">
            <v>-</v>
          </cell>
          <cell r="AK142" t="str">
            <v>-</v>
          </cell>
          <cell r="AL142" t="str">
            <v>-</v>
          </cell>
          <cell r="AM142" t="str">
            <v>-</v>
          </cell>
          <cell r="AN142" t="str">
            <v>▲</v>
          </cell>
          <cell r="AO142" t="str">
            <v>-</v>
          </cell>
          <cell r="AP142" t="str">
            <v>-</v>
          </cell>
          <cell r="AQ142" t="str">
            <v>-</v>
          </cell>
          <cell r="AR142" t="str">
            <v>○</v>
          </cell>
          <cell r="AS142" t="str">
            <v>▲</v>
          </cell>
          <cell r="AT142" t="str">
            <v>-</v>
          </cell>
          <cell r="AU142" t="str">
            <v>△</v>
          </cell>
          <cell r="AV142" t="str">
            <v>△</v>
          </cell>
          <cell r="AW142" t="str">
            <v>-</v>
          </cell>
          <cell r="AX142" t="str">
            <v>-</v>
          </cell>
          <cell r="AY142" t="str">
            <v>△</v>
          </cell>
          <cell r="AZ142" t="str">
            <v>△</v>
          </cell>
          <cell r="BA142" t="str">
            <v>○</v>
          </cell>
          <cell r="BB142" t="str">
            <v>-</v>
          </cell>
          <cell r="BC142" t="str">
            <v>△</v>
          </cell>
          <cell r="BD142" t="str">
            <v>△</v>
          </cell>
        </row>
        <row r="143">
          <cell r="J143">
            <v>134.63968515384829</v>
          </cell>
          <cell r="K143" t="str">
            <v>MJD7Q</v>
          </cell>
          <cell r="L143">
            <v>4.875</v>
          </cell>
          <cell r="M143">
            <v>4.5549999999999997</v>
          </cell>
          <cell r="O143">
            <v>5.125</v>
          </cell>
          <cell r="Q143" t="str">
            <v>-</v>
          </cell>
          <cell r="R143" t="str">
            <v>-</v>
          </cell>
          <cell r="S143" t="str">
            <v>-</v>
          </cell>
          <cell r="U143" t="str">
            <v>-</v>
          </cell>
          <cell r="W143" t="str">
            <v>-</v>
          </cell>
          <cell r="Y143" t="str">
            <v>○</v>
          </cell>
          <cell r="Z143" t="str">
            <v>-</v>
          </cell>
          <cell r="AA143" t="str">
            <v>-</v>
          </cell>
          <cell r="AB143" t="str">
            <v>○</v>
          </cell>
          <cell r="AC143" t="str">
            <v>-</v>
          </cell>
          <cell r="AD143" t="str">
            <v>-</v>
          </cell>
          <cell r="AE143" t="str">
            <v>-</v>
          </cell>
          <cell r="AF143" t="str">
            <v>18.5H</v>
          </cell>
          <cell r="AG143" t="str">
            <v>-</v>
          </cell>
          <cell r="AH143" t="str">
            <v>-</v>
          </cell>
          <cell r="AI143" t="str">
            <v>-</v>
          </cell>
          <cell r="AJ143" t="str">
            <v>-</v>
          </cell>
          <cell r="AK143" t="str">
            <v>18.5H</v>
          </cell>
          <cell r="AL143" t="str">
            <v>-</v>
          </cell>
          <cell r="AM143" t="str">
            <v>-</v>
          </cell>
          <cell r="AN143" t="str">
            <v>-</v>
          </cell>
          <cell r="AO143" t="str">
            <v>○</v>
          </cell>
          <cell r="AP143" t="str">
            <v>-</v>
          </cell>
          <cell r="AQ143" t="str">
            <v>-</v>
          </cell>
          <cell r="AR143" t="str">
            <v>○</v>
          </cell>
          <cell r="AS143" t="str">
            <v>▲</v>
          </cell>
          <cell r="AT143" t="str">
            <v>○</v>
          </cell>
          <cell r="AU143" t="str">
            <v>○</v>
          </cell>
          <cell r="AV143" t="str">
            <v>○</v>
          </cell>
          <cell r="AW143" t="str">
            <v>-</v>
          </cell>
          <cell r="AX143" t="str">
            <v>○</v>
          </cell>
          <cell r="AY143" t="str">
            <v>-</v>
          </cell>
          <cell r="AZ143" t="str">
            <v>-</v>
          </cell>
          <cell r="BA143" t="str">
            <v>-</v>
          </cell>
          <cell r="BB143" t="str">
            <v>-</v>
          </cell>
          <cell r="BC143" t="str">
            <v>△</v>
          </cell>
          <cell r="BD143" t="str">
            <v>△</v>
          </cell>
        </row>
        <row r="144">
          <cell r="J144">
            <v>134.63968515384829</v>
          </cell>
          <cell r="K144" t="str">
            <v>MJD7Q</v>
          </cell>
          <cell r="L144">
            <v>4.875</v>
          </cell>
          <cell r="M144">
            <v>4.5549999999999997</v>
          </cell>
          <cell r="O144">
            <v>5.125</v>
          </cell>
          <cell r="Q144" t="str">
            <v>-</v>
          </cell>
          <cell r="R144" t="str">
            <v>-</v>
          </cell>
          <cell r="S144" t="str">
            <v>-</v>
          </cell>
          <cell r="U144" t="str">
            <v>-</v>
          </cell>
          <cell r="W144" t="str">
            <v>-</v>
          </cell>
          <cell r="Y144" t="str">
            <v>-</v>
          </cell>
          <cell r="Z144" t="str">
            <v>○</v>
          </cell>
          <cell r="AA144" t="str">
            <v>-</v>
          </cell>
          <cell r="AB144" t="str">
            <v>-</v>
          </cell>
          <cell r="AC144" t="str">
            <v>○</v>
          </cell>
          <cell r="AD144" t="str">
            <v>-</v>
          </cell>
          <cell r="AE144" t="str">
            <v>-</v>
          </cell>
          <cell r="AF144" t="str">
            <v>18.5H</v>
          </cell>
          <cell r="AG144" t="str">
            <v>-</v>
          </cell>
          <cell r="AH144" t="str">
            <v>-</v>
          </cell>
          <cell r="AI144" t="str">
            <v>-</v>
          </cell>
          <cell r="AJ144" t="str">
            <v>-</v>
          </cell>
          <cell r="AK144" t="str">
            <v>18.5H</v>
          </cell>
          <cell r="AL144" t="str">
            <v>-</v>
          </cell>
          <cell r="AM144" t="str">
            <v>-</v>
          </cell>
          <cell r="AN144" t="str">
            <v>-</v>
          </cell>
          <cell r="AO144" t="str">
            <v>-</v>
          </cell>
          <cell r="AP144" t="str">
            <v>○</v>
          </cell>
          <cell r="AQ144" t="str">
            <v>-</v>
          </cell>
          <cell r="AR144" t="str">
            <v>△</v>
          </cell>
          <cell r="AS144" t="str">
            <v>-</v>
          </cell>
          <cell r="AT144" t="str">
            <v>○</v>
          </cell>
          <cell r="AU144" t="str">
            <v>○</v>
          </cell>
          <cell r="AV144" t="str">
            <v>○</v>
          </cell>
          <cell r="AW144" t="str">
            <v>-</v>
          </cell>
          <cell r="AX144" t="str">
            <v>○</v>
          </cell>
          <cell r="AY144" t="str">
            <v>-</v>
          </cell>
          <cell r="AZ144" t="str">
            <v>-</v>
          </cell>
          <cell r="BA144" t="str">
            <v>-</v>
          </cell>
          <cell r="BB144" t="str">
            <v>-</v>
          </cell>
          <cell r="BC144" t="str">
            <v>△</v>
          </cell>
          <cell r="BD144" t="str">
            <v>△</v>
          </cell>
        </row>
        <row r="145">
          <cell r="J145">
            <v>134.63968515384829</v>
          </cell>
          <cell r="K145" t="str">
            <v>MJD7Q</v>
          </cell>
          <cell r="L145">
            <v>4.875</v>
          </cell>
          <cell r="M145">
            <v>4.5549999999999997</v>
          </cell>
          <cell r="O145">
            <v>5.125</v>
          </cell>
          <cell r="Q145" t="str">
            <v>-</v>
          </cell>
          <cell r="R145" t="str">
            <v>-</v>
          </cell>
          <cell r="S145" t="str">
            <v>-</v>
          </cell>
          <cell r="U145" t="str">
            <v>-</v>
          </cell>
          <cell r="W145" t="str">
            <v>-</v>
          </cell>
          <cell r="Y145" t="str">
            <v>-</v>
          </cell>
          <cell r="Z145" t="str">
            <v>○</v>
          </cell>
          <cell r="AA145" t="str">
            <v>-</v>
          </cell>
          <cell r="AB145" t="str">
            <v>-</v>
          </cell>
          <cell r="AC145" t="str">
            <v>○</v>
          </cell>
          <cell r="AD145" t="str">
            <v>-</v>
          </cell>
          <cell r="AE145" t="str">
            <v>-</v>
          </cell>
          <cell r="AF145" t="str">
            <v>18.5H</v>
          </cell>
          <cell r="AG145" t="str">
            <v>-</v>
          </cell>
          <cell r="AH145" t="str">
            <v>-</v>
          </cell>
          <cell r="AI145" t="str">
            <v>-</v>
          </cell>
          <cell r="AJ145" t="str">
            <v>-</v>
          </cell>
          <cell r="AK145" t="str">
            <v>18.5H</v>
          </cell>
          <cell r="AL145" t="str">
            <v>-</v>
          </cell>
          <cell r="AM145" t="str">
            <v>-</v>
          </cell>
          <cell r="AN145" t="str">
            <v>-</v>
          </cell>
          <cell r="AO145" t="str">
            <v>○</v>
          </cell>
          <cell r="AP145" t="str">
            <v>-</v>
          </cell>
          <cell r="AQ145" t="str">
            <v>-</v>
          </cell>
          <cell r="AR145" t="str">
            <v>△</v>
          </cell>
          <cell r="AS145" t="str">
            <v>-</v>
          </cell>
          <cell r="AT145" t="str">
            <v>○</v>
          </cell>
          <cell r="AU145" t="str">
            <v>○</v>
          </cell>
          <cell r="AV145" t="str">
            <v>○</v>
          </cell>
          <cell r="AW145" t="str">
            <v>-</v>
          </cell>
          <cell r="AX145" t="str">
            <v>○</v>
          </cell>
          <cell r="AY145" t="str">
            <v>-</v>
          </cell>
          <cell r="AZ145" t="str">
            <v>-</v>
          </cell>
          <cell r="BA145" t="str">
            <v>-</v>
          </cell>
          <cell r="BB145" t="str">
            <v>-</v>
          </cell>
          <cell r="BC145" t="str">
            <v>△</v>
          </cell>
          <cell r="BD145" t="str">
            <v>△</v>
          </cell>
        </row>
        <row r="146">
          <cell r="J146">
            <v>134.63968515384829</v>
          </cell>
          <cell r="K146" t="str">
            <v>MJD7Q</v>
          </cell>
          <cell r="L146">
            <v>4.875</v>
          </cell>
          <cell r="M146">
            <v>4.5549999999999997</v>
          </cell>
          <cell r="O146">
            <v>5.125</v>
          </cell>
          <cell r="Q146" t="str">
            <v>-</v>
          </cell>
          <cell r="R146" t="str">
            <v>-</v>
          </cell>
          <cell r="S146" t="str">
            <v>-</v>
          </cell>
          <cell r="U146" t="str">
            <v>-</v>
          </cell>
          <cell r="W146" t="str">
            <v>-</v>
          </cell>
          <cell r="Y146" t="str">
            <v>-</v>
          </cell>
          <cell r="Z146" t="str">
            <v>○</v>
          </cell>
          <cell r="AA146" t="str">
            <v>-</v>
          </cell>
          <cell r="AB146" t="str">
            <v>-</v>
          </cell>
          <cell r="AC146" t="str">
            <v>○</v>
          </cell>
          <cell r="AD146" t="str">
            <v>-</v>
          </cell>
          <cell r="AE146" t="str">
            <v>-</v>
          </cell>
          <cell r="AF146" t="str">
            <v>18.5H</v>
          </cell>
          <cell r="AG146" t="str">
            <v>-</v>
          </cell>
          <cell r="AH146" t="str">
            <v>-</v>
          </cell>
          <cell r="AI146" t="str">
            <v>-</v>
          </cell>
          <cell r="AJ146" t="str">
            <v>-</v>
          </cell>
          <cell r="AK146" t="str">
            <v>18.5H</v>
          </cell>
          <cell r="AL146" t="str">
            <v>-</v>
          </cell>
          <cell r="AM146" t="str">
            <v>-</v>
          </cell>
          <cell r="AN146" t="str">
            <v>-</v>
          </cell>
          <cell r="AO146" t="str">
            <v>○</v>
          </cell>
          <cell r="AP146" t="str">
            <v>-</v>
          </cell>
          <cell r="AQ146" t="str">
            <v>-</v>
          </cell>
          <cell r="AR146" t="str">
            <v>○</v>
          </cell>
          <cell r="AS146" t="str">
            <v>▲</v>
          </cell>
          <cell r="AT146" t="str">
            <v>○</v>
          </cell>
          <cell r="AU146" t="str">
            <v>○</v>
          </cell>
          <cell r="AV146" t="str">
            <v>○</v>
          </cell>
          <cell r="AW146" t="str">
            <v>-</v>
          </cell>
          <cell r="AX146" t="str">
            <v>○</v>
          </cell>
          <cell r="AY146" t="str">
            <v>-</v>
          </cell>
          <cell r="AZ146" t="str">
            <v>-</v>
          </cell>
          <cell r="BA146" t="str">
            <v>-</v>
          </cell>
          <cell r="BB146" t="str">
            <v>-</v>
          </cell>
          <cell r="BC146" t="str">
            <v>△</v>
          </cell>
          <cell r="BD146" t="str">
            <v>△</v>
          </cell>
        </row>
        <row r="147">
          <cell r="J147">
            <v>124.16323306384166</v>
          </cell>
          <cell r="K147" t="str">
            <v>MAG6G</v>
          </cell>
          <cell r="L147">
            <v>5.4279999999999999</v>
          </cell>
          <cell r="M147">
            <v>5.125</v>
          </cell>
          <cell r="O147">
            <v>5.8570000000000002</v>
          </cell>
          <cell r="Q147">
            <v>134.63968515384829</v>
          </cell>
          <cell r="R147" t="str">
            <v>MJD7Q</v>
          </cell>
          <cell r="S147">
            <v>4.875</v>
          </cell>
          <cell r="U147">
            <v>4.5549999999999997</v>
          </cell>
          <cell r="W147">
            <v>5.125</v>
          </cell>
          <cell r="Y147" t="str">
            <v>-</v>
          </cell>
          <cell r="Z147" t="str">
            <v>○</v>
          </cell>
          <cell r="AA147" t="str">
            <v>-</v>
          </cell>
          <cell r="AB147" t="str">
            <v>-</v>
          </cell>
          <cell r="AC147" t="str">
            <v>○</v>
          </cell>
          <cell r="AD147" t="str">
            <v>-</v>
          </cell>
          <cell r="AE147" t="str">
            <v>-</v>
          </cell>
          <cell r="AF147" t="str">
            <v>18.5H</v>
          </cell>
          <cell r="AG147" t="str">
            <v>-</v>
          </cell>
          <cell r="AH147" t="str">
            <v>-</v>
          </cell>
          <cell r="AI147" t="str">
            <v>-</v>
          </cell>
          <cell r="AJ147" t="str">
            <v>-</v>
          </cell>
          <cell r="AK147" t="str">
            <v>18.5H</v>
          </cell>
          <cell r="AL147" t="str">
            <v>-</v>
          </cell>
          <cell r="AM147" t="str">
            <v>-</v>
          </cell>
          <cell r="AN147" t="str">
            <v>-</v>
          </cell>
          <cell r="AO147" t="str">
            <v>○</v>
          </cell>
          <cell r="AP147" t="str">
            <v>-</v>
          </cell>
          <cell r="AQ147" t="str">
            <v>-</v>
          </cell>
          <cell r="AR147" t="str">
            <v>△</v>
          </cell>
          <cell r="AS147" t="str">
            <v>-</v>
          </cell>
          <cell r="AT147" t="str">
            <v>-</v>
          </cell>
          <cell r="AU147" t="str">
            <v>△</v>
          </cell>
          <cell r="AV147" t="str">
            <v>△</v>
          </cell>
          <cell r="AW147" t="str">
            <v>-</v>
          </cell>
          <cell r="AX147" t="str">
            <v>-</v>
          </cell>
          <cell r="AY147" t="str">
            <v>△</v>
          </cell>
          <cell r="AZ147" t="str">
            <v>△</v>
          </cell>
          <cell r="BA147" t="str">
            <v>○</v>
          </cell>
          <cell r="BB147" t="str">
            <v>-</v>
          </cell>
          <cell r="BC147" t="str">
            <v>△</v>
          </cell>
          <cell r="BD147" t="str">
            <v>△</v>
          </cell>
        </row>
        <row r="148">
          <cell r="J148">
            <v>125.40132798043267</v>
          </cell>
          <cell r="K148" t="str">
            <v>MJA6Q</v>
          </cell>
          <cell r="L148">
            <v>5.4279999999999999</v>
          </cell>
          <cell r="M148">
            <v>5.125</v>
          </cell>
          <cell r="O148">
            <v>5.8570000000000002</v>
          </cell>
          <cell r="Q148" t="str">
            <v>←(速比:1.022)</v>
          </cell>
          <cell r="S148" t="str">
            <v>-</v>
          </cell>
          <cell r="U148" t="str">
            <v>-</v>
          </cell>
          <cell r="W148" t="str">
            <v>-</v>
          </cell>
          <cell r="Y148" t="str">
            <v>-</v>
          </cell>
          <cell r="Z148" t="str">
            <v>○</v>
          </cell>
          <cell r="AA148" t="str">
            <v>-</v>
          </cell>
          <cell r="AB148" t="str">
            <v>-</v>
          </cell>
          <cell r="AC148" t="str">
            <v>○</v>
          </cell>
          <cell r="AD148" t="str">
            <v>-</v>
          </cell>
          <cell r="AE148" t="str">
            <v>-</v>
          </cell>
          <cell r="AF148" t="str">
            <v>18.5H</v>
          </cell>
          <cell r="AG148" t="str">
            <v>-</v>
          </cell>
          <cell r="AH148" t="str">
            <v>-</v>
          </cell>
          <cell r="AI148" t="str">
            <v>-</v>
          </cell>
          <cell r="AJ148" t="str">
            <v>-</v>
          </cell>
          <cell r="AK148" t="str">
            <v>18.5H</v>
          </cell>
          <cell r="AL148" t="str">
            <v>-</v>
          </cell>
          <cell r="AM148" t="str">
            <v>-</v>
          </cell>
          <cell r="AN148" t="str">
            <v>-</v>
          </cell>
          <cell r="AO148" t="str">
            <v>○</v>
          </cell>
          <cell r="AP148" t="str">
            <v>-</v>
          </cell>
          <cell r="AQ148" t="str">
            <v>-</v>
          </cell>
          <cell r="AR148" t="str">
            <v>△</v>
          </cell>
          <cell r="AS148" t="str">
            <v>-</v>
          </cell>
          <cell r="AT148" t="str">
            <v>-</v>
          </cell>
          <cell r="AU148" t="str">
            <v>×</v>
          </cell>
          <cell r="AV148" t="str">
            <v>×</v>
          </cell>
          <cell r="AW148" t="str">
            <v>○</v>
          </cell>
          <cell r="AX148" t="str">
            <v>-</v>
          </cell>
          <cell r="AY148" t="str">
            <v>-</v>
          </cell>
          <cell r="AZ148" t="str">
            <v>-</v>
          </cell>
          <cell r="BA148" t="str">
            <v>○</v>
          </cell>
          <cell r="BB148" t="str">
            <v>●</v>
          </cell>
          <cell r="BC148" t="str">
            <v>-</v>
          </cell>
          <cell r="BD148" t="str">
            <v>△</v>
          </cell>
        </row>
        <row r="149">
          <cell r="J149">
            <v>124.16323306384166</v>
          </cell>
          <cell r="K149" t="str">
            <v>MAG6G</v>
          </cell>
          <cell r="L149">
            <v>5.4279999999999999</v>
          </cell>
          <cell r="M149">
            <v>5.125</v>
          </cell>
          <cell r="O149">
            <v>5.8570000000000002</v>
          </cell>
          <cell r="Q149">
            <v>134.63968515384829</v>
          </cell>
          <cell r="R149" t="str">
            <v>MJD7Q</v>
          </cell>
          <cell r="S149">
            <v>4.875</v>
          </cell>
          <cell r="U149">
            <v>4.5549999999999997</v>
          </cell>
          <cell r="W149">
            <v>5.125</v>
          </cell>
          <cell r="Y149" t="str">
            <v>-</v>
          </cell>
          <cell r="Z149" t="str">
            <v>○</v>
          </cell>
          <cell r="AA149" t="str">
            <v>-</v>
          </cell>
          <cell r="AB149" t="str">
            <v>-</v>
          </cell>
          <cell r="AC149" t="str">
            <v>○</v>
          </cell>
          <cell r="AD149" t="str">
            <v>-</v>
          </cell>
          <cell r="AE149" t="str">
            <v>-</v>
          </cell>
          <cell r="AF149" t="str">
            <v>18.5H</v>
          </cell>
          <cell r="AG149" t="str">
            <v>-</v>
          </cell>
          <cell r="AH149" t="str">
            <v>-</v>
          </cell>
          <cell r="AI149" t="str">
            <v>-</v>
          </cell>
          <cell r="AJ149" t="str">
            <v>-</v>
          </cell>
          <cell r="AK149" t="str">
            <v>18.5H</v>
          </cell>
          <cell r="AL149" t="str">
            <v>-</v>
          </cell>
          <cell r="AM149" t="str">
            <v>-</v>
          </cell>
          <cell r="AN149" t="str">
            <v>-</v>
          </cell>
          <cell r="AO149" t="str">
            <v>○</v>
          </cell>
          <cell r="AP149" t="str">
            <v>-</v>
          </cell>
          <cell r="AQ149" t="str">
            <v>-</v>
          </cell>
          <cell r="AR149" t="str">
            <v>△</v>
          </cell>
          <cell r="AS149" t="str">
            <v>-</v>
          </cell>
          <cell r="AT149" t="str">
            <v>-</v>
          </cell>
          <cell r="AU149" t="str">
            <v>△</v>
          </cell>
          <cell r="AV149" t="str">
            <v>△</v>
          </cell>
          <cell r="AW149" t="str">
            <v>-</v>
          </cell>
          <cell r="AX149" t="str">
            <v>-</v>
          </cell>
          <cell r="AY149" t="str">
            <v>△</v>
          </cell>
          <cell r="AZ149" t="str">
            <v>△</v>
          </cell>
          <cell r="BA149" t="str">
            <v>○</v>
          </cell>
          <cell r="BB149" t="str">
            <v>-</v>
          </cell>
          <cell r="BC149" t="str">
            <v>△</v>
          </cell>
          <cell r="BD149" t="str">
            <v>△</v>
          </cell>
        </row>
        <row r="150">
          <cell r="J150">
            <v>125.40132798043267</v>
          </cell>
          <cell r="K150" t="str">
            <v>MJA6Q</v>
          </cell>
          <cell r="L150">
            <v>5.4279999999999999</v>
          </cell>
          <cell r="M150">
            <v>5.125</v>
          </cell>
          <cell r="O150">
            <v>5.8570000000000002</v>
          </cell>
          <cell r="Q150" t="str">
            <v>←(速比:1.022)</v>
          </cell>
          <cell r="S150" t="str">
            <v>-</v>
          </cell>
          <cell r="U150" t="str">
            <v>-</v>
          </cell>
          <cell r="W150" t="str">
            <v>-</v>
          </cell>
          <cell r="Y150" t="str">
            <v>-</v>
          </cell>
          <cell r="Z150" t="str">
            <v>○</v>
          </cell>
          <cell r="AA150" t="str">
            <v>-</v>
          </cell>
          <cell r="AB150" t="str">
            <v>-</v>
          </cell>
          <cell r="AC150" t="str">
            <v>○</v>
          </cell>
          <cell r="AD150" t="str">
            <v>-</v>
          </cell>
          <cell r="AE150" t="str">
            <v>-</v>
          </cell>
          <cell r="AF150" t="str">
            <v>18.5H</v>
          </cell>
          <cell r="AG150" t="str">
            <v>-</v>
          </cell>
          <cell r="AH150" t="str">
            <v>-</v>
          </cell>
          <cell r="AI150" t="str">
            <v>-</v>
          </cell>
          <cell r="AJ150" t="str">
            <v>-</v>
          </cell>
          <cell r="AK150" t="str">
            <v>18.5H</v>
          </cell>
          <cell r="AL150" t="str">
            <v>-</v>
          </cell>
          <cell r="AM150" t="str">
            <v>-</v>
          </cell>
          <cell r="AN150" t="str">
            <v>-</v>
          </cell>
          <cell r="AO150" t="str">
            <v>○</v>
          </cell>
          <cell r="AP150" t="str">
            <v>-</v>
          </cell>
          <cell r="AQ150" t="str">
            <v>-</v>
          </cell>
          <cell r="AR150" t="str">
            <v>△</v>
          </cell>
          <cell r="AS150" t="str">
            <v>-</v>
          </cell>
          <cell r="AT150" t="str">
            <v>-</v>
          </cell>
          <cell r="AU150" t="str">
            <v>×</v>
          </cell>
          <cell r="AV150" t="str">
            <v>×</v>
          </cell>
          <cell r="AW150" t="str">
            <v>○</v>
          </cell>
          <cell r="AX150" t="str">
            <v>-</v>
          </cell>
          <cell r="AY150" t="str">
            <v>-</v>
          </cell>
          <cell r="AZ150" t="str">
            <v>-</v>
          </cell>
          <cell r="BA150" t="str">
            <v>○</v>
          </cell>
          <cell r="BB150" t="str">
            <v>●</v>
          </cell>
          <cell r="BC150" t="str">
            <v>-</v>
          </cell>
          <cell r="BD150" t="str">
            <v>△</v>
          </cell>
        </row>
        <row r="151">
          <cell r="J151">
            <v>134.63968515384829</v>
          </cell>
          <cell r="K151" t="str">
            <v>MJD7Q</v>
          </cell>
          <cell r="L151">
            <v>4.875</v>
          </cell>
          <cell r="M151">
            <v>4.5549999999999997</v>
          </cell>
          <cell r="O151">
            <v>5.125</v>
          </cell>
          <cell r="Q151">
            <v>124.16323306384166</v>
          </cell>
          <cell r="R151" t="str">
            <v>MAG6G</v>
          </cell>
          <cell r="S151">
            <v>5.4279999999999999</v>
          </cell>
          <cell r="U151">
            <v>5.125</v>
          </cell>
          <cell r="W151">
            <v>5.8570000000000002</v>
          </cell>
          <cell r="Y151" t="str">
            <v>-</v>
          </cell>
          <cell r="Z151" t="str">
            <v>○</v>
          </cell>
          <cell r="AA151" t="str">
            <v>-</v>
          </cell>
          <cell r="AB151" t="str">
            <v>-</v>
          </cell>
          <cell r="AC151" t="str">
            <v>○</v>
          </cell>
          <cell r="AD151" t="str">
            <v>-</v>
          </cell>
          <cell r="AE151" t="str">
            <v>-</v>
          </cell>
          <cell r="AF151" t="str">
            <v>18.5H</v>
          </cell>
          <cell r="AG151" t="str">
            <v>-</v>
          </cell>
          <cell r="AH151" t="str">
            <v>-</v>
          </cell>
          <cell r="AI151" t="str">
            <v>-</v>
          </cell>
          <cell r="AJ151" t="str">
            <v>-</v>
          </cell>
          <cell r="AK151" t="str">
            <v>18.5H</v>
          </cell>
          <cell r="AL151" t="str">
            <v>-</v>
          </cell>
          <cell r="AM151" t="str">
            <v>-</v>
          </cell>
          <cell r="AN151" t="str">
            <v>-</v>
          </cell>
          <cell r="AO151" t="str">
            <v>○</v>
          </cell>
          <cell r="AP151" t="str">
            <v>-</v>
          </cell>
          <cell r="AQ151" t="str">
            <v>-</v>
          </cell>
          <cell r="AR151" t="str">
            <v>○</v>
          </cell>
          <cell r="AS151" t="str">
            <v>▲</v>
          </cell>
          <cell r="AT151" t="str">
            <v>-</v>
          </cell>
          <cell r="AU151" t="str">
            <v>△</v>
          </cell>
          <cell r="AV151" t="str">
            <v>△</v>
          </cell>
          <cell r="AW151" t="str">
            <v>-</v>
          </cell>
          <cell r="AX151" t="str">
            <v>-</v>
          </cell>
          <cell r="AY151" t="str">
            <v>△</v>
          </cell>
          <cell r="AZ151" t="str">
            <v>△</v>
          </cell>
          <cell r="BA151" t="str">
            <v>○</v>
          </cell>
          <cell r="BB151" t="str">
            <v>-</v>
          </cell>
          <cell r="BC151" t="str">
            <v>△</v>
          </cell>
          <cell r="BD151" t="str">
            <v>△</v>
          </cell>
        </row>
        <row r="152">
          <cell r="J152">
            <v>116.21622132111807</v>
          </cell>
          <cell r="K152" t="str">
            <v>MJA6Q</v>
          </cell>
          <cell r="L152">
            <v>5.8570000000000002</v>
          </cell>
          <cell r="M152">
            <v>5.4279999999999999</v>
          </cell>
          <cell r="O152">
            <v>6.1660000000000004</v>
          </cell>
          <cell r="Q152" t="str">
            <v>←(速比:1.022)</v>
          </cell>
          <cell r="S152" t="str">
            <v>-</v>
          </cell>
          <cell r="U152" t="str">
            <v>-</v>
          </cell>
          <cell r="W152" t="str">
            <v>-</v>
          </cell>
          <cell r="Y152" t="str">
            <v>-</v>
          </cell>
          <cell r="Z152" t="str">
            <v>○</v>
          </cell>
          <cell r="AA152" t="str">
            <v>-</v>
          </cell>
          <cell r="AB152" t="str">
            <v>-</v>
          </cell>
          <cell r="AC152" t="str">
            <v>○</v>
          </cell>
          <cell r="AD152" t="str">
            <v>-</v>
          </cell>
          <cell r="AE152" t="str">
            <v>-</v>
          </cell>
          <cell r="AF152" t="str">
            <v>18.5H</v>
          </cell>
          <cell r="AG152" t="str">
            <v>-</v>
          </cell>
          <cell r="AH152" t="str">
            <v>-</v>
          </cell>
          <cell r="AI152" t="str">
            <v>-</v>
          </cell>
          <cell r="AJ152" t="str">
            <v>-</v>
          </cell>
          <cell r="AK152" t="str">
            <v>18.5H</v>
          </cell>
          <cell r="AL152" t="str">
            <v>-</v>
          </cell>
          <cell r="AM152" t="str">
            <v>-</v>
          </cell>
          <cell r="AN152" t="str">
            <v>-</v>
          </cell>
          <cell r="AO152" t="str">
            <v>○</v>
          </cell>
          <cell r="AP152" t="str">
            <v>-</v>
          </cell>
          <cell r="AQ152" t="str">
            <v>-</v>
          </cell>
          <cell r="AR152" t="str">
            <v>○</v>
          </cell>
          <cell r="AS152" t="str">
            <v>▲</v>
          </cell>
          <cell r="AT152" t="str">
            <v>-</v>
          </cell>
          <cell r="AU152" t="str">
            <v>×</v>
          </cell>
          <cell r="AV152" t="str">
            <v>×</v>
          </cell>
          <cell r="AW152" t="str">
            <v>○</v>
          </cell>
          <cell r="AX152" t="str">
            <v>-</v>
          </cell>
          <cell r="AY152" t="str">
            <v>-</v>
          </cell>
          <cell r="AZ152" t="str">
            <v>-</v>
          </cell>
          <cell r="BA152" t="str">
            <v>○</v>
          </cell>
          <cell r="BB152" t="str">
            <v>●</v>
          </cell>
          <cell r="BC152" t="str">
            <v>-</v>
          </cell>
          <cell r="BD152" t="str">
            <v>△</v>
          </cell>
        </row>
        <row r="153">
          <cell r="J153">
            <v>134.63968515384829</v>
          </cell>
          <cell r="K153" t="str">
            <v>MJD7Q</v>
          </cell>
          <cell r="L153">
            <v>4.875</v>
          </cell>
          <cell r="M153">
            <v>4.5549999999999997</v>
          </cell>
          <cell r="O153">
            <v>5.125</v>
          </cell>
          <cell r="Q153">
            <v>124.16323306384166</v>
          </cell>
          <cell r="R153" t="str">
            <v>MAG6G</v>
          </cell>
          <cell r="S153">
            <v>5.4279999999999999</v>
          </cell>
          <cell r="U153">
            <v>5.125</v>
          </cell>
          <cell r="W153">
            <v>5.8570000000000002</v>
          </cell>
          <cell r="Y153" t="str">
            <v>-</v>
          </cell>
          <cell r="Z153" t="str">
            <v>○</v>
          </cell>
          <cell r="AA153" t="str">
            <v>-</v>
          </cell>
          <cell r="AB153" t="str">
            <v>-</v>
          </cell>
          <cell r="AC153" t="str">
            <v>○</v>
          </cell>
          <cell r="AD153" t="str">
            <v>-</v>
          </cell>
          <cell r="AE153" t="str">
            <v>-</v>
          </cell>
          <cell r="AF153" t="str">
            <v>18.5H</v>
          </cell>
          <cell r="AG153" t="str">
            <v>-</v>
          </cell>
          <cell r="AH153" t="str">
            <v>-</v>
          </cell>
          <cell r="AI153" t="str">
            <v>-</v>
          </cell>
          <cell r="AJ153" t="str">
            <v>-</v>
          </cell>
          <cell r="AK153" t="str">
            <v>18.5H</v>
          </cell>
          <cell r="AL153" t="str">
            <v>-</v>
          </cell>
          <cell r="AM153" t="str">
            <v>-</v>
          </cell>
          <cell r="AN153" t="str">
            <v>-</v>
          </cell>
          <cell r="AO153" t="str">
            <v>○</v>
          </cell>
          <cell r="AP153" t="str">
            <v>-</v>
          </cell>
          <cell r="AQ153" t="str">
            <v>-</v>
          </cell>
          <cell r="AR153" t="str">
            <v>○</v>
          </cell>
          <cell r="AS153" t="str">
            <v>▲</v>
          </cell>
          <cell r="AT153" t="str">
            <v>-</v>
          </cell>
          <cell r="AU153" t="str">
            <v>△</v>
          </cell>
          <cell r="AV153" t="str">
            <v>△</v>
          </cell>
          <cell r="AW153" t="str">
            <v>-</v>
          </cell>
          <cell r="AX153" t="str">
            <v>-</v>
          </cell>
          <cell r="AY153" t="str">
            <v>△</v>
          </cell>
          <cell r="AZ153" t="str">
            <v>△</v>
          </cell>
          <cell r="BA153" t="str">
            <v>○</v>
          </cell>
          <cell r="BB153" t="str">
            <v>-</v>
          </cell>
          <cell r="BC153" t="str">
            <v>△</v>
          </cell>
          <cell r="BD153" t="str">
            <v>△</v>
          </cell>
        </row>
        <row r="154">
          <cell r="J154">
            <v>101.07208685504813</v>
          </cell>
          <cell r="K154" t="str">
            <v>MAL6S</v>
          </cell>
          <cell r="L154">
            <v>5.8570000000000002</v>
          </cell>
          <cell r="M154">
            <v>5.4279999999999999</v>
          </cell>
          <cell r="O154">
            <v>6.1660000000000004</v>
          </cell>
          <cell r="Q154" t="str">
            <v>-</v>
          </cell>
          <cell r="R154" t="str">
            <v>-</v>
          </cell>
          <cell r="S154" t="str">
            <v>-</v>
          </cell>
          <cell r="U154" t="str">
            <v>-</v>
          </cell>
          <cell r="W154" t="str">
            <v>-</v>
          </cell>
          <cell r="Y154" t="str">
            <v>-</v>
          </cell>
          <cell r="Z154" t="str">
            <v>○</v>
          </cell>
          <cell r="AA154" t="str">
            <v>-</v>
          </cell>
          <cell r="AB154" t="str">
            <v>-</v>
          </cell>
          <cell r="AC154" t="str">
            <v>○</v>
          </cell>
          <cell r="AD154" t="str">
            <v>-</v>
          </cell>
          <cell r="AE154" t="str">
            <v>-</v>
          </cell>
          <cell r="AF154" t="str">
            <v>18.5H</v>
          </cell>
          <cell r="AG154" t="str">
            <v>-</v>
          </cell>
          <cell r="AH154" t="str">
            <v>-</v>
          </cell>
          <cell r="AI154" t="str">
            <v>-</v>
          </cell>
          <cell r="AJ154" t="str">
            <v>-</v>
          </cell>
          <cell r="AK154" t="str">
            <v>18.5H</v>
          </cell>
          <cell r="AL154" t="str">
            <v>-</v>
          </cell>
          <cell r="AM154" t="str">
            <v>-</v>
          </cell>
          <cell r="AN154" t="str">
            <v>-</v>
          </cell>
          <cell r="AO154" t="str">
            <v>-</v>
          </cell>
          <cell r="AP154" t="str">
            <v>○</v>
          </cell>
          <cell r="AQ154" t="str">
            <v>-</v>
          </cell>
          <cell r="AR154" t="str">
            <v>△</v>
          </cell>
          <cell r="AS154" t="str">
            <v>-</v>
          </cell>
          <cell r="AT154" t="str">
            <v>-</v>
          </cell>
          <cell r="AU154" t="str">
            <v>×</v>
          </cell>
          <cell r="AV154" t="str">
            <v>×</v>
          </cell>
          <cell r="AW154" t="str">
            <v>○</v>
          </cell>
          <cell r="AX154" t="str">
            <v>-</v>
          </cell>
          <cell r="AY154" t="str">
            <v>△</v>
          </cell>
          <cell r="AZ154" t="str">
            <v>-</v>
          </cell>
          <cell r="BA154" t="str">
            <v>○</v>
          </cell>
          <cell r="BB154" t="str">
            <v>-</v>
          </cell>
          <cell r="BC154" t="str">
            <v>○</v>
          </cell>
          <cell r="BD154" t="str">
            <v>-</v>
          </cell>
        </row>
        <row r="155">
          <cell r="J155">
            <v>123.65562337090185</v>
          </cell>
          <cell r="K155" t="str">
            <v>MAL6T</v>
          </cell>
          <cell r="L155">
            <v>5.125</v>
          </cell>
          <cell r="M155">
            <v>4.875</v>
          </cell>
          <cell r="O155">
            <v>5.4279999999999999</v>
          </cell>
          <cell r="Q155">
            <v>137.71985232150664</v>
          </cell>
          <cell r="R155" t="str">
            <v>MAL7Q</v>
          </cell>
          <cell r="S155">
            <v>5.125</v>
          </cell>
          <cell r="U155">
            <v>4.875</v>
          </cell>
          <cell r="W155">
            <v>5.4279999999999999</v>
          </cell>
          <cell r="Y155" t="str">
            <v>-</v>
          </cell>
          <cell r="Z155" t="str">
            <v>○</v>
          </cell>
          <cell r="AA155" t="str">
            <v>-</v>
          </cell>
          <cell r="AB155" t="str">
            <v>-</v>
          </cell>
          <cell r="AC155" t="str">
            <v>○</v>
          </cell>
          <cell r="AD155" t="str">
            <v>-</v>
          </cell>
          <cell r="AE155" t="str">
            <v>-</v>
          </cell>
          <cell r="AF155" t="str">
            <v>18.5H</v>
          </cell>
          <cell r="AG155" t="str">
            <v>-</v>
          </cell>
          <cell r="AH155" t="str">
            <v>-</v>
          </cell>
          <cell r="AI155" t="str">
            <v>-</v>
          </cell>
          <cell r="AJ155" t="str">
            <v>-</v>
          </cell>
          <cell r="AK155" t="str">
            <v>18.5H</v>
          </cell>
          <cell r="AL155" t="str">
            <v>-</v>
          </cell>
          <cell r="AM155" t="str">
            <v>-</v>
          </cell>
          <cell r="AN155" t="str">
            <v>-</v>
          </cell>
          <cell r="AO155" t="str">
            <v>○</v>
          </cell>
          <cell r="AP155" t="str">
            <v>-</v>
          </cell>
          <cell r="AQ155" t="str">
            <v>-</v>
          </cell>
          <cell r="AR155" t="str">
            <v>△</v>
          </cell>
          <cell r="AS155" t="str">
            <v>-</v>
          </cell>
          <cell r="AT155" t="str">
            <v>-</v>
          </cell>
          <cell r="AU155" t="str">
            <v>△</v>
          </cell>
          <cell r="AV155" t="str">
            <v>△</v>
          </cell>
          <cell r="AW155" t="str">
            <v>-</v>
          </cell>
          <cell r="AX155" t="str">
            <v>-</v>
          </cell>
          <cell r="AY155" t="str">
            <v>△</v>
          </cell>
          <cell r="AZ155" t="str">
            <v>-</v>
          </cell>
          <cell r="BA155" t="str">
            <v>-</v>
          </cell>
          <cell r="BB155" t="str">
            <v>-</v>
          </cell>
          <cell r="BC155" t="str">
            <v>△</v>
          </cell>
          <cell r="BD155" t="str">
            <v>△</v>
          </cell>
        </row>
        <row r="156">
          <cell r="J156">
            <v>101.07208685504813</v>
          </cell>
          <cell r="K156" t="str">
            <v>MAL6S</v>
          </cell>
          <cell r="L156">
            <v>5.8570000000000002</v>
          </cell>
          <cell r="M156">
            <v>5.4279999999999999</v>
          </cell>
          <cell r="O156">
            <v>6.1660000000000004</v>
          </cell>
          <cell r="Q156" t="str">
            <v>-</v>
          </cell>
          <cell r="R156" t="str">
            <v>-</v>
          </cell>
          <cell r="S156" t="str">
            <v>-</v>
          </cell>
          <cell r="U156" t="str">
            <v>-</v>
          </cell>
          <cell r="W156" t="str">
            <v>-</v>
          </cell>
          <cell r="Y156" t="str">
            <v>-</v>
          </cell>
          <cell r="Z156" t="str">
            <v>○</v>
          </cell>
          <cell r="AA156" t="str">
            <v>-</v>
          </cell>
          <cell r="AB156" t="str">
            <v>-</v>
          </cell>
          <cell r="AC156" t="str">
            <v>-</v>
          </cell>
          <cell r="AD156" t="str">
            <v>-</v>
          </cell>
          <cell r="AE156" t="str">
            <v>○</v>
          </cell>
          <cell r="AF156" t="str">
            <v>18.5H</v>
          </cell>
          <cell r="AG156" t="str">
            <v>-</v>
          </cell>
          <cell r="AH156" t="str">
            <v>-</v>
          </cell>
          <cell r="AI156" t="str">
            <v>-</v>
          </cell>
          <cell r="AJ156" t="str">
            <v>-</v>
          </cell>
          <cell r="AK156" t="str">
            <v>18.5H</v>
          </cell>
          <cell r="AL156" t="str">
            <v>-</v>
          </cell>
          <cell r="AM156" t="str">
            <v>-</v>
          </cell>
          <cell r="AN156" t="str">
            <v>-</v>
          </cell>
          <cell r="AO156" t="str">
            <v>-</v>
          </cell>
          <cell r="AP156" t="str">
            <v>○</v>
          </cell>
          <cell r="AQ156" t="str">
            <v>-</v>
          </cell>
          <cell r="AR156" t="str">
            <v>-</v>
          </cell>
          <cell r="AS156" t="str">
            <v>-</v>
          </cell>
          <cell r="AT156" t="str">
            <v>-</v>
          </cell>
          <cell r="AU156" t="str">
            <v>×</v>
          </cell>
          <cell r="AV156" t="str">
            <v>×</v>
          </cell>
          <cell r="AW156" t="str">
            <v>○</v>
          </cell>
          <cell r="AX156" t="str">
            <v>-</v>
          </cell>
          <cell r="AY156" t="str">
            <v>-</v>
          </cell>
          <cell r="AZ156" t="str">
            <v>-</v>
          </cell>
          <cell r="BA156" t="str">
            <v>○</v>
          </cell>
          <cell r="BB156" t="str">
            <v>-</v>
          </cell>
          <cell r="BC156" t="str">
            <v>○</v>
          </cell>
          <cell r="BD156" t="str">
            <v>-</v>
          </cell>
        </row>
        <row r="157">
          <cell r="J157">
            <v>126.80664090230717</v>
          </cell>
          <cell r="K157" t="str">
            <v>MJD7Q</v>
          </cell>
          <cell r="L157">
            <v>4.5549999999999997</v>
          </cell>
          <cell r="M157">
            <v>4.3330000000000002</v>
          </cell>
          <cell r="O157">
            <v>4.875</v>
          </cell>
          <cell r="Q157" t="str">
            <v>※4.333/4.555--ｺﾝﾋﾞﾃﾞｲｽｸ</v>
          </cell>
          <cell r="W157" t="str">
            <v>-</v>
          </cell>
          <cell r="Y157" t="str">
            <v>●</v>
          </cell>
          <cell r="Z157" t="str">
            <v>-</v>
          </cell>
          <cell r="AA157" t="str">
            <v>-</v>
          </cell>
          <cell r="AB157" t="str">
            <v>●</v>
          </cell>
          <cell r="AC157" t="str">
            <v>-</v>
          </cell>
          <cell r="AD157" t="str">
            <v>-</v>
          </cell>
          <cell r="AE157" t="str">
            <v>-</v>
          </cell>
          <cell r="AF157" t="str">
            <v>18.5H</v>
          </cell>
          <cell r="AG157" t="str">
            <v>-</v>
          </cell>
          <cell r="AH157" t="str">
            <v>-</v>
          </cell>
          <cell r="AI157" t="str">
            <v>-</v>
          </cell>
          <cell r="AJ157" t="str">
            <v>-</v>
          </cell>
          <cell r="AK157" t="str">
            <v>18.5H</v>
          </cell>
          <cell r="AL157" t="str">
            <v>-</v>
          </cell>
          <cell r="AM157" t="str">
            <v>-</v>
          </cell>
          <cell r="AN157" t="str">
            <v>-</v>
          </cell>
          <cell r="AO157" t="str">
            <v>●</v>
          </cell>
          <cell r="AP157" t="str">
            <v>-</v>
          </cell>
          <cell r="AQ157" t="str">
            <v>-</v>
          </cell>
          <cell r="AR157" t="str">
            <v>●</v>
          </cell>
          <cell r="AS157" t="str">
            <v>▲</v>
          </cell>
          <cell r="AT157" t="str">
            <v>○</v>
          </cell>
          <cell r="AU157" t="str">
            <v>○</v>
          </cell>
          <cell r="AV157" t="str">
            <v>○</v>
          </cell>
          <cell r="AW157" t="str">
            <v>-</v>
          </cell>
          <cell r="AX157" t="str">
            <v>●</v>
          </cell>
          <cell r="AY157" t="str">
            <v>-</v>
          </cell>
          <cell r="AZ157" t="str">
            <v>-</v>
          </cell>
          <cell r="BA157" t="str">
            <v>-</v>
          </cell>
          <cell r="BB157" t="str">
            <v>-</v>
          </cell>
          <cell r="BC157" t="str">
            <v>▲</v>
          </cell>
          <cell r="BD157" t="str">
            <v>△</v>
          </cell>
        </row>
        <row r="158">
          <cell r="J158">
            <v>125.21932759026721</v>
          </cell>
          <cell r="K158" t="str">
            <v>MJD7P</v>
          </cell>
          <cell r="L158">
            <v>4.3330000000000002</v>
          </cell>
          <cell r="M158">
            <v>4.0999999999999996</v>
          </cell>
          <cell r="O158">
            <v>4.5549999999999997</v>
          </cell>
          <cell r="Q158" t="str">
            <v>-</v>
          </cell>
          <cell r="R158" t="str">
            <v>-</v>
          </cell>
          <cell r="S158" t="str">
            <v>-</v>
          </cell>
          <cell r="U158" t="str">
            <v>-</v>
          </cell>
          <cell r="W158" t="str">
            <v>-</v>
          </cell>
          <cell r="Y158" t="str">
            <v>○</v>
          </cell>
          <cell r="Z158" t="str">
            <v>-</v>
          </cell>
          <cell r="AA158" t="str">
            <v>-</v>
          </cell>
          <cell r="AB158" t="str">
            <v>○</v>
          </cell>
          <cell r="AC158" t="str">
            <v>-</v>
          </cell>
          <cell r="AD158" t="str">
            <v>-</v>
          </cell>
          <cell r="AE158" t="str">
            <v>-</v>
          </cell>
          <cell r="AF158" t="str">
            <v>18.5H</v>
          </cell>
          <cell r="AG158" t="str">
            <v>-</v>
          </cell>
          <cell r="AH158" t="str">
            <v>-</v>
          </cell>
          <cell r="AI158" t="str">
            <v>-</v>
          </cell>
          <cell r="AJ158" t="str">
            <v>-</v>
          </cell>
          <cell r="AK158" t="str">
            <v>18.5H</v>
          </cell>
          <cell r="AL158" t="str">
            <v>-</v>
          </cell>
          <cell r="AM158" t="str">
            <v>-</v>
          </cell>
          <cell r="AN158" t="str">
            <v>-</v>
          </cell>
          <cell r="AO158" t="str">
            <v>○</v>
          </cell>
          <cell r="AP158" t="str">
            <v>-</v>
          </cell>
          <cell r="AQ158" t="str">
            <v>-</v>
          </cell>
          <cell r="AR158" t="str">
            <v>○</v>
          </cell>
          <cell r="AS158" t="str">
            <v>▲</v>
          </cell>
          <cell r="AT158" t="str">
            <v>○</v>
          </cell>
          <cell r="AU158" t="str">
            <v>○</v>
          </cell>
          <cell r="AV158" t="str">
            <v>○</v>
          </cell>
          <cell r="AW158" t="str">
            <v>-</v>
          </cell>
          <cell r="AX158" t="str">
            <v>○</v>
          </cell>
          <cell r="AY158" t="str">
            <v>-</v>
          </cell>
          <cell r="AZ158" t="str">
            <v>-</v>
          </cell>
          <cell r="BA158" t="str">
            <v>-</v>
          </cell>
          <cell r="BB158" t="str">
            <v>-</v>
          </cell>
          <cell r="BC158" t="str">
            <v>△</v>
          </cell>
          <cell r="BD158" t="str">
            <v>△</v>
          </cell>
        </row>
        <row r="159">
          <cell r="J159">
            <v>125.21932759026721</v>
          </cell>
          <cell r="K159" t="str">
            <v>MJD7P</v>
          </cell>
          <cell r="L159">
            <v>4.3330000000000002</v>
          </cell>
          <cell r="M159">
            <v>4.0999999999999996</v>
          </cell>
          <cell r="O159">
            <v>4.5549999999999997</v>
          </cell>
          <cell r="Q159" t="str">
            <v>-</v>
          </cell>
          <cell r="R159" t="str">
            <v>-</v>
          </cell>
          <cell r="S159" t="str">
            <v>-</v>
          </cell>
          <cell r="U159" t="str">
            <v>-</v>
          </cell>
          <cell r="W159" t="str">
            <v>-</v>
          </cell>
          <cell r="Y159" t="str">
            <v>●</v>
          </cell>
          <cell r="Z159" t="str">
            <v>-</v>
          </cell>
          <cell r="AA159" t="str">
            <v>-</v>
          </cell>
          <cell r="AB159" t="str">
            <v>●</v>
          </cell>
          <cell r="AC159" t="str">
            <v>-</v>
          </cell>
          <cell r="AD159" t="str">
            <v>-</v>
          </cell>
          <cell r="AE159" t="str">
            <v>-</v>
          </cell>
          <cell r="AF159" t="str">
            <v>18.5H</v>
          </cell>
          <cell r="AG159" t="str">
            <v>-</v>
          </cell>
          <cell r="AH159" t="str">
            <v>-</v>
          </cell>
          <cell r="AI159" t="str">
            <v>-</v>
          </cell>
          <cell r="AJ159" t="str">
            <v>-</v>
          </cell>
          <cell r="AK159" t="str">
            <v>18.5H</v>
          </cell>
          <cell r="AL159" t="str">
            <v>-</v>
          </cell>
          <cell r="AM159" t="str">
            <v>-</v>
          </cell>
          <cell r="AN159" t="str">
            <v>-</v>
          </cell>
          <cell r="AO159" t="str">
            <v>●</v>
          </cell>
          <cell r="AP159" t="str">
            <v>-</v>
          </cell>
          <cell r="AQ159" t="str">
            <v>-</v>
          </cell>
          <cell r="AR159" t="str">
            <v>●</v>
          </cell>
          <cell r="AS159" t="str">
            <v>▲</v>
          </cell>
          <cell r="AT159" t="str">
            <v>○</v>
          </cell>
          <cell r="AU159" t="str">
            <v>○</v>
          </cell>
          <cell r="AV159" t="str">
            <v>○</v>
          </cell>
          <cell r="AW159" t="str">
            <v>-</v>
          </cell>
          <cell r="AX159" t="str">
            <v>○</v>
          </cell>
          <cell r="AY159" t="str">
            <v>-</v>
          </cell>
          <cell r="AZ159" t="str">
            <v>-</v>
          </cell>
          <cell r="BA159" t="str">
            <v>-</v>
          </cell>
          <cell r="BB159" t="str">
            <v>-</v>
          </cell>
          <cell r="BC159" t="str">
            <v>△</v>
          </cell>
          <cell r="BD159" t="str">
            <v>△</v>
          </cell>
        </row>
        <row r="160">
          <cell r="J160">
            <v>125.21932759026721</v>
          </cell>
          <cell r="K160" t="str">
            <v>MJD7P</v>
          </cell>
          <cell r="L160">
            <v>4.3330000000000002</v>
          </cell>
          <cell r="M160">
            <v>4.0999999999999996</v>
          </cell>
          <cell r="O160">
            <v>4.5549999999999997</v>
          </cell>
          <cell r="Q160" t="str">
            <v>-</v>
          </cell>
          <cell r="R160" t="str">
            <v>-</v>
          </cell>
          <cell r="S160" t="str">
            <v>-</v>
          </cell>
          <cell r="U160" t="str">
            <v>-</v>
          </cell>
          <cell r="W160" t="str">
            <v>-</v>
          </cell>
          <cell r="Y160" t="str">
            <v>-</v>
          </cell>
          <cell r="Z160" t="str">
            <v>○</v>
          </cell>
          <cell r="AA160" t="str">
            <v>-</v>
          </cell>
          <cell r="AB160" t="str">
            <v>○</v>
          </cell>
          <cell r="AC160" t="str">
            <v>-</v>
          </cell>
          <cell r="AD160" t="str">
            <v>-</v>
          </cell>
          <cell r="AE160" t="str">
            <v>-</v>
          </cell>
          <cell r="AF160" t="str">
            <v>18.5H</v>
          </cell>
          <cell r="AG160" t="str">
            <v>-</v>
          </cell>
          <cell r="AH160" t="str">
            <v>-</v>
          </cell>
          <cell r="AI160" t="str">
            <v>-</v>
          </cell>
          <cell r="AJ160" t="str">
            <v>-</v>
          </cell>
          <cell r="AK160" t="str">
            <v>18.5H</v>
          </cell>
          <cell r="AL160" t="str">
            <v>-</v>
          </cell>
          <cell r="AM160" t="str">
            <v>-</v>
          </cell>
          <cell r="AN160" t="str">
            <v>-</v>
          </cell>
          <cell r="AO160" t="str">
            <v>○</v>
          </cell>
          <cell r="AP160" t="str">
            <v>-</v>
          </cell>
          <cell r="AQ160" t="str">
            <v>-</v>
          </cell>
          <cell r="AR160" t="str">
            <v>△</v>
          </cell>
          <cell r="AS160" t="str">
            <v>-</v>
          </cell>
          <cell r="AT160" t="str">
            <v>○</v>
          </cell>
          <cell r="AU160" t="str">
            <v>○</v>
          </cell>
          <cell r="AV160" t="str">
            <v>○</v>
          </cell>
          <cell r="AW160" t="str">
            <v>-</v>
          </cell>
          <cell r="AX160" t="str">
            <v>○</v>
          </cell>
          <cell r="AY160" t="str">
            <v>-</v>
          </cell>
          <cell r="AZ160" t="str">
            <v>-</v>
          </cell>
          <cell r="BA160" t="str">
            <v>-</v>
          </cell>
          <cell r="BB160" t="str">
            <v>-</v>
          </cell>
          <cell r="BC160" t="str">
            <v>△</v>
          </cell>
          <cell r="BD160" t="str">
            <v>△</v>
          </cell>
        </row>
        <row r="161">
          <cell r="J161">
            <v>129.61766069361894</v>
          </cell>
          <cell r="K161" t="str">
            <v>MAL7R</v>
          </cell>
          <cell r="L161">
            <v>5.125</v>
          </cell>
          <cell r="M161">
            <v>4.875</v>
          </cell>
          <cell r="O161">
            <v>5.4279999999999999</v>
          </cell>
          <cell r="Q161" t="str">
            <v>※4.875/5.125--ｺﾝﾋﾞﾃﾞｲｽｸ</v>
          </cell>
          <cell r="W161" t="str">
            <v>-</v>
          </cell>
          <cell r="Y161" t="str">
            <v>-</v>
          </cell>
          <cell r="Z161" t="str">
            <v>●</v>
          </cell>
          <cell r="AA161" t="str">
            <v>-</v>
          </cell>
          <cell r="AB161" t="str">
            <v>-</v>
          </cell>
          <cell r="AC161" t="str">
            <v>●</v>
          </cell>
          <cell r="AD161" t="str">
            <v>-</v>
          </cell>
          <cell r="AE161" t="str">
            <v>-</v>
          </cell>
          <cell r="AF161" t="str">
            <v>18.5H</v>
          </cell>
          <cell r="AG161" t="str">
            <v>-</v>
          </cell>
          <cell r="AH161" t="str">
            <v>-</v>
          </cell>
          <cell r="AI161" t="str">
            <v>-</v>
          </cell>
          <cell r="AJ161" t="str">
            <v>-</v>
          </cell>
          <cell r="AK161" t="str">
            <v>18.5H</v>
          </cell>
          <cell r="AL161" t="str">
            <v>-</v>
          </cell>
          <cell r="AM161" t="str">
            <v>-</v>
          </cell>
          <cell r="AN161" t="str">
            <v>-</v>
          </cell>
          <cell r="AO161" t="str">
            <v>●</v>
          </cell>
          <cell r="AP161" t="str">
            <v>-</v>
          </cell>
          <cell r="AQ161" t="str">
            <v>-</v>
          </cell>
          <cell r="AR161" t="str">
            <v>●</v>
          </cell>
          <cell r="AS161" t="str">
            <v>▲</v>
          </cell>
          <cell r="AT161" t="str">
            <v>○</v>
          </cell>
          <cell r="AU161" t="str">
            <v>○</v>
          </cell>
          <cell r="AV161" t="str">
            <v>○</v>
          </cell>
          <cell r="AW161" t="str">
            <v>-</v>
          </cell>
          <cell r="AX161" t="str">
            <v>○</v>
          </cell>
          <cell r="AY161" t="str">
            <v>-</v>
          </cell>
          <cell r="AZ161" t="str">
            <v>-</v>
          </cell>
          <cell r="BA161" t="str">
            <v>-</v>
          </cell>
          <cell r="BB161" t="str">
            <v>-</v>
          </cell>
          <cell r="BC161" t="str">
            <v>-</v>
          </cell>
          <cell r="BD161" t="str">
            <v>△</v>
          </cell>
        </row>
        <row r="162">
          <cell r="J162">
            <v>132.33545035332389</v>
          </cell>
          <cell r="K162" t="str">
            <v>MJD7P</v>
          </cell>
          <cell r="L162">
            <v>4.0999999999999996</v>
          </cell>
          <cell r="M162">
            <v>4.3330000000000002</v>
          </cell>
          <cell r="O162">
            <v>4.5549999999999997</v>
          </cell>
          <cell r="Q162" t="str">
            <v>-</v>
          </cell>
          <cell r="R162" t="str">
            <v>-</v>
          </cell>
          <cell r="S162" t="str">
            <v>-</v>
          </cell>
          <cell r="U162" t="str">
            <v>-</v>
          </cell>
          <cell r="W162" t="str">
            <v>-</v>
          </cell>
          <cell r="Y162" t="str">
            <v>-</v>
          </cell>
          <cell r="Z162" t="str">
            <v>○</v>
          </cell>
          <cell r="AA162" t="str">
            <v>-</v>
          </cell>
          <cell r="AB162" t="str">
            <v>○</v>
          </cell>
          <cell r="AC162" t="str">
            <v>-</v>
          </cell>
          <cell r="AD162" t="str">
            <v>-</v>
          </cell>
          <cell r="AE162" t="str">
            <v>-</v>
          </cell>
          <cell r="AF162" t="str">
            <v>18.5H</v>
          </cell>
          <cell r="AG162" t="str">
            <v>-</v>
          </cell>
          <cell r="AH162" t="str">
            <v>-</v>
          </cell>
          <cell r="AI162" t="str">
            <v>-</v>
          </cell>
          <cell r="AJ162" t="str">
            <v>-</v>
          </cell>
          <cell r="AK162" t="str">
            <v>18.5H</v>
          </cell>
          <cell r="AL162" t="str">
            <v>-</v>
          </cell>
          <cell r="AM162" t="str">
            <v>-</v>
          </cell>
          <cell r="AN162" t="str">
            <v>-</v>
          </cell>
          <cell r="AO162" t="str">
            <v>○</v>
          </cell>
          <cell r="AP162" t="str">
            <v>-</v>
          </cell>
          <cell r="AQ162" t="str">
            <v>-</v>
          </cell>
          <cell r="AR162" t="str">
            <v>○</v>
          </cell>
          <cell r="AS162" t="str">
            <v>▲</v>
          </cell>
          <cell r="AT162" t="str">
            <v>○</v>
          </cell>
          <cell r="AU162" t="str">
            <v>○</v>
          </cell>
          <cell r="AV162" t="str">
            <v>○</v>
          </cell>
          <cell r="AW162" t="str">
            <v>-</v>
          </cell>
          <cell r="AX162" t="str">
            <v>○</v>
          </cell>
          <cell r="AY162" t="str">
            <v>-</v>
          </cell>
          <cell r="AZ162" t="str">
            <v>-</v>
          </cell>
          <cell r="BA162" t="str">
            <v>-</v>
          </cell>
          <cell r="BB162" t="str">
            <v>-</v>
          </cell>
          <cell r="BC162" t="str">
            <v>△</v>
          </cell>
          <cell r="BD162" t="str">
            <v>△</v>
          </cell>
        </row>
        <row r="163">
          <cell r="J163">
            <v>129.61766069361894</v>
          </cell>
          <cell r="K163" t="str">
            <v>MAL7R</v>
          </cell>
          <cell r="L163">
            <v>5.125</v>
          </cell>
          <cell r="M163">
            <v>4.875</v>
          </cell>
          <cell r="O163">
            <v>5.4279999999999999</v>
          </cell>
          <cell r="Q163" t="str">
            <v>※4.875/5.125--ｺﾝﾋﾞﾃﾞｲｽｸ</v>
          </cell>
          <cell r="W163" t="str">
            <v>-</v>
          </cell>
          <cell r="Y163" t="str">
            <v>-</v>
          </cell>
          <cell r="Z163" t="str">
            <v>●</v>
          </cell>
          <cell r="AA163" t="str">
            <v>-</v>
          </cell>
          <cell r="AB163" t="str">
            <v>-</v>
          </cell>
          <cell r="AC163" t="str">
            <v>●</v>
          </cell>
          <cell r="AD163" t="str">
            <v>-</v>
          </cell>
          <cell r="AE163" t="str">
            <v>-</v>
          </cell>
          <cell r="AF163" t="str">
            <v>18.5H</v>
          </cell>
          <cell r="AG163" t="str">
            <v>-</v>
          </cell>
          <cell r="AH163" t="str">
            <v>-</v>
          </cell>
          <cell r="AI163" t="str">
            <v>-</v>
          </cell>
          <cell r="AJ163" t="str">
            <v>-</v>
          </cell>
          <cell r="AK163" t="str">
            <v>18.5H</v>
          </cell>
          <cell r="AL163" t="str">
            <v>-</v>
          </cell>
          <cell r="AM163" t="str">
            <v>-</v>
          </cell>
          <cell r="AN163" t="str">
            <v>-</v>
          </cell>
          <cell r="AO163" t="str">
            <v>●</v>
          </cell>
          <cell r="AP163" t="str">
            <v>-</v>
          </cell>
          <cell r="AQ163" t="str">
            <v>-</v>
          </cell>
          <cell r="AR163" t="str">
            <v>●</v>
          </cell>
          <cell r="AS163" t="str">
            <v>▲</v>
          </cell>
          <cell r="AT163" t="str">
            <v>○</v>
          </cell>
          <cell r="AU163" t="str">
            <v>○</v>
          </cell>
          <cell r="AV163" t="str">
            <v>○</v>
          </cell>
          <cell r="AW163" t="str">
            <v>-</v>
          </cell>
          <cell r="AX163" t="str">
            <v>○</v>
          </cell>
          <cell r="AY163" t="str">
            <v>-</v>
          </cell>
          <cell r="AZ163" t="str">
            <v>-</v>
          </cell>
          <cell r="BA163" t="str">
            <v>-</v>
          </cell>
          <cell r="BB163" t="str">
            <v>-</v>
          </cell>
          <cell r="BC163" t="str">
            <v>-</v>
          </cell>
          <cell r="BD163" t="str">
            <v>△</v>
          </cell>
        </row>
        <row r="164">
          <cell r="J164">
            <v>125.21932759026721</v>
          </cell>
          <cell r="K164" t="str">
            <v>MJD7P</v>
          </cell>
          <cell r="L164">
            <v>4.3330000000000002</v>
          </cell>
          <cell r="M164">
            <v>4.0999999999999996</v>
          </cell>
          <cell r="O164">
            <v>4.5549999999999997</v>
          </cell>
          <cell r="Q164" t="str">
            <v>-</v>
          </cell>
          <cell r="R164" t="str">
            <v>-</v>
          </cell>
          <cell r="S164" t="str">
            <v>-</v>
          </cell>
          <cell r="U164" t="str">
            <v>-</v>
          </cell>
          <cell r="W164" t="str">
            <v>-</v>
          </cell>
          <cell r="Y164" t="str">
            <v>-</v>
          </cell>
          <cell r="Z164" t="str">
            <v>○</v>
          </cell>
          <cell r="AA164" t="str">
            <v>-</v>
          </cell>
          <cell r="AB164" t="str">
            <v>○</v>
          </cell>
          <cell r="AC164" t="str">
            <v>-</v>
          </cell>
          <cell r="AD164" t="str">
            <v>-</v>
          </cell>
          <cell r="AE164" t="str">
            <v>-</v>
          </cell>
          <cell r="AF164" t="str">
            <v>18.5H</v>
          </cell>
          <cell r="AG164" t="str">
            <v>-</v>
          </cell>
          <cell r="AH164" t="str">
            <v>-</v>
          </cell>
          <cell r="AI164" t="str">
            <v>-</v>
          </cell>
          <cell r="AJ164" t="str">
            <v>-</v>
          </cell>
          <cell r="AK164" t="str">
            <v>18.5H</v>
          </cell>
          <cell r="AL164" t="str">
            <v>-</v>
          </cell>
          <cell r="AM164" t="str">
            <v>-</v>
          </cell>
          <cell r="AN164" t="str">
            <v>-</v>
          </cell>
          <cell r="AO164" t="str">
            <v>○</v>
          </cell>
          <cell r="AP164" t="str">
            <v>-</v>
          </cell>
          <cell r="AQ164" t="str">
            <v>-</v>
          </cell>
          <cell r="AR164" t="str">
            <v>○</v>
          </cell>
          <cell r="AS164" t="str">
            <v>▲</v>
          </cell>
          <cell r="AT164" t="str">
            <v>○</v>
          </cell>
          <cell r="AU164" t="str">
            <v>○</v>
          </cell>
          <cell r="AV164" t="str">
            <v>○</v>
          </cell>
          <cell r="AW164" t="str">
            <v>-</v>
          </cell>
          <cell r="AX164" t="str">
            <v>○</v>
          </cell>
          <cell r="AY164" t="str">
            <v>-</v>
          </cell>
          <cell r="AZ164" t="str">
            <v>-</v>
          </cell>
          <cell r="BA164" t="str">
            <v>-</v>
          </cell>
          <cell r="BB164" t="str">
            <v>-</v>
          </cell>
          <cell r="BC164" t="str">
            <v>△</v>
          </cell>
          <cell r="BD164" t="str">
            <v>△</v>
          </cell>
        </row>
        <row r="165">
          <cell r="J165">
            <v>129.61766069361894</v>
          </cell>
          <cell r="K165" t="str">
            <v>MAL7R</v>
          </cell>
          <cell r="L165">
            <v>5.125</v>
          </cell>
          <cell r="M165">
            <v>4.875</v>
          </cell>
          <cell r="O165">
            <v>5.4279999999999999</v>
          </cell>
          <cell r="Q165" t="str">
            <v>※4.875/5.125--ｺﾝﾋﾞﾃﾞｲｽｸ</v>
          </cell>
          <cell r="W165" t="str">
            <v>-</v>
          </cell>
          <cell r="Y165" t="str">
            <v>-</v>
          </cell>
          <cell r="Z165" t="str">
            <v>●</v>
          </cell>
          <cell r="AA165" t="str">
            <v>-</v>
          </cell>
          <cell r="AB165" t="str">
            <v>-</v>
          </cell>
          <cell r="AC165" t="str">
            <v>●</v>
          </cell>
          <cell r="AD165" t="str">
            <v>-</v>
          </cell>
          <cell r="AE165" t="str">
            <v>-</v>
          </cell>
          <cell r="AF165" t="str">
            <v>18.5H</v>
          </cell>
          <cell r="AG165" t="str">
            <v>-</v>
          </cell>
          <cell r="AH165" t="str">
            <v>-</v>
          </cell>
          <cell r="AI165" t="str">
            <v>-</v>
          </cell>
          <cell r="AJ165" t="str">
            <v>-</v>
          </cell>
          <cell r="AK165" t="str">
            <v>18.5H</v>
          </cell>
          <cell r="AL165" t="str">
            <v>-</v>
          </cell>
          <cell r="AM165" t="str">
            <v>-</v>
          </cell>
          <cell r="AN165" t="str">
            <v>-</v>
          </cell>
          <cell r="AO165" t="str">
            <v>●</v>
          </cell>
          <cell r="AP165" t="str">
            <v>-</v>
          </cell>
          <cell r="AQ165" t="str">
            <v>-</v>
          </cell>
          <cell r="AR165" t="str">
            <v>○</v>
          </cell>
          <cell r="AS165" t="str">
            <v>▲</v>
          </cell>
          <cell r="AT165" t="str">
            <v>○</v>
          </cell>
          <cell r="AU165" t="str">
            <v>○</v>
          </cell>
          <cell r="AV165" t="str">
            <v>○</v>
          </cell>
          <cell r="AW165" t="str">
            <v>-</v>
          </cell>
          <cell r="AX165" t="str">
            <v>○</v>
          </cell>
          <cell r="AY165" t="str">
            <v>-</v>
          </cell>
          <cell r="AZ165" t="str">
            <v>-</v>
          </cell>
          <cell r="BA165" t="str">
            <v>-</v>
          </cell>
          <cell r="BB165" t="str">
            <v>-</v>
          </cell>
          <cell r="BC165" t="str">
            <v>-</v>
          </cell>
          <cell r="BD165" t="str">
            <v>△</v>
          </cell>
        </row>
        <row r="166">
          <cell r="J166">
            <v>118.16780877864343</v>
          </cell>
          <cell r="K166" t="str">
            <v>MJD7Q</v>
          </cell>
          <cell r="L166">
            <v>4.8879999999999999</v>
          </cell>
          <cell r="M166">
            <v>4.5549999999999997</v>
          </cell>
          <cell r="O166">
            <v>5.375</v>
          </cell>
          <cell r="Q166" t="str">
            <v>-</v>
          </cell>
          <cell r="R166" t="str">
            <v>-</v>
          </cell>
          <cell r="S166" t="str">
            <v>-</v>
          </cell>
          <cell r="U166" t="str">
            <v>-</v>
          </cell>
          <cell r="W166" t="str">
            <v>-</v>
          </cell>
          <cell r="Y166" t="str">
            <v>-</v>
          </cell>
          <cell r="Z166" t="str">
            <v>-</v>
          </cell>
          <cell r="AA166" t="str">
            <v>●</v>
          </cell>
          <cell r="AB166" t="str">
            <v>●</v>
          </cell>
          <cell r="AC166" t="str">
            <v>-</v>
          </cell>
          <cell r="AD166" t="str">
            <v>-</v>
          </cell>
          <cell r="AE166" t="str">
            <v>-</v>
          </cell>
          <cell r="AF166" t="str">
            <v>19.5H</v>
          </cell>
          <cell r="AG166" t="str">
            <v>-</v>
          </cell>
          <cell r="AH166" t="str">
            <v>-</v>
          </cell>
          <cell r="AI166" t="str">
            <v>-</v>
          </cell>
          <cell r="AJ166" t="str">
            <v>19.5H</v>
          </cell>
          <cell r="AK166" t="str">
            <v>-</v>
          </cell>
          <cell r="AL166" t="str">
            <v>-</v>
          </cell>
          <cell r="AM166" t="str">
            <v>-</v>
          </cell>
          <cell r="AN166" t="str">
            <v>-</v>
          </cell>
          <cell r="AO166" t="str">
            <v>●</v>
          </cell>
          <cell r="AP166" t="str">
            <v>●</v>
          </cell>
          <cell r="AQ166" t="str">
            <v>-</v>
          </cell>
          <cell r="AR166" t="str">
            <v>-</v>
          </cell>
          <cell r="AS166" t="str">
            <v>▲</v>
          </cell>
          <cell r="AT166" t="str">
            <v>○</v>
          </cell>
          <cell r="AU166" t="str">
            <v>○</v>
          </cell>
          <cell r="AV166" t="str">
            <v>○</v>
          </cell>
          <cell r="AW166" t="str">
            <v>-</v>
          </cell>
          <cell r="AX166" t="str">
            <v>●</v>
          </cell>
          <cell r="AY166" t="str">
            <v>-</v>
          </cell>
          <cell r="AZ166" t="str">
            <v>-</v>
          </cell>
          <cell r="BA166" t="str">
            <v>-</v>
          </cell>
          <cell r="BB166" t="str">
            <v>-</v>
          </cell>
          <cell r="BC166" t="str">
            <v>▲</v>
          </cell>
          <cell r="BD166" t="str">
            <v>△</v>
          </cell>
        </row>
        <row r="167">
          <cell r="R167" t="str">
            <v></v>
          </cell>
          <cell r="S167" t="str">
            <v>強力時リターダのみＭＪＤ７を使用</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sheetData sheetId="42"/>
      <sheetData sheetId="43" refreshError="1"/>
      <sheetData sheetId="44"/>
      <sheetData sheetId="45"/>
      <sheetData sheetId="46"/>
      <sheetData sheetId="47"/>
      <sheetData sheetId="48"/>
      <sheetData sheetId="49"/>
      <sheetData sheetId="50"/>
    </sheetDataSet>
  </externalBook>
</externalLink>
</file>

<file path=xl/externalLinks/externalLink4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一覧"/>
      <sheetName val="一覧(RLI - DID)"/>
      <sheetName val="Srv01_02_12"/>
      <sheetName val="Srv06"/>
      <sheetName val="Srv09"/>
      <sheetName val="Srv21(RLI割付)"/>
      <sheetName val="Srv21(RLI$00)_Value"/>
      <sheetName val="Srv21(RLI$00)_Bit"/>
      <sheetName val="Srv21(RLI$25_40)"/>
      <sheetName val="Srv21(RLI$27)"/>
      <sheetName val="Srv21(RLI$28)"/>
      <sheetName val="Srv21(RLI$2B)"/>
      <sheetName val="Srv21(RLI$30)_Value"/>
      <sheetName val="Srv21(RLI$30)_Bit"/>
      <sheetName val="Srv21(RLI$32)"/>
      <sheetName val="Srv21(RLI$34)"/>
      <sheetName val="Srv21(RLI$35)"/>
      <sheetName val="Srv21(RLI$36)"/>
      <sheetName val="Srv21(RLI$3A)"/>
      <sheetName val="Srv21(RLI$3C)"/>
      <sheetName val="Srv21(RLI$3D)"/>
      <sheetName val="一覧(SRV$30 - IOLI)"/>
      <sheetName val="Srv30"/>
      <sheetName val="Srv30 (ビットレイアウト一覧表)"/>
    </sheetNames>
    <sheetDataSet>
      <sheetData sheetId="0">
        <row r="43">
          <cell r="AB43" t="str">
            <v>YL7</v>
          </cell>
          <cell r="AC43" t="str">
            <v>YL7</v>
          </cell>
          <cell r="AD43" t="str">
            <v>YL7</v>
          </cell>
          <cell r="AL43" t="str">
            <v/>
          </cell>
          <cell r="AM43" t="str">
            <v/>
          </cell>
        </row>
        <row r="44">
          <cell r="AB44" t="str">
            <v>K10B</v>
          </cell>
          <cell r="AC44" t="str">
            <v>K10B</v>
          </cell>
          <cell r="AD44" t="str">
            <v>K10B</v>
          </cell>
          <cell r="AL44" t="str">
            <v/>
          </cell>
          <cell r="AM44" t="str">
            <v/>
          </cell>
        </row>
        <row r="45">
          <cell r="AB45" t="str">
            <v>5MT</v>
          </cell>
          <cell r="AC45" t="str">
            <v>AMT</v>
          </cell>
          <cell r="AD45" t="str">
            <v>5MT</v>
          </cell>
          <cell r="AL45" t="str">
            <v/>
          </cell>
          <cell r="AM45" t="str">
            <v/>
          </cell>
        </row>
        <row r="46">
          <cell r="AB46" t="str">
            <v>IND</v>
          </cell>
          <cell r="AC46" t="str">
            <v>IND</v>
          </cell>
          <cell r="AD46" t="str">
            <v>IND</v>
          </cell>
        </row>
        <row r="47">
          <cell r="AD47" t="str">
            <v>CNG</v>
          </cell>
          <cell r="AF47" t="str">
            <v/>
          </cell>
          <cell r="AG47" t="str">
            <v/>
          </cell>
          <cell r="AH47" t="str">
            <v/>
          </cell>
          <cell r="AI47" t="str">
            <v/>
          </cell>
          <cell r="AJ47" t="str">
            <v/>
          </cell>
          <cell r="AK47" t="str">
            <v/>
          </cell>
          <cell r="AL47" t="str">
            <v/>
          </cell>
          <cell r="AM47" t="str">
            <v/>
          </cell>
        </row>
      </sheetData>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Set>
  </externalBook>
</externalLink>
</file>

<file path=xl/externalLinks/externalLink5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it assign"/>
      <sheetName val="通信仕様"/>
      <sheetName val="Bit assign (元ﾃﾞｰﾀ)"/>
    </sheetNames>
    <sheetDataSet>
      <sheetData sheetId="0"/>
      <sheetData sheetId="1" refreshError="1"/>
      <sheetData sheetId="2" refreshError="1"/>
    </sheetDataSet>
  </externalBook>
</externalLink>
</file>

<file path=xl/externalLinks/externalLink5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NG油洩れ"/>
      <sheetName val="96期(川崎)"/>
      <sheetName val="集計条件"/>
      <sheetName val="第1期投資実績"/>
      <sheetName val="02MY投資実績"/>
      <sheetName val="150K-1投資"/>
      <sheetName val="150K-2投資"/>
      <sheetName val="96_97研究費_全体"/>
      <sheetName val="第1期"/>
      <sheetName val="02MY"/>
      <sheetName val="150K-1"/>
      <sheetName val="150K-2"/>
      <sheetName val="180K投資"/>
      <sheetName val="LR・LTｸﾚｰﾑ分析"/>
      <sheetName val="ＴＦ関連Ｐｒｊ日程表"/>
      <sheetName val="出荷計画"/>
      <sheetName val="ITEM"/>
      <sheetName val="MPL 技連"/>
      <sheetName val="342E BLOCK"/>
      <sheetName val="00年9月"/>
      <sheetName val="本船スケジュール"/>
      <sheetName val="見本２"/>
      <sheetName val="コード表"/>
      <sheetName val="MPL_技連"/>
      <sheetName val="342E_BLOCK"/>
      <sheetName val="Defects"/>
      <sheetName val="資本ｺｽﾄ"/>
      <sheetName val="SPEC LIST"/>
      <sheetName val="24204"/>
      <sheetName val="Unit Price"/>
      <sheetName val="生産台数内訳"/>
      <sheetName val="クライテリア"/>
      <sheetName val="資料_700部品点数設定"/>
      <sheetName val="ISO_250"/>
      <sheetName val="NC-3 dAY"/>
      <sheetName val="原単位"/>
      <sheetName val="Production Database 399"/>
      <sheetName val="成形場所"/>
      <sheetName val="ｴｱﾃﾞｨｽｸ"/>
      <sheetName val="Ref"/>
      <sheetName val="シャープアイ実績"/>
      <sheetName val="マスター"/>
      <sheetName val="BELT検討"/>
      <sheetName val="推移用データ"/>
      <sheetName val="対策集計結果"/>
      <sheetName val="社暦"/>
      <sheetName val="total change&amp;add"/>
      <sheetName val="HärQ"/>
      <sheetName val="工数比較２"/>
      <sheetName val="2TUP"/>
      <sheetName val="#REF"/>
      <sheetName val="BP volume (2)"/>
      <sheetName val="BP volume"/>
      <sheetName val="RT50実績(11FY)"/>
      <sheetName val="RT50実績・予測-120620"/>
      <sheetName val="20kb CR"/>
      <sheetName val="RT50実績・予測"/>
      <sheetName val="summary (BP ISZJ Mar'12)"/>
      <sheetName val="R＆遡及-120620"/>
      <sheetName val="選酋表"/>
      <sheetName val="PnL_BUD06"/>
      <sheetName val="PnL_2006 LE"/>
      <sheetName val="FixedAsset05&amp;06"/>
      <sheetName val="Cover"/>
      <sheetName val="Master Route"/>
      <sheetName val="DATA"/>
      <sheetName val="Sheet1"/>
      <sheetName val="Sheet2"/>
      <sheetName val="Sheet3"/>
      <sheetName val="各部寸検結果"/>
      <sheetName val="A"/>
      <sheetName val="00-1"/>
      <sheetName val="Sheet1 (2)"/>
      <sheetName val="FUKUMI"/>
      <sheetName val="(原単位)"/>
      <sheetName val="[LR・LTｸﾚｰﾑ分析.xls塅䕃⹌塅Et1 (2)"/>
      <sheetName val="日付"/>
      <sheetName val="基本情報ｄｂ"/>
      <sheetName val="財務諸表"/>
      <sheetName val="Sheet1_(2)"/>
      <sheetName val="Unit_Price"/>
      <sheetName val="名簿データ"/>
      <sheetName val="Table"/>
      <sheetName val="calculate"/>
      <sheetName val="日程表 3X"/>
      <sheetName val="複合-日計算"/>
      <sheetName val="SW評価項目"/>
      <sheetName val="計算結果"/>
      <sheetName val="DATA計"/>
      <sheetName val="List"/>
      <sheetName val="Page 3 (Samrong UA)"/>
      <sheetName val="Page 4 (Gateway-TF)"/>
      <sheetName val="P.1"/>
      <sheetName val="Snp"/>
      <sheetName val="1-A､B"/>
      <sheetName val="200P SHEET"/>
      <sheetName val="OD"/>
      <sheetName val="Table Master"/>
      <sheetName val="ﾏｸﾛ説明"/>
      <sheetName val="実績推移"/>
      <sheetName val="พงศ์พร"/>
      <sheetName val="SCH"/>
      <sheetName val="ﾊﾟｲﾌﾟ"/>
      <sheetName val="他材料費"/>
      <sheetName val="冷延鋼板"/>
      <sheetName val="熱延鋼板"/>
      <sheetName val="_LR・LTｸﾚｰﾑ分析.xls塅䕃⹌塅Et1 (2)"/>
      <sheetName val="MOD"/>
      <sheetName val="rate"/>
      <sheetName val="入力シート"/>
      <sheetName val="6SWRF_W"/>
      <sheetName val="日程"/>
      <sheetName val="ＦＴＲ連結採算"/>
      <sheetName val="96・(・・)"/>
      <sheetName val="350CXZCO"/>
      <sheetName val="進め方"/>
      <sheetName val="ヘッダ"/>
      <sheetName val="台帳集計"/>
      <sheetName val="条件表"/>
      <sheetName val="社内検査データ"/>
      <sheetName val="量産準備実施依頼書"/>
      <sheetName val="ワークシート関数の使用例"/>
      <sheetName val="342A Block"/>
      <sheetName val="方策系入力表"/>
      <sheetName val="Sheet1_(2)1"/>
      <sheetName val="Unit_Price1"/>
      <sheetName val="[LR・LTｸﾚｰﾑ分析_xls塅䕃⹌塅Et1_(2)"/>
      <sheetName val="Production_Database_399"/>
      <sheetName val="_LR・LTｸﾚｰﾑ分析_xls塅䕃⹌塅Et1_(2)"/>
      <sheetName val="職種別原価"/>
      <sheetName val="入力表"/>
      <sheetName val="TB3川崎"/>
      <sheetName val="ASM#1-Eff"/>
      <sheetName val="一覧と近似式"/>
      <sheetName val="業務計画"/>
      <sheetName val="仕上１"/>
      <sheetName val="車両寸法"/>
      <sheetName val="灯火器寸法"/>
      <sheetName val="133NPR55 69 EC"/>
      <sheetName val="Distance Master"/>
      <sheetName val="Driver Master"/>
      <sheetName val="Truck Master"/>
      <sheetName val="Allowance Master"/>
      <sheetName val="結果"/>
      <sheetName val="NEW003"/>
      <sheetName val="Car Input"/>
      <sheetName val="Summary"/>
      <sheetName val="1-E"/>
      <sheetName val="150K_1投資"/>
      <sheetName val="150K_2投資"/>
      <sheetName val="〈参考〉_P.7_シフトINディテント力"/>
      <sheetName val="TM"/>
      <sheetName val="材質検査（N増し書換済）"/>
      <sheetName val="ﾌﾟﾙﾀﾞｳﾝﾒﾆｭｰ用ｺｰﾄﾞ表"/>
      <sheetName val="進捗確認"/>
      <sheetName val="FB sepa S2"/>
      <sheetName val="R&amp;D"/>
      <sheetName val="基準"/>
      <sheetName val="11月"/>
      <sheetName val="新規00上ｸﾞﾗﾌ"/>
      <sheetName val="会社概況(国内)"/>
      <sheetName val="見積依頼書(海外)"/>
      <sheetName val="TT (13)"/>
      <sheetName val="AS-A"/>
      <sheetName val="SR-AU(N)"/>
      <sheetName val="SR-AU"/>
      <sheetName val="EF"/>
      <sheetName val="初期値"/>
      <sheetName val="Ass'y-A (Day)"/>
      <sheetName val="予算推移"/>
      <sheetName val="駆動系1"/>
      <sheetName val="_B007"/>
      <sheetName val="346Proj日程991124"/>
      <sheetName val="part list ext crew"/>
      <sheetName val="Years_Input"/>
      <sheetName val="制動力線計算入力"/>
      <sheetName val="A2 990"/>
      <sheetName val="A-K研車型"/>
      <sheetName val="ﾏﾙC改造投資詳細"/>
      <sheetName val="金額"/>
      <sheetName val="DB"/>
      <sheetName val="SMALL"/>
      <sheetName val="A010"/>
      <sheetName val="#20号車排ガス"/>
      <sheetName val="DOM-競合車SPEC"/>
      <sheetName val="SUM"/>
      <sheetName val="G Van - Price Build up"/>
      <sheetName val="Injection Foam (4)"/>
      <sheetName val="MENU"/>
      <sheetName val="PL"/>
      <sheetName val="EPW 0630"/>
      <sheetName val="input"/>
      <sheetName val="ﾃﾞｰﾀ"/>
      <sheetName val="WJ素材費"/>
      <sheetName val="190BODY EMATRIX"/>
      <sheetName val="分類"/>
      <sheetName val="駆動力（入力シート）"/>
      <sheetName val="700vol"/>
      <sheetName val="出荷車型"/>
      <sheetName val="TIRE読み替え表"/>
      <sheetName val="Annual Production"/>
      <sheetName val="価格一覧"/>
      <sheetName val="030718"/>
      <sheetName val="MPL_技連1"/>
      <sheetName val="342E_BLOCK1"/>
      <sheetName val="SPEC_LIST"/>
      <sheetName val="Unit_Price2"/>
      <sheetName val="NC-3_dAY"/>
      <sheetName val="Production_Database_3991"/>
      <sheetName val="total_change&amp;add"/>
      <sheetName val="BP_volume_(2)"/>
      <sheetName val="BP_volume"/>
      <sheetName val="20kb_CR"/>
      <sheetName val="summary_(BP_ISZJ_Mar'12)"/>
      <sheetName val="PnL_2006_LE"/>
      <sheetName val="Master_Route"/>
      <sheetName val="Sheet1_(2)2"/>
      <sheetName val="[LR・LTｸﾚｰﾑ分析_xls塅䕃⹌塅Et1_(2)1"/>
      <sheetName val="日程表_3X"/>
      <sheetName val="Page_3_(Samrong_UA)"/>
      <sheetName val="Page_4_(Gateway-TF)"/>
      <sheetName val="P_1"/>
      <sheetName val="200P_SHEET"/>
      <sheetName val="Table_Master"/>
      <sheetName val="_LR・LTｸﾚｰﾑ分析_xls塅䕃⹌塅Et1_(2)1"/>
      <sheetName val="342A_Block"/>
      <sheetName val="133NPR55_69_EC"/>
      <sheetName val="Distance_Master"/>
      <sheetName val="Driver_Master"/>
      <sheetName val="Truck_Master"/>
      <sheetName val="Allowance_Master"/>
      <sheetName val="Car_Input"/>
      <sheetName val="〈参考〉_P_7_シフトINディテント力"/>
      <sheetName val="FB_sepa_S2"/>
      <sheetName val="TT_(13)"/>
      <sheetName val="Ass'y-A_(Day)"/>
      <sheetName val="part_list_ext_crew"/>
      <sheetName val="A2_990"/>
      <sheetName val="G_Van_-_Price_Build_up"/>
      <sheetName val="Injection_Foam_(4)"/>
      <sheetName val="EPW_0630"/>
      <sheetName val="市販品"/>
      <sheetName val="特注品"/>
      <sheetName val="ﾍﾞﾝﾁ"/>
      <sheetName val="グループDB"/>
      <sheetName val="洩れ"/>
      <sheetName val="耐久進捗data"/>
      <sheetName val="MOTO"/>
      <sheetName val="Annual Sales"/>
      <sheetName val="実車評価ＥＤ"/>
      <sheetName val="②-6菅原B第2解析パレート図"/>
      <sheetName val="車会集約"/>
      <sheetName val="クエリ2"/>
      <sheetName val="星取り"/>
      <sheetName val="変更項目・評価内容"/>
      <sheetName val="テーブル"/>
      <sheetName val="WG_00"/>
      <sheetName val="2000_ALL"/>
      <sheetName val="SUS_00"/>
      <sheetName val="Pick up"/>
      <sheetName val="Result"/>
      <sheetName val="2005"/>
      <sheetName val="プロジェクトステータス　4J(ELF)"/>
      <sheetName val="T"/>
      <sheetName val="全社"/>
      <sheetName val="CRITERIA1"/>
      <sheetName val="PPA -  โรงงาน JIG"/>
      <sheetName val="ヘム型タイプ標準計画金額表"/>
      <sheetName val="取引先格付"/>
      <sheetName val="_CONFIG-2"/>
      <sheetName val="PROD-TF"/>
      <sheetName val="Input-B2006wk"/>
      <sheetName val="Index"/>
      <sheetName val="1. Prod. (BG  TG   AC) 2016"/>
      <sheetName val="Compare Budget &amp; Actual Order"/>
      <sheetName val="The Rule"/>
      <sheetName val="ﾟ発表No 1"/>
      <sheetName val="市場品質状況レポート"/>
      <sheetName val="HX121-T"/>
      <sheetName val="新コード"/>
      <sheetName val="ｺｰﾄﾞ表"/>
      <sheetName val="R GRILLE"/>
      <sheetName val="ラミナー計算"/>
      <sheetName val="課題実施計画書"/>
      <sheetName val="NK仕様21"/>
      <sheetName val="データシート(定地) (2)"/>
      <sheetName val="2-A､B 3-A"/>
      <sheetName val="C3_N DC改造投資"/>
      <sheetName val="6W"/>
      <sheetName val="ap 17"/>
      <sheetName val="Data-Qｽｲｰﾌﾟ"/>
      <sheetName val="Data-NEｽｲｰﾌﾟ"/>
      <sheetName val="Data-ΔQ"/>
      <sheetName val="Data-ΔNE(50)"/>
      <sheetName val=" FE 0919Cal TP3"/>
      <sheetName val="燃費3"/>
      <sheetName val="機能リスト"/>
      <sheetName val="Wvð"/>
      <sheetName val="NCeA"/>
      <sheetName val="LAY-OUT "/>
      <sheetName val="表示"/>
      <sheetName val="商品明細(KD)"/>
      <sheetName val="品質保証責任者届"/>
      <sheetName val="【資料】730改造投資"/>
      <sheetName val="計画"/>
      <sheetName val="ES01 トルクカーブ 20121115"/>
      <sheetName val="LCV"/>
      <sheetName val="RS"/>
      <sheetName val="Welding #2"/>
      <sheetName val="Cap. Injection "/>
      <sheetName val="RR"/>
      <sheetName val="3.Idea.Sewing "/>
      <sheetName val="Average"/>
      <sheetName val="ｼｬｼ"/>
      <sheetName val="DATA_MANUAL"/>
      <sheetName val="Pick_up"/>
      <sheetName val="1__Prod__(BG__TG___AC)_2016"/>
      <sheetName val="Compare_Budget_&amp;_Actual_Order"/>
      <sheetName val="SHOT-A(N)"/>
      <sheetName val="板厚-ｺｲﾙ巾"/>
      <sheetName val="マスタ"/>
      <sheetName val="W-15F"/>
      <sheetName val="A000"/>
      <sheetName val="AxleShft"/>
      <sheetName val="Brake"/>
      <sheetName val="Clutch"/>
      <sheetName val="result_data"/>
      <sheetName val="グラフ_距離"/>
      <sheetName val="Final"/>
      <sheetName val="Hoki"/>
      <sheetName val="mode"/>
      <sheetName val="その他"/>
      <sheetName val="Prop"/>
      <sheetName val="Tire"/>
      <sheetName val="単位"/>
      <sheetName val="表示リスト（変更禁止）"/>
      <sheetName val="名簿ﾃﾞｰﾀ"/>
      <sheetName val="00年９末"/>
      <sheetName val="出図表"/>
      <sheetName val="データ"/>
      <sheetName val="Side &amp; Pole"/>
      <sheetName val="生産性評価集計用クエリ"/>
      <sheetName val="BAAC集計"/>
      <sheetName val="LIST1"/>
      <sheetName val="Datasheet"/>
      <sheetName val="調査依頼"/>
      <sheetName val="1"/>
      <sheetName val="P3"/>
      <sheetName val="評価ﾏﾄﾘｸｽ"/>
      <sheetName val="米国輸入ソース推移"/>
      <sheetName val="27.進捗管理"/>
      <sheetName val="座面面圧計算表の使用方法"/>
      <sheetName val="Control fml"/>
      <sheetName val="重量表コピー"/>
      <sheetName val="案"/>
      <sheetName val="10"/>
      <sheetName val="運用CT_クエリ_クエリ"/>
      <sheetName val="DATA NILAI TEST BATCH 1"/>
      <sheetName val="RWP 33"/>
      <sheetName val="G&amp;A"/>
      <sheetName val="114W2次設変部品確認（組立） (3)"/>
      <sheetName val="見積依頼書(日文)"/>
      <sheetName val="03年全部"/>
      <sheetName val="#REF!"/>
      <sheetName val="受入新仕入先"/>
      <sheetName val="U00"/>
      <sheetName val="COMMON 2"/>
      <sheetName val="選択肢"/>
      <sheetName val="課題一覧"/>
      <sheetName val="Draft Vehicle Format"/>
      <sheetName val="ﾊﾞﾗﾝｻｰcal"/>
      <sheetName val="ｺﾝﾛｯﾄﾞcal"/>
      <sheetName val="ｸﾗﾝｸｹｰｽcal"/>
      <sheetName val="#ofclose"/>
      <sheetName val="Type I"/>
      <sheetName val="F4301"/>
      <sheetName val="試験依頼管理表"/>
      <sheetName val="(sys)"/>
      <sheetName val="ディクショナリ"/>
      <sheetName val="テーブル一覧"/>
      <sheetName val="NCAB"/>
      <sheetName val="実績台帳_クエリ"/>
      <sheetName val="ﾘｽﾄ"/>
      <sheetName val="GRAFIK CYB 270"/>
      <sheetName val="投資ﾘｽﾄ"/>
      <sheetName val="項目定義"/>
      <sheetName val="เดือน ธ.ค.61    (2)"/>
      <sheetName val="H””ärQ"/>
      <sheetName val="MPL_技連2"/>
      <sheetName val="342E_BLOCK2"/>
      <sheetName val="SPEC_LIST1"/>
      <sheetName val="Unit_Price3"/>
      <sheetName val="NC-3_dAY1"/>
      <sheetName val="Production_Database_3992"/>
      <sheetName val="total_change&amp;add1"/>
      <sheetName val="BP_volume_(2)1"/>
      <sheetName val="BP_volume1"/>
      <sheetName val="20kb_CR1"/>
      <sheetName val="summary_(BP_ISZJ_Mar'12)1"/>
      <sheetName val="PnL_2006_LE1"/>
      <sheetName val="Master_Route1"/>
      <sheetName val="Sheet1_(2)3"/>
      <sheetName val="[LR・LTｸﾚｰﾑ分析_xls塅䕃⹌塅Et1_(2)2"/>
      <sheetName val="日程表_3X1"/>
      <sheetName val="Page_3_(Samrong_UA)1"/>
      <sheetName val="Page_4_(Gateway-TF)1"/>
      <sheetName val="P_11"/>
      <sheetName val="200P_SHEET1"/>
      <sheetName val="Table_Master1"/>
      <sheetName val="_LR・LTｸﾚｰﾑ分析_xls塅䕃⹌塅Et1_(2)2"/>
      <sheetName val="342A_Block1"/>
      <sheetName val="133NPR55_69_EC1"/>
      <sheetName val="Distance_Master1"/>
      <sheetName val="Driver_Master1"/>
      <sheetName val="Truck_Master1"/>
      <sheetName val="Allowance_Master1"/>
      <sheetName val="Car_Input1"/>
      <sheetName val="〈参考〉_P_7_シフトINディテント力1"/>
      <sheetName val="FB_sepa_S21"/>
      <sheetName val="TT_(13)1"/>
      <sheetName val="Ass'y-A_(Day)1"/>
      <sheetName val="part_list_ext_crew1"/>
      <sheetName val="A2_9901"/>
      <sheetName val="G_Van_-_Price_Build_up1"/>
      <sheetName val="Injection_Foam_(4)1"/>
      <sheetName val="EPW_06301"/>
      <sheetName val="190BODY_EMATRIX"/>
      <sheetName val="Annual_Production"/>
      <sheetName val="Pick_up1"/>
      <sheetName val="Annual_Sales"/>
      <sheetName val="PPA_-__โรงงาน_JIG"/>
      <sheetName val="1__Prod__(BG__TG___AC)_20161"/>
      <sheetName val="Compare_Budget_&amp;_Actual_Order1"/>
      <sheetName val="The_Rule"/>
      <sheetName val="ﾟ発表No_1"/>
      <sheetName val="R_GRILLE"/>
      <sheetName val="データシート(定地)_(2)"/>
      <sheetName val="2-A､B_3-A"/>
      <sheetName val="C3_N_DC改造投資"/>
      <sheetName val="ap_17"/>
      <sheetName val="_FE_0919Cal_TP3"/>
      <sheetName val="LAY-OUT_"/>
      <sheetName val="ES01_トルクカーブ_20121115"/>
      <sheetName val="Welding_#2"/>
      <sheetName val="Cap__Injection_"/>
      <sheetName val="3_Idea_Sewing_"/>
      <sheetName val="Side_&amp;_Pole"/>
      <sheetName val="27_進捗管理"/>
      <sheetName val="Control_fml"/>
      <sheetName val="RWP_33"/>
      <sheetName val="DATA_NILAI_TEST_BATCH_1"/>
      <sheetName val="114W2次設変部品確認（組立）_(3)"/>
      <sheetName val="COMMON_2"/>
      <sheetName val="Draft_Vehicle_Format"/>
      <sheetName val="Type_I"/>
      <sheetName val="ocean voyage"/>
      <sheetName val="11.CPU単価"/>
      <sheetName val="08.P772報告書030530"/>
      <sheetName val="99"/>
      <sheetName val="集計用"/>
      <sheetName val="90_2"/>
      <sheetName val="101"/>
      <sheetName val="19"/>
      <sheetName val="57F"/>
      <sheetName val="諸元まとめ"/>
      <sheetName val="TRY進捗"/>
      <sheetName val=" CV ALL"/>
      <sheetName val="総合B"/>
      <sheetName val="TF ; C-19"/>
      <sheetName val="Time study"/>
      <sheetName val="96期_川崎_"/>
      <sheetName val="DIEZEL動弁相場"/>
      <sheetName val="05-2"/>
      <sheetName val="連結新規"/>
      <sheetName val="日報"/>
      <sheetName val="Schedule(detail)"/>
      <sheetName val="マン停"/>
      <sheetName val="1-C,D"/>
      <sheetName val="朱書き（業種）"/>
      <sheetName val="FUEL FILLER"/>
      <sheetName val="Tbom-tot"/>
      <sheetName val="업체명"/>
      <sheetName val="ORIGIN"/>
      <sheetName val="계산program"/>
      <sheetName val="Instructions"/>
      <sheetName val="FUEL_FILLER"/>
      <sheetName val="Data Validation"/>
      <sheetName val="実績原価"/>
      <sheetName val="Main Model"/>
      <sheetName val="_MISSION"/>
      <sheetName val="16,7"/>
      <sheetName val="F混流"/>
      <sheetName val="HOLE-UNIT TEMP"/>
      <sheetName val="05-3"/>
      <sheetName val="グラフ"/>
      <sheetName val="非稼働集計"/>
      <sheetName val="ｺｰﾄﾞ"/>
      <sheetName val="償却率"/>
      <sheetName val="ﾄﾞﾛｯﾌﾟﾀﾞｳﾝLIST"/>
      <sheetName val=""/>
      <sheetName val="TABLE(LINE CODE)"/>
      <sheetName val="n_EngineShift"/>
      <sheetName val="1771"/>
      <sheetName val="1771.2"/>
      <sheetName val="生涯利益計画ｼｰﾄ"/>
      <sheetName val="H””äŠr‚Q"/>
      <sheetName val="MAKER LIST &amp; Rate Change"/>
      <sheetName val="メーカー検索"/>
      <sheetName val="MPL_技連3"/>
      <sheetName val="342E_BLOCK3"/>
      <sheetName val="SPEC_LIST2"/>
      <sheetName val="Unit_Price4"/>
      <sheetName val="NC-3_dAY2"/>
      <sheetName val="Production_Database_3993"/>
      <sheetName val="total_change&amp;add2"/>
      <sheetName val="BP_volume_(2)2"/>
      <sheetName val="BP_volume2"/>
      <sheetName val="20kb_CR2"/>
      <sheetName val="summary_(BP_ISZJ_Mar'12)2"/>
      <sheetName val="PnL_2006_LE2"/>
      <sheetName val="Master_Route2"/>
      <sheetName val="Sheet1_(2)4"/>
      <sheetName val="[LR・LTｸﾚｰﾑ分析_xls塅䕃⹌塅Et1_(2)3"/>
      <sheetName val="日程表_3X2"/>
      <sheetName val="Page_3_(Samrong_UA)2"/>
      <sheetName val="Page_4_(Gateway-TF)2"/>
      <sheetName val="P_12"/>
      <sheetName val="200P_SHEET2"/>
      <sheetName val="Table_Master2"/>
      <sheetName val="_LR・LTｸﾚｰﾑ分析_xls塅䕃⹌塅Et1_(2)3"/>
      <sheetName val="342A_Block2"/>
      <sheetName val="133NPR55_69_EC2"/>
      <sheetName val="Distance_Master2"/>
      <sheetName val="Driver_Master2"/>
      <sheetName val="Truck_Master2"/>
      <sheetName val="Allowance_Master2"/>
      <sheetName val="Car_Input2"/>
      <sheetName val="〈参考〉_P_7_シフトINディテント力2"/>
      <sheetName val="FB_sepa_S22"/>
      <sheetName val="TT_(13)2"/>
      <sheetName val="Ass'y-A_(Day)2"/>
      <sheetName val="part_list_ext_crew2"/>
      <sheetName val="A2_9902"/>
      <sheetName val="G_Van_-_Price_Build_up2"/>
      <sheetName val="Injection_Foam_(4)2"/>
      <sheetName val="EPW_06302"/>
      <sheetName val="190BODY_EMATRIX1"/>
      <sheetName val="Annual_Production1"/>
      <sheetName val="Pick_up2"/>
      <sheetName val="Annual_Sales1"/>
      <sheetName val="PPA_-__โรงงาน_JIG1"/>
      <sheetName val="1__Prod__(BG__TG___AC)_20162"/>
      <sheetName val="Compare_Budget_&amp;_Actual_Order2"/>
      <sheetName val="The_Rule1"/>
      <sheetName val="ﾟ発表No_11"/>
      <sheetName val="R_GRILLE1"/>
      <sheetName val="データシート(定地)_(2)1"/>
      <sheetName val="2-A､B_3-A1"/>
      <sheetName val="C3_N_DC改造投資1"/>
      <sheetName val="ap_171"/>
      <sheetName val="_FE_0919Cal_TP31"/>
      <sheetName val="LAY-OUT_1"/>
      <sheetName val="ES01_トルクカーブ_201211151"/>
      <sheetName val="Welding_#21"/>
      <sheetName val="Cap__Injection_1"/>
      <sheetName val="3_Idea_Sewing_1"/>
      <sheetName val="Side_&amp;_Pole1"/>
      <sheetName val="27_進捗管理1"/>
      <sheetName val="Control_fml1"/>
      <sheetName val="RWP_331"/>
      <sheetName val="DATA_NILAI_TEST_BATCH_11"/>
      <sheetName val="114W2次設変部品確認（組立）_(3)1"/>
      <sheetName val="COMMON_21"/>
      <sheetName val="Draft_Vehicle_Format1"/>
      <sheetName val="Type_I1"/>
      <sheetName val="ocean_voyage"/>
      <sheetName val="11_CPU単価"/>
      <sheetName val="08_P772報告書030530"/>
      <sheetName val="_CV_ALL"/>
      <sheetName val="TF_;_C-19"/>
      <sheetName val="Time_study"/>
      <sheetName val="FUEL_FILLER1"/>
      <sheetName val="Data_Validation"/>
      <sheetName val="Main_Model"/>
      <sheetName val="HOLE-UNIT_TEMP"/>
      <sheetName val="TABLE(LINE_CODE)"/>
      <sheetName val="1771_2"/>
      <sheetName val="MAKER_LIST_&amp;_Rate_Change"/>
      <sheetName val="Summary Plant"/>
      <sheetName val="工程表"/>
      <sheetName val="4.กราฟ  จ้างเหมา61-62"/>
      <sheetName val="SUM TYCT1ST#040(สีโซลิค)"/>
      <sheetName val="SUM TYCT1ST#1D6(สีเมทาลิค"/>
      <sheetName val="DATA BASE D-CAB(ห้ามลบ)"/>
      <sheetName val="PRESS LINE TYCT1ST"/>
      <sheetName val="Welding SMM2.PRESS TYCT1ST"/>
      <sheetName val="Welding SR TYCT1ST"/>
      <sheetName val="Paint Line TYCT1#040(SOLID)"/>
      <sheetName val="Paint Line TYCT1#1D6(เมทาลิค)"/>
      <sheetName val="ASSEMBLY TYCT1ST สีชา"/>
      <sheetName val="Packing TYCT1ST"/>
      <sheetName val="+PALLET Packing C-CAB TYCT1ST"/>
      <sheetName val="ข้อมูลต้นฉบันธวัตร์TYCV5"/>
      <sheetName val="ธวัตร์-Welding SMM2.56"/>
      <sheetName val="SUM TYCT1+PALLET(สีโซลิค)"/>
      <sheetName val="SUM TYCT1+PALLET(สีเมทาลิค"/>
      <sheetName val="SUM TYCT1+กล่องกระดาษ(สีโซลิค)"/>
      <sheetName val="SUM TYCT1+กล่องกระดาษ(สีเมทาลิค"/>
      <sheetName val="+PALLET Packing C-CAB TYCT1"/>
      <sheetName val="ABC COST TYCT1ST-040,1CO PACK S"/>
      <sheetName val="Net Sales (Monthly) Projection"/>
      <sheetName val="日デ建設特装"/>
      <sheetName val="TTO2-B43#FCPA"/>
      <sheetName val="社員マスター"/>
      <sheetName val="toyota"/>
      <sheetName val="CRITERIA2"/>
      <sheetName val="กราฟ % on time ของปัญหา"/>
      <sheetName val="เปิดโครงการ ท-ส V2 TOYOTA640A"/>
      <sheetName val="จม.เสนอDIE+INS SIDE OTR V2"/>
      <sheetName val="จม.feasDIE BASE ROOF V2 IMV640A"/>
      <sheetName val="แนบ1 V2 TOYOTA IMV640A(2015)"/>
      <sheetName val="V2 TOYOTA 640A CAB,D-C 17-03-15"/>
      <sheetName val="แนบ 2 V2_9-3-15จากDIE DESIGN"/>
      <sheetName val="แนบ2 V1-7-3-15จากDIE DESIGN"/>
      <sheetName val="แนบ3 BEP V2 T.IMV640A(14.06ลบ.)"/>
      <sheetName val="INTEREST RATE(7%)"/>
      <sheetName val="V0_27-2-15จากDIE DESIGN"/>
      <sheetName val="แนบ4 SUM IMV640A V2 DC(ในปท+1CO"/>
      <sheetName val="แนบ5 SUM IMV640A V2 CC(ในปท+1CO"/>
      <sheetName val="แนบ6 SUM IMV640A V2 DC(EDP+1CO)"/>
      <sheetName val="แนบ7 SUM IMV640A V2 CC(EDP+1CO"/>
      <sheetName val="DIE COST V2 TOYOTA"/>
      <sheetName val="A.J.COST V2 TOYOTA"/>
      <sheetName val="TRIM COST V2 TOYOTA"/>
      <sheetName val="แนบ10 Press Line(D-CAB)"/>
      <sheetName val="แนบ11 Welding Line PRESS(D-CAB)"/>
      <sheetName val="แนบ12 Welding Line SR D-CAB"/>
      <sheetName val="แนบ13 Painting D-CAB(NO EDP+1CO"/>
      <sheetName val="แนบ14 Painting Line D-C(EDP+1CO"/>
      <sheetName val="แนบ15 Ass'y Line D-CAB(glass sl"/>
      <sheetName val="แนบ16 Packing Line(D-C)domestic"/>
      <sheetName val="แนบ17 Packing Line(D-C)export"/>
      <sheetName val="แนบ18 Press Line(C-CAB)"/>
      <sheetName val="แนบ19 Welding Line PRESS(C-CAB)"/>
      <sheetName val="แนบ20 Welding Line SR(C-CAB)"/>
      <sheetName val="แนบ21 Painting C-CAB(NO EDP+1CO"/>
      <sheetName val="แนบ22 Painting C-CAB(EDP+1CO)"/>
      <sheetName val="แนบ23 Ass'y Line C-CAB(glass sl"/>
      <sheetName val="แนบ24 Packing Line(C-C)domestic"/>
      <sheetName val="แนบ25 Packing Line(C-C)export"/>
      <sheetName val="DATA BASE C-CABห้ามลบ"/>
      <sheetName val="TRIM PART แยกกลุ่มย่อย"/>
      <sheetName val="DRY VAN. ปะหน้า QA.SMT-2ตั้ม"/>
      <sheetName val="0409"/>
      <sheetName val="Bracket 0M011,13"/>
      <sheetName val="購買担当"/>
      <sheetName val="LeafspringDetails"/>
      <sheetName val="output"/>
      <sheetName val="発行表"/>
      <sheetName val="__ PLASTIC UP_TPIA "/>
      <sheetName val="PRE_BUDGET REPORT_2012"/>
      <sheetName val="XREF"/>
      <sheetName val="MPL_技連4"/>
      <sheetName val="342E_BLOCK4"/>
      <sheetName val="SPEC_LIST3"/>
      <sheetName val="Unit_Price5"/>
      <sheetName val="NC-3_dAY3"/>
      <sheetName val="Production_Database_3994"/>
      <sheetName val="total_change&amp;add3"/>
      <sheetName val="BP_volume_(2)3"/>
      <sheetName val="BP_volume3"/>
      <sheetName val="20kb_CR3"/>
      <sheetName val="summary_(BP_ISZJ_Mar'12)3"/>
      <sheetName val="PnL_2006_LE3"/>
      <sheetName val="Master_Route3"/>
      <sheetName val="Sheet1_(2)5"/>
      <sheetName val="[LR・LTｸﾚｰﾑ分析_xls塅䕃⹌塅Et1_(2)4"/>
      <sheetName val="日程表_3X3"/>
      <sheetName val="Page_3_(Samrong_UA)3"/>
      <sheetName val="Page_4_(Gateway-TF)3"/>
      <sheetName val="P_13"/>
      <sheetName val="200P_SHEET3"/>
      <sheetName val="Table_Master3"/>
      <sheetName val="_LR・LTｸﾚｰﾑ分析_xls塅䕃⹌塅Et1_(2)4"/>
      <sheetName val="342A_Block3"/>
      <sheetName val="133NPR55_69_EC3"/>
      <sheetName val="Distance_Master3"/>
      <sheetName val="Driver_Master3"/>
      <sheetName val="Truck_Master3"/>
      <sheetName val="Allowance_Master3"/>
      <sheetName val="Car_Input3"/>
      <sheetName val="〈参考〉_P_7_シフトINディテント力3"/>
      <sheetName val="FB_sepa_S23"/>
      <sheetName val="TT_(13)3"/>
      <sheetName val="Ass'y-A_(Day)3"/>
      <sheetName val="part_list_ext_crew3"/>
      <sheetName val="A2_9903"/>
      <sheetName val="G_Van_-_Price_Build_up3"/>
      <sheetName val="Injection_Foam_(4)3"/>
      <sheetName val="EPW_06303"/>
      <sheetName val="190BODY_EMATRIX2"/>
      <sheetName val="Annual_Production2"/>
      <sheetName val="Pick_up3"/>
      <sheetName val="Annual_Sales2"/>
      <sheetName val="1__Prod__(BG__TG___AC)_20163"/>
      <sheetName val="Compare_Budget_&amp;_Actual_Order3"/>
      <sheetName val="The_Rule2"/>
      <sheetName val="ﾟ発表No_12"/>
      <sheetName val="R_GRILLE2"/>
      <sheetName val="データシート(定地)_(2)2"/>
      <sheetName val="2-A､B_3-A2"/>
      <sheetName val="C3_N_DC改造投資2"/>
      <sheetName val="ap_172"/>
      <sheetName val="_FE_0919Cal_TP32"/>
      <sheetName val="LAY-OUT_2"/>
      <sheetName val="ES01_トルクカーブ_201211152"/>
      <sheetName val="Welding_#22"/>
      <sheetName val="Cap__Injection_2"/>
      <sheetName val="3_Idea_Sewing_2"/>
      <sheetName val="Side_&amp;_Pole2"/>
      <sheetName val="27_進捗管理2"/>
      <sheetName val="Control_fml2"/>
      <sheetName val="PPA_-__โรงงาน_JIG2"/>
      <sheetName val="114W2次設変部品確認（組立）_(3)2"/>
      <sheetName val="เดือน_ธ_ค_61____(2)"/>
      <sheetName val="DATA_NILAI_TEST_BATCH_12"/>
      <sheetName val="RWP_332"/>
      <sheetName val="COMMON_22"/>
      <sheetName val="Draft_Vehicle_Format2"/>
      <sheetName val="Type_I2"/>
      <sheetName val="GRAFIK_CYB_270"/>
      <sheetName val="ocean_voyage1"/>
      <sheetName val="11_CPU単価1"/>
      <sheetName val="08_P772報告書0305301"/>
      <sheetName val="_CV_ALL1"/>
      <sheetName val="TF_;_C-191"/>
      <sheetName val="Time_study1"/>
      <sheetName val="FUEL_FILLER2"/>
      <sheetName val="Data_Validation1"/>
      <sheetName val="Main_Model1"/>
      <sheetName val="HOLE-UNIT_TEMP1"/>
      <sheetName val="TABLE(LINE_CODE)1"/>
      <sheetName val="1771_21"/>
      <sheetName val="MAKER_LIST_&amp;_Rate_Change1"/>
      <sheetName val="4_กราฟ__จ้างเหมา61-62"/>
      <sheetName val="SUM_TYCT1ST#040(สีโซลิค)"/>
      <sheetName val="SUM_TYCT1ST#1D6(สีเมทาลิค"/>
      <sheetName val="DATA_BASE_D-CAB(ห้ามลบ)"/>
      <sheetName val="PRESS_LINE_TYCT1ST"/>
      <sheetName val="Welding_SMM2_PRESS_TYCT1ST"/>
      <sheetName val="Welding_SR_TYCT1ST"/>
      <sheetName val="Paint_Line_TYCT1#040(SOLID)"/>
      <sheetName val="Paint_Line_TYCT1#1D6(เมทาลิค)"/>
      <sheetName val="ASSEMBLY_TYCT1ST_สีชา"/>
      <sheetName val="Packing_TYCT1ST"/>
      <sheetName val="+PALLET_Packing_C-CAB_TYCT1ST"/>
      <sheetName val="ธวัตร์-Welding_SMM2_56"/>
      <sheetName val="SUM_TYCT1+PALLET(สีโซลิค)"/>
      <sheetName val="SUM_TYCT1+PALLET(สีเมทาลิค"/>
      <sheetName val="SUM_TYCT1+กล่องกระดาษ(สีโซลิค)"/>
      <sheetName val="SUM_TYCT1+กล่องกระดาษ(สีเมทาลิค"/>
      <sheetName val="+PALLET_Packing_C-CAB_TYCT1"/>
      <sheetName val="ABC_COST_TYCT1ST-040,1CO_PACK_S"/>
      <sheetName val="Net_Sales_(Monthly)_Projection"/>
      <sheetName val="Summary_Plant"/>
      <sheetName val="กราฟ_%_on_time_ของปัญหา"/>
      <sheetName val="เปิดโครงการ_ท-ส_V2_TOYOTA640A"/>
      <sheetName val="จม_เสนอDIE+INS_SIDE_OTR_V2"/>
      <sheetName val="จม_feasDIE_BASE_ROOF_V2_IMV640A"/>
      <sheetName val="แนบ1_V2_TOYOTA_IMV640A(2015)"/>
      <sheetName val="V2_TOYOTA_640A_CAB,D-C_17-03-15"/>
      <sheetName val="แนบ_2_V2_9-3-15จากDIE_DESIGN"/>
      <sheetName val="แนบ2_V1-7-3-15จากDIE_DESIGN"/>
      <sheetName val="แนบ3_BEP_V2_T_IMV640A(14_06ลบ_)"/>
      <sheetName val="INTEREST_RATE(7%)"/>
      <sheetName val="V0_27-2-15จากDIE_DESIGN"/>
      <sheetName val="แนบ4_SUM_IMV640A_V2_DC(ในปท+1CO"/>
      <sheetName val="แนบ5_SUM_IMV640A_V2_CC(ในปท+1CO"/>
      <sheetName val="แนบ6_SUM_IMV640A_V2_DC(EDP+1CO)"/>
      <sheetName val="แนบ7_SUM_IMV640A_V2_CC(EDP+1CO"/>
      <sheetName val="DIE_COST_V2_TOYOTA"/>
      <sheetName val="A_J_COST_V2_TOYOTA"/>
      <sheetName val="TRIM_COST_V2_TOYOTA"/>
      <sheetName val="แนบ10_Press_Line(D-CAB)"/>
      <sheetName val="แนบ11_Welding_Line_PRESS(D-CAB)"/>
      <sheetName val="แนบ12_Welding_Line_SR_D-CAB"/>
      <sheetName val="แนบ13_Painting_D-CAB(NO_EDP+1CO"/>
      <sheetName val="แนบ14_Painting_Line_D-C(EDP+1CO"/>
      <sheetName val="แนบ15_Ass'y_Line_D-CAB(glass_sl"/>
      <sheetName val="แนบ16_Packing_Line(D-C)domestic"/>
      <sheetName val="แนบ17_Packing_Line(D-C)export"/>
      <sheetName val="แนบ18_Press_Line(C-CAB)"/>
      <sheetName val="แนบ19_Welding_Line_PRESS(C-CAB)"/>
      <sheetName val="แนบ20_Welding_Line_SR(C-CAB)"/>
      <sheetName val="แนบ21_Painting_C-CAB(NO_EDP+1CO"/>
      <sheetName val="แนบ22_Painting_C-CAB(EDP+1CO)"/>
      <sheetName val="แนบ23_Ass'y_Line_C-CAB(glass_sl"/>
      <sheetName val="แนบ24_Packing_Line(C-C)domestic"/>
      <sheetName val="แนบ25_Packing_Line(C-C)export"/>
      <sheetName val="DATA_BASE_C-CABห้ามลบ"/>
      <sheetName val="TRIM_PART_แยกกลุ่มย่อย"/>
      <sheetName val="DRY_VAN__ปะหน้า_QA_SMT-2ตั้ม"/>
      <sheetName val="Bracket_0M011,13"/>
      <sheetName val="大日程計算"/>
      <sheetName val="計算6"/>
      <sheetName val="SHARP"/>
      <sheetName val="投資ﾌｫﾛｰ"/>
      <sheetName val=" % PLASTIC UP_TPIA "/>
      <sheetName val="YTDBudCalcs"/>
      <sheetName val="ピッチ表"/>
      <sheetName val="3f Volume, Mix &amp; Option rate"/>
      <sheetName val="P.2 Price Strategy"/>
      <sheetName val="2f Pricing Strategy"/>
      <sheetName val="マクロバランス表"/>
      <sheetName val="定義"/>
      <sheetName val="Вхідна"/>
      <sheetName val="Реалізація"/>
      <sheetName val="Sub Acc"/>
    </sheetNames>
    <sheetDataSet>
      <sheetData sheetId="0"/>
      <sheetData sheetId="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 sheetId="99" refreshError="1"/>
      <sheetData sheetId="100" refreshError="1"/>
      <sheetData sheetId="101" refreshError="1"/>
      <sheetData sheetId="102" refreshError="1"/>
      <sheetData sheetId="103" refreshError="1"/>
      <sheetData sheetId="104" refreshError="1"/>
      <sheetData sheetId="105" refreshError="1"/>
      <sheetData sheetId="106" refreshError="1"/>
      <sheetData sheetId="107" refreshError="1"/>
      <sheetData sheetId="108" refreshError="1"/>
      <sheetData sheetId="109" refreshError="1"/>
      <sheetData sheetId="110" refreshError="1"/>
      <sheetData sheetId="111" refreshError="1"/>
      <sheetData sheetId="112" refreshError="1"/>
      <sheetData sheetId="113" refreshError="1"/>
      <sheetData sheetId="114" refreshError="1"/>
      <sheetData sheetId="115" refreshError="1"/>
      <sheetData sheetId="116" refreshError="1"/>
      <sheetData sheetId="117" refreshError="1"/>
      <sheetData sheetId="118" refreshError="1"/>
      <sheetData sheetId="119" refreshError="1"/>
      <sheetData sheetId="120" refreshError="1"/>
      <sheetData sheetId="121" refreshError="1"/>
      <sheetData sheetId="122" refreshError="1"/>
      <sheetData sheetId="123" refreshError="1"/>
      <sheetData sheetId="124" refreshError="1"/>
      <sheetData sheetId="125" refreshError="1"/>
      <sheetData sheetId="126" refreshError="1"/>
      <sheetData sheetId="127" refreshError="1"/>
      <sheetData sheetId="128" refreshError="1"/>
      <sheetData sheetId="129" refreshError="1"/>
      <sheetData sheetId="130" refreshError="1"/>
      <sheetData sheetId="131" refreshError="1"/>
      <sheetData sheetId="132" refreshError="1"/>
      <sheetData sheetId="133" refreshError="1"/>
      <sheetData sheetId="134" refreshError="1"/>
      <sheetData sheetId="135" refreshError="1"/>
      <sheetData sheetId="136" refreshError="1"/>
      <sheetData sheetId="137" refreshError="1"/>
      <sheetData sheetId="138" refreshError="1"/>
      <sheetData sheetId="139" refreshError="1"/>
      <sheetData sheetId="140" refreshError="1"/>
      <sheetData sheetId="141" refreshError="1"/>
      <sheetData sheetId="142" refreshError="1"/>
      <sheetData sheetId="143" refreshError="1"/>
      <sheetData sheetId="144" refreshError="1"/>
      <sheetData sheetId="145" refreshError="1"/>
      <sheetData sheetId="146" refreshError="1"/>
      <sheetData sheetId="147" refreshError="1"/>
      <sheetData sheetId="148" refreshError="1"/>
      <sheetData sheetId="149" refreshError="1"/>
      <sheetData sheetId="150" refreshError="1"/>
      <sheetData sheetId="151" refreshError="1"/>
      <sheetData sheetId="152" refreshError="1"/>
      <sheetData sheetId="153" refreshError="1"/>
      <sheetData sheetId="154" refreshError="1"/>
      <sheetData sheetId="155" refreshError="1"/>
      <sheetData sheetId="156" refreshError="1"/>
      <sheetData sheetId="157" refreshError="1"/>
      <sheetData sheetId="158" refreshError="1"/>
      <sheetData sheetId="159" refreshError="1"/>
      <sheetData sheetId="160" refreshError="1"/>
      <sheetData sheetId="161" refreshError="1"/>
      <sheetData sheetId="162" refreshError="1"/>
      <sheetData sheetId="163" refreshError="1"/>
      <sheetData sheetId="164" refreshError="1"/>
      <sheetData sheetId="165" refreshError="1"/>
      <sheetData sheetId="166" refreshError="1"/>
      <sheetData sheetId="167" refreshError="1"/>
      <sheetData sheetId="168" refreshError="1"/>
      <sheetData sheetId="169" refreshError="1"/>
      <sheetData sheetId="170" refreshError="1"/>
      <sheetData sheetId="171" refreshError="1"/>
      <sheetData sheetId="172" refreshError="1"/>
      <sheetData sheetId="173" refreshError="1"/>
      <sheetData sheetId="174" refreshError="1"/>
      <sheetData sheetId="175" refreshError="1"/>
      <sheetData sheetId="176" refreshError="1"/>
      <sheetData sheetId="177" refreshError="1"/>
      <sheetData sheetId="178" refreshError="1"/>
      <sheetData sheetId="179" refreshError="1"/>
      <sheetData sheetId="180" refreshError="1"/>
      <sheetData sheetId="181" refreshError="1"/>
      <sheetData sheetId="182" refreshError="1"/>
      <sheetData sheetId="183" refreshError="1"/>
      <sheetData sheetId="184" refreshError="1"/>
      <sheetData sheetId="185" refreshError="1"/>
      <sheetData sheetId="186" refreshError="1"/>
      <sheetData sheetId="187" refreshError="1"/>
      <sheetData sheetId="188" refreshError="1"/>
      <sheetData sheetId="189" refreshError="1"/>
      <sheetData sheetId="190" refreshError="1"/>
      <sheetData sheetId="191" refreshError="1"/>
      <sheetData sheetId="192" refreshError="1"/>
      <sheetData sheetId="193" refreshError="1"/>
      <sheetData sheetId="194" refreshError="1"/>
      <sheetData sheetId="195" refreshError="1"/>
      <sheetData sheetId="196" refreshError="1"/>
      <sheetData sheetId="197" refreshError="1"/>
      <sheetData sheetId="198" refreshError="1"/>
      <sheetData sheetId="199" refreshError="1"/>
      <sheetData sheetId="200" refreshError="1"/>
      <sheetData sheetId="201" refreshError="1"/>
      <sheetData sheetId="202" refreshError="1"/>
      <sheetData sheetId="203"/>
      <sheetData sheetId="204"/>
      <sheetData sheetId="205"/>
      <sheetData sheetId="206"/>
      <sheetData sheetId="207"/>
      <sheetData sheetId="208"/>
      <sheetData sheetId="209"/>
      <sheetData sheetId="210"/>
      <sheetData sheetId="211"/>
      <sheetData sheetId="212"/>
      <sheetData sheetId="213"/>
      <sheetData sheetId="214"/>
      <sheetData sheetId="215"/>
      <sheetData sheetId="216"/>
      <sheetData sheetId="217"/>
      <sheetData sheetId="218"/>
      <sheetData sheetId="219"/>
      <sheetData sheetId="220"/>
      <sheetData sheetId="221"/>
      <sheetData sheetId="222"/>
      <sheetData sheetId="223"/>
      <sheetData sheetId="224"/>
      <sheetData sheetId="225"/>
      <sheetData sheetId="226"/>
      <sheetData sheetId="227"/>
      <sheetData sheetId="228"/>
      <sheetData sheetId="229"/>
      <sheetData sheetId="230"/>
      <sheetData sheetId="231"/>
      <sheetData sheetId="232"/>
      <sheetData sheetId="233"/>
      <sheetData sheetId="234"/>
      <sheetData sheetId="235"/>
      <sheetData sheetId="236"/>
      <sheetData sheetId="237" refreshError="1"/>
      <sheetData sheetId="238" refreshError="1"/>
      <sheetData sheetId="239" refreshError="1"/>
      <sheetData sheetId="240" refreshError="1"/>
      <sheetData sheetId="241" refreshError="1"/>
      <sheetData sheetId="242" refreshError="1"/>
      <sheetData sheetId="243" refreshError="1"/>
      <sheetData sheetId="244" refreshError="1"/>
      <sheetData sheetId="245" refreshError="1"/>
      <sheetData sheetId="246"/>
      <sheetData sheetId="247" refreshError="1"/>
      <sheetData sheetId="248" refreshError="1"/>
      <sheetData sheetId="249" refreshError="1"/>
      <sheetData sheetId="250" refreshError="1"/>
      <sheetData sheetId="251" refreshError="1"/>
      <sheetData sheetId="252" refreshError="1"/>
      <sheetData sheetId="253" refreshError="1"/>
      <sheetData sheetId="254" refreshError="1"/>
      <sheetData sheetId="255" refreshError="1"/>
      <sheetData sheetId="256" refreshError="1"/>
      <sheetData sheetId="257" refreshError="1"/>
      <sheetData sheetId="258" refreshError="1"/>
      <sheetData sheetId="259" refreshError="1"/>
      <sheetData sheetId="260" refreshError="1"/>
      <sheetData sheetId="261" refreshError="1"/>
      <sheetData sheetId="262" refreshError="1"/>
      <sheetData sheetId="263" refreshError="1"/>
      <sheetData sheetId="264" refreshError="1"/>
      <sheetData sheetId="265" refreshError="1"/>
      <sheetData sheetId="266" refreshError="1"/>
      <sheetData sheetId="267" refreshError="1"/>
      <sheetData sheetId="268" refreshError="1"/>
      <sheetData sheetId="269" refreshError="1"/>
      <sheetData sheetId="270" refreshError="1"/>
      <sheetData sheetId="271" refreshError="1"/>
      <sheetData sheetId="272" refreshError="1"/>
      <sheetData sheetId="273" refreshError="1"/>
      <sheetData sheetId="274" refreshError="1"/>
      <sheetData sheetId="275" refreshError="1"/>
      <sheetData sheetId="276" refreshError="1"/>
      <sheetData sheetId="277" refreshError="1"/>
      <sheetData sheetId="278" refreshError="1"/>
      <sheetData sheetId="279" refreshError="1"/>
      <sheetData sheetId="280"/>
      <sheetData sheetId="281"/>
      <sheetData sheetId="282"/>
      <sheetData sheetId="283"/>
      <sheetData sheetId="284"/>
      <sheetData sheetId="285"/>
      <sheetData sheetId="286"/>
      <sheetData sheetId="287"/>
      <sheetData sheetId="288"/>
      <sheetData sheetId="289"/>
      <sheetData sheetId="290"/>
      <sheetData sheetId="291"/>
      <sheetData sheetId="292"/>
      <sheetData sheetId="293" refreshError="1"/>
      <sheetData sheetId="294" refreshError="1"/>
      <sheetData sheetId="295" refreshError="1"/>
      <sheetData sheetId="296" refreshError="1"/>
      <sheetData sheetId="297" refreshError="1"/>
      <sheetData sheetId="298" refreshError="1"/>
      <sheetData sheetId="299" refreshError="1"/>
      <sheetData sheetId="300" refreshError="1"/>
      <sheetData sheetId="301" refreshError="1"/>
      <sheetData sheetId="302" refreshError="1"/>
      <sheetData sheetId="303" refreshError="1"/>
      <sheetData sheetId="304" refreshError="1"/>
      <sheetData sheetId="305" refreshError="1"/>
      <sheetData sheetId="306" refreshError="1"/>
      <sheetData sheetId="307" refreshError="1"/>
      <sheetData sheetId="308" refreshError="1"/>
      <sheetData sheetId="309" refreshError="1"/>
      <sheetData sheetId="310" refreshError="1"/>
      <sheetData sheetId="311" refreshError="1"/>
      <sheetData sheetId="312" refreshError="1"/>
      <sheetData sheetId="313" refreshError="1"/>
      <sheetData sheetId="314" refreshError="1"/>
      <sheetData sheetId="315" refreshError="1"/>
      <sheetData sheetId="316" refreshError="1"/>
      <sheetData sheetId="317" refreshError="1"/>
      <sheetData sheetId="318" refreshError="1"/>
      <sheetData sheetId="319" refreshError="1"/>
      <sheetData sheetId="320" refreshError="1"/>
      <sheetData sheetId="321" refreshError="1"/>
      <sheetData sheetId="322" refreshError="1"/>
      <sheetData sheetId="323" refreshError="1"/>
      <sheetData sheetId="324" refreshError="1"/>
      <sheetData sheetId="325" refreshError="1"/>
      <sheetData sheetId="326" refreshError="1"/>
      <sheetData sheetId="327" refreshError="1"/>
      <sheetData sheetId="328" refreshError="1"/>
      <sheetData sheetId="329" refreshError="1"/>
      <sheetData sheetId="330" refreshError="1"/>
      <sheetData sheetId="331" refreshError="1"/>
      <sheetData sheetId="332" refreshError="1"/>
      <sheetData sheetId="333" refreshError="1"/>
      <sheetData sheetId="334" refreshError="1"/>
      <sheetData sheetId="335" refreshError="1"/>
      <sheetData sheetId="336" refreshError="1"/>
      <sheetData sheetId="337" refreshError="1"/>
      <sheetData sheetId="338" refreshError="1"/>
      <sheetData sheetId="339" refreshError="1"/>
      <sheetData sheetId="340" refreshError="1"/>
      <sheetData sheetId="341" refreshError="1"/>
      <sheetData sheetId="342" refreshError="1"/>
      <sheetData sheetId="343" refreshError="1"/>
      <sheetData sheetId="344" refreshError="1"/>
      <sheetData sheetId="345" refreshError="1"/>
      <sheetData sheetId="346" refreshError="1"/>
      <sheetData sheetId="347" refreshError="1"/>
      <sheetData sheetId="348" refreshError="1"/>
      <sheetData sheetId="349" refreshError="1"/>
      <sheetData sheetId="350" refreshError="1"/>
      <sheetData sheetId="351" refreshError="1"/>
      <sheetData sheetId="352" refreshError="1"/>
      <sheetData sheetId="353" refreshError="1"/>
      <sheetData sheetId="354" refreshError="1"/>
      <sheetData sheetId="355" refreshError="1"/>
      <sheetData sheetId="356" refreshError="1"/>
      <sheetData sheetId="357" refreshError="1"/>
      <sheetData sheetId="358" refreshError="1"/>
      <sheetData sheetId="359" refreshError="1"/>
      <sheetData sheetId="360" refreshError="1"/>
      <sheetData sheetId="361" refreshError="1"/>
      <sheetData sheetId="362" refreshError="1"/>
      <sheetData sheetId="363" refreshError="1"/>
      <sheetData sheetId="364" refreshError="1"/>
      <sheetData sheetId="365" refreshError="1"/>
      <sheetData sheetId="366" refreshError="1"/>
      <sheetData sheetId="367" refreshError="1"/>
      <sheetData sheetId="368" refreshError="1"/>
      <sheetData sheetId="369" refreshError="1"/>
      <sheetData sheetId="370" refreshError="1"/>
      <sheetData sheetId="371" refreshError="1"/>
      <sheetData sheetId="372" refreshError="1"/>
      <sheetData sheetId="373" refreshError="1"/>
      <sheetData sheetId="374" refreshError="1"/>
      <sheetData sheetId="375" refreshError="1"/>
      <sheetData sheetId="376" refreshError="1"/>
      <sheetData sheetId="377" refreshError="1"/>
      <sheetData sheetId="378" refreshError="1"/>
      <sheetData sheetId="379" refreshError="1"/>
      <sheetData sheetId="380" refreshError="1"/>
      <sheetData sheetId="381" refreshError="1"/>
      <sheetData sheetId="382" refreshError="1"/>
      <sheetData sheetId="383" refreshError="1"/>
      <sheetData sheetId="384" refreshError="1"/>
      <sheetData sheetId="385" refreshError="1"/>
      <sheetData sheetId="386" refreshError="1"/>
      <sheetData sheetId="387" refreshError="1"/>
      <sheetData sheetId="388" refreshError="1"/>
      <sheetData sheetId="389"/>
      <sheetData sheetId="390"/>
      <sheetData sheetId="391"/>
      <sheetData sheetId="392"/>
      <sheetData sheetId="393"/>
      <sheetData sheetId="394"/>
      <sheetData sheetId="395"/>
      <sheetData sheetId="396"/>
      <sheetData sheetId="397"/>
      <sheetData sheetId="398"/>
      <sheetData sheetId="399"/>
      <sheetData sheetId="400"/>
      <sheetData sheetId="401"/>
      <sheetData sheetId="402"/>
      <sheetData sheetId="403"/>
      <sheetData sheetId="404"/>
      <sheetData sheetId="405"/>
      <sheetData sheetId="406"/>
      <sheetData sheetId="407"/>
      <sheetData sheetId="408"/>
      <sheetData sheetId="409"/>
      <sheetData sheetId="410"/>
      <sheetData sheetId="411"/>
      <sheetData sheetId="412"/>
      <sheetData sheetId="413"/>
      <sheetData sheetId="414"/>
      <sheetData sheetId="415"/>
      <sheetData sheetId="416"/>
      <sheetData sheetId="417"/>
      <sheetData sheetId="418"/>
      <sheetData sheetId="419"/>
      <sheetData sheetId="420"/>
      <sheetData sheetId="421"/>
      <sheetData sheetId="422"/>
      <sheetData sheetId="423"/>
      <sheetData sheetId="424"/>
      <sheetData sheetId="425"/>
      <sheetData sheetId="426"/>
      <sheetData sheetId="427"/>
      <sheetData sheetId="428"/>
      <sheetData sheetId="429"/>
      <sheetData sheetId="430"/>
      <sheetData sheetId="431"/>
      <sheetData sheetId="432"/>
      <sheetData sheetId="433"/>
      <sheetData sheetId="434"/>
      <sheetData sheetId="435"/>
      <sheetData sheetId="436"/>
      <sheetData sheetId="437"/>
      <sheetData sheetId="438"/>
      <sheetData sheetId="439"/>
      <sheetData sheetId="440"/>
      <sheetData sheetId="441"/>
      <sheetData sheetId="442"/>
      <sheetData sheetId="443"/>
      <sheetData sheetId="444"/>
      <sheetData sheetId="445"/>
      <sheetData sheetId="446"/>
      <sheetData sheetId="447"/>
      <sheetData sheetId="448"/>
      <sheetData sheetId="449"/>
      <sheetData sheetId="450"/>
      <sheetData sheetId="451"/>
      <sheetData sheetId="452"/>
      <sheetData sheetId="453" refreshError="1"/>
      <sheetData sheetId="454" refreshError="1"/>
      <sheetData sheetId="455" refreshError="1"/>
      <sheetData sheetId="456" refreshError="1"/>
      <sheetData sheetId="457" refreshError="1"/>
      <sheetData sheetId="458" refreshError="1"/>
      <sheetData sheetId="459" refreshError="1"/>
      <sheetData sheetId="460" refreshError="1"/>
      <sheetData sheetId="461" refreshError="1"/>
      <sheetData sheetId="462" refreshError="1"/>
      <sheetData sheetId="463" refreshError="1"/>
      <sheetData sheetId="464" refreshError="1"/>
      <sheetData sheetId="465" refreshError="1"/>
      <sheetData sheetId="466" refreshError="1"/>
      <sheetData sheetId="467" refreshError="1"/>
      <sheetData sheetId="468" refreshError="1"/>
      <sheetData sheetId="469" refreshError="1"/>
      <sheetData sheetId="470" refreshError="1"/>
      <sheetData sheetId="471" refreshError="1"/>
      <sheetData sheetId="472" refreshError="1"/>
      <sheetData sheetId="473" refreshError="1"/>
      <sheetData sheetId="474"/>
      <sheetData sheetId="475" refreshError="1"/>
      <sheetData sheetId="476" refreshError="1"/>
      <sheetData sheetId="477" refreshError="1"/>
      <sheetData sheetId="478" refreshError="1"/>
      <sheetData sheetId="479" refreshError="1"/>
      <sheetData sheetId="480" refreshError="1"/>
      <sheetData sheetId="481" refreshError="1"/>
      <sheetData sheetId="482" refreshError="1"/>
      <sheetData sheetId="483" refreshError="1"/>
      <sheetData sheetId="484" refreshError="1"/>
      <sheetData sheetId="485" refreshError="1"/>
      <sheetData sheetId="486" refreshError="1"/>
      <sheetData sheetId="487" refreshError="1"/>
      <sheetData sheetId="488" refreshError="1"/>
      <sheetData sheetId="489" refreshError="1"/>
      <sheetData sheetId="490" refreshError="1"/>
      <sheetData sheetId="491" refreshError="1"/>
      <sheetData sheetId="492" refreshError="1"/>
      <sheetData sheetId="493" refreshError="1"/>
      <sheetData sheetId="494" refreshError="1"/>
      <sheetData sheetId="495" refreshError="1"/>
      <sheetData sheetId="496" refreshError="1"/>
      <sheetData sheetId="497" refreshError="1"/>
      <sheetData sheetId="498" refreshError="1"/>
      <sheetData sheetId="499" refreshError="1"/>
      <sheetData sheetId="500" refreshError="1"/>
      <sheetData sheetId="501" refreshError="1"/>
      <sheetData sheetId="502" refreshError="1"/>
      <sheetData sheetId="503" refreshError="1"/>
      <sheetData sheetId="504" refreshError="1"/>
      <sheetData sheetId="505" refreshError="1"/>
      <sheetData sheetId="506"/>
      <sheetData sheetId="507"/>
      <sheetData sheetId="508"/>
      <sheetData sheetId="509"/>
      <sheetData sheetId="510"/>
      <sheetData sheetId="511"/>
      <sheetData sheetId="512"/>
      <sheetData sheetId="513"/>
      <sheetData sheetId="514"/>
      <sheetData sheetId="515"/>
      <sheetData sheetId="516"/>
      <sheetData sheetId="517"/>
      <sheetData sheetId="518"/>
      <sheetData sheetId="519"/>
      <sheetData sheetId="520"/>
      <sheetData sheetId="521"/>
      <sheetData sheetId="522"/>
      <sheetData sheetId="523"/>
      <sheetData sheetId="524"/>
      <sheetData sheetId="525"/>
      <sheetData sheetId="526"/>
      <sheetData sheetId="527"/>
      <sheetData sheetId="528"/>
      <sheetData sheetId="529"/>
      <sheetData sheetId="530"/>
      <sheetData sheetId="531"/>
      <sheetData sheetId="532"/>
      <sheetData sheetId="533"/>
      <sheetData sheetId="534"/>
      <sheetData sheetId="535"/>
      <sheetData sheetId="536"/>
      <sheetData sheetId="537"/>
      <sheetData sheetId="538"/>
      <sheetData sheetId="539"/>
      <sheetData sheetId="540"/>
      <sheetData sheetId="541"/>
      <sheetData sheetId="542"/>
      <sheetData sheetId="543"/>
      <sheetData sheetId="544"/>
      <sheetData sheetId="545"/>
      <sheetData sheetId="546"/>
      <sheetData sheetId="547"/>
      <sheetData sheetId="548"/>
      <sheetData sheetId="549"/>
      <sheetData sheetId="550"/>
      <sheetData sheetId="551"/>
      <sheetData sheetId="552"/>
      <sheetData sheetId="553"/>
      <sheetData sheetId="554"/>
      <sheetData sheetId="555"/>
      <sheetData sheetId="556"/>
      <sheetData sheetId="557"/>
      <sheetData sheetId="558"/>
      <sheetData sheetId="559"/>
      <sheetData sheetId="560"/>
      <sheetData sheetId="561"/>
      <sheetData sheetId="562"/>
      <sheetData sheetId="563"/>
      <sheetData sheetId="564"/>
      <sheetData sheetId="565"/>
      <sheetData sheetId="566"/>
      <sheetData sheetId="567"/>
      <sheetData sheetId="568"/>
      <sheetData sheetId="569"/>
      <sheetData sheetId="570"/>
      <sheetData sheetId="571"/>
      <sheetData sheetId="572"/>
      <sheetData sheetId="573"/>
      <sheetData sheetId="574"/>
      <sheetData sheetId="575"/>
      <sheetData sheetId="576"/>
      <sheetData sheetId="577"/>
      <sheetData sheetId="578"/>
      <sheetData sheetId="579"/>
      <sheetData sheetId="580"/>
      <sheetData sheetId="581"/>
      <sheetData sheetId="582"/>
      <sheetData sheetId="583"/>
      <sheetData sheetId="584"/>
      <sheetData sheetId="585"/>
      <sheetData sheetId="586" refreshError="1"/>
      <sheetData sheetId="587"/>
      <sheetData sheetId="588"/>
      <sheetData sheetId="589" refreshError="1"/>
      <sheetData sheetId="590" refreshError="1"/>
      <sheetData sheetId="591" refreshError="1"/>
      <sheetData sheetId="592" refreshError="1"/>
      <sheetData sheetId="593" refreshError="1"/>
      <sheetData sheetId="594" refreshError="1"/>
      <sheetData sheetId="595" refreshError="1"/>
      <sheetData sheetId="596" refreshError="1"/>
      <sheetData sheetId="597" refreshError="1"/>
      <sheetData sheetId="598" refreshError="1"/>
      <sheetData sheetId="599" refreshError="1"/>
      <sheetData sheetId="600" refreshError="1"/>
      <sheetData sheetId="601" refreshError="1"/>
      <sheetData sheetId="602" refreshError="1"/>
      <sheetData sheetId="603" refreshError="1"/>
      <sheetData sheetId="604" refreshError="1"/>
      <sheetData sheetId="605" refreshError="1"/>
      <sheetData sheetId="606" refreshError="1"/>
      <sheetData sheetId="607" refreshError="1"/>
      <sheetData sheetId="608" refreshError="1"/>
      <sheetData sheetId="609" refreshError="1"/>
      <sheetData sheetId="610" refreshError="1"/>
      <sheetData sheetId="611" refreshError="1"/>
      <sheetData sheetId="612" refreshError="1"/>
      <sheetData sheetId="613" refreshError="1"/>
      <sheetData sheetId="614" refreshError="1"/>
      <sheetData sheetId="615" refreshError="1"/>
      <sheetData sheetId="616" refreshError="1"/>
      <sheetData sheetId="617" refreshError="1"/>
      <sheetData sheetId="618" refreshError="1"/>
      <sheetData sheetId="619" refreshError="1"/>
      <sheetData sheetId="620" refreshError="1"/>
      <sheetData sheetId="621" refreshError="1"/>
      <sheetData sheetId="622" refreshError="1"/>
      <sheetData sheetId="623" refreshError="1"/>
      <sheetData sheetId="624" refreshError="1"/>
      <sheetData sheetId="625" refreshError="1"/>
      <sheetData sheetId="626" refreshError="1"/>
      <sheetData sheetId="627" refreshError="1"/>
      <sheetData sheetId="628" refreshError="1"/>
      <sheetData sheetId="629" refreshError="1"/>
      <sheetData sheetId="630" refreshError="1"/>
      <sheetData sheetId="631" refreshError="1"/>
      <sheetData sheetId="632" refreshError="1"/>
      <sheetData sheetId="633" refreshError="1"/>
      <sheetData sheetId="634" refreshError="1"/>
      <sheetData sheetId="635" refreshError="1"/>
      <sheetData sheetId="636" refreshError="1"/>
      <sheetData sheetId="637" refreshError="1"/>
      <sheetData sheetId="638" refreshError="1"/>
      <sheetData sheetId="639" refreshError="1"/>
      <sheetData sheetId="640" refreshError="1"/>
      <sheetData sheetId="641" refreshError="1"/>
      <sheetData sheetId="642" refreshError="1"/>
      <sheetData sheetId="643" refreshError="1"/>
      <sheetData sheetId="644" refreshError="1"/>
      <sheetData sheetId="645" refreshError="1"/>
      <sheetData sheetId="646" refreshError="1"/>
      <sheetData sheetId="647" refreshError="1"/>
      <sheetData sheetId="648" refreshError="1"/>
      <sheetData sheetId="649" refreshError="1"/>
      <sheetData sheetId="650" refreshError="1"/>
      <sheetData sheetId="651" refreshError="1"/>
      <sheetData sheetId="652" refreshError="1"/>
      <sheetData sheetId="653" refreshError="1"/>
      <sheetData sheetId="654" refreshError="1"/>
      <sheetData sheetId="655" refreshError="1"/>
      <sheetData sheetId="656" refreshError="1"/>
      <sheetData sheetId="657" refreshError="1"/>
      <sheetData sheetId="658" refreshError="1"/>
      <sheetData sheetId="659" refreshError="1"/>
      <sheetData sheetId="660" refreshError="1"/>
      <sheetData sheetId="661" refreshError="1"/>
      <sheetData sheetId="662" refreshError="1"/>
      <sheetData sheetId="663"/>
      <sheetData sheetId="664"/>
      <sheetData sheetId="665"/>
      <sheetData sheetId="666"/>
      <sheetData sheetId="667"/>
      <sheetData sheetId="668"/>
      <sheetData sheetId="669"/>
      <sheetData sheetId="670"/>
      <sheetData sheetId="671"/>
      <sheetData sheetId="672"/>
      <sheetData sheetId="673"/>
      <sheetData sheetId="674"/>
      <sheetData sheetId="675"/>
      <sheetData sheetId="676"/>
      <sheetData sheetId="677"/>
      <sheetData sheetId="678"/>
      <sheetData sheetId="679"/>
      <sheetData sheetId="680"/>
      <sheetData sheetId="681"/>
      <sheetData sheetId="682"/>
      <sheetData sheetId="683"/>
      <sheetData sheetId="684"/>
      <sheetData sheetId="685"/>
      <sheetData sheetId="686"/>
      <sheetData sheetId="687"/>
      <sheetData sheetId="688"/>
      <sheetData sheetId="689"/>
      <sheetData sheetId="690"/>
      <sheetData sheetId="691"/>
      <sheetData sheetId="692"/>
      <sheetData sheetId="693"/>
      <sheetData sheetId="694"/>
      <sheetData sheetId="695"/>
      <sheetData sheetId="696"/>
      <sheetData sheetId="697"/>
      <sheetData sheetId="698"/>
      <sheetData sheetId="699"/>
      <sheetData sheetId="700"/>
      <sheetData sheetId="701"/>
      <sheetData sheetId="702"/>
      <sheetData sheetId="703"/>
      <sheetData sheetId="704"/>
      <sheetData sheetId="705"/>
      <sheetData sheetId="706"/>
      <sheetData sheetId="707"/>
      <sheetData sheetId="708"/>
      <sheetData sheetId="709"/>
      <sheetData sheetId="710"/>
      <sheetData sheetId="711"/>
      <sheetData sheetId="712"/>
      <sheetData sheetId="713"/>
      <sheetData sheetId="714"/>
      <sheetData sheetId="715"/>
      <sheetData sheetId="716"/>
      <sheetData sheetId="717"/>
      <sheetData sheetId="718"/>
      <sheetData sheetId="719"/>
      <sheetData sheetId="720"/>
      <sheetData sheetId="721"/>
      <sheetData sheetId="722"/>
      <sheetData sheetId="723"/>
      <sheetData sheetId="724"/>
      <sheetData sheetId="725"/>
      <sheetData sheetId="726"/>
      <sheetData sheetId="727"/>
      <sheetData sheetId="728"/>
      <sheetData sheetId="729"/>
      <sheetData sheetId="730"/>
      <sheetData sheetId="731"/>
      <sheetData sheetId="732"/>
      <sheetData sheetId="733"/>
      <sheetData sheetId="734"/>
      <sheetData sheetId="735"/>
      <sheetData sheetId="736"/>
      <sheetData sheetId="737"/>
      <sheetData sheetId="738"/>
      <sheetData sheetId="739"/>
      <sheetData sheetId="740"/>
      <sheetData sheetId="741"/>
      <sheetData sheetId="742"/>
      <sheetData sheetId="743"/>
      <sheetData sheetId="744"/>
      <sheetData sheetId="745"/>
      <sheetData sheetId="746"/>
      <sheetData sheetId="747"/>
      <sheetData sheetId="748"/>
      <sheetData sheetId="749"/>
      <sheetData sheetId="750"/>
      <sheetData sheetId="751"/>
      <sheetData sheetId="752"/>
      <sheetData sheetId="753"/>
      <sheetData sheetId="754"/>
      <sheetData sheetId="755"/>
      <sheetData sheetId="756"/>
      <sheetData sheetId="757"/>
      <sheetData sheetId="758"/>
      <sheetData sheetId="759"/>
      <sheetData sheetId="760"/>
      <sheetData sheetId="761"/>
      <sheetData sheetId="762"/>
      <sheetData sheetId="763"/>
      <sheetData sheetId="764"/>
      <sheetData sheetId="765"/>
      <sheetData sheetId="766"/>
      <sheetData sheetId="767"/>
      <sheetData sheetId="768"/>
      <sheetData sheetId="769"/>
      <sheetData sheetId="770"/>
      <sheetData sheetId="771"/>
      <sheetData sheetId="772"/>
      <sheetData sheetId="773"/>
      <sheetData sheetId="774"/>
      <sheetData sheetId="775"/>
      <sheetData sheetId="776"/>
      <sheetData sheetId="777"/>
      <sheetData sheetId="778"/>
      <sheetData sheetId="779"/>
      <sheetData sheetId="780"/>
      <sheetData sheetId="781"/>
      <sheetData sheetId="782"/>
      <sheetData sheetId="783"/>
      <sheetData sheetId="784"/>
      <sheetData sheetId="785"/>
      <sheetData sheetId="786"/>
      <sheetData sheetId="787"/>
      <sheetData sheetId="788"/>
      <sheetData sheetId="789"/>
      <sheetData sheetId="790"/>
      <sheetData sheetId="791"/>
      <sheetData sheetId="792"/>
      <sheetData sheetId="793"/>
      <sheetData sheetId="794"/>
      <sheetData sheetId="795" refreshError="1"/>
      <sheetData sheetId="796" refreshError="1"/>
      <sheetData sheetId="797" refreshError="1"/>
      <sheetData sheetId="798" refreshError="1"/>
      <sheetData sheetId="799" refreshError="1"/>
      <sheetData sheetId="800" refreshError="1"/>
      <sheetData sheetId="801" refreshError="1"/>
      <sheetData sheetId="802" refreshError="1"/>
      <sheetData sheetId="803" refreshError="1"/>
      <sheetData sheetId="804" refreshError="1"/>
      <sheetData sheetId="805" refreshError="1"/>
      <sheetData sheetId="806" refreshError="1"/>
      <sheetData sheetId="807" refreshError="1"/>
      <sheetData sheetId="808" refreshError="1"/>
      <sheetData sheetId="809" refreshError="1"/>
      <sheetData sheetId="810" refreshError="1"/>
      <sheetData sheetId="811" refreshError="1"/>
      <sheetData sheetId="812" refreshError="1"/>
      <sheetData sheetId="813" refreshError="1"/>
      <sheetData sheetId="814" refreshError="1"/>
      <sheetData sheetId="815" refreshError="1"/>
      <sheetData sheetId="816" refreshError="1"/>
      <sheetData sheetId="817" refreshError="1"/>
    </sheetDataSet>
  </externalBook>
</externalLink>
</file>

<file path=xl/externalLinks/externalLink5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NG油洩れ"/>
      <sheetName val="Sheet1"/>
      <sheetName val="Sheet2"/>
      <sheetName val="Sheet3"/>
      <sheetName val="各部寸検結果"/>
      <sheetName val="96期(川崎)"/>
      <sheetName val="BELT検討"/>
      <sheetName val="第1期投資実績"/>
      <sheetName val="02MY投資実績"/>
      <sheetName val="150K-1投資"/>
      <sheetName val="150K-2投資"/>
      <sheetName val="ITEM"/>
      <sheetName val="A"/>
      <sheetName val="00-1"/>
      <sheetName val="Sheet1 (2)"/>
      <sheetName val="FUKUMI"/>
      <sheetName val="Unit Price"/>
      <sheetName val="生産台数内訳"/>
      <sheetName val="クライテリア"/>
      <sheetName val="LR・LTｸﾚｰﾑ分析"/>
      <sheetName val="(原単位)"/>
      <sheetName val="日付"/>
      <sheetName val="Defects"/>
      <sheetName val="[LR・LTｸﾚｰﾑ分析.xls塅䕃⹌塅Et1 (2)"/>
      <sheetName val="ﾏｸﾛ説明"/>
      <sheetName val="実績推移"/>
      <sheetName val="24204"/>
      <sheetName val="พงศ์พร"/>
      <sheetName val="Production Database 399"/>
      <sheetName val="基本情報ｄｂ"/>
      <sheetName val="財務諸表"/>
      <sheetName val="Sheet1_(2)"/>
      <sheetName val="Unit_Price"/>
      <sheetName val="SCH"/>
      <sheetName val="ﾊﾟｲﾌﾟ"/>
      <sheetName val="他材料費"/>
      <sheetName val="冷延鋼板"/>
      <sheetName val="熱延鋼板"/>
      <sheetName val="原単位"/>
      <sheetName val="_LR・LTｸﾚｰﾑ分析.xls塅䕃⹌塅Et1 (2)"/>
      <sheetName val="00年9月"/>
      <sheetName val="入力シート"/>
      <sheetName val="計算結果"/>
      <sheetName val="6SWRF_W"/>
      <sheetName val="日程"/>
      <sheetName val="ＦＴＲ連結採算"/>
      <sheetName val="96・(・・)"/>
      <sheetName val="量産準備実施依頼書"/>
      <sheetName val="350CXZCO"/>
      <sheetName val="進め方"/>
      <sheetName val="ヘッダ"/>
      <sheetName val="台帳集計"/>
      <sheetName val="条件表"/>
      <sheetName val="ワークシート関数の使用例"/>
      <sheetName val="MOD"/>
      <sheetName val="rate"/>
      <sheetName val="ｴｱﾃﾞｨｽｸ"/>
      <sheetName val="MPL 技連"/>
      <sheetName val="342A Block"/>
      <sheetName val="方策系入力表"/>
      <sheetName val="Sheet1_(2)1"/>
      <sheetName val="Unit_Price1"/>
      <sheetName val="[LR・LTｸﾚｰﾑ分析_xls塅䕃⹌塅Et1_(2)"/>
      <sheetName val="Production_Database_399"/>
      <sheetName val="_LR・LTｸﾚｰﾑ分析_xls塅䕃⹌塅Et1_(2)"/>
      <sheetName val="第1期"/>
      <sheetName val="02MY"/>
      <sheetName val="150K-1"/>
      <sheetName val="150K-2"/>
      <sheetName val="180K投資"/>
      <sheetName val="職種別原価"/>
      <sheetName val="社内検査データ"/>
      <sheetName val="マスター"/>
      <sheetName val="入力表"/>
      <sheetName val="ＴＦ関連Ｐｒｊ日程表"/>
      <sheetName val="推移用データ"/>
      <sheetName val="一覧と近似式"/>
      <sheetName val="仕上１"/>
      <sheetName val="業務計画"/>
      <sheetName val="〈参考〉_P.7_シフトINディテント力"/>
      <sheetName val="TM"/>
      <sheetName val="1-E"/>
      <sheetName val="TB3川崎"/>
      <sheetName val="ASM#1-Eff"/>
      <sheetName val="150K_1投資"/>
      <sheetName val="150K_2投資"/>
      <sheetName val="課題実施計画書"/>
      <sheetName val="データシート(定地) (2)"/>
      <sheetName val="NK仕様21"/>
      <sheetName val=" FE 0919Cal TP3"/>
      <sheetName val="燃費3"/>
      <sheetName val="C3_N DC改造投資"/>
      <sheetName val="洩れ"/>
      <sheetName val="1-A､B"/>
      <sheetName val="2-A､B 3-A"/>
      <sheetName val="DOM-競合車SPEC"/>
      <sheetName val="名簿データ"/>
      <sheetName val="材質検査（N増し書換済）"/>
      <sheetName val="ﾌﾟﾙﾀﾞｳﾝﾒﾆｭｰ用ｺｰﾄﾞ表"/>
      <sheetName val="進捗確認"/>
      <sheetName val="工数比較２"/>
      <sheetName val="ﾟ発表No 1"/>
      <sheetName val="96_97研究費_全体"/>
      <sheetName val="市場品質状況レポート"/>
      <sheetName val="駆動力（入力シート）"/>
      <sheetName val="HX121-T"/>
      <sheetName val="Side &amp; Pole"/>
      <sheetName val="A2 990"/>
      <sheetName val="新コード"/>
      <sheetName val="R GRILLE"/>
      <sheetName val="ｺｰﾄﾞ表"/>
      <sheetName val="TIRE読み替え表"/>
      <sheetName val="計画"/>
      <sheetName val="【資料】730改造投資"/>
      <sheetName val="耐久進捗data"/>
      <sheetName val="表示リスト（変更禁止）"/>
      <sheetName val="品質保証責任者届"/>
      <sheetName val="名簿ﾃﾞｰﾀ"/>
      <sheetName val="00年９末"/>
      <sheetName val="出図表"/>
      <sheetName val="コード表"/>
      <sheetName val="データ"/>
      <sheetName val="集計条件"/>
      <sheetName val="出荷計画"/>
      <sheetName val="342E BLOCK"/>
      <sheetName val="本船スケジュール"/>
      <sheetName val="見本２"/>
      <sheetName val="MPL_技連"/>
      <sheetName val="342E_BLOCK"/>
      <sheetName val="資本ｺｽﾄ"/>
      <sheetName val="R&amp;D"/>
      <sheetName val="SPEC LIST"/>
      <sheetName val="HärQ"/>
      <sheetName val="駆動系1"/>
      <sheetName val="_B007"/>
      <sheetName val="ISO_250"/>
      <sheetName val="346Proj日程991124"/>
      <sheetName val="part list ext crew"/>
      <sheetName val="Years_Input"/>
      <sheetName val="制動力線計算入力"/>
      <sheetName val="Table"/>
      <sheetName val="ラミナー計算"/>
      <sheetName val="選酋表"/>
      <sheetName val="A-K研車型"/>
      <sheetName val="ﾏﾙC改造投資詳細"/>
      <sheetName val="_CONFIG-2"/>
      <sheetName val="2TUP"/>
      <sheetName val="BP volume (2)"/>
      <sheetName val="BP volume"/>
      <sheetName val="RT50実績(11FY)"/>
      <sheetName val="RT50実績・予測-120620"/>
      <sheetName val="20kb CR"/>
      <sheetName val="RT50実績・予測"/>
      <sheetName val="summary (BP ISZJ Mar'12)"/>
      <sheetName val="R＆遡及-120620"/>
      <sheetName val="#REF"/>
      <sheetName val="資料_700部品点数設定"/>
      <sheetName val="PnL_BUD06"/>
      <sheetName val="PnL_2006 LE"/>
      <sheetName val="FixedAsset05&amp;06"/>
      <sheetName val="Cover"/>
      <sheetName val="List"/>
      <sheetName val="P.1"/>
      <sheetName val="Page 3 (Samrong UA)"/>
      <sheetName val="Page 4 (Gateway-TF)"/>
      <sheetName val="200P SHEET"/>
      <sheetName val="OD"/>
      <sheetName val="6W"/>
      <sheetName val="ap 17"/>
      <sheetName val="NC-3 dAY"/>
      <sheetName val="社暦"/>
      <sheetName val="成形場所"/>
      <sheetName val="金額"/>
      <sheetName val="DB"/>
      <sheetName val="Car Input"/>
      <sheetName val="Summary"/>
      <sheetName val="Snp"/>
      <sheetName val="プロジェクトステータス　4J(ELF)"/>
      <sheetName val="Table Master"/>
      <sheetName val="機能リスト"/>
      <sheetName val="Wvð"/>
      <sheetName val="NCeA"/>
      <sheetName val="LAY-OUT "/>
      <sheetName val="表示"/>
      <sheetName val="商品明細(KD)"/>
      <sheetName val="Data-Qｽｲｰﾌﾟ"/>
      <sheetName val="Data-NEｽｲｰﾌﾟ"/>
      <sheetName val="Data-ΔQ"/>
      <sheetName val="Data-ΔNE(50)"/>
      <sheetName val="LIST1"/>
      <sheetName val="DATA"/>
      <sheetName val="テーブル"/>
      <sheetName val="調査依頼"/>
      <sheetName val="生産性評価集計用クエリ"/>
      <sheetName val="BAAC集計"/>
      <sheetName val="1"/>
      <sheetName val="PROD-TF"/>
      <sheetName val="P3"/>
      <sheetName val="190BODY EMATRIX"/>
      <sheetName val="NEW003"/>
      <sheetName val="Datasheet"/>
      <sheetName val="米国輸入ソース推移"/>
      <sheetName val="27.進捗管理"/>
      <sheetName val="評価ﾏﾄﾘｸｽ"/>
      <sheetName val="Master Route"/>
      <sheetName val="Ref"/>
      <sheetName val="シャープアイ実績"/>
      <sheetName val="対策集計結果"/>
      <sheetName val="total change&amp;add"/>
      <sheetName val="133NPR55 69 EC"/>
      <sheetName val="座面面圧計算表の使用方法"/>
      <sheetName val="マン停"/>
      <sheetName val="②-6菅原B第2解析パレート図"/>
      <sheetName val="11月"/>
      <sheetName val="新規00上ｸﾞﾗﾌ"/>
      <sheetName val="車会集約"/>
      <sheetName val="クエリ2"/>
      <sheetName val="星取り"/>
      <sheetName val="実車評価ＥＤ"/>
      <sheetName val="COMMON 2"/>
      <sheetName val="選択肢"/>
      <sheetName val="基準"/>
      <sheetName val="calculate"/>
      <sheetName val="日程表 3X"/>
      <sheetName val="複合-日計算"/>
      <sheetName val="030718"/>
      <sheetName val="SW評価項目"/>
      <sheetName val="DATA計"/>
      <sheetName val="車両寸法"/>
      <sheetName val="灯火器寸法"/>
      <sheetName val="Distance Master"/>
      <sheetName val="Driver Master"/>
      <sheetName val="Truck Master"/>
      <sheetName val="Allowance Master"/>
      <sheetName val="結果"/>
      <sheetName val="FB sepa S2"/>
      <sheetName val="会社概況(国内)"/>
      <sheetName val="見積依頼書(海外)"/>
      <sheetName val="TT (13)"/>
      <sheetName val="AS-A"/>
      <sheetName val="SR-AU(N)"/>
      <sheetName val="SR-AU"/>
      <sheetName val="EF"/>
      <sheetName val="初期値"/>
      <sheetName val="Ass'y-A (Day)"/>
      <sheetName val="予算推移"/>
      <sheetName val="SMALL"/>
      <sheetName val="A010"/>
      <sheetName val="#20号車排ガス"/>
      <sheetName val="SUM"/>
      <sheetName val="G Van - Price Build up"/>
      <sheetName val="Injection Foam (4)"/>
      <sheetName val="MENU"/>
      <sheetName val="PL"/>
      <sheetName val="EPW 0630"/>
      <sheetName val="input"/>
      <sheetName val="MOTO"/>
      <sheetName val="Annual Sales"/>
      <sheetName val="ﾃﾞｰﾀ"/>
      <sheetName val="WJ素材費"/>
      <sheetName val="課題一覧"/>
      <sheetName val="1-C,D"/>
      <sheetName val="FUEL FILLER"/>
      <sheetName val="Tbom-tot"/>
      <sheetName val="업체명"/>
      <sheetName val="ORIGIN"/>
      <sheetName val="계산program"/>
      <sheetName val="Instructions"/>
      <sheetName val="FUEL_FILLER"/>
      <sheetName val="Sheet1_(2)2"/>
      <sheetName val="Production_Database_3991"/>
      <sheetName val="Unit_Price2"/>
      <sheetName val="[LR・LTｸﾚｰﾑ分析_xls塅䕃⹌塅Et1_(2)1"/>
      <sheetName val="_LR・LTｸﾚｰﾑ分析_xls塅䕃⹌塅Et1_(2)1"/>
      <sheetName val="342A_Block"/>
      <sheetName val="〈参考〉_P_7_シフトINディテント力"/>
      <sheetName val="ﾟ発表No_1"/>
      <sheetName val="Data Validation"/>
      <sheetName val="朱書き（業種）"/>
      <sheetName val=""/>
      <sheetName val="TABLE(LINE CODE)"/>
      <sheetName val="ﾄﾞﾛｯﾌﾟﾀﾞｳﾝLIST"/>
      <sheetName val="ｺｰﾄﾞ"/>
      <sheetName val="償却率"/>
      <sheetName val="104-Ⅰ計画"/>
      <sheetName val="_01_004"/>
      <sheetName val="700vol"/>
      <sheetName val="C1-8mode排ガス(Alt2改良)"/>
      <sheetName val="Group1"/>
      <sheetName val="比較"/>
      <sheetName val="Control fml"/>
      <sheetName val="output"/>
      <sheetName val="ﾛｲ"/>
      <sheetName val="ﾘｽﾄ"/>
      <sheetName val="初期情報入力画面"/>
      <sheetName val="１個人表1-10"/>
      <sheetName val="１個人表11-20"/>
      <sheetName val="２個人表1-10"/>
      <sheetName val="2個人表11-20"/>
      <sheetName val="Supp.List"/>
      <sheetName val="T基礎点"/>
      <sheetName val="T退職金Point"/>
      <sheetName val="FI1 COVER"/>
      <sheetName val="2-CR1"/>
      <sheetName val="3-PL1"/>
      <sheetName val="0-VR4 FI1"/>
      <sheetName val="BEG00"/>
      <sheetName val="4-SS1"/>
      <sheetName val="5-AJ2"/>
      <sheetName val="5-AJ3"/>
      <sheetName val="6-AP1"/>
      <sheetName val="5-AJ1"/>
      <sheetName val="5-AJ9"/>
      <sheetName val="W-List"/>
      <sheetName val="入力分類"/>
      <sheetName val="Draft Vehicle Format"/>
      <sheetName val="WG_00"/>
      <sheetName val="2000_ALL"/>
      <sheetName val="SUS_00"/>
      <sheetName val="Pick up"/>
      <sheetName val="Result"/>
      <sheetName val="2005"/>
      <sheetName val="ﾊﾞﾗﾝｻｰcal"/>
      <sheetName val="ｺﾝﾛｯﾄﾞcal"/>
      <sheetName val="ｸﾗﾝｸｹｰｽcal"/>
      <sheetName val="出荷車型"/>
      <sheetName val="Index"/>
      <sheetName val="T"/>
      <sheetName val="Average"/>
      <sheetName val="#ofclose"/>
      <sheetName val="Type I"/>
      <sheetName val="F4301"/>
      <sheetName val="試験依頼管理表"/>
      <sheetName val="分類"/>
      <sheetName val="1. Prod. (BG  TG   AC) 2016"/>
      <sheetName val="Compare Budget &amp; Actual Order"/>
      <sheetName val="LCV"/>
      <sheetName val="The Rule"/>
      <sheetName val="ES01 トルクカーブ 20121115"/>
      <sheetName val="RS"/>
      <sheetName val="Welding #2"/>
      <sheetName val="Cap. Injection "/>
      <sheetName val="RR"/>
      <sheetName val="3.Idea.Sewing "/>
      <sheetName val="Input-B2006wk"/>
      <sheetName val="ｼｬｼ"/>
      <sheetName val="DATA_MANUAL"/>
      <sheetName val="(sys)"/>
      <sheetName val="ディクショナリ"/>
      <sheetName val="テーブル一覧"/>
      <sheetName val="NCAB"/>
      <sheetName val="SPEC_LIST"/>
      <sheetName val="BP_volume_(2)"/>
      <sheetName val="BP_volume"/>
      <sheetName val="20kb_CR"/>
      <sheetName val="summary_(BP_ISZJ_Mar'12)"/>
      <sheetName val="PnL_2006_LE"/>
      <sheetName val="Page_3_(Samrong_UA)"/>
      <sheetName val="Page_4_(Gateway-TF)"/>
      <sheetName val="P_1"/>
      <sheetName val="200P_SHEET"/>
      <sheetName val="Table_Master"/>
      <sheetName val="Master_Route"/>
      <sheetName val="Car_Input"/>
      <sheetName val="G_Van_-_Price_Build_up"/>
      <sheetName val="MPL_技連1"/>
      <sheetName val="342E_BLOCK1"/>
      <sheetName val="NC-3_dAY"/>
      <sheetName val="total_change&amp;add"/>
      <sheetName val="Injection_Foam_(4)"/>
      <sheetName val="FB_sepa_S2"/>
      <sheetName val="part_list_ext_crew"/>
      <sheetName val="EPW_0630"/>
      <sheetName val="Pick_up"/>
      <sheetName val="1__Prod__(BG__TG___AC)_2016"/>
      <sheetName val="Compare_Budget_&amp;_Actual_Order"/>
      <sheetName val="SHOT-A(N)"/>
      <sheetName val="板厚-ｺｲﾙ巾"/>
      <sheetName val="実績台帳_クエリ"/>
      <sheetName val="Annual Production"/>
      <sheetName val="日程表_3X"/>
      <sheetName val="133NPR55_69_EC"/>
      <sheetName val="Distance_Master"/>
      <sheetName val="Driver_Master"/>
      <sheetName val="Truck_Master"/>
      <sheetName val="Allowance_Master"/>
      <sheetName val="TT_(13)"/>
      <sheetName val="Ass'y-A_(Day)"/>
      <sheetName val="A2_990"/>
      <sheetName val="RWP 33"/>
      <sheetName val="価格一覧"/>
      <sheetName val="市販品"/>
      <sheetName val="特注品"/>
      <sheetName val="G&amp;A"/>
      <sheetName val="1WT素材費"/>
      <sheetName val="グロマス仮"/>
      <sheetName val="ｲﾝﾌﾟｯﾄｼｰﾄ"/>
      <sheetName val="Toggle Details"/>
      <sheetName val="PartsRist"/>
      <sheetName val="リスクアセスメント表様式"/>
      <sheetName val="部位名"/>
      <sheetName val="国ｺｰﾄﾞ"/>
      <sheetName val="HUB 4X4 OP6A 251218"/>
      <sheetName val="4JB1-T1"/>
      <sheetName val="10"/>
      <sheetName val="Sheet1_(2)3"/>
      <sheetName val="Unit_Price3"/>
      <sheetName val="[LR・LTｸﾚｰﾑ分析_xls塅䕃⹌塅Et1_(2)2"/>
      <sheetName val="Production_Database_3992"/>
      <sheetName val="_LR・LTｸﾚｰﾑ分析_xls塅䕃⹌塅Et1_(2)2"/>
      <sheetName val="MPL_技連2"/>
      <sheetName val="342A_Block1"/>
      <sheetName val="〈参考〉_P_7_シフトINディテント力1"/>
      <sheetName val="ﾟ発表No_11"/>
      <sheetName val="R_GRILLE"/>
      <sheetName val="A2_9901"/>
      <sheetName val="342E_BLOCK2"/>
      <sheetName val="SPEC_LIST1"/>
      <sheetName val="part_list_ext_crew1"/>
      <sheetName val="データシート(定地)_(2)"/>
      <sheetName val="2-A､B_3-A"/>
      <sheetName val="C3_N_DC改造投資"/>
      <sheetName val="BP_volume_(2)1"/>
      <sheetName val="BP_volume1"/>
      <sheetName val="20kb_CR1"/>
      <sheetName val="summary_(BP_ISZJ_Mar'12)1"/>
      <sheetName val="PnL_2006_LE1"/>
      <sheetName val="P_11"/>
      <sheetName val="Page_3_(Samrong_UA)1"/>
      <sheetName val="Page_4_(Gateway-TF)1"/>
      <sheetName val="200P_SHEET1"/>
      <sheetName val="ap_17"/>
      <sheetName val="NC-3_dAY1"/>
      <sheetName val="Car_Input1"/>
      <sheetName val="Table_Master1"/>
      <sheetName val="_FE_0919Cal_TP3"/>
      <sheetName val="LAY-OUT_"/>
      <sheetName val="Side_&amp;_Pole"/>
      <sheetName val="190BODY_EMATRIX"/>
      <sheetName val="Master_Route1"/>
      <sheetName val="total_change&amp;add1"/>
      <sheetName val="27_進捗管理"/>
      <sheetName val="133NPR55_69_EC1"/>
      <sheetName val="COMMON_2"/>
      <sheetName val="日程表_3X1"/>
      <sheetName val="Distance_Master1"/>
      <sheetName val="Driver_Master1"/>
      <sheetName val="Truck_Master1"/>
      <sheetName val="Allowance_Master1"/>
      <sheetName val="FB_sepa_S21"/>
      <sheetName val="TT_(13)1"/>
      <sheetName val="Ass'y-A_(Day)1"/>
      <sheetName val="G_Van_-_Price_Build_up1"/>
      <sheetName val="Injection_Foam_(4)1"/>
      <sheetName val="EPW_06301"/>
      <sheetName val="Annual_Sales"/>
      <sheetName val="FUEL_FILLER1"/>
      <sheetName val="Data_Validation"/>
      <sheetName val="TABLE(LINE_CODE)"/>
      <sheetName val="Control_fml"/>
      <sheetName val="Supp_List"/>
      <sheetName val="FI1_COVER"/>
      <sheetName val="0-VR4_FI1"/>
      <sheetName val="Draft_Vehicle_Format"/>
      <sheetName val="Pick_up1"/>
      <sheetName val="Type_I"/>
      <sheetName val="1__Prod__(BG__TG___AC)_20161"/>
      <sheetName val="Compare_Budget_&amp;_Actual_Order1"/>
      <sheetName val="The_Rule"/>
      <sheetName val="ES01_トルクカーブ_20121115"/>
      <sheetName val="Welding_#2"/>
      <sheetName val="Cap__Injection_"/>
      <sheetName val="3_Idea_Sewing_"/>
      <sheetName val="Annual_Production"/>
      <sheetName val="RWP_33"/>
      <sheetName val="Toggle_Details"/>
      <sheetName val="166N Plist"/>
      <sheetName val="INCA"/>
      <sheetName val="ocean voyage"/>
      <sheetName val="11.CPU単価"/>
      <sheetName val="08.P772報告書030530"/>
      <sheetName val="99"/>
      <sheetName val="集計用"/>
      <sheetName val="90_2"/>
      <sheetName val="101"/>
      <sheetName val="19"/>
      <sheetName val="57F"/>
      <sheetName val="諸元まとめ"/>
      <sheetName val="TRY進捗"/>
      <sheetName val=" CV ALL"/>
      <sheetName val="総合B"/>
      <sheetName val="TF ; C-19"/>
      <sheetName val="Time study"/>
      <sheetName val="96期_川崎_"/>
      <sheetName val="DIEZEL動弁相場"/>
      <sheetName val="05-2"/>
      <sheetName val="連結新規"/>
      <sheetName val="日報"/>
      <sheetName val="Schedule(detail)"/>
      <sheetName val="設定一覧"/>
      <sheetName val="A3_フレーム"/>
      <sheetName val="A5_フレーム"/>
      <sheetName val="フレーム重心(UG測定)"/>
      <sheetName val="寸法"/>
      <sheetName val="XREF"/>
      <sheetName val="国内ベタ EXCELファイル指定"/>
      <sheetName val="貼付2"/>
      <sheetName val="リスト"/>
      <sheetName val="SPEC"/>
      <sheetName val="MS"/>
      <sheetName val="変更概要まとめ"/>
      <sheetName val="????? _x0015_ Op"/>
      <sheetName val="メイン画面 _x0015_ Op"/>
      <sheetName val="①cパターンルール"/>
      <sheetName val="Vehicle Number"/>
      <sheetName val="GROUP A"/>
      <sheetName val="メンバー"/>
      <sheetName val="選択リスト(削除不可)"/>
      <sheetName val="Vol条件見直し"/>
      <sheetName val="非稼働集計"/>
      <sheetName val="バス"/>
      <sheetName val="WCAP Phasing"/>
      <sheetName val="Count- Akim"/>
      <sheetName val="Additional Chassis"/>
      <sheetName val="Source"/>
      <sheetName val="CT F SERIES  (2)"/>
      <sheetName val="グラフ"/>
      <sheetName val="HOLE-UNIT TEMP"/>
      <sheetName val="Main Model"/>
      <sheetName val="_MISSION"/>
      <sheetName val="16,7"/>
      <sheetName val="F混流"/>
      <sheetName val="DATA01"/>
      <sheetName val="Q_Rep_月別工数詳細_new"/>
      <sheetName val="n_EngineShift"/>
      <sheetName val="H””äŠr‚Q"/>
      <sheetName val="MAKER LIST &amp; Rate Change"/>
      <sheetName val="ﾄﾞﾛｯﾌﾟﾀﾞｳﾝﾝﾘｽﾄ"/>
      <sheetName val="6S"/>
      <sheetName val="P"/>
      <sheetName val="4H"/>
      <sheetName val="05-3"/>
      <sheetName val="マスタ"/>
      <sheetName val="W-15F"/>
      <sheetName val="A000"/>
      <sheetName val="torq#7"/>
      <sheetName val="メーカー検索"/>
      <sheetName val="Orig Study for PPAP"/>
      <sheetName val="SCOP"/>
      <sheetName val="目標MAP_K3_MAP_TRG_MAX"/>
      <sheetName val="Sheet2 (3)"/>
      <sheetName val="表5-2 地区別CO2排出実績"/>
      <sheetName val="【ｸﾞﾗﾌ】P値V値"/>
      <sheetName val="Concept&amp;Cause"/>
      <sheetName val="ﾍﾞﾝﾁ"/>
      <sheetName val="AxleShft"/>
      <sheetName val="Brake"/>
      <sheetName val="Clutch"/>
      <sheetName val="result_data"/>
      <sheetName val="グラフ_距離"/>
      <sheetName val="Final"/>
      <sheetName val="Hoki"/>
      <sheetName val="mode"/>
      <sheetName val="その他"/>
      <sheetName val="Prop"/>
      <sheetName val="Tire"/>
      <sheetName val="単位"/>
      <sheetName val="p.no Coil"/>
      <sheetName val="COIL C3-6"/>
      <sheetName val="グループDB"/>
      <sheetName val="変更項目・評価内容"/>
      <sheetName val="1771"/>
      <sheetName val="1771.2"/>
      <sheetName val="HE5AA実測"/>
      <sheetName val="平板Ｃ"/>
      <sheetName val="FTRQDKR10DI40"/>
      <sheetName val="WŒvðŒ"/>
      <sheetName val="(旧)LIST"/>
      <sheetName val="º½Ä²¸_P-1"/>
      <sheetName val="駆動展開_MACRO1"/>
      <sheetName val="C3_N_DC改造投資1"/>
      <sheetName val="投資･工数推移"/>
      <sheetName val="cover (FAD)"/>
      <sheetName val="º½Ä²¸ P-1"/>
      <sheetName val="Key Index"/>
      <sheetName val="H””ärQ"/>
      <sheetName val="【参考】ECMｿﾌﾄID"/>
      <sheetName val="THAI SPEC NO."/>
      <sheetName val="0) Route Planning"/>
      <sheetName val="D1) Driver List"/>
      <sheetName val="ﾃﾞｰﾀｼｰﾄ"/>
      <sheetName val="Form"/>
      <sheetName val="Structure"/>
      <sheetName val="CAP SEW.RFRJ Sale#2 "/>
      <sheetName val="COIL B-6"/>
      <sheetName val="K"/>
      <sheetName val="部門課題"/>
      <sheetName val="MASTER"/>
      <sheetName val="P2 BUDGET"/>
      <sheetName val="HUB-HOLDER ORI (2)"/>
      <sheetName val="HUB-HOLDER"/>
      <sheetName val="Queriable GVDP 4.X"/>
      <sheetName val="TIMING CARD"/>
      <sheetName val="PROGRAM NAME CHANGE REPORT"/>
      <sheetName val="Queriable GVDP 3.X"/>
      <sheetName val="Queriable OTHER 4.X"/>
      <sheetName val="Queriable CLS"/>
      <sheetName val="Queriable Other"/>
      <sheetName val="DATA NILAI TEST BATCH 1"/>
      <sheetName val="全社"/>
      <sheetName val="重量表コピー"/>
      <sheetName val="取引先格付"/>
      <sheetName val="CRITERIA1"/>
      <sheetName val="PPA -  โรงงาน JIG"/>
      <sheetName val="ヘム型タイプ標準計画金額表"/>
      <sheetName val="案"/>
      <sheetName val="運用CT_クエリ_クエリ"/>
      <sheetName val="見積依頼書(日文)"/>
      <sheetName val="03年全部"/>
      <sheetName val="#REF!"/>
      <sheetName val="114W2次設変部品確認（組立） (3)"/>
      <sheetName val="受入新仕入先"/>
      <sheetName val="新規作成"/>
      <sheetName val="標試改訂"/>
      <sheetName val="プルダウンネタ"/>
      <sheetName val="EU設試プログラム管理表（裏）"/>
      <sheetName val="_____ _x0015_ Op"/>
      <sheetName val="_____ _x005f_x0015_ Op"/>
      <sheetName val="メイン画面 _x005f_x0015_ Op"/>
      <sheetName val="車両"/>
      <sheetName val="status"/>
      <sheetName val="ﾌﾟﾛﾄ_P772分解5号機"/>
      <sheetName val="前提表"/>
      <sheetName val="実績原価"/>
      <sheetName val="生涯利益計画ｼｰﾄ"/>
      <sheetName val="基準日および期間"/>
      <sheetName val="0409"/>
      <sheetName val="為替レート"/>
      <sheetName val="B"/>
      <sheetName val="차체부품 INS REPORT(갑)"/>
      <sheetName val="_原単位_"/>
      <sheetName val="comparision"/>
      <sheetName val="Sheet1_(2)4"/>
      <sheetName val="Unit_Price4"/>
      <sheetName val="[LR・LTｸﾚｰﾑ分析_xls塅䕃⹌塅Et1_(2)3"/>
      <sheetName val="Production_Database_3993"/>
      <sheetName val="_LR・LTｸﾚｰﾑ分析_xls塅䕃⹌塅Et1_(2)3"/>
      <sheetName val="MPL_技連3"/>
      <sheetName val="342A_Block2"/>
      <sheetName val="〈参考〉_P_7_シフトINディテント力2"/>
      <sheetName val="A2_9902"/>
      <sheetName val="ﾟ発表No_12"/>
      <sheetName val="R_GRILLE1"/>
      <sheetName val="342E_BLOCK3"/>
      <sheetName val="SPEC_LIST2"/>
      <sheetName val="part_list_ext_crew2"/>
      <sheetName val="データシート(定地)_(2)1"/>
      <sheetName val="2-A､B_3-A1"/>
      <sheetName val="BP_volume_(2)2"/>
      <sheetName val="BP_volume2"/>
      <sheetName val="20kb_CR2"/>
      <sheetName val="s-code"/>
      <sheetName val="NF"/>
      <sheetName val="選択項目"/>
      <sheetName val="パーツリスト"/>
      <sheetName val="VAVE Progress Summary"/>
      <sheetName val="FML"/>
      <sheetName val="部品単価（集計基）"/>
      <sheetName val="Graph"/>
      <sheetName val="summary_(BP_ISZJ_Mar'12)2"/>
      <sheetName val="PnL_2006_LE2"/>
      <sheetName val="P_12"/>
      <sheetName val="Page_3_(Samrong_UA)2"/>
      <sheetName val="Page_4_(Gateway-TF)2"/>
      <sheetName val="200P_SHEET2"/>
      <sheetName val="ap_171"/>
      <sheetName val="NC-3_dAY2"/>
      <sheetName val="Car_Input2"/>
      <sheetName val="Table_Master2"/>
      <sheetName val="_FE_0919Cal_TP31"/>
      <sheetName val="LAY-OUT_1"/>
      <sheetName val="Side_&amp;_Pole1"/>
      <sheetName val="Master_Route2"/>
      <sheetName val="total_change&amp;add2"/>
      <sheetName val="190BODY_EMATRIX1"/>
      <sheetName val="27_進捗管理1"/>
      <sheetName val="133NPR55_69_EC2"/>
      <sheetName val="FUEL_FILLER2"/>
      <sheetName val="Data_Validation1"/>
      <sheetName val="COMMON_21"/>
      <sheetName val="日程表_3X2"/>
      <sheetName val="Distance_Master2"/>
      <sheetName val="Driver_Master2"/>
      <sheetName val="Truck_Master2"/>
      <sheetName val="Allowance_Master2"/>
      <sheetName val="FB_sepa_S22"/>
      <sheetName val="TT_(13)2"/>
      <sheetName val="Ass'y-A_(Day)2"/>
      <sheetName val="G_Van_-_Price_Build_up2"/>
      <sheetName val="Injection_Foam_(4)2"/>
      <sheetName val="EPW_06302"/>
      <sheetName val="Annual_Sales1"/>
      <sheetName val="TABLE(LINE_CODE)1"/>
      <sheetName val="Control_fml1"/>
      <sheetName val="Draft_Vehicle_Format1"/>
      <sheetName val="Pick_up2"/>
      <sheetName val="Type_I1"/>
      <sheetName val="1__Prod__(BG__TG___AC)_20162"/>
      <sheetName val="Compare_Budget_&amp;_Actual_Order2"/>
      <sheetName val="The_Rule1"/>
      <sheetName val="ES01_トルクカーブ_201211151"/>
      <sheetName val="Welding_#21"/>
      <sheetName val="Cap__Injection_1"/>
      <sheetName val="3_Idea_Sewing_1"/>
      <sheetName val="Annual_Production1"/>
      <sheetName val="RWP_331"/>
      <sheetName val="Supp_List1"/>
      <sheetName val="FI1_COVER1"/>
      <sheetName val="0-VR4_FI11"/>
      <sheetName val="HUB_4X4_OP6A_251218"/>
      <sheetName val="Toggle_Details1"/>
      <sheetName val="166N_Plist"/>
      <sheetName val="ocean_voyage"/>
      <sheetName val="11_CPU単価"/>
      <sheetName val="08_P772報告書030530"/>
      <sheetName val="_CV_ALL"/>
      <sheetName val="TF_;_C-19"/>
      <sheetName val="Time_study"/>
      <sheetName val="200307検収漏れ"/>
      <sheetName val="PSM"/>
      <sheetName val="SVASM"/>
      <sheetName val="ライン別負荷"/>
      <sheetName val="計画表"/>
      <sheetName val="SV単品"/>
      <sheetName val="日当表"/>
      <sheetName val="_3199_187_192"/>
      <sheetName val="印刷"/>
      <sheetName val="MENO"/>
      <sheetName val="U00"/>
      <sheetName val="①　BP vs SPR (TTL Impact)"/>
      <sheetName val="社員"/>
      <sheetName val="KODE"/>
      <sheetName val="LOOKUP"/>
      <sheetName val="DWP"/>
      <sheetName val="sheet17"/>
      <sheetName val="CategoryA"/>
      <sheetName val="GRAFIK CYB 270"/>
      <sheetName val="เดือน ธ.ค.61    (2)"/>
      <sheetName val="PPA_-__โรงงาน_JIG"/>
      <sheetName val="DATA_NILAI_TEST_BATCH_1"/>
      <sheetName val="114W2次設変部品確認（組立）_(3)"/>
      <sheetName val="PPA_-__โรงงาน_JIG1"/>
      <sheetName val="DATA_NILAI_TEST_BATCH_11"/>
      <sheetName val="114W2次設変部品確認（組立）_(3)1"/>
      <sheetName val="Main_Model"/>
      <sheetName val="HOLE-UNIT_TEMP"/>
      <sheetName val="1771_2"/>
      <sheetName val="MAKER_LIST_&amp;_Rate_Change"/>
      <sheetName val="Summary Plant"/>
      <sheetName val="工程表"/>
      <sheetName val="4.กราฟ  จ้างเหมา61-62"/>
      <sheetName val="SUM TYCT1ST#040(สีโซลิค)"/>
      <sheetName val="SUM TYCT1ST#1D6(สีเมทาลิค"/>
      <sheetName val="DATA BASE D-CAB(ห้ามลบ)"/>
      <sheetName val="PRESS LINE TYCT1ST"/>
      <sheetName val="Welding SMM2.PRESS TYCT1ST"/>
      <sheetName val="Welding SR TYCT1ST"/>
      <sheetName val="Paint Line TYCT1#040(SOLID)"/>
      <sheetName val="Paint Line TYCT1#1D6(เมทาลิค)"/>
      <sheetName val="ASSEMBLY TYCT1ST สีชา"/>
      <sheetName val="Packing TYCT1ST"/>
      <sheetName val="+PALLET Packing C-CAB TYCT1ST"/>
      <sheetName val="ข้อมูลต้นฉบันธวัตร์TYCV5"/>
      <sheetName val="ธวัตร์-Welding SMM2.56"/>
      <sheetName val="SUM TYCT1+PALLET(สีโซลิค)"/>
      <sheetName val="SUM TYCT1+PALLET(สีเมทาลิค"/>
      <sheetName val="SUM TYCT1+กล่องกระดาษ(สีโซลิค)"/>
      <sheetName val="SUM TYCT1+กล่องกระดาษ(สีเมทาลิค"/>
      <sheetName val="+PALLET Packing C-CAB TYCT1"/>
      <sheetName val="ABC COST TYCT1ST-040,1CO PACK S"/>
      <sheetName val="Net Sales (Monthly) Projection"/>
      <sheetName val="日デ建設特装"/>
      <sheetName val="社員マスター"/>
      <sheetName val="toyota"/>
      <sheetName val="CRITERIA2"/>
      <sheetName val="กราฟ % on time ของปัญหา"/>
      <sheetName val="เปิดโครงการ ท-ส V2 TOYOTA640A"/>
      <sheetName val="จม.เสนอDIE+INS SIDE OTR V2"/>
      <sheetName val="จม.feasDIE BASE ROOF V2 IMV640A"/>
      <sheetName val="แนบ1 V2 TOYOTA IMV640A(2015)"/>
      <sheetName val="V2 TOYOTA 640A CAB,D-C 17-03-15"/>
      <sheetName val="แนบ 2 V2_9-3-15จากDIE DESIGN"/>
      <sheetName val="แนบ2 V1-7-3-15จากDIE DESIGN"/>
      <sheetName val="แนบ3 BEP V2 T.IMV640A(14.06ลบ.)"/>
      <sheetName val="INTEREST RATE(7%)"/>
      <sheetName val="V0_27-2-15จากDIE DESIGN"/>
      <sheetName val="แนบ4 SUM IMV640A V2 DC(ในปท+1CO"/>
      <sheetName val="แนบ5 SUM IMV640A V2 CC(ในปท+1CO"/>
      <sheetName val="แนบ6 SUM IMV640A V2 DC(EDP+1CO)"/>
      <sheetName val="แนบ7 SUM IMV640A V2 CC(EDP+1CO"/>
      <sheetName val="DIE COST V2 TOYOTA"/>
      <sheetName val="A.J.COST V2 TOYOTA"/>
      <sheetName val="TRIM COST V2 TOYOTA"/>
      <sheetName val="แนบ10 Press Line(D-CAB)"/>
      <sheetName val="แนบ11 Welding Line PRESS(D-CAB)"/>
      <sheetName val="แนบ12 Welding Line SR D-CAB"/>
      <sheetName val="แนบ13 Painting D-CAB(NO EDP+1CO"/>
      <sheetName val="แนบ14 Painting Line D-C(EDP+1CO"/>
      <sheetName val="แนบ15 Ass'y Line D-CAB(glass sl"/>
      <sheetName val="แนบ16 Packing Line(D-C)domestic"/>
      <sheetName val="แนบ17 Packing Line(D-C)export"/>
      <sheetName val="แนบ18 Press Line(C-CAB)"/>
      <sheetName val="แนบ19 Welding Line PRESS(C-CAB)"/>
      <sheetName val="แนบ20 Welding Line SR(C-CAB)"/>
      <sheetName val="แนบ21 Painting C-CAB(NO EDP+1CO"/>
      <sheetName val="แนบ22 Painting C-CAB(EDP+1CO)"/>
      <sheetName val="แนบ23 Ass'y Line C-CAB(glass sl"/>
      <sheetName val="แนบ24 Packing Line(C-C)domestic"/>
      <sheetName val="แนบ25 Packing Line(C-C)export"/>
      <sheetName val="DATA BASE C-CABห้ามลบ"/>
      <sheetName val="TRIM PART แยกกลุ่มย่อย"/>
      <sheetName val="DRY VAN. ปะหน้า QA.SMT-2ตั้ม"/>
      <sheetName val="TTO2-B43#FCPA"/>
      <sheetName val="Bracket 0M011,13"/>
      <sheetName val="元帳"/>
      <sheetName val="R_GRILLE2"/>
      <sheetName val="Side_&amp;_Pole2"/>
      <sheetName val="データシート(定地)_(2)2"/>
      <sheetName val="2-A､B_3-A2"/>
      <sheetName val="C3_N_DC改造投資2"/>
      <sheetName val="ap_172"/>
      <sheetName val="_FE_0919Cal_TP32"/>
      <sheetName val="LAY-OUT_2"/>
      <sheetName val="190BODY_EMATRIX2"/>
      <sheetName val="Sheet1_(2)5"/>
      <sheetName val="Unit_Price5"/>
      <sheetName val="[LR・LTｸﾚｰﾑ分析_xls塅䕃⹌塅Et1_(2)4"/>
      <sheetName val="Production_Database_3994"/>
      <sheetName val="_LR・LTｸﾚｰﾑ分析_xls塅䕃⹌塅Et1_(2)4"/>
      <sheetName val="MPL_技連4"/>
      <sheetName val="342A_Block3"/>
      <sheetName val="〈参考〉_P_7_シフトINディテント力3"/>
      <sheetName val="ﾟ発表No_13"/>
      <sheetName val="R_GRILLE3"/>
      <sheetName val="A2_9903"/>
      <sheetName val="Table_Master3"/>
      <sheetName val="Side_&amp;_Pole3"/>
      <sheetName val="342E_BLOCK4"/>
      <sheetName val="SPEC_LIST3"/>
      <sheetName val="part_list_ext_crew3"/>
      <sheetName val="データシート(定地)_(2)3"/>
      <sheetName val="2-A､B_3-A3"/>
      <sheetName val="C3_N_DC改造投資3"/>
      <sheetName val="BP_volume_(2)3"/>
      <sheetName val="BP_volume3"/>
      <sheetName val="20kb_CR3"/>
      <sheetName val="summary_(BP_ISZJ_Mar'12)3"/>
      <sheetName val="PnL_2006_LE3"/>
      <sheetName val="P_13"/>
      <sheetName val="Page_3_(Samrong_UA)3"/>
      <sheetName val="Page_4_(Gateway-TF)3"/>
      <sheetName val="200P_SHEET3"/>
      <sheetName val="ap_173"/>
      <sheetName val="NC-3_dAY3"/>
      <sheetName val="Car_Input3"/>
      <sheetName val="_FE_0919Cal_TP33"/>
      <sheetName val="LAY-OUT_3"/>
      <sheetName val="190BODY_EMATRIX3"/>
      <sheetName val="Sheet1_(2)6"/>
      <sheetName val="Unit_Price6"/>
      <sheetName val="[LR・LTｸﾚｰﾑ分析_xls塅䕃⹌塅Et1_(2)5"/>
      <sheetName val="Production_Database_3995"/>
      <sheetName val="_LR・LTｸﾚｰﾑ分析_xls塅䕃⹌塅Et1_(2)5"/>
      <sheetName val="MPL_技連5"/>
      <sheetName val="342A_Block4"/>
      <sheetName val="〈参考〉_P_7_シフトINディテント力4"/>
      <sheetName val="ﾟ発表No_14"/>
      <sheetName val="R_GRILLE4"/>
      <sheetName val="A2_9904"/>
      <sheetName val="Table_Master4"/>
      <sheetName val="Side_&amp;_Pole4"/>
      <sheetName val="342E_BLOCK5"/>
      <sheetName val="SPEC_LIST4"/>
      <sheetName val="part_list_ext_crew4"/>
      <sheetName val="データシート(定地)_(2)4"/>
      <sheetName val="2-A､B_3-A4"/>
      <sheetName val="C3_N_DC改造投資4"/>
      <sheetName val="BP_volume_(2)4"/>
      <sheetName val="BP_volume4"/>
      <sheetName val="20kb_CR4"/>
      <sheetName val="summary_(BP_ISZJ_Mar'12)4"/>
      <sheetName val="PnL_2006_LE4"/>
      <sheetName val="P_14"/>
      <sheetName val="Page_3_(Samrong_UA)4"/>
      <sheetName val="Page_4_(Gateway-TF)4"/>
      <sheetName val="200P_SHEET4"/>
      <sheetName val="ap_174"/>
      <sheetName val="NC-3_dAY4"/>
      <sheetName val="Car_Input4"/>
      <sheetName val="_FE_0919Cal_TP34"/>
      <sheetName val="LAY-OUT_4"/>
      <sheetName val="190BODY_EMATRIX4"/>
      <sheetName val="Sheet1_(2)7"/>
      <sheetName val="Unit_Price7"/>
      <sheetName val="[LR・LTｸﾚｰﾑ分析_xls塅䕃⹌塅Et1_(2)6"/>
      <sheetName val="Production_Database_3996"/>
      <sheetName val="_LR・LTｸﾚｰﾑ分析_xls塅䕃⹌塅Et1_(2)6"/>
      <sheetName val="MPL_技連6"/>
      <sheetName val="342A_Block5"/>
      <sheetName val="〈参考〉_P_7_シフトINディテント力5"/>
      <sheetName val="ﾟ発表No_15"/>
      <sheetName val="R_GRILLE5"/>
      <sheetName val="A2_9905"/>
      <sheetName val="Table_Master5"/>
      <sheetName val="Side_&amp;_Pole5"/>
      <sheetName val="342E_BLOCK6"/>
      <sheetName val="SPEC_LIST5"/>
      <sheetName val="part_list_ext_crew5"/>
      <sheetName val="データシート(定地)_(2)5"/>
      <sheetName val="2-A､B_3-A5"/>
      <sheetName val="C3_N_DC改造投資5"/>
      <sheetName val="BP_volume_(2)5"/>
      <sheetName val="BP_volume5"/>
      <sheetName val="20kb_CR5"/>
      <sheetName val="summary_(BP_ISZJ_Mar'12)5"/>
      <sheetName val="PnL_2006_LE5"/>
      <sheetName val="P_15"/>
      <sheetName val="Page_3_(Samrong_UA)5"/>
      <sheetName val="Page_4_(Gateway-TF)5"/>
      <sheetName val="200P_SHEET5"/>
      <sheetName val="ap_175"/>
      <sheetName val="NC-3_dAY5"/>
      <sheetName val="Car_Input5"/>
      <sheetName val="_FE_0919Cal_TP35"/>
      <sheetName val="LAY-OUT_5"/>
      <sheetName val="190BODY_EMATRIX5"/>
      <sheetName val="Sheet1_(2)8"/>
      <sheetName val="Unit_Price8"/>
      <sheetName val="[LR・LTｸﾚｰﾑ分析_xls塅䕃⹌塅Et1_(2)7"/>
      <sheetName val="Production_Database_3997"/>
      <sheetName val="_LR・LTｸﾚｰﾑ分析_xls塅䕃⹌塅Et1_(2)7"/>
      <sheetName val="MPL_技連7"/>
      <sheetName val="342A_Block6"/>
      <sheetName val="〈参考〉_P_7_シフトINディテント力6"/>
      <sheetName val="ﾟ発表No_16"/>
      <sheetName val="R_GRILLE6"/>
      <sheetName val="A2_9906"/>
      <sheetName val="Table_Master6"/>
      <sheetName val="Side_&amp;_Pole6"/>
      <sheetName val="342E_BLOCK7"/>
      <sheetName val="SPEC_LIST6"/>
      <sheetName val="part_list_ext_crew6"/>
      <sheetName val="データシート(定地)_(2)6"/>
      <sheetName val="2-A､B_3-A6"/>
      <sheetName val="C3_N_DC改造投資6"/>
      <sheetName val="BP_volume_(2)6"/>
      <sheetName val="BP_volume6"/>
      <sheetName val="20kb_CR6"/>
      <sheetName val="summary_(BP_ISZJ_Mar'12)6"/>
      <sheetName val="PnL_2006_LE6"/>
      <sheetName val="P_16"/>
      <sheetName val="Page_3_(Samrong_UA)6"/>
      <sheetName val="Page_4_(Gateway-TF)6"/>
      <sheetName val="200P_SHEET6"/>
      <sheetName val="ap_176"/>
      <sheetName val="NC-3_dAY6"/>
      <sheetName val="Car_Input6"/>
      <sheetName val="_FE_0919Cal_TP36"/>
      <sheetName val="LAY-OUT_6"/>
      <sheetName val="190BODY_EMATRIX6"/>
      <sheetName val="Sheet1_(2)9"/>
      <sheetName val="Unit_Price9"/>
      <sheetName val="[LR・LTｸﾚｰﾑ分析_xls塅䕃⹌塅Et1_(2)8"/>
      <sheetName val="Production_Database_3998"/>
      <sheetName val="_LR・LTｸﾚｰﾑ分析_xls塅䕃⹌塅Et1_(2)8"/>
      <sheetName val="MPL_技連8"/>
      <sheetName val="342A_Block7"/>
      <sheetName val="〈参考〉_P_7_シフトINディテント力7"/>
      <sheetName val="ﾟ発表No_17"/>
      <sheetName val="R_GRILLE7"/>
      <sheetName val="A2_9907"/>
      <sheetName val="Table_Master7"/>
      <sheetName val="Side_&amp;_Pole7"/>
      <sheetName val="342E_BLOCK8"/>
      <sheetName val="SPEC_LIST7"/>
      <sheetName val="part_list_ext_crew7"/>
      <sheetName val="データシート(定地)_(2)7"/>
      <sheetName val="2-A､B_3-A7"/>
      <sheetName val="C3_N_DC改造投資7"/>
      <sheetName val="BP_volume_(2)7"/>
      <sheetName val="BP_volume7"/>
      <sheetName val="20kb_CR7"/>
      <sheetName val="summary_(BP_ISZJ_Mar'12)7"/>
      <sheetName val="PnL_2006_LE7"/>
      <sheetName val="P_17"/>
      <sheetName val="Page_3_(Samrong_UA)7"/>
      <sheetName val="Page_4_(Gateway-TF)7"/>
      <sheetName val="200P_SHEET7"/>
      <sheetName val="ap_177"/>
      <sheetName val="NC-3_dAY7"/>
      <sheetName val="Car_Input7"/>
      <sheetName val="_FE_0919Cal_TP37"/>
      <sheetName val="LAY-OUT_7"/>
      <sheetName val="190BODY_EMATRIX7"/>
      <sheetName val="Sheet1_(2)10"/>
      <sheetName val="Unit_Price10"/>
      <sheetName val="[LR・LTｸﾚｰﾑ分析_xls塅䕃⹌塅Et1_(2)9"/>
      <sheetName val="Production_Database_3999"/>
      <sheetName val="_LR・LTｸﾚｰﾑ分析_xls塅䕃⹌塅Et1_(2)9"/>
      <sheetName val="MPL_技連9"/>
      <sheetName val="342A_Block8"/>
      <sheetName val="〈参考〉_P_7_シフトINディテント力8"/>
      <sheetName val="ﾟ発表No_18"/>
      <sheetName val="R_GRILLE8"/>
      <sheetName val="A2_9908"/>
      <sheetName val="Table_Master8"/>
      <sheetName val="Side_&amp;_Pole8"/>
      <sheetName val="342E_BLOCK9"/>
      <sheetName val="SPEC_LIST8"/>
      <sheetName val="part_list_ext_crew8"/>
      <sheetName val="データシート(定地)_(2)8"/>
      <sheetName val="2-A､B_3-A8"/>
      <sheetName val="C3_N_DC改造投資8"/>
      <sheetName val="BP_volume_(2)8"/>
      <sheetName val="BP_volume8"/>
      <sheetName val="20kb_CR8"/>
      <sheetName val="summary_(BP_ISZJ_Mar'12)8"/>
      <sheetName val="PnL_2006_LE8"/>
      <sheetName val="P_18"/>
      <sheetName val="Page_3_(Samrong_UA)8"/>
      <sheetName val="Page_4_(Gateway-TF)8"/>
      <sheetName val="200P_SHEET8"/>
      <sheetName val="ap_178"/>
      <sheetName val="NC-3_dAY8"/>
      <sheetName val="Car_Input8"/>
      <sheetName val="_FE_0919Cal_TP38"/>
      <sheetName val="LAY-OUT_8"/>
      <sheetName val="190BODY_EMATRIX8"/>
      <sheetName val="Sheet1_(2)11"/>
      <sheetName val="Unit_Price11"/>
      <sheetName val="[LR・LTｸﾚｰﾑ分析_xls塅䕃⹌塅Et1_(2)10"/>
      <sheetName val="Production_Database_39910"/>
      <sheetName val="_LR・LTｸﾚｰﾑ分析_xls塅䕃⹌塅Et1_(2)10"/>
      <sheetName val="MPL_技連10"/>
      <sheetName val="342A_Block9"/>
      <sheetName val="〈参考〉_P_7_シフトINディテント力9"/>
      <sheetName val="ﾟ発表No_19"/>
      <sheetName val="R_GRILLE9"/>
      <sheetName val="A2_9909"/>
      <sheetName val="Table_Master9"/>
      <sheetName val="Side_&amp;_Pole9"/>
      <sheetName val="342E_BLOCK10"/>
      <sheetName val="SPEC_LIST9"/>
      <sheetName val="part_list_ext_crew9"/>
      <sheetName val="データシート(定地)_(2)9"/>
      <sheetName val="2-A､B_3-A9"/>
      <sheetName val="C3_N_DC改造投資9"/>
      <sheetName val="BP_volume_(2)9"/>
      <sheetName val="BP_volume9"/>
      <sheetName val="20kb_CR9"/>
      <sheetName val="summary_(BP_ISZJ_Mar'12)9"/>
      <sheetName val="PnL_2006_LE9"/>
      <sheetName val="P_19"/>
      <sheetName val="Page_3_(Samrong_UA)9"/>
      <sheetName val="Page_4_(Gateway-TF)9"/>
      <sheetName val="200P_SHEET9"/>
      <sheetName val="ap_179"/>
      <sheetName val="NC-3_dAY9"/>
      <sheetName val="Car_Input9"/>
      <sheetName val="_FE_0919Cal_TP39"/>
      <sheetName val="LAY-OUT_9"/>
      <sheetName val="190BODY_EMATRIX9"/>
      <sheetName val="Sheet1_(2)12"/>
      <sheetName val="Unit_Price12"/>
      <sheetName val="[LR・LTｸﾚｰﾑ分析_xls塅䕃⹌塅Et1_(2)11"/>
      <sheetName val="Production_Database_39911"/>
      <sheetName val="_LR・LTｸﾚｰﾑ分析_xls塅䕃⹌塅Et1_(2)11"/>
      <sheetName val="MPL_技連11"/>
      <sheetName val="342A_Block10"/>
      <sheetName val="〈参考〉_P_7_シフトINディテント力10"/>
      <sheetName val="ﾟ発表No_110"/>
      <sheetName val="R_GRILLE10"/>
      <sheetName val="A2_99010"/>
      <sheetName val="Table_Master10"/>
      <sheetName val="Side_&amp;_Pole10"/>
      <sheetName val="342E_BLOCK11"/>
      <sheetName val="SPEC_LIST10"/>
      <sheetName val="part_list_ext_crew10"/>
      <sheetName val="データシート(定地)_(2)10"/>
      <sheetName val="2-A､B_3-A10"/>
      <sheetName val="C3_N_DC改造投資10"/>
      <sheetName val="BP_volume_(2)10"/>
      <sheetName val="BP_volume10"/>
      <sheetName val="20kb_CR10"/>
      <sheetName val="summary_(BP_ISZJ_Mar'12)10"/>
      <sheetName val="PnL_2006_LE10"/>
      <sheetName val="P_110"/>
      <sheetName val="Page_3_(Samrong_UA)10"/>
      <sheetName val="Page_4_(Gateway-TF)10"/>
      <sheetName val="200P_SHEET10"/>
      <sheetName val="ap_1710"/>
      <sheetName val="NC-3_dAY10"/>
      <sheetName val="Car_Input10"/>
      <sheetName val="_FE_0919Cal_TP310"/>
      <sheetName val="LAY-OUT_10"/>
      <sheetName val="190BODY_EMATRIX10"/>
      <sheetName val="【補】KNOB"/>
      <sheetName val="入力1"/>
      <sheetName val="Purchase Order"/>
      <sheetName val="Customize Your Purchase Order"/>
      <sheetName val="ﾛｰﾙﾏｰｼﾞﾝ他"/>
      <sheetName val="Actual"/>
      <sheetName val="LVMAY"/>
      <sheetName val="134車型&amp;仕様"/>
      <sheetName val="N900凯威4500&amp;4750 PP 样车FCPA评审"/>
      <sheetName val="投資ﾘｽﾄ"/>
      <sheetName val="項目定義"/>
      <sheetName val="ทำข้อมูล"/>
      <sheetName val="Over all FS A"/>
      <sheetName val="DATE"/>
      <sheetName val="Selection"/>
      <sheetName val="1-C,D,E"/>
      <sheetName val="MZX EPH暫定対策"/>
      <sheetName val="MZX現状（中央値）"/>
      <sheetName val="MZX新規SPRING ALT1"/>
      <sheetName val="MZX新規SPRING ALT2"/>
      <sheetName val="ASMｼﾌﾄ後"/>
      <sheetName val="Assumptions"/>
      <sheetName val="main"/>
      <sheetName val="Sheet4"/>
      <sheetName val="Mixanal"/>
      <sheetName val="p_no_Coil"/>
      <sheetName val="COIL_C3-6"/>
      <sheetName val="表5-2_地区別CO2排出実績"/>
      <sheetName val="cover_(FAD)"/>
      <sheetName val="º½Ä²¸_P-11"/>
      <sheetName val="Key_Index"/>
      <sheetName val="Summary_Plant"/>
      <sheetName val="CAP_SEW_RFRJ_Sale#2_"/>
      <sheetName val="COIL_B-6"/>
      <sheetName val="THAI_SPEC_NO_"/>
      <sheetName val="0)_Route_Planning"/>
      <sheetName val="D1)_Driver_List"/>
      <sheetName val="Sheet1(RZ)"/>
      <sheetName val="Progress Target 2019"/>
      <sheetName val="Sheet2(4J)"/>
      <sheetName val="Status meaning"/>
      <sheetName val="Summary data"/>
      <sheetName val="Data Base"/>
      <sheetName val="TGRT_CM"/>
      <sheetName val="Summary volume 2020"/>
      <sheetName val="IMCT Working condition"/>
      <sheetName val="Reply Sheet (FOB)"/>
      <sheetName val="Reply Sheet(WAM Hi)"/>
      <sheetName val="Reply Sheet (WAM Low)"/>
      <sheetName val="Reply Sheet (WAM Mid)"/>
      <sheetName val="Example (Rev.1)"/>
      <sheetName val="รายชื่อ"/>
      <sheetName val="Over all 2ND"/>
      <sheetName val="疲労限度線図"/>
      <sheetName val="094_APP別"/>
      <sheetName val="”開発狙い”一覧表"/>
      <sheetName val="入力規則リスト他"/>
      <sheetName val="運用ルール"/>
      <sheetName val="190XS設計室1128"/>
      <sheetName val="吊上げパ(20)"/>
      <sheetName val="吊上げパ_20_"/>
      <sheetName val="TP_Bud05_reGM"/>
      <sheetName val="D2) Truck List"/>
      <sheetName val="購買担当"/>
      <sheetName val="LeafspringDetails"/>
      <sheetName val="発行表"/>
      <sheetName val="__ PLASTIC UP_TPIA "/>
      <sheetName val="PRE_BUDGET REPORT_2012"/>
      <sheetName val="ban-ling"/>
      <sheetName val="初期03"/>
      <sheetName val="DtRework"/>
      <sheetName val="6B8MOD15"/>
      <sheetName val="Sub Acc"/>
      <sheetName val="Sheet1_(2)13"/>
      <sheetName val="Unit_Price13"/>
      <sheetName val="[LR・LTｸﾚｰﾑ分析_xls塅䕃⹌塅Et1_(2)12"/>
      <sheetName val="Production_Database_39912"/>
      <sheetName val="_LR・LTｸﾚｰﾑ分析_xls塅䕃⹌塅Et1_(2)12"/>
      <sheetName val="MPL_技連12"/>
      <sheetName val="342A_Block11"/>
      <sheetName val="〈参考〉_P_7_シフトINディテント力11"/>
      <sheetName val="ﾟ発表No_111"/>
      <sheetName val="R_GRILLE11"/>
      <sheetName val="A2_99011"/>
      <sheetName val="Table_Master11"/>
      <sheetName val="Side_&amp;_Pole11"/>
      <sheetName val="342E_BLOCK12"/>
      <sheetName val="SPEC_LIST11"/>
      <sheetName val="part_list_ext_crew11"/>
      <sheetName val="データシート(定地)_(2)11"/>
      <sheetName val="2-A､B_3-A11"/>
      <sheetName val="C3_N_DC改造投資11"/>
      <sheetName val="BP_volume_(2)11"/>
      <sheetName val="BP_volume11"/>
      <sheetName val="20kb_CR11"/>
      <sheetName val="summary_(BP_ISZJ_Mar'12)11"/>
      <sheetName val="PnL_2006_LE11"/>
      <sheetName val="P_111"/>
      <sheetName val="Page_3_(Samrong_UA)11"/>
      <sheetName val="Page_4_(Gateway-TF)11"/>
      <sheetName val="200P_SHEET11"/>
      <sheetName val="ap_1711"/>
      <sheetName val="NC-3_dAY11"/>
      <sheetName val="Car_Input11"/>
      <sheetName val="_FE_0919Cal_TP311"/>
      <sheetName val="LAY-OUT_11"/>
      <sheetName val="190BODY_EMATRIX11"/>
      <sheetName val="Sheet1_(2)14"/>
      <sheetName val="Unit_Price14"/>
      <sheetName val="[LR・LTｸﾚｰﾑ分析_xls塅䕃⹌塅Et1_(2)13"/>
      <sheetName val="Production_Database_39913"/>
      <sheetName val="_LR・LTｸﾚｰﾑ分析_xls塅䕃⹌塅Et1_(2)13"/>
      <sheetName val="MPL_技連13"/>
      <sheetName val="342A_Block12"/>
      <sheetName val="〈参考〉_P_7_シフトINディテント力12"/>
      <sheetName val="ﾟ発表No_112"/>
      <sheetName val="R_GRILLE12"/>
      <sheetName val="A2_99012"/>
      <sheetName val="Table_Master12"/>
      <sheetName val="Side_&amp;_Pole12"/>
      <sheetName val="342E_BLOCK13"/>
      <sheetName val="SPEC_LIST12"/>
      <sheetName val="part_list_ext_crew12"/>
      <sheetName val="データシート(定地)_(2)12"/>
      <sheetName val="2-A､B_3-A12"/>
      <sheetName val="C3_N_DC改造投資12"/>
      <sheetName val="BP_volume_(2)12"/>
      <sheetName val="BP_volume12"/>
      <sheetName val="20kb_CR12"/>
      <sheetName val="summary_(BP_ISZJ_Mar'12)12"/>
      <sheetName val="PnL_2006_LE12"/>
      <sheetName val="P_112"/>
      <sheetName val="Page_3_(Samrong_UA)12"/>
      <sheetName val="Page_4_(Gateway-TF)12"/>
      <sheetName val="200P_SHEET12"/>
      <sheetName val="ap_1712"/>
      <sheetName val="NC-3_dAY12"/>
      <sheetName val="Car_Input12"/>
      <sheetName val="_FE_0919Cal_TP312"/>
      <sheetName val="LAY-OUT_12"/>
      <sheetName val="190BODY_EMATRIX12"/>
      <sheetName val="#ofclose .xl"/>
      <sheetName val="SLAB"/>
      <sheetName val="目標管理表(実績）"/>
      <sheetName val="2008年1-6月管理费用"/>
      <sheetName val="2008年1-6月销售费用"/>
      <sheetName val="存货汇总表10"/>
      <sheetName val="Lead"/>
      <sheetName val="Sales breakdown"/>
      <sheetName val="TestResults"/>
      <sheetName val="入力カード"/>
    </sheetNames>
    <sheetDataSet>
      <sheetData sheetId="0"/>
      <sheetData sheetId="1"/>
      <sheetData sheetId="2"/>
      <sheetData sheetId="3"/>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sheetData sheetId="61"/>
      <sheetData sheetId="62"/>
      <sheetData sheetId="63"/>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sheetData sheetId="90"/>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 sheetId="99" refreshError="1"/>
      <sheetData sheetId="100" refreshError="1"/>
      <sheetData sheetId="101" refreshError="1"/>
      <sheetData sheetId="102" refreshError="1"/>
      <sheetData sheetId="103" refreshError="1"/>
      <sheetData sheetId="104" refreshError="1"/>
      <sheetData sheetId="105" refreshError="1"/>
      <sheetData sheetId="106" refreshError="1"/>
      <sheetData sheetId="107" refreshError="1"/>
      <sheetData sheetId="108" refreshError="1"/>
      <sheetData sheetId="109" refreshError="1"/>
      <sheetData sheetId="110" refreshError="1"/>
      <sheetData sheetId="111" refreshError="1"/>
      <sheetData sheetId="112" refreshError="1"/>
      <sheetData sheetId="113" refreshError="1"/>
      <sheetData sheetId="114" refreshError="1"/>
      <sheetData sheetId="115" refreshError="1"/>
      <sheetData sheetId="116" refreshError="1"/>
      <sheetData sheetId="117" refreshError="1"/>
      <sheetData sheetId="118" refreshError="1"/>
      <sheetData sheetId="119" refreshError="1"/>
      <sheetData sheetId="120" refreshError="1"/>
      <sheetData sheetId="121" refreshError="1"/>
      <sheetData sheetId="122" refreshError="1"/>
      <sheetData sheetId="123" refreshError="1"/>
      <sheetData sheetId="124" refreshError="1"/>
      <sheetData sheetId="125" refreshError="1"/>
      <sheetData sheetId="126" refreshError="1"/>
      <sheetData sheetId="127" refreshError="1"/>
      <sheetData sheetId="128" refreshError="1"/>
      <sheetData sheetId="129" refreshError="1"/>
      <sheetData sheetId="130" refreshError="1"/>
      <sheetData sheetId="131" refreshError="1"/>
      <sheetData sheetId="132" refreshError="1"/>
      <sheetData sheetId="133" refreshError="1"/>
      <sheetData sheetId="134" refreshError="1"/>
      <sheetData sheetId="135" refreshError="1"/>
      <sheetData sheetId="136" refreshError="1"/>
      <sheetData sheetId="137" refreshError="1"/>
      <sheetData sheetId="138" refreshError="1"/>
      <sheetData sheetId="139" refreshError="1"/>
      <sheetData sheetId="140" refreshError="1"/>
      <sheetData sheetId="141" refreshError="1"/>
      <sheetData sheetId="142" refreshError="1"/>
      <sheetData sheetId="143" refreshError="1"/>
      <sheetData sheetId="144"/>
      <sheetData sheetId="145" refreshError="1"/>
      <sheetData sheetId="146" refreshError="1"/>
      <sheetData sheetId="147" refreshError="1"/>
      <sheetData sheetId="148" refreshError="1"/>
      <sheetData sheetId="149" refreshError="1"/>
      <sheetData sheetId="150" refreshError="1"/>
      <sheetData sheetId="151" refreshError="1"/>
      <sheetData sheetId="152" refreshError="1"/>
      <sheetData sheetId="153" refreshError="1"/>
      <sheetData sheetId="154" refreshError="1"/>
      <sheetData sheetId="155" refreshError="1"/>
      <sheetData sheetId="156" refreshError="1"/>
      <sheetData sheetId="157" refreshError="1"/>
      <sheetData sheetId="158" refreshError="1"/>
      <sheetData sheetId="159" refreshError="1"/>
      <sheetData sheetId="160" refreshError="1"/>
      <sheetData sheetId="161" refreshError="1"/>
      <sheetData sheetId="162" refreshError="1"/>
      <sheetData sheetId="163" refreshError="1"/>
      <sheetData sheetId="164" refreshError="1"/>
      <sheetData sheetId="165" refreshError="1"/>
      <sheetData sheetId="166" refreshError="1"/>
      <sheetData sheetId="167" refreshError="1"/>
      <sheetData sheetId="168" refreshError="1"/>
      <sheetData sheetId="169" refreshError="1"/>
      <sheetData sheetId="170" refreshError="1"/>
      <sheetData sheetId="171" refreshError="1"/>
      <sheetData sheetId="172"/>
      <sheetData sheetId="173" refreshError="1"/>
      <sheetData sheetId="174" refreshError="1"/>
      <sheetData sheetId="175" refreshError="1"/>
      <sheetData sheetId="176" refreshError="1"/>
      <sheetData sheetId="177" refreshError="1"/>
      <sheetData sheetId="178"/>
      <sheetData sheetId="179"/>
      <sheetData sheetId="180"/>
      <sheetData sheetId="181"/>
      <sheetData sheetId="182"/>
      <sheetData sheetId="183"/>
      <sheetData sheetId="184"/>
      <sheetData sheetId="185"/>
      <sheetData sheetId="186"/>
      <sheetData sheetId="187"/>
      <sheetData sheetId="188" refreshError="1"/>
      <sheetData sheetId="189" refreshError="1"/>
      <sheetData sheetId="190" refreshError="1"/>
      <sheetData sheetId="191" refreshError="1"/>
      <sheetData sheetId="192" refreshError="1"/>
      <sheetData sheetId="193" refreshError="1"/>
      <sheetData sheetId="194"/>
      <sheetData sheetId="195" refreshError="1"/>
      <sheetData sheetId="196" refreshError="1"/>
      <sheetData sheetId="197" refreshError="1"/>
      <sheetData sheetId="198" refreshError="1"/>
      <sheetData sheetId="199" refreshError="1"/>
      <sheetData sheetId="200"/>
      <sheetData sheetId="201" refreshError="1"/>
      <sheetData sheetId="202" refreshError="1"/>
      <sheetData sheetId="203" refreshError="1"/>
      <sheetData sheetId="204" refreshError="1"/>
      <sheetData sheetId="205" refreshError="1"/>
      <sheetData sheetId="206" refreshError="1"/>
      <sheetData sheetId="207" refreshError="1"/>
      <sheetData sheetId="208" refreshError="1"/>
      <sheetData sheetId="209" refreshError="1"/>
      <sheetData sheetId="210" refreshError="1"/>
      <sheetData sheetId="211" refreshError="1"/>
      <sheetData sheetId="212" refreshError="1"/>
      <sheetData sheetId="213" refreshError="1"/>
      <sheetData sheetId="214" refreshError="1"/>
      <sheetData sheetId="215" refreshError="1"/>
      <sheetData sheetId="216" refreshError="1"/>
      <sheetData sheetId="217" refreshError="1"/>
      <sheetData sheetId="218" refreshError="1"/>
      <sheetData sheetId="219" refreshError="1"/>
      <sheetData sheetId="220" refreshError="1"/>
      <sheetData sheetId="221" refreshError="1"/>
      <sheetData sheetId="222" refreshError="1"/>
      <sheetData sheetId="223" refreshError="1"/>
      <sheetData sheetId="224" refreshError="1"/>
      <sheetData sheetId="225" refreshError="1"/>
      <sheetData sheetId="226" refreshError="1"/>
      <sheetData sheetId="227" refreshError="1"/>
      <sheetData sheetId="228" refreshError="1"/>
      <sheetData sheetId="229" refreshError="1"/>
      <sheetData sheetId="230" refreshError="1"/>
      <sheetData sheetId="231" refreshError="1"/>
      <sheetData sheetId="232" refreshError="1"/>
      <sheetData sheetId="233" refreshError="1"/>
      <sheetData sheetId="234" refreshError="1"/>
      <sheetData sheetId="235" refreshError="1"/>
      <sheetData sheetId="236" refreshError="1"/>
      <sheetData sheetId="237" refreshError="1"/>
      <sheetData sheetId="238" refreshError="1"/>
      <sheetData sheetId="239" refreshError="1"/>
      <sheetData sheetId="240" refreshError="1"/>
      <sheetData sheetId="241" refreshError="1"/>
      <sheetData sheetId="242" refreshError="1"/>
      <sheetData sheetId="243" refreshError="1"/>
      <sheetData sheetId="244" refreshError="1"/>
      <sheetData sheetId="245" refreshError="1"/>
      <sheetData sheetId="246" refreshError="1"/>
      <sheetData sheetId="247" refreshError="1"/>
      <sheetData sheetId="248" refreshError="1"/>
      <sheetData sheetId="249" refreshError="1"/>
      <sheetData sheetId="250" refreshError="1"/>
      <sheetData sheetId="251" refreshError="1"/>
      <sheetData sheetId="252" refreshError="1"/>
      <sheetData sheetId="253" refreshError="1"/>
      <sheetData sheetId="254" refreshError="1"/>
      <sheetData sheetId="255" refreshError="1"/>
      <sheetData sheetId="256" refreshError="1"/>
      <sheetData sheetId="257" refreshError="1"/>
      <sheetData sheetId="258" refreshError="1"/>
      <sheetData sheetId="259" refreshError="1"/>
      <sheetData sheetId="260" refreshError="1"/>
      <sheetData sheetId="261" refreshError="1"/>
      <sheetData sheetId="262" refreshError="1"/>
      <sheetData sheetId="263" refreshError="1"/>
      <sheetData sheetId="264" refreshError="1"/>
      <sheetData sheetId="265" refreshError="1"/>
      <sheetData sheetId="266" refreshError="1"/>
      <sheetData sheetId="267" refreshError="1"/>
      <sheetData sheetId="268"/>
      <sheetData sheetId="269"/>
      <sheetData sheetId="270"/>
      <sheetData sheetId="271"/>
      <sheetData sheetId="272"/>
      <sheetData sheetId="273"/>
      <sheetData sheetId="274"/>
      <sheetData sheetId="275"/>
      <sheetData sheetId="276"/>
      <sheetData sheetId="277" refreshError="1"/>
      <sheetData sheetId="278" refreshError="1"/>
      <sheetData sheetId="279" refreshError="1"/>
      <sheetData sheetId="280" refreshError="1"/>
      <sheetData sheetId="281" refreshError="1"/>
      <sheetData sheetId="282" refreshError="1"/>
      <sheetData sheetId="283" refreshError="1"/>
      <sheetData sheetId="284" refreshError="1"/>
      <sheetData sheetId="285" refreshError="1"/>
      <sheetData sheetId="286" refreshError="1"/>
      <sheetData sheetId="287" refreshError="1"/>
      <sheetData sheetId="288" refreshError="1"/>
      <sheetData sheetId="289" refreshError="1"/>
      <sheetData sheetId="290" refreshError="1"/>
      <sheetData sheetId="291" refreshError="1"/>
      <sheetData sheetId="292" refreshError="1"/>
      <sheetData sheetId="293" refreshError="1"/>
      <sheetData sheetId="294" refreshError="1"/>
      <sheetData sheetId="295" refreshError="1"/>
      <sheetData sheetId="296" refreshError="1"/>
      <sheetData sheetId="297" refreshError="1"/>
      <sheetData sheetId="298" refreshError="1"/>
      <sheetData sheetId="299" refreshError="1"/>
      <sheetData sheetId="300" refreshError="1"/>
      <sheetData sheetId="301" refreshError="1"/>
      <sheetData sheetId="302" refreshError="1"/>
      <sheetData sheetId="303" refreshError="1"/>
      <sheetData sheetId="304" refreshError="1"/>
      <sheetData sheetId="305" refreshError="1"/>
      <sheetData sheetId="306" refreshError="1"/>
      <sheetData sheetId="307" refreshError="1"/>
      <sheetData sheetId="308" refreshError="1"/>
      <sheetData sheetId="309" refreshError="1"/>
      <sheetData sheetId="310" refreshError="1"/>
      <sheetData sheetId="311" refreshError="1"/>
      <sheetData sheetId="312" refreshError="1"/>
      <sheetData sheetId="313" refreshError="1"/>
      <sheetData sheetId="314" refreshError="1"/>
      <sheetData sheetId="315" refreshError="1"/>
      <sheetData sheetId="316" refreshError="1"/>
      <sheetData sheetId="317" refreshError="1"/>
      <sheetData sheetId="318" refreshError="1"/>
      <sheetData sheetId="319" refreshError="1"/>
      <sheetData sheetId="320" refreshError="1"/>
      <sheetData sheetId="321" refreshError="1"/>
      <sheetData sheetId="322" refreshError="1"/>
      <sheetData sheetId="323" refreshError="1"/>
      <sheetData sheetId="324" refreshError="1"/>
      <sheetData sheetId="325" refreshError="1"/>
      <sheetData sheetId="326" refreshError="1"/>
      <sheetData sheetId="327" refreshError="1"/>
      <sheetData sheetId="328" refreshError="1"/>
      <sheetData sheetId="329" refreshError="1"/>
      <sheetData sheetId="330" refreshError="1"/>
      <sheetData sheetId="331" refreshError="1"/>
      <sheetData sheetId="332" refreshError="1"/>
      <sheetData sheetId="333" refreshError="1"/>
      <sheetData sheetId="334" refreshError="1"/>
      <sheetData sheetId="335" refreshError="1"/>
      <sheetData sheetId="336" refreshError="1"/>
      <sheetData sheetId="337" refreshError="1"/>
      <sheetData sheetId="338" refreshError="1"/>
      <sheetData sheetId="339" refreshError="1"/>
      <sheetData sheetId="340" refreshError="1"/>
      <sheetData sheetId="341" refreshError="1"/>
      <sheetData sheetId="342" refreshError="1"/>
      <sheetData sheetId="343" refreshError="1"/>
      <sheetData sheetId="344" refreshError="1"/>
      <sheetData sheetId="345" refreshError="1"/>
      <sheetData sheetId="346" refreshError="1"/>
      <sheetData sheetId="347" refreshError="1"/>
      <sheetData sheetId="348" refreshError="1"/>
      <sheetData sheetId="349" refreshError="1"/>
      <sheetData sheetId="350" refreshError="1"/>
      <sheetData sheetId="351" refreshError="1"/>
      <sheetData sheetId="352"/>
      <sheetData sheetId="353"/>
      <sheetData sheetId="354"/>
      <sheetData sheetId="355"/>
      <sheetData sheetId="356"/>
      <sheetData sheetId="357"/>
      <sheetData sheetId="358"/>
      <sheetData sheetId="359"/>
      <sheetData sheetId="360"/>
      <sheetData sheetId="361"/>
      <sheetData sheetId="362"/>
      <sheetData sheetId="363"/>
      <sheetData sheetId="364"/>
      <sheetData sheetId="365" refreshError="1"/>
      <sheetData sheetId="366"/>
      <sheetData sheetId="367"/>
      <sheetData sheetId="368"/>
      <sheetData sheetId="369"/>
      <sheetData sheetId="370" refreshError="1"/>
      <sheetData sheetId="371"/>
      <sheetData sheetId="372"/>
      <sheetData sheetId="373" refreshError="1"/>
      <sheetData sheetId="374"/>
      <sheetData sheetId="375"/>
      <sheetData sheetId="376"/>
      <sheetData sheetId="377" refreshError="1"/>
      <sheetData sheetId="378" refreshError="1"/>
      <sheetData sheetId="379" refreshError="1"/>
      <sheetData sheetId="380" refreshError="1"/>
      <sheetData sheetId="381"/>
      <sheetData sheetId="382"/>
      <sheetData sheetId="383"/>
      <sheetData sheetId="384"/>
      <sheetData sheetId="385"/>
      <sheetData sheetId="386"/>
      <sheetData sheetId="387"/>
      <sheetData sheetId="388"/>
      <sheetData sheetId="389" refreshError="1"/>
      <sheetData sheetId="390" refreshError="1"/>
      <sheetData sheetId="391" refreshError="1"/>
      <sheetData sheetId="392" refreshError="1"/>
      <sheetData sheetId="393" refreshError="1"/>
      <sheetData sheetId="394" refreshError="1"/>
      <sheetData sheetId="395" refreshError="1"/>
      <sheetData sheetId="396" refreshError="1"/>
      <sheetData sheetId="397" refreshError="1"/>
      <sheetData sheetId="398" refreshError="1"/>
      <sheetData sheetId="399" refreshError="1"/>
      <sheetData sheetId="400" refreshError="1"/>
      <sheetData sheetId="401" refreshError="1"/>
      <sheetData sheetId="402" refreshError="1"/>
      <sheetData sheetId="403" refreshError="1"/>
      <sheetData sheetId="404" refreshError="1"/>
      <sheetData sheetId="405"/>
      <sheetData sheetId="406"/>
      <sheetData sheetId="407"/>
      <sheetData sheetId="408"/>
      <sheetData sheetId="409"/>
      <sheetData sheetId="410"/>
      <sheetData sheetId="411"/>
      <sheetData sheetId="412"/>
      <sheetData sheetId="413"/>
      <sheetData sheetId="414"/>
      <sheetData sheetId="415"/>
      <sheetData sheetId="416"/>
      <sheetData sheetId="417"/>
      <sheetData sheetId="418"/>
      <sheetData sheetId="419"/>
      <sheetData sheetId="420"/>
      <sheetData sheetId="421"/>
      <sheetData sheetId="422"/>
      <sheetData sheetId="423"/>
      <sheetData sheetId="424"/>
      <sheetData sheetId="425"/>
      <sheetData sheetId="426"/>
      <sheetData sheetId="427"/>
      <sheetData sheetId="428"/>
      <sheetData sheetId="429"/>
      <sheetData sheetId="430"/>
      <sheetData sheetId="431"/>
      <sheetData sheetId="432"/>
      <sheetData sheetId="433"/>
      <sheetData sheetId="434"/>
      <sheetData sheetId="435"/>
      <sheetData sheetId="436"/>
      <sheetData sheetId="437"/>
      <sheetData sheetId="438"/>
      <sheetData sheetId="439"/>
      <sheetData sheetId="440"/>
      <sheetData sheetId="441"/>
      <sheetData sheetId="442"/>
      <sheetData sheetId="443"/>
      <sheetData sheetId="444"/>
      <sheetData sheetId="445"/>
      <sheetData sheetId="446"/>
      <sheetData sheetId="447"/>
      <sheetData sheetId="448"/>
      <sheetData sheetId="449"/>
      <sheetData sheetId="450"/>
      <sheetData sheetId="451"/>
      <sheetData sheetId="452"/>
      <sheetData sheetId="453"/>
      <sheetData sheetId="454"/>
      <sheetData sheetId="455"/>
      <sheetData sheetId="456"/>
      <sheetData sheetId="457"/>
      <sheetData sheetId="458"/>
      <sheetData sheetId="459"/>
      <sheetData sheetId="460"/>
      <sheetData sheetId="461"/>
      <sheetData sheetId="462"/>
      <sheetData sheetId="463"/>
      <sheetData sheetId="464"/>
      <sheetData sheetId="465">
        <row r="2">
          <cell r="A2">
            <v>1</v>
          </cell>
        </row>
      </sheetData>
      <sheetData sheetId="466">
        <row r="2">
          <cell r="A2">
            <v>1</v>
          </cell>
        </row>
      </sheetData>
      <sheetData sheetId="467">
        <row r="2">
          <cell r="A2">
            <v>1</v>
          </cell>
        </row>
      </sheetData>
      <sheetData sheetId="468"/>
      <sheetData sheetId="469"/>
      <sheetData sheetId="470"/>
      <sheetData sheetId="471"/>
      <sheetData sheetId="472"/>
      <sheetData sheetId="473"/>
      <sheetData sheetId="474"/>
      <sheetData sheetId="475"/>
      <sheetData sheetId="476" refreshError="1"/>
      <sheetData sheetId="477" refreshError="1"/>
      <sheetData sheetId="478" refreshError="1"/>
      <sheetData sheetId="479" refreshError="1"/>
      <sheetData sheetId="480" refreshError="1"/>
      <sheetData sheetId="481" refreshError="1"/>
      <sheetData sheetId="482" refreshError="1"/>
      <sheetData sheetId="483" refreshError="1"/>
      <sheetData sheetId="484" refreshError="1"/>
      <sheetData sheetId="485" refreshError="1"/>
      <sheetData sheetId="486" refreshError="1"/>
      <sheetData sheetId="487" refreshError="1"/>
      <sheetData sheetId="488" refreshError="1"/>
      <sheetData sheetId="489" refreshError="1"/>
      <sheetData sheetId="490" refreshError="1"/>
      <sheetData sheetId="491" refreshError="1"/>
      <sheetData sheetId="492" refreshError="1"/>
      <sheetData sheetId="493" refreshError="1"/>
      <sheetData sheetId="494" refreshError="1"/>
      <sheetData sheetId="495" refreshError="1"/>
      <sheetData sheetId="496" refreshError="1"/>
      <sheetData sheetId="497" refreshError="1"/>
      <sheetData sheetId="498" refreshError="1"/>
      <sheetData sheetId="499" refreshError="1"/>
      <sheetData sheetId="500" refreshError="1"/>
      <sheetData sheetId="501" refreshError="1"/>
      <sheetData sheetId="502" refreshError="1"/>
      <sheetData sheetId="503" refreshError="1"/>
      <sheetData sheetId="504" refreshError="1"/>
      <sheetData sheetId="505" refreshError="1"/>
      <sheetData sheetId="506" refreshError="1"/>
      <sheetData sheetId="507" refreshError="1"/>
      <sheetData sheetId="508" refreshError="1"/>
      <sheetData sheetId="509" refreshError="1"/>
      <sheetData sheetId="510" refreshError="1"/>
      <sheetData sheetId="511" refreshError="1"/>
      <sheetData sheetId="512" refreshError="1"/>
      <sheetData sheetId="513" refreshError="1"/>
      <sheetData sheetId="514" refreshError="1"/>
      <sheetData sheetId="515" refreshError="1"/>
      <sheetData sheetId="516" refreshError="1"/>
      <sheetData sheetId="517" refreshError="1"/>
      <sheetData sheetId="518" refreshError="1"/>
      <sheetData sheetId="519" refreshError="1"/>
      <sheetData sheetId="520" refreshError="1"/>
      <sheetData sheetId="521" refreshError="1"/>
      <sheetData sheetId="522" refreshError="1"/>
      <sheetData sheetId="523" refreshError="1"/>
      <sheetData sheetId="524" refreshError="1"/>
      <sheetData sheetId="525" refreshError="1"/>
      <sheetData sheetId="526" refreshError="1"/>
      <sheetData sheetId="527" refreshError="1"/>
      <sheetData sheetId="528" refreshError="1"/>
      <sheetData sheetId="529" refreshError="1"/>
      <sheetData sheetId="530" refreshError="1"/>
      <sheetData sheetId="531"/>
      <sheetData sheetId="532"/>
      <sheetData sheetId="533" refreshError="1"/>
      <sheetData sheetId="534" refreshError="1"/>
      <sheetData sheetId="535" refreshError="1"/>
      <sheetData sheetId="536" refreshError="1"/>
      <sheetData sheetId="537" refreshError="1"/>
      <sheetData sheetId="538" refreshError="1"/>
      <sheetData sheetId="539" refreshError="1"/>
      <sheetData sheetId="540" refreshError="1"/>
      <sheetData sheetId="541" refreshError="1"/>
      <sheetData sheetId="542" refreshError="1"/>
      <sheetData sheetId="543" refreshError="1"/>
      <sheetData sheetId="544" refreshError="1"/>
      <sheetData sheetId="545" refreshError="1"/>
      <sheetData sheetId="546" refreshError="1"/>
      <sheetData sheetId="547" refreshError="1"/>
      <sheetData sheetId="548" refreshError="1"/>
      <sheetData sheetId="549" refreshError="1"/>
      <sheetData sheetId="550" refreshError="1"/>
      <sheetData sheetId="551" refreshError="1"/>
      <sheetData sheetId="552" refreshError="1"/>
      <sheetData sheetId="553" refreshError="1"/>
      <sheetData sheetId="554" refreshError="1"/>
      <sheetData sheetId="555" refreshError="1"/>
      <sheetData sheetId="556" refreshError="1"/>
      <sheetData sheetId="557" refreshError="1"/>
      <sheetData sheetId="558" refreshError="1"/>
      <sheetData sheetId="559" refreshError="1"/>
      <sheetData sheetId="560" refreshError="1"/>
      <sheetData sheetId="561" refreshError="1"/>
      <sheetData sheetId="562" refreshError="1"/>
      <sheetData sheetId="563" refreshError="1"/>
      <sheetData sheetId="564" refreshError="1"/>
      <sheetData sheetId="565" refreshError="1"/>
      <sheetData sheetId="566" refreshError="1"/>
      <sheetData sheetId="567" refreshError="1"/>
      <sheetData sheetId="568" refreshError="1"/>
      <sheetData sheetId="569" refreshError="1"/>
      <sheetData sheetId="570" refreshError="1"/>
      <sheetData sheetId="571" refreshError="1"/>
      <sheetData sheetId="572" refreshError="1"/>
      <sheetData sheetId="573" refreshError="1"/>
      <sheetData sheetId="574" refreshError="1"/>
      <sheetData sheetId="575" refreshError="1"/>
      <sheetData sheetId="576" refreshError="1"/>
      <sheetData sheetId="577" refreshError="1"/>
      <sheetData sheetId="578" refreshError="1"/>
      <sheetData sheetId="579" refreshError="1"/>
      <sheetData sheetId="580" refreshError="1"/>
      <sheetData sheetId="581" refreshError="1"/>
      <sheetData sheetId="582" refreshError="1"/>
      <sheetData sheetId="583" refreshError="1"/>
      <sheetData sheetId="584" refreshError="1"/>
      <sheetData sheetId="585" refreshError="1"/>
      <sheetData sheetId="586" refreshError="1"/>
      <sheetData sheetId="587" refreshError="1"/>
      <sheetData sheetId="588" refreshError="1"/>
      <sheetData sheetId="589" refreshError="1"/>
      <sheetData sheetId="590" refreshError="1"/>
      <sheetData sheetId="591" refreshError="1"/>
      <sheetData sheetId="592" refreshError="1"/>
      <sheetData sheetId="593" refreshError="1"/>
      <sheetData sheetId="594" refreshError="1"/>
      <sheetData sheetId="595" refreshError="1"/>
      <sheetData sheetId="596" refreshError="1"/>
      <sheetData sheetId="597" refreshError="1"/>
      <sheetData sheetId="598" refreshError="1"/>
      <sheetData sheetId="599" refreshError="1"/>
      <sheetData sheetId="600" refreshError="1"/>
      <sheetData sheetId="601" refreshError="1"/>
      <sheetData sheetId="602" refreshError="1"/>
      <sheetData sheetId="603" refreshError="1"/>
      <sheetData sheetId="604" refreshError="1"/>
      <sheetData sheetId="605" refreshError="1"/>
      <sheetData sheetId="606" refreshError="1"/>
      <sheetData sheetId="607" refreshError="1"/>
      <sheetData sheetId="608" refreshError="1"/>
      <sheetData sheetId="609" refreshError="1"/>
      <sheetData sheetId="610" refreshError="1"/>
      <sheetData sheetId="611" refreshError="1"/>
      <sheetData sheetId="612" refreshError="1"/>
      <sheetData sheetId="613" refreshError="1"/>
      <sheetData sheetId="614" refreshError="1"/>
      <sheetData sheetId="615" refreshError="1"/>
      <sheetData sheetId="616" refreshError="1"/>
      <sheetData sheetId="617" refreshError="1"/>
      <sheetData sheetId="618" refreshError="1"/>
      <sheetData sheetId="619" refreshError="1"/>
      <sheetData sheetId="620" refreshError="1"/>
      <sheetData sheetId="621" refreshError="1"/>
      <sheetData sheetId="622" refreshError="1"/>
      <sheetData sheetId="623" refreshError="1"/>
      <sheetData sheetId="624" refreshError="1"/>
      <sheetData sheetId="625" refreshError="1"/>
      <sheetData sheetId="626" refreshError="1"/>
      <sheetData sheetId="627" refreshError="1"/>
      <sheetData sheetId="628" refreshError="1"/>
      <sheetData sheetId="629" refreshError="1"/>
      <sheetData sheetId="630" refreshError="1"/>
      <sheetData sheetId="631" refreshError="1"/>
      <sheetData sheetId="632" refreshError="1"/>
      <sheetData sheetId="633" refreshError="1"/>
      <sheetData sheetId="634" refreshError="1"/>
      <sheetData sheetId="635" refreshError="1"/>
      <sheetData sheetId="636" refreshError="1"/>
      <sheetData sheetId="637" refreshError="1"/>
      <sheetData sheetId="638" refreshError="1"/>
      <sheetData sheetId="639" refreshError="1"/>
      <sheetData sheetId="640" refreshError="1"/>
      <sheetData sheetId="641" refreshError="1"/>
      <sheetData sheetId="642"/>
      <sheetData sheetId="643"/>
      <sheetData sheetId="644"/>
      <sheetData sheetId="645"/>
      <sheetData sheetId="646"/>
      <sheetData sheetId="647"/>
      <sheetData sheetId="648"/>
      <sheetData sheetId="649"/>
      <sheetData sheetId="650"/>
      <sheetData sheetId="651"/>
      <sheetData sheetId="652"/>
      <sheetData sheetId="653"/>
      <sheetData sheetId="654"/>
      <sheetData sheetId="655"/>
      <sheetData sheetId="656"/>
      <sheetData sheetId="657"/>
      <sheetData sheetId="658"/>
      <sheetData sheetId="659"/>
      <sheetData sheetId="660"/>
      <sheetData sheetId="661" refreshError="1"/>
      <sheetData sheetId="662" refreshError="1"/>
      <sheetData sheetId="663" refreshError="1"/>
      <sheetData sheetId="664" refreshError="1"/>
      <sheetData sheetId="665" refreshError="1"/>
      <sheetData sheetId="666" refreshError="1"/>
      <sheetData sheetId="667" refreshError="1"/>
      <sheetData sheetId="668" refreshError="1"/>
      <sheetData sheetId="669"/>
      <sheetData sheetId="670"/>
      <sheetData sheetId="671"/>
      <sheetData sheetId="672"/>
      <sheetData sheetId="673"/>
      <sheetData sheetId="674"/>
      <sheetData sheetId="675"/>
      <sheetData sheetId="676"/>
      <sheetData sheetId="677"/>
      <sheetData sheetId="678"/>
      <sheetData sheetId="679"/>
      <sheetData sheetId="680"/>
      <sheetData sheetId="681"/>
      <sheetData sheetId="682"/>
      <sheetData sheetId="683"/>
      <sheetData sheetId="684"/>
      <sheetData sheetId="685"/>
      <sheetData sheetId="686"/>
      <sheetData sheetId="687"/>
      <sheetData sheetId="688"/>
      <sheetData sheetId="689"/>
      <sheetData sheetId="690"/>
      <sheetData sheetId="691"/>
      <sheetData sheetId="692"/>
      <sheetData sheetId="693"/>
      <sheetData sheetId="694"/>
      <sheetData sheetId="695"/>
      <sheetData sheetId="696"/>
      <sheetData sheetId="697"/>
      <sheetData sheetId="698"/>
      <sheetData sheetId="699"/>
      <sheetData sheetId="700"/>
      <sheetData sheetId="701"/>
      <sheetData sheetId="702"/>
      <sheetData sheetId="703"/>
      <sheetData sheetId="704"/>
      <sheetData sheetId="705"/>
      <sheetData sheetId="706"/>
      <sheetData sheetId="707"/>
      <sheetData sheetId="708"/>
      <sheetData sheetId="709"/>
      <sheetData sheetId="710"/>
      <sheetData sheetId="711"/>
      <sheetData sheetId="712"/>
      <sheetData sheetId="713"/>
      <sheetData sheetId="714"/>
      <sheetData sheetId="715"/>
      <sheetData sheetId="716"/>
      <sheetData sheetId="717"/>
      <sheetData sheetId="718"/>
      <sheetData sheetId="719"/>
      <sheetData sheetId="720"/>
      <sheetData sheetId="721"/>
      <sheetData sheetId="722"/>
      <sheetData sheetId="723"/>
      <sheetData sheetId="724"/>
      <sheetData sheetId="725"/>
      <sheetData sheetId="726"/>
      <sheetData sheetId="727"/>
      <sheetData sheetId="728" refreshError="1"/>
      <sheetData sheetId="729" refreshError="1"/>
      <sheetData sheetId="730" refreshError="1"/>
      <sheetData sheetId="731" refreshError="1"/>
      <sheetData sheetId="732" refreshError="1"/>
      <sheetData sheetId="733" refreshError="1"/>
      <sheetData sheetId="734" refreshError="1"/>
      <sheetData sheetId="735" refreshError="1"/>
      <sheetData sheetId="736" refreshError="1"/>
      <sheetData sheetId="737" refreshError="1"/>
      <sheetData sheetId="738" refreshError="1"/>
      <sheetData sheetId="739" refreshError="1"/>
      <sheetData sheetId="740" refreshError="1"/>
      <sheetData sheetId="741" refreshError="1"/>
      <sheetData sheetId="742" refreshError="1"/>
      <sheetData sheetId="743" refreshError="1"/>
      <sheetData sheetId="744" refreshError="1"/>
      <sheetData sheetId="745" refreshError="1"/>
      <sheetData sheetId="746" refreshError="1"/>
      <sheetData sheetId="747" refreshError="1"/>
      <sheetData sheetId="748"/>
      <sheetData sheetId="749"/>
      <sheetData sheetId="750"/>
      <sheetData sheetId="751"/>
      <sheetData sheetId="752"/>
      <sheetData sheetId="753"/>
      <sheetData sheetId="754"/>
      <sheetData sheetId="755"/>
      <sheetData sheetId="756" refreshError="1"/>
      <sheetData sheetId="757"/>
      <sheetData sheetId="758"/>
      <sheetData sheetId="759" refreshError="1"/>
      <sheetData sheetId="760" refreshError="1"/>
      <sheetData sheetId="761" refreshError="1"/>
      <sheetData sheetId="762" refreshError="1"/>
      <sheetData sheetId="763" refreshError="1"/>
      <sheetData sheetId="764" refreshError="1"/>
      <sheetData sheetId="765" refreshError="1"/>
      <sheetData sheetId="766" refreshError="1"/>
      <sheetData sheetId="767" refreshError="1"/>
      <sheetData sheetId="768" refreshError="1"/>
      <sheetData sheetId="769" refreshError="1"/>
      <sheetData sheetId="770" refreshError="1"/>
      <sheetData sheetId="771" refreshError="1"/>
      <sheetData sheetId="772" refreshError="1"/>
      <sheetData sheetId="773" refreshError="1"/>
      <sheetData sheetId="774" refreshError="1"/>
      <sheetData sheetId="775" refreshError="1"/>
      <sheetData sheetId="776" refreshError="1"/>
      <sheetData sheetId="777" refreshError="1"/>
      <sheetData sheetId="778" refreshError="1"/>
      <sheetData sheetId="779" refreshError="1"/>
      <sheetData sheetId="780" refreshError="1"/>
      <sheetData sheetId="781" refreshError="1"/>
      <sheetData sheetId="782" refreshError="1"/>
      <sheetData sheetId="783" refreshError="1"/>
      <sheetData sheetId="784" refreshError="1"/>
      <sheetData sheetId="785" refreshError="1"/>
      <sheetData sheetId="786" refreshError="1"/>
      <sheetData sheetId="787" refreshError="1"/>
      <sheetData sheetId="788" refreshError="1"/>
      <sheetData sheetId="789" refreshError="1"/>
      <sheetData sheetId="790" refreshError="1"/>
      <sheetData sheetId="791" refreshError="1"/>
      <sheetData sheetId="792" refreshError="1"/>
      <sheetData sheetId="793" refreshError="1"/>
      <sheetData sheetId="794" refreshError="1"/>
      <sheetData sheetId="795" refreshError="1"/>
      <sheetData sheetId="796" refreshError="1"/>
      <sheetData sheetId="797" refreshError="1"/>
      <sheetData sheetId="798" refreshError="1"/>
      <sheetData sheetId="799" refreshError="1"/>
      <sheetData sheetId="800" refreshError="1"/>
      <sheetData sheetId="801" refreshError="1"/>
      <sheetData sheetId="802" refreshError="1"/>
      <sheetData sheetId="803" refreshError="1"/>
      <sheetData sheetId="804" refreshError="1"/>
      <sheetData sheetId="805" refreshError="1"/>
      <sheetData sheetId="806" refreshError="1"/>
      <sheetData sheetId="807" refreshError="1"/>
      <sheetData sheetId="808" refreshError="1"/>
      <sheetData sheetId="809" refreshError="1"/>
      <sheetData sheetId="810" refreshError="1"/>
      <sheetData sheetId="811" refreshError="1"/>
      <sheetData sheetId="812" refreshError="1"/>
      <sheetData sheetId="813" refreshError="1"/>
      <sheetData sheetId="814" refreshError="1"/>
      <sheetData sheetId="815" refreshError="1"/>
      <sheetData sheetId="816" refreshError="1"/>
      <sheetData sheetId="817" refreshError="1"/>
      <sheetData sheetId="818" refreshError="1"/>
      <sheetData sheetId="819" refreshError="1"/>
      <sheetData sheetId="820" refreshError="1"/>
      <sheetData sheetId="821" refreshError="1"/>
      <sheetData sheetId="822" refreshError="1"/>
      <sheetData sheetId="823" refreshError="1"/>
      <sheetData sheetId="824" refreshError="1"/>
      <sheetData sheetId="825" refreshError="1"/>
      <sheetData sheetId="826" refreshError="1"/>
      <sheetData sheetId="827" refreshError="1"/>
      <sheetData sheetId="828" refreshError="1"/>
      <sheetData sheetId="829" refreshError="1"/>
      <sheetData sheetId="830" refreshError="1"/>
      <sheetData sheetId="831" refreshError="1"/>
      <sheetData sheetId="832" refreshError="1"/>
      <sheetData sheetId="833" refreshError="1"/>
      <sheetData sheetId="834" refreshError="1"/>
      <sheetData sheetId="835" refreshError="1"/>
      <sheetData sheetId="836" refreshError="1"/>
      <sheetData sheetId="837" refreshError="1"/>
      <sheetData sheetId="838" refreshError="1"/>
      <sheetData sheetId="839" refreshError="1"/>
      <sheetData sheetId="840" refreshError="1"/>
      <sheetData sheetId="841" refreshError="1"/>
      <sheetData sheetId="842" refreshError="1"/>
      <sheetData sheetId="843" refreshError="1"/>
      <sheetData sheetId="844" refreshError="1"/>
      <sheetData sheetId="845" refreshError="1"/>
      <sheetData sheetId="846" refreshError="1"/>
      <sheetData sheetId="847" refreshError="1"/>
      <sheetData sheetId="848" refreshError="1"/>
      <sheetData sheetId="849" refreshError="1"/>
      <sheetData sheetId="850" refreshError="1"/>
      <sheetData sheetId="851" refreshError="1"/>
      <sheetData sheetId="852" refreshError="1"/>
      <sheetData sheetId="853" refreshError="1"/>
      <sheetData sheetId="854" refreshError="1"/>
      <sheetData sheetId="855" refreshError="1"/>
      <sheetData sheetId="856" refreshError="1"/>
      <sheetData sheetId="857" refreshError="1"/>
      <sheetData sheetId="858" refreshError="1"/>
      <sheetData sheetId="859" refreshError="1"/>
      <sheetData sheetId="860" refreshError="1"/>
      <sheetData sheetId="861" refreshError="1"/>
      <sheetData sheetId="862" refreshError="1"/>
      <sheetData sheetId="863" refreshError="1"/>
      <sheetData sheetId="864" refreshError="1"/>
      <sheetData sheetId="865" refreshError="1"/>
      <sheetData sheetId="866" refreshError="1"/>
      <sheetData sheetId="867" refreshError="1"/>
      <sheetData sheetId="868" refreshError="1"/>
      <sheetData sheetId="869" refreshError="1"/>
      <sheetData sheetId="870" refreshError="1"/>
      <sheetData sheetId="871" refreshError="1"/>
      <sheetData sheetId="872" refreshError="1"/>
      <sheetData sheetId="873" refreshError="1"/>
      <sheetData sheetId="874" refreshError="1"/>
      <sheetData sheetId="875" refreshError="1"/>
      <sheetData sheetId="876" refreshError="1"/>
      <sheetData sheetId="877" refreshError="1"/>
      <sheetData sheetId="878" refreshError="1"/>
      <sheetData sheetId="879" refreshError="1"/>
      <sheetData sheetId="880" refreshError="1"/>
      <sheetData sheetId="881" refreshError="1"/>
      <sheetData sheetId="882" refreshError="1"/>
      <sheetData sheetId="883" refreshError="1"/>
      <sheetData sheetId="884" refreshError="1"/>
      <sheetData sheetId="885" refreshError="1"/>
      <sheetData sheetId="886" refreshError="1"/>
      <sheetData sheetId="887" refreshError="1"/>
      <sheetData sheetId="888" refreshError="1"/>
      <sheetData sheetId="889" refreshError="1"/>
      <sheetData sheetId="890" refreshError="1"/>
      <sheetData sheetId="891" refreshError="1"/>
      <sheetData sheetId="892" refreshError="1"/>
      <sheetData sheetId="893" refreshError="1"/>
      <sheetData sheetId="894" refreshError="1"/>
      <sheetData sheetId="895" refreshError="1"/>
      <sheetData sheetId="896" refreshError="1"/>
      <sheetData sheetId="897" refreshError="1"/>
      <sheetData sheetId="898" refreshError="1"/>
      <sheetData sheetId="899" refreshError="1"/>
      <sheetData sheetId="900" refreshError="1"/>
      <sheetData sheetId="901" refreshError="1"/>
      <sheetData sheetId="902" refreshError="1"/>
      <sheetData sheetId="903" refreshError="1"/>
      <sheetData sheetId="904" refreshError="1"/>
      <sheetData sheetId="905" refreshError="1"/>
      <sheetData sheetId="906" refreshError="1"/>
      <sheetData sheetId="907" refreshError="1"/>
      <sheetData sheetId="908" refreshError="1"/>
      <sheetData sheetId="909" refreshError="1"/>
      <sheetData sheetId="910" refreshError="1"/>
      <sheetData sheetId="911" refreshError="1"/>
      <sheetData sheetId="912" refreshError="1"/>
      <sheetData sheetId="913" refreshError="1"/>
      <sheetData sheetId="914" refreshError="1"/>
      <sheetData sheetId="915" refreshError="1"/>
      <sheetData sheetId="916" refreshError="1"/>
      <sheetData sheetId="917" refreshError="1"/>
      <sheetData sheetId="918" refreshError="1"/>
      <sheetData sheetId="919" refreshError="1"/>
      <sheetData sheetId="920" refreshError="1"/>
      <sheetData sheetId="921" refreshError="1"/>
      <sheetData sheetId="922" refreshError="1"/>
      <sheetData sheetId="923" refreshError="1"/>
      <sheetData sheetId="924" refreshError="1"/>
      <sheetData sheetId="925" refreshError="1"/>
      <sheetData sheetId="926" refreshError="1"/>
      <sheetData sheetId="927" refreshError="1"/>
      <sheetData sheetId="928" refreshError="1"/>
      <sheetData sheetId="929" refreshError="1"/>
      <sheetData sheetId="930"/>
      <sheetData sheetId="931" refreshError="1"/>
      <sheetData sheetId="932" refreshError="1"/>
      <sheetData sheetId="933" refreshError="1"/>
      <sheetData sheetId="934" refreshError="1"/>
      <sheetData sheetId="935" refreshError="1"/>
      <sheetData sheetId="936" refreshError="1"/>
      <sheetData sheetId="937" refreshError="1"/>
      <sheetData sheetId="938" refreshError="1"/>
      <sheetData sheetId="939" refreshError="1"/>
      <sheetData sheetId="940" refreshError="1"/>
      <sheetData sheetId="941" refreshError="1"/>
      <sheetData sheetId="942" refreshError="1"/>
      <sheetData sheetId="943" refreshError="1"/>
      <sheetData sheetId="944" refreshError="1"/>
      <sheetData sheetId="945" refreshError="1"/>
      <sheetData sheetId="946" refreshError="1"/>
      <sheetData sheetId="947" refreshError="1"/>
      <sheetData sheetId="948" refreshError="1"/>
      <sheetData sheetId="949" refreshError="1"/>
      <sheetData sheetId="950" refreshError="1"/>
      <sheetData sheetId="951" refreshError="1"/>
      <sheetData sheetId="952" refreshError="1"/>
      <sheetData sheetId="953" refreshError="1"/>
      <sheetData sheetId="954" refreshError="1"/>
      <sheetData sheetId="955" refreshError="1"/>
      <sheetData sheetId="956"/>
      <sheetData sheetId="957" refreshError="1"/>
      <sheetData sheetId="958" refreshError="1"/>
      <sheetData sheetId="959" refreshError="1"/>
      <sheetData sheetId="960" refreshError="1"/>
      <sheetData sheetId="961" refreshError="1"/>
      <sheetData sheetId="962" refreshError="1"/>
      <sheetData sheetId="963" refreshError="1"/>
      <sheetData sheetId="964" refreshError="1"/>
      <sheetData sheetId="965" refreshError="1"/>
      <sheetData sheetId="966" refreshError="1"/>
      <sheetData sheetId="967" refreshError="1"/>
      <sheetData sheetId="968" refreshError="1"/>
      <sheetData sheetId="969" refreshError="1"/>
      <sheetData sheetId="970" refreshError="1"/>
      <sheetData sheetId="971" refreshError="1"/>
      <sheetData sheetId="972" refreshError="1"/>
      <sheetData sheetId="973" refreshError="1"/>
      <sheetData sheetId="974" refreshError="1"/>
      <sheetData sheetId="975" refreshError="1"/>
      <sheetData sheetId="976" refreshError="1"/>
      <sheetData sheetId="977" refreshError="1"/>
      <sheetData sheetId="978" refreshError="1"/>
      <sheetData sheetId="979" refreshError="1"/>
      <sheetData sheetId="980" refreshError="1"/>
      <sheetData sheetId="981" refreshError="1"/>
      <sheetData sheetId="982" refreshError="1"/>
      <sheetData sheetId="983" refreshError="1"/>
      <sheetData sheetId="984"/>
      <sheetData sheetId="985" refreshError="1"/>
      <sheetData sheetId="986" refreshError="1"/>
      <sheetData sheetId="987" refreshError="1"/>
      <sheetData sheetId="988" refreshError="1"/>
      <sheetData sheetId="989"/>
      <sheetData sheetId="990" refreshError="1"/>
      <sheetData sheetId="991" refreshError="1"/>
      <sheetData sheetId="992" refreshError="1"/>
      <sheetData sheetId="993" refreshError="1"/>
      <sheetData sheetId="994" refreshError="1"/>
      <sheetData sheetId="995" refreshError="1"/>
      <sheetData sheetId="996" refreshError="1"/>
      <sheetData sheetId="997" refreshError="1"/>
      <sheetData sheetId="998" refreshError="1"/>
      <sheetData sheetId="999" refreshError="1"/>
      <sheetData sheetId="1000" refreshError="1"/>
      <sheetData sheetId="1001" refreshError="1"/>
      <sheetData sheetId="1002" refreshError="1"/>
      <sheetData sheetId="1003" refreshError="1"/>
      <sheetData sheetId="1004" refreshError="1"/>
      <sheetData sheetId="1005" refreshError="1"/>
      <sheetData sheetId="1006" refreshError="1"/>
      <sheetData sheetId="1007" refreshError="1"/>
      <sheetData sheetId="1008" refreshError="1"/>
      <sheetData sheetId="1009" refreshError="1"/>
      <sheetData sheetId="1010" refreshError="1"/>
      <sheetData sheetId="1011" refreshError="1"/>
      <sheetData sheetId="1012" refreshError="1"/>
      <sheetData sheetId="1013" refreshError="1"/>
      <sheetData sheetId="1014" refreshError="1"/>
      <sheetData sheetId="1015" refreshError="1"/>
      <sheetData sheetId="1016" refreshError="1"/>
      <sheetData sheetId="1017" refreshError="1"/>
      <sheetData sheetId="1018" refreshError="1"/>
      <sheetData sheetId="1019" refreshError="1"/>
      <sheetData sheetId="1020" refreshError="1"/>
      <sheetData sheetId="1021" refreshError="1"/>
      <sheetData sheetId="1022" refreshError="1"/>
      <sheetData sheetId="1023" refreshError="1"/>
      <sheetData sheetId="1024" refreshError="1"/>
      <sheetData sheetId="1025" refreshError="1"/>
      <sheetData sheetId="1026" refreshError="1"/>
      <sheetData sheetId="1027" refreshError="1"/>
      <sheetData sheetId="1028" refreshError="1"/>
      <sheetData sheetId="1029" refreshError="1"/>
      <sheetData sheetId="1030" refreshError="1"/>
      <sheetData sheetId="1031" refreshError="1"/>
      <sheetData sheetId="1032" refreshError="1"/>
      <sheetData sheetId="1033" refreshError="1"/>
      <sheetData sheetId="1034" refreshError="1"/>
      <sheetData sheetId="1035" refreshError="1"/>
      <sheetData sheetId="1036" refreshError="1"/>
      <sheetData sheetId="1037" refreshError="1"/>
      <sheetData sheetId="1038" refreshError="1"/>
      <sheetData sheetId="1039" refreshError="1"/>
      <sheetData sheetId="1040" refreshError="1"/>
      <sheetData sheetId="1041" refreshError="1"/>
      <sheetData sheetId="1042" refreshError="1"/>
      <sheetData sheetId="1043" refreshError="1"/>
      <sheetData sheetId="1044" refreshError="1"/>
      <sheetData sheetId="1045" refreshError="1"/>
      <sheetData sheetId="1046" refreshError="1"/>
      <sheetData sheetId="1047" refreshError="1"/>
      <sheetData sheetId="1048" refreshError="1"/>
      <sheetData sheetId="1049" refreshError="1"/>
      <sheetData sheetId="1050"/>
      <sheetData sheetId="1051"/>
      <sheetData sheetId="1052"/>
      <sheetData sheetId="1053"/>
      <sheetData sheetId="1054"/>
      <sheetData sheetId="1055"/>
      <sheetData sheetId="1056"/>
      <sheetData sheetId="1057"/>
      <sheetData sheetId="1058"/>
      <sheetData sheetId="1059"/>
      <sheetData sheetId="1060"/>
      <sheetData sheetId="1061"/>
      <sheetData sheetId="1062"/>
      <sheetData sheetId="1063"/>
      <sheetData sheetId="1064"/>
      <sheetData sheetId="1065"/>
      <sheetData sheetId="1066"/>
      <sheetData sheetId="1067"/>
      <sheetData sheetId="1068"/>
      <sheetData sheetId="1069"/>
      <sheetData sheetId="1070"/>
      <sheetData sheetId="1071"/>
      <sheetData sheetId="1072"/>
      <sheetData sheetId="1073"/>
      <sheetData sheetId="1074"/>
      <sheetData sheetId="1075"/>
      <sheetData sheetId="1076"/>
      <sheetData sheetId="1077"/>
      <sheetData sheetId="1078"/>
      <sheetData sheetId="1079"/>
      <sheetData sheetId="1080"/>
      <sheetData sheetId="1081"/>
      <sheetData sheetId="1082"/>
      <sheetData sheetId="1083"/>
      <sheetData sheetId="1084"/>
      <sheetData sheetId="1085"/>
      <sheetData sheetId="1086"/>
      <sheetData sheetId="1087"/>
      <sheetData sheetId="1088"/>
      <sheetData sheetId="1089"/>
      <sheetData sheetId="1090"/>
      <sheetData sheetId="1091"/>
      <sheetData sheetId="1092"/>
      <sheetData sheetId="1093"/>
      <sheetData sheetId="1094"/>
      <sheetData sheetId="1095" refreshError="1"/>
      <sheetData sheetId="1096" refreshError="1"/>
      <sheetData sheetId="1097" refreshError="1"/>
      <sheetData sheetId="1098" refreshError="1"/>
      <sheetData sheetId="1099" refreshError="1"/>
      <sheetData sheetId="1100" refreshError="1"/>
      <sheetData sheetId="1101" refreshError="1"/>
      <sheetData sheetId="1102" refreshError="1"/>
      <sheetData sheetId="1103" refreshError="1"/>
      <sheetData sheetId="1104" refreshError="1"/>
      <sheetData sheetId="1105" refreshError="1"/>
      <sheetData sheetId="1106" refreshError="1"/>
      <sheetData sheetId="1107" refreshError="1"/>
      <sheetData sheetId="1108" refreshError="1"/>
      <sheetData sheetId="1109" refreshError="1"/>
      <sheetData sheetId="1110" refreshError="1"/>
      <sheetData sheetId="1111" refreshError="1"/>
      <sheetData sheetId="1112" refreshError="1"/>
      <sheetData sheetId="1113" refreshError="1"/>
      <sheetData sheetId="1114" refreshError="1"/>
      <sheetData sheetId="1115" refreshError="1"/>
      <sheetData sheetId="1116" refreshError="1"/>
      <sheetData sheetId="1117" refreshError="1"/>
      <sheetData sheetId="1118" refreshError="1"/>
      <sheetData sheetId="1119" refreshError="1"/>
      <sheetData sheetId="1120" refreshError="1"/>
      <sheetData sheetId="1121" refreshError="1"/>
      <sheetData sheetId="1122" refreshError="1"/>
      <sheetData sheetId="1123" refreshError="1"/>
      <sheetData sheetId="1124" refreshError="1"/>
      <sheetData sheetId="1125" refreshError="1"/>
      <sheetData sheetId="1126" refreshError="1"/>
      <sheetData sheetId="1127" refreshError="1"/>
      <sheetData sheetId="1128" refreshError="1"/>
      <sheetData sheetId="1129" refreshError="1"/>
      <sheetData sheetId="1130" refreshError="1"/>
      <sheetData sheetId="1131"/>
      <sheetData sheetId="1132"/>
      <sheetData sheetId="1133"/>
      <sheetData sheetId="1134"/>
      <sheetData sheetId="1135"/>
      <sheetData sheetId="1136"/>
      <sheetData sheetId="1137"/>
      <sheetData sheetId="1138"/>
      <sheetData sheetId="1139"/>
      <sheetData sheetId="1140"/>
      <sheetData sheetId="1141"/>
      <sheetData sheetId="1142"/>
      <sheetData sheetId="1143" refreshError="1"/>
      <sheetData sheetId="1144" refreshError="1"/>
      <sheetData sheetId="1145" refreshError="1"/>
      <sheetData sheetId="1146" refreshError="1"/>
      <sheetData sheetId="1147" refreshError="1"/>
      <sheetData sheetId="1148" refreshError="1"/>
      <sheetData sheetId="1149" refreshError="1"/>
      <sheetData sheetId="1150"/>
      <sheetData sheetId="1151"/>
      <sheetData sheetId="1152"/>
      <sheetData sheetId="1153" refreshError="1"/>
      <sheetData sheetId="1154" refreshError="1"/>
      <sheetData sheetId="1155" refreshError="1"/>
      <sheetData sheetId="1156" refreshError="1"/>
      <sheetData sheetId="1157" refreshError="1"/>
      <sheetData sheetId="1158" refreshError="1"/>
      <sheetData sheetId="1159" refreshError="1"/>
      <sheetData sheetId="1160" refreshError="1"/>
      <sheetData sheetId="1161" refreshError="1"/>
      <sheetData sheetId="1162" refreshError="1"/>
      <sheetData sheetId="1163" refreshError="1"/>
      <sheetData sheetId="1164" refreshError="1"/>
      <sheetData sheetId="1165" refreshError="1"/>
      <sheetData sheetId="1166" refreshError="1"/>
      <sheetData sheetId="1167" refreshError="1"/>
      <sheetData sheetId="1168" refreshError="1"/>
      <sheetData sheetId="1169" refreshError="1"/>
      <sheetData sheetId="1170" refreshError="1"/>
      <sheetData sheetId="1171" refreshError="1"/>
      <sheetData sheetId="1172" refreshError="1"/>
      <sheetData sheetId="1173" refreshError="1"/>
      <sheetData sheetId="1174" refreshError="1"/>
      <sheetData sheetId="1175" refreshError="1"/>
      <sheetData sheetId="1176" refreshError="1"/>
      <sheetData sheetId="1177" refreshError="1"/>
      <sheetData sheetId="1178" refreshError="1"/>
      <sheetData sheetId="1179" refreshError="1"/>
      <sheetData sheetId="1180" refreshError="1"/>
      <sheetData sheetId="1181" refreshError="1"/>
      <sheetData sheetId="1182" refreshError="1"/>
      <sheetData sheetId="1183" refreshError="1"/>
      <sheetData sheetId="1184" refreshError="1"/>
      <sheetData sheetId="1185" refreshError="1"/>
      <sheetData sheetId="1186" refreshError="1"/>
      <sheetData sheetId="1187" refreshError="1"/>
      <sheetData sheetId="1188" refreshError="1"/>
      <sheetData sheetId="1189" refreshError="1"/>
      <sheetData sheetId="1190" refreshError="1"/>
      <sheetData sheetId="1191" refreshError="1"/>
      <sheetData sheetId="1192" refreshError="1"/>
      <sheetData sheetId="1193" refreshError="1"/>
      <sheetData sheetId="1194" refreshError="1"/>
      <sheetData sheetId="1195" refreshError="1"/>
      <sheetData sheetId="1196" refreshError="1"/>
      <sheetData sheetId="1197" refreshError="1"/>
      <sheetData sheetId="1198" refreshError="1"/>
      <sheetData sheetId="1199" refreshError="1"/>
      <sheetData sheetId="1200" refreshError="1"/>
      <sheetData sheetId="1201" refreshError="1"/>
      <sheetData sheetId="1202" refreshError="1"/>
      <sheetData sheetId="1203" refreshError="1"/>
      <sheetData sheetId="1204" refreshError="1"/>
      <sheetData sheetId="1205" refreshError="1"/>
      <sheetData sheetId="1206" refreshError="1"/>
      <sheetData sheetId="1207" refreshError="1"/>
      <sheetData sheetId="1208" refreshError="1"/>
      <sheetData sheetId="1209" refreshError="1"/>
      <sheetData sheetId="1210" refreshError="1"/>
      <sheetData sheetId="1211" refreshError="1"/>
      <sheetData sheetId="1212" refreshError="1"/>
      <sheetData sheetId="1213" refreshError="1"/>
      <sheetData sheetId="1214" refreshError="1"/>
      <sheetData sheetId="1215" refreshError="1"/>
      <sheetData sheetId="1216" refreshError="1"/>
      <sheetData sheetId="1217" refreshError="1"/>
      <sheetData sheetId="1218" refreshError="1"/>
      <sheetData sheetId="1219" refreshError="1"/>
      <sheetData sheetId="1220" refreshError="1"/>
      <sheetData sheetId="1221" refreshError="1"/>
      <sheetData sheetId="1222" refreshError="1"/>
      <sheetData sheetId="1223" refreshError="1"/>
      <sheetData sheetId="1224" refreshError="1"/>
      <sheetData sheetId="1225" refreshError="1"/>
      <sheetData sheetId="1226" refreshError="1"/>
      <sheetData sheetId="1227" refreshError="1"/>
      <sheetData sheetId="1228" refreshError="1"/>
      <sheetData sheetId="1229" refreshError="1"/>
      <sheetData sheetId="1230" refreshError="1"/>
      <sheetData sheetId="1231" refreshError="1"/>
      <sheetData sheetId="1232" refreshError="1"/>
      <sheetData sheetId="1233" refreshError="1"/>
      <sheetData sheetId="1234" refreshError="1"/>
      <sheetData sheetId="1235" refreshError="1"/>
      <sheetData sheetId="1236" refreshError="1"/>
      <sheetData sheetId="1237" refreshError="1"/>
      <sheetData sheetId="1238" refreshError="1"/>
      <sheetData sheetId="1239" refreshError="1"/>
      <sheetData sheetId="1240" refreshError="1"/>
      <sheetData sheetId="1241" refreshError="1"/>
      <sheetData sheetId="1242" refreshError="1"/>
      <sheetData sheetId="1243" refreshError="1"/>
      <sheetData sheetId="1244" refreshError="1"/>
      <sheetData sheetId="1245" refreshError="1"/>
      <sheetData sheetId="1246" refreshError="1"/>
      <sheetData sheetId="1247" refreshError="1"/>
      <sheetData sheetId="1248" refreshError="1"/>
      <sheetData sheetId="1249" refreshError="1"/>
      <sheetData sheetId="1250" refreshError="1"/>
      <sheetData sheetId="1251" refreshError="1"/>
      <sheetData sheetId="1252" refreshError="1"/>
      <sheetData sheetId="1253" refreshError="1"/>
      <sheetData sheetId="1254" refreshError="1"/>
      <sheetData sheetId="1255" refreshError="1"/>
      <sheetData sheetId="1256" refreshError="1"/>
    </sheetDataSet>
  </externalBook>
</externalLink>
</file>

<file path=xl/persons/person.xml><?xml version="1.0" encoding="utf-8"?>
<personList xmlns="http://schemas.microsoft.com/office/spreadsheetml/2018/threadedcomments" xmlns:x="http://schemas.openxmlformats.org/spreadsheetml/2006/main">
  <person displayName="Sukawa Jun (PS-EC/ECH4-JP)" id="{9DDB4897-360A-43F1-AE31-929494C3CB63}" userId="S::suj1yh@bosch.com::f6dcf9b7-97d2-4ef8-8f7a-8f6db8210969" providerId="AD"/>
</personList>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vertOverflow="clip" horzOverflow="clip" lIns="36000" tIns="36000" rIns="36000" bIns="36000" rtlCol="0" anchor="ctr"/>
      <a:lstStyle>
        <a:defPPr algn="ctr">
          <a:defRPr kumimoji="1" sz="1100"/>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AU37" dT="2022-02-01T04:41:44.85" personId="{9DDB4897-360A-43F1-AE31-929494C3CB63}" id="{FA9E6E31-BBA7-4CA9-A363-984732EC57BA}">
    <text>+++ OPL +++
Probably this mapping is wrong, since RAM is stXXX but requirement is voltage.</text>
  </threadedComment>
  <threadedComment ref="AQ104" dT="2022-01-27T04:45:38.45" personId="{9DDB4897-360A-43F1-AE31-929494C3CB63}" id="{C1F8EAD5-B945-4D60-9F07-4609F51B32EE}">
    <text>DID$3880, 3881と同じIOだが、誤記では無いか？また、本Posはfrequencyとratioのどちらを出力すべきか？それとも、Dutyを計算して出すべきか？</text>
  </threadedComment>
</ThreadedComments>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3.bin"/><Relationship Id="rId4" Type="http://schemas.microsoft.com/office/2017/10/relationships/threadedComment" Target="../threadedComments/threadedComment1.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outlinePr summaryBelow="0" summaryRight="0"/>
  </sheetPr>
  <dimension ref="A1:I104"/>
  <sheetViews>
    <sheetView showGridLines="0" tabSelected="1" zoomScale="85" zoomScaleNormal="85" workbookViewId="0">
      <pane ySplit="2" topLeftCell="A63" activePane="bottomLeft" state="frozen"/>
      <selection sqref="A1:B1"/>
      <selection pane="bottomLeft" activeCell="D1" sqref="D1"/>
    </sheetView>
  </sheetViews>
  <sheetFormatPr defaultColWidth="9.125" defaultRowHeight="11.4" outlineLevelRow="1"/>
  <cols>
    <col min="1" max="1" width="2.75" style="127" customWidth="1"/>
    <col min="2" max="2" width="7.375" style="127" bestFit="1" customWidth="1"/>
    <col min="3" max="3" width="7.375" style="145" customWidth="1"/>
    <col min="4" max="4" width="7.25" style="127" bestFit="1" customWidth="1"/>
    <col min="5" max="5" width="9.875" style="127" bestFit="1" customWidth="1"/>
    <col min="6" max="6" width="21.25" style="127" bestFit="1" customWidth="1"/>
    <col min="7" max="7" width="27.75" style="127" bestFit="1" customWidth="1"/>
    <col min="8" max="8" width="68.125" style="127" bestFit="1" customWidth="1"/>
    <col min="9" max="9" width="13.625" style="145" bestFit="1" customWidth="1"/>
    <col min="10" max="16384" width="9.125" style="127"/>
  </cols>
  <sheetData>
    <row r="1" spans="1:9" ht="22.2">
      <c r="A1" s="129" t="s">
        <v>148</v>
      </c>
    </row>
    <row r="2" spans="1:9">
      <c r="B2" s="128" t="s">
        <v>141</v>
      </c>
      <c r="C2" s="128" t="s">
        <v>2073</v>
      </c>
      <c r="D2" s="128" t="s">
        <v>142</v>
      </c>
      <c r="E2" s="128" t="s">
        <v>143</v>
      </c>
      <c r="F2" s="128" t="s">
        <v>150</v>
      </c>
      <c r="G2" s="128" t="s">
        <v>149</v>
      </c>
      <c r="H2" s="128" t="s">
        <v>144</v>
      </c>
      <c r="I2" s="128" t="s">
        <v>2060</v>
      </c>
    </row>
    <row r="3" spans="1:9" s="145" customFormat="1" collapsed="1">
      <c r="B3" s="458">
        <v>1</v>
      </c>
      <c r="C3" s="173"/>
      <c r="D3" s="174"/>
      <c r="E3" s="173"/>
      <c r="F3" s="175"/>
      <c r="G3" s="175"/>
      <c r="H3" s="175"/>
      <c r="I3" s="822"/>
    </row>
    <row r="4" spans="1:9" s="169" customFormat="1" hidden="1" outlineLevel="1">
      <c r="B4" s="459">
        <v>1</v>
      </c>
      <c r="C4" s="826">
        <v>0</v>
      </c>
      <c r="D4" s="141">
        <v>44579</v>
      </c>
      <c r="E4" s="140" t="s">
        <v>1338</v>
      </c>
      <c r="F4" s="460" t="s">
        <v>51</v>
      </c>
      <c r="G4" s="460" t="s">
        <v>51</v>
      </c>
      <c r="H4" s="460" t="s">
        <v>1355</v>
      </c>
      <c r="I4" s="823"/>
    </row>
    <row r="5" spans="1:9" s="825" customFormat="1" collapsed="1">
      <c r="B5" s="458">
        <v>2</v>
      </c>
      <c r="C5" s="173"/>
      <c r="D5" s="174"/>
      <c r="E5" s="173"/>
      <c r="F5" s="175"/>
      <c r="G5" s="175"/>
      <c r="H5" s="175"/>
      <c r="I5" s="822"/>
    </row>
    <row r="6" spans="1:9" s="825" customFormat="1" ht="22.8" hidden="1" outlineLevel="1">
      <c r="B6" s="826">
        <v>2</v>
      </c>
      <c r="C6" s="826">
        <v>0</v>
      </c>
      <c r="D6" s="827">
        <v>44621</v>
      </c>
      <c r="E6" s="828" t="s">
        <v>1732</v>
      </c>
      <c r="F6" s="829" t="s">
        <v>51</v>
      </c>
      <c r="G6" s="829" t="s">
        <v>51</v>
      </c>
      <c r="H6" s="829" t="s">
        <v>1733</v>
      </c>
      <c r="I6" s="823"/>
    </row>
    <row r="7" spans="1:9" s="145" customFormat="1" collapsed="1">
      <c r="B7" s="458">
        <v>3</v>
      </c>
      <c r="C7" s="173"/>
      <c r="D7" s="174"/>
      <c r="E7" s="173"/>
      <c r="F7" s="175"/>
      <c r="G7" s="175"/>
      <c r="H7" s="175"/>
      <c r="I7" s="822"/>
    </row>
    <row r="8" spans="1:9" s="169" customFormat="1" hidden="1" outlineLevel="1">
      <c r="B8" s="1335">
        <v>3</v>
      </c>
      <c r="C8" s="1337" t="s">
        <v>1665</v>
      </c>
      <c r="D8" s="1316" t="s">
        <v>1792</v>
      </c>
      <c r="E8" s="1310" t="s">
        <v>1740</v>
      </c>
      <c r="F8" s="460" t="s">
        <v>1741</v>
      </c>
      <c r="G8" s="460" t="s">
        <v>1246</v>
      </c>
      <c r="H8" s="460" t="s">
        <v>1742</v>
      </c>
      <c r="I8" s="823"/>
    </row>
    <row r="9" spans="1:9" s="169" customFormat="1" hidden="1" outlineLevel="1">
      <c r="B9" s="1335"/>
      <c r="C9" s="1338"/>
      <c r="D9" s="1319"/>
      <c r="E9" s="1311"/>
      <c r="F9" s="460" t="s">
        <v>153</v>
      </c>
      <c r="G9" s="460" t="s">
        <v>1246</v>
      </c>
      <c r="H9" s="460" t="s">
        <v>1793</v>
      </c>
      <c r="I9" s="823"/>
    </row>
    <row r="10" spans="1:9" s="169" customFormat="1" ht="22.8" hidden="1" outlineLevel="1">
      <c r="B10" s="1335"/>
      <c r="C10" s="1339"/>
      <c r="D10" s="1317"/>
      <c r="E10" s="1312"/>
      <c r="F10" s="460" t="s">
        <v>1791</v>
      </c>
      <c r="G10" s="460" t="s">
        <v>1246</v>
      </c>
      <c r="H10" s="915" t="s">
        <v>1796</v>
      </c>
      <c r="I10" s="916"/>
    </row>
    <row r="11" spans="1:9" s="169" customFormat="1" ht="22.8" hidden="1" outlineLevel="1">
      <c r="B11" s="1335"/>
      <c r="C11" s="946">
        <v>2</v>
      </c>
      <c r="D11" s="917">
        <v>44634</v>
      </c>
      <c r="E11" s="918" t="s">
        <v>1338</v>
      </c>
      <c r="F11" s="460" t="s">
        <v>1794</v>
      </c>
      <c r="G11" s="460" t="s">
        <v>1795</v>
      </c>
      <c r="H11" s="915" t="s">
        <v>1797</v>
      </c>
      <c r="I11" s="916"/>
    </row>
    <row r="12" spans="1:9" s="169" customFormat="1" hidden="1" outlineLevel="1">
      <c r="B12" s="1335"/>
      <c r="C12" s="947"/>
      <c r="D12" s="919"/>
      <c r="E12" s="920"/>
      <c r="F12" s="921" t="s">
        <v>153</v>
      </c>
      <c r="G12" s="460" t="s">
        <v>1798</v>
      </c>
      <c r="H12" s="460" t="s">
        <v>1802</v>
      </c>
      <c r="I12" s="823"/>
    </row>
    <row r="13" spans="1:9" s="169" customFormat="1" hidden="1" outlineLevel="1">
      <c r="B13" s="1335"/>
      <c r="C13" s="947"/>
      <c r="D13" s="919"/>
      <c r="E13" s="920"/>
      <c r="F13" s="922"/>
      <c r="G13" s="460" t="s">
        <v>1799</v>
      </c>
      <c r="H13" s="460" t="s">
        <v>1803</v>
      </c>
      <c r="I13" s="823"/>
    </row>
    <row r="14" spans="1:9" s="169" customFormat="1" hidden="1" outlineLevel="1">
      <c r="B14" s="1335"/>
      <c r="C14" s="947"/>
      <c r="D14" s="919"/>
      <c r="E14" s="920"/>
      <c r="F14" s="923"/>
      <c r="G14" s="460" t="s">
        <v>1800</v>
      </c>
      <c r="H14" s="460" t="s">
        <v>1804</v>
      </c>
      <c r="I14" s="823"/>
    </row>
    <row r="15" spans="1:9" s="169" customFormat="1" ht="68.400000000000006" hidden="1" outlineLevel="1">
      <c r="B15" s="1335"/>
      <c r="C15" s="948"/>
      <c r="D15" s="924"/>
      <c r="E15" s="925"/>
      <c r="F15" s="460" t="s">
        <v>1207</v>
      </c>
      <c r="G15" s="915" t="s">
        <v>1801</v>
      </c>
      <c r="H15" s="460" t="s">
        <v>1805</v>
      </c>
      <c r="I15" s="823" t="s">
        <v>2063</v>
      </c>
    </row>
    <row r="16" spans="1:9" s="169" customFormat="1" hidden="1" outlineLevel="1">
      <c r="B16" s="1335"/>
      <c r="C16" s="949">
        <v>3</v>
      </c>
      <c r="D16" s="141">
        <v>44641</v>
      </c>
      <c r="E16" s="140" t="s">
        <v>1338</v>
      </c>
      <c r="F16" s="460" t="s">
        <v>1812</v>
      </c>
      <c r="G16" s="460" t="s">
        <v>1859</v>
      </c>
      <c r="H16" s="460" t="s">
        <v>1860</v>
      </c>
      <c r="I16" s="823" t="s">
        <v>2061</v>
      </c>
    </row>
    <row r="17" spans="2:9" s="169" customFormat="1" hidden="1" outlineLevel="1">
      <c r="B17" s="1335"/>
      <c r="C17" s="1320">
        <v>4</v>
      </c>
      <c r="D17" s="141" t="s">
        <v>1865</v>
      </c>
      <c r="E17" s="140" t="s">
        <v>1740</v>
      </c>
      <c r="F17" s="460" t="s">
        <v>1741</v>
      </c>
      <c r="G17" s="460" t="s">
        <v>1246</v>
      </c>
      <c r="H17" s="460" t="s">
        <v>1742</v>
      </c>
      <c r="I17" s="823"/>
    </row>
    <row r="18" spans="2:9" s="169" customFormat="1" hidden="1" outlineLevel="1">
      <c r="B18" s="1335"/>
      <c r="C18" s="1321"/>
      <c r="D18" s="1316">
        <v>44648</v>
      </c>
      <c r="E18" s="1310" t="s">
        <v>1338</v>
      </c>
      <c r="F18" s="460" t="s">
        <v>2042</v>
      </c>
      <c r="G18" s="460" t="s">
        <v>1859</v>
      </c>
      <c r="H18" s="460" t="s">
        <v>1926</v>
      </c>
      <c r="I18" s="823" t="s">
        <v>2061</v>
      </c>
    </row>
    <row r="19" spans="2:9" s="169" customFormat="1" hidden="1" outlineLevel="1">
      <c r="B19" s="1335"/>
      <c r="C19" s="1321"/>
      <c r="D19" s="1319"/>
      <c r="E19" s="1311"/>
      <c r="F19" s="460" t="s">
        <v>1927</v>
      </c>
      <c r="G19" s="460" t="s">
        <v>1859</v>
      </c>
      <c r="H19" s="460" t="s">
        <v>1860</v>
      </c>
      <c r="I19" s="823" t="s">
        <v>2061</v>
      </c>
    </row>
    <row r="20" spans="2:9" s="169" customFormat="1" hidden="1" outlineLevel="1">
      <c r="B20" s="1336"/>
      <c r="C20" s="1322"/>
      <c r="D20" s="1317"/>
      <c r="E20" s="1312"/>
      <c r="F20" s="460" t="s">
        <v>2054</v>
      </c>
      <c r="G20" s="460" t="s">
        <v>2055</v>
      </c>
      <c r="H20" s="460" t="s">
        <v>2059</v>
      </c>
      <c r="I20" s="823" t="s">
        <v>2062</v>
      </c>
    </row>
    <row r="21" spans="2:9" s="145" customFormat="1" collapsed="1">
      <c r="B21" s="458">
        <v>4</v>
      </c>
      <c r="C21" s="173"/>
      <c r="D21" s="174"/>
      <c r="E21" s="173"/>
      <c r="F21" s="175"/>
      <c r="G21" s="914"/>
      <c r="H21" s="914"/>
      <c r="I21" s="822"/>
    </row>
    <row r="22" spans="2:9" s="169" customFormat="1" hidden="1" outlineLevel="1">
      <c r="B22" s="1318">
        <v>4</v>
      </c>
      <c r="C22" s="826">
        <v>0</v>
      </c>
      <c r="D22" s="141">
        <v>44650</v>
      </c>
      <c r="E22" s="140" t="s">
        <v>1338</v>
      </c>
      <c r="F22" s="460" t="s">
        <v>2069</v>
      </c>
      <c r="G22" s="460" t="s">
        <v>51</v>
      </c>
      <c r="H22" s="460" t="s">
        <v>2070</v>
      </c>
      <c r="I22" s="823"/>
    </row>
    <row r="23" spans="2:9" s="169" customFormat="1" hidden="1" outlineLevel="1">
      <c r="B23" s="1318"/>
      <c r="C23" s="1052">
        <v>1</v>
      </c>
      <c r="D23" s="1053">
        <v>44651</v>
      </c>
      <c r="E23" s="1051" t="s">
        <v>1338</v>
      </c>
      <c r="F23" s="921" t="s">
        <v>2054</v>
      </c>
      <c r="G23" s="460" t="s">
        <v>2171</v>
      </c>
      <c r="H23" s="460" t="s">
        <v>2172</v>
      </c>
      <c r="I23" s="823"/>
    </row>
    <row r="24" spans="2:9" s="169" customFormat="1" hidden="1" outlineLevel="1">
      <c r="B24" s="1318"/>
      <c r="C24" s="826">
        <v>2</v>
      </c>
      <c r="D24" s="141" t="s">
        <v>2173</v>
      </c>
      <c r="E24" s="140" t="s">
        <v>1740</v>
      </c>
      <c r="F24" s="460" t="s">
        <v>2174</v>
      </c>
      <c r="G24" s="460" t="s">
        <v>2175</v>
      </c>
      <c r="H24" s="460" t="s">
        <v>2176</v>
      </c>
      <c r="I24" s="823"/>
    </row>
    <row r="25" spans="2:9" s="169" customFormat="1" ht="22.8" hidden="1" outlineLevel="1">
      <c r="B25" s="1318"/>
      <c r="C25" s="1320">
        <v>3</v>
      </c>
      <c r="D25" s="1316">
        <v>44652</v>
      </c>
      <c r="E25" s="1310" t="s">
        <v>1338</v>
      </c>
      <c r="F25" s="460" t="s">
        <v>2189</v>
      </c>
      <c r="G25" s="915" t="s">
        <v>2190</v>
      </c>
      <c r="H25" s="460" t="s">
        <v>2191</v>
      </c>
      <c r="I25" s="823"/>
    </row>
    <row r="26" spans="2:9" s="169" customFormat="1" ht="22.8" hidden="1" outlineLevel="1">
      <c r="B26" s="1318"/>
      <c r="C26" s="1321"/>
      <c r="D26" s="1319"/>
      <c r="E26" s="1311"/>
      <c r="F26" s="460" t="s">
        <v>1403</v>
      </c>
      <c r="G26" s="915" t="s">
        <v>2219</v>
      </c>
      <c r="H26" s="460" t="s">
        <v>2220</v>
      </c>
      <c r="I26" s="823"/>
    </row>
    <row r="27" spans="2:9" s="169" customFormat="1" hidden="1" outlineLevel="1">
      <c r="B27" s="1318"/>
      <c r="C27" s="1322"/>
      <c r="D27" s="1317"/>
      <c r="E27" s="1312"/>
      <c r="F27" s="460" t="s">
        <v>1794</v>
      </c>
      <c r="G27" s="460" t="s">
        <v>2221</v>
      </c>
      <c r="H27" s="460" t="s">
        <v>2191</v>
      </c>
      <c r="I27" s="823"/>
    </row>
    <row r="28" spans="2:9" s="169" customFormat="1" ht="34.200000000000003" hidden="1" outlineLevel="1">
      <c r="B28" s="1318"/>
      <c r="C28" s="1055">
        <v>4</v>
      </c>
      <c r="D28" s="1165">
        <v>44655</v>
      </c>
      <c r="E28" s="1166" t="s">
        <v>2231</v>
      </c>
      <c r="F28" s="1167" t="s">
        <v>2232</v>
      </c>
      <c r="G28" s="1168" t="s">
        <v>2233</v>
      </c>
      <c r="H28" s="1168" t="s">
        <v>2234</v>
      </c>
      <c r="I28" s="1169"/>
    </row>
    <row r="29" spans="2:9" s="169" customFormat="1" hidden="1" outlineLevel="1">
      <c r="B29" s="1318"/>
      <c r="C29" s="1320">
        <v>5</v>
      </c>
      <c r="D29" s="1316">
        <v>44655</v>
      </c>
      <c r="E29" s="1310" t="s">
        <v>1338</v>
      </c>
      <c r="F29" s="460" t="s">
        <v>2189</v>
      </c>
      <c r="G29" s="460" t="s">
        <v>51</v>
      </c>
      <c r="H29" s="460" t="s">
        <v>2237</v>
      </c>
      <c r="I29" s="823"/>
    </row>
    <row r="30" spans="2:9" s="169" customFormat="1" ht="22.8" hidden="1" outlineLevel="1">
      <c r="B30" s="1318"/>
      <c r="C30" s="1321"/>
      <c r="D30" s="1319"/>
      <c r="E30" s="1311"/>
      <c r="F30" s="915" t="s">
        <v>2238</v>
      </c>
      <c r="G30" s="460" t="s">
        <v>2235</v>
      </c>
      <c r="H30" s="460" t="s">
        <v>2236</v>
      </c>
      <c r="I30" s="823"/>
    </row>
    <row r="31" spans="2:9" s="169" customFormat="1" ht="22.8" hidden="1" outlineLevel="1">
      <c r="B31" s="1318"/>
      <c r="C31" s="1321"/>
      <c r="D31" s="1319"/>
      <c r="E31" s="1311"/>
      <c r="F31" s="915" t="s">
        <v>2239</v>
      </c>
      <c r="G31" s="460" t="s">
        <v>2240</v>
      </c>
      <c r="H31" s="460" t="s">
        <v>2241</v>
      </c>
      <c r="I31" s="823"/>
    </row>
    <row r="32" spans="2:9" s="169" customFormat="1" ht="22.8" hidden="1" outlineLevel="1">
      <c r="B32" s="1318"/>
      <c r="C32" s="1321"/>
      <c r="D32" s="1319"/>
      <c r="E32" s="1311"/>
      <c r="F32" s="460" t="s">
        <v>2054</v>
      </c>
      <c r="G32" s="460" t="s">
        <v>2242</v>
      </c>
      <c r="H32" s="915" t="s">
        <v>2343</v>
      </c>
      <c r="I32" s="823"/>
    </row>
    <row r="33" spans="2:9" s="169" customFormat="1" hidden="1" outlineLevel="1">
      <c r="B33" s="1318"/>
      <c r="C33" s="1321"/>
      <c r="D33" s="1317"/>
      <c r="E33" s="1312"/>
      <c r="F33" s="460" t="s">
        <v>1794</v>
      </c>
      <c r="G33" s="460" t="s">
        <v>2243</v>
      </c>
      <c r="H33" s="460" t="s">
        <v>2244</v>
      </c>
      <c r="I33" s="823" t="s">
        <v>2245</v>
      </c>
    </row>
    <row r="34" spans="2:9" s="169" customFormat="1" hidden="1" outlineLevel="1">
      <c r="B34" s="1318"/>
      <c r="C34" s="1321"/>
      <c r="D34" s="141">
        <v>44656</v>
      </c>
      <c r="E34" s="1056" t="s">
        <v>1338</v>
      </c>
      <c r="F34" s="460" t="s">
        <v>1731</v>
      </c>
      <c r="G34" s="460" t="s">
        <v>2249</v>
      </c>
      <c r="H34" s="460" t="s">
        <v>2250</v>
      </c>
      <c r="I34" s="823" t="s">
        <v>2253</v>
      </c>
    </row>
    <row r="35" spans="2:9" s="169" customFormat="1" ht="22.8" hidden="1" outlineLevel="1">
      <c r="B35" s="1318"/>
      <c r="C35" s="1321"/>
      <c r="D35" s="1316" t="s">
        <v>2256</v>
      </c>
      <c r="E35" s="1310" t="s">
        <v>1740</v>
      </c>
      <c r="F35" s="460" t="s">
        <v>2257</v>
      </c>
      <c r="G35" s="460" t="s">
        <v>2266</v>
      </c>
      <c r="H35" s="915" t="s">
        <v>2267</v>
      </c>
      <c r="I35" s="823" t="s">
        <v>2268</v>
      </c>
    </row>
    <row r="36" spans="2:9" s="169" customFormat="1" ht="22.8" hidden="1" outlineLevel="1">
      <c r="B36" s="1318"/>
      <c r="C36" s="1322"/>
      <c r="D36" s="1317"/>
      <c r="E36" s="1312"/>
      <c r="F36" s="460" t="s">
        <v>2174</v>
      </c>
      <c r="G36" s="460" t="s">
        <v>2273</v>
      </c>
      <c r="H36" s="915" t="s">
        <v>2275</v>
      </c>
      <c r="I36" s="823" t="s">
        <v>2276</v>
      </c>
    </row>
    <row r="37" spans="2:9" s="169" customFormat="1" hidden="1" outlineLevel="1">
      <c r="B37" s="1318"/>
      <c r="C37" s="1320">
        <v>6</v>
      </c>
      <c r="D37" s="1054">
        <v>44662</v>
      </c>
      <c r="E37" s="1310" t="s">
        <v>1338</v>
      </c>
      <c r="F37" s="460" t="s">
        <v>2054</v>
      </c>
      <c r="G37" s="460" t="s">
        <v>1210</v>
      </c>
      <c r="H37" s="460" t="s">
        <v>2283</v>
      </c>
      <c r="I37" s="823"/>
    </row>
    <row r="38" spans="2:9" s="169" customFormat="1" hidden="1" outlineLevel="1">
      <c r="B38" s="1318"/>
      <c r="C38" s="1321"/>
      <c r="D38" s="1316">
        <v>44665</v>
      </c>
      <c r="E38" s="1311"/>
      <c r="F38" s="460" t="s">
        <v>1791</v>
      </c>
      <c r="G38" s="460" t="s">
        <v>2285</v>
      </c>
      <c r="H38" s="460" t="s">
        <v>2286</v>
      </c>
      <c r="I38" s="823" t="s">
        <v>2287</v>
      </c>
    </row>
    <row r="39" spans="2:9" s="169" customFormat="1" ht="22.8" hidden="1" outlineLevel="1">
      <c r="B39" s="1318"/>
      <c r="C39" s="1321"/>
      <c r="D39" s="1317"/>
      <c r="E39" s="1311"/>
      <c r="F39" s="915" t="s">
        <v>2291</v>
      </c>
      <c r="G39" s="915" t="s">
        <v>2288</v>
      </c>
      <c r="H39" s="460" t="s">
        <v>2292</v>
      </c>
      <c r="I39" s="823" t="s">
        <v>2063</v>
      </c>
    </row>
    <row r="40" spans="2:9" s="169" customFormat="1" ht="34.200000000000003" hidden="1" outlineLevel="1">
      <c r="B40" s="1318"/>
      <c r="C40" s="1321"/>
      <c r="D40" s="1316">
        <v>44666</v>
      </c>
      <c r="E40" s="1311"/>
      <c r="F40" s="460" t="s">
        <v>2054</v>
      </c>
      <c r="G40" s="460" t="s">
        <v>2242</v>
      </c>
      <c r="H40" s="915" t="s">
        <v>2293</v>
      </c>
      <c r="I40" s="823"/>
    </row>
    <row r="41" spans="2:9" s="169" customFormat="1" ht="45.6" hidden="1" outlineLevel="1">
      <c r="B41" s="1318"/>
      <c r="C41" s="1322"/>
      <c r="D41" s="1317"/>
      <c r="E41" s="1312"/>
      <c r="F41" s="460" t="s">
        <v>2054</v>
      </c>
      <c r="G41" s="460" t="s">
        <v>1799</v>
      </c>
      <c r="H41" s="915" t="s">
        <v>2294</v>
      </c>
      <c r="I41" s="823"/>
    </row>
    <row r="42" spans="2:9" s="169" customFormat="1" hidden="1" outlineLevel="1">
      <c r="B42" s="1318"/>
      <c r="C42" s="1340">
        <v>7</v>
      </c>
      <c r="D42" s="1316" t="s">
        <v>2295</v>
      </c>
      <c r="E42" s="1310" t="s">
        <v>1740</v>
      </c>
      <c r="F42" s="460" t="s">
        <v>1741</v>
      </c>
      <c r="G42" s="460" t="s">
        <v>2296</v>
      </c>
      <c r="H42" s="460" t="s">
        <v>2333</v>
      </c>
      <c r="I42" s="823"/>
    </row>
    <row r="43" spans="2:9" ht="34.200000000000003" hidden="1" outlineLevel="1">
      <c r="B43" s="1318"/>
      <c r="C43" s="1341"/>
      <c r="D43" s="1317"/>
      <c r="E43" s="1312"/>
      <c r="F43" s="460" t="s">
        <v>1741</v>
      </c>
      <c r="G43" s="915" t="s">
        <v>2332</v>
      </c>
      <c r="H43" s="460" t="s">
        <v>2334</v>
      </c>
      <c r="I43" s="460"/>
    </row>
    <row r="44" spans="2:9" s="169" customFormat="1" hidden="1" outlineLevel="1">
      <c r="B44" s="1318"/>
      <c r="C44" s="1034">
        <v>8</v>
      </c>
      <c r="D44" s="1033">
        <v>44670</v>
      </c>
      <c r="E44" s="1032" t="s">
        <v>2231</v>
      </c>
      <c r="F44" s="921" t="s">
        <v>2042</v>
      </c>
      <c r="G44" s="460" t="s">
        <v>51</v>
      </c>
      <c r="H44" s="460" t="s">
        <v>2336</v>
      </c>
      <c r="I44" s="823"/>
    </row>
    <row r="45" spans="2:9" s="169" customFormat="1" ht="34.200000000000003" hidden="1" outlineLevel="1">
      <c r="B45" s="1318"/>
      <c r="C45" s="1320">
        <v>9</v>
      </c>
      <c r="D45" s="1316" t="s">
        <v>2360</v>
      </c>
      <c r="E45" s="1310" t="s">
        <v>1740</v>
      </c>
      <c r="F45" s="921" t="s">
        <v>2337</v>
      </c>
      <c r="G45" s="915" t="s">
        <v>2339</v>
      </c>
      <c r="H45" s="460" t="s">
        <v>2345</v>
      </c>
      <c r="I45" s="823"/>
    </row>
    <row r="46" spans="2:9" s="169" customFormat="1" hidden="1" outlineLevel="1">
      <c r="B46" s="1318"/>
      <c r="C46" s="1321"/>
      <c r="D46" s="1319"/>
      <c r="E46" s="1311"/>
      <c r="F46" s="921" t="s">
        <v>2337</v>
      </c>
      <c r="G46" s="1161" t="s">
        <v>2338</v>
      </c>
      <c r="H46" s="460" t="s">
        <v>2340</v>
      </c>
      <c r="I46" s="823" t="s">
        <v>2341</v>
      </c>
    </row>
    <row r="47" spans="2:9" s="169" customFormat="1" ht="22.8" hidden="1" outlineLevel="1">
      <c r="B47" s="1318"/>
      <c r="C47" s="1321"/>
      <c r="D47" s="1319"/>
      <c r="E47" s="1311"/>
      <c r="F47" s="921" t="s">
        <v>153</v>
      </c>
      <c r="G47" s="460" t="s">
        <v>2342</v>
      </c>
      <c r="H47" s="915" t="s">
        <v>2344</v>
      </c>
      <c r="I47" s="823"/>
    </row>
    <row r="48" spans="2:9" s="169" customFormat="1" ht="34.200000000000003" hidden="1" outlineLevel="1">
      <c r="B48" s="1318"/>
      <c r="C48" s="1321"/>
      <c r="D48" s="1317"/>
      <c r="E48" s="1311"/>
      <c r="F48" s="921" t="s">
        <v>2337</v>
      </c>
      <c r="G48" s="915" t="s">
        <v>2358</v>
      </c>
      <c r="H48" s="460" t="s">
        <v>2359</v>
      </c>
      <c r="I48" s="823"/>
    </row>
    <row r="49" spans="2:9" s="169" customFormat="1" ht="22.8" hidden="1" outlineLevel="1">
      <c r="B49" s="1318"/>
      <c r="C49" s="1321"/>
      <c r="D49" s="1316" t="s">
        <v>2361</v>
      </c>
      <c r="E49" s="1311"/>
      <c r="F49" s="1323" t="s">
        <v>2337</v>
      </c>
      <c r="G49" s="1161" t="s">
        <v>2175</v>
      </c>
      <c r="H49" s="915" t="s">
        <v>2367</v>
      </c>
      <c r="I49" s="823"/>
    </row>
    <row r="50" spans="2:9" s="169" customFormat="1" ht="22.8" hidden="1" outlineLevel="1">
      <c r="B50" s="1318"/>
      <c r="C50" s="1322"/>
      <c r="D50" s="1317"/>
      <c r="E50" s="1312"/>
      <c r="F50" s="1324"/>
      <c r="G50" s="915" t="s">
        <v>2369</v>
      </c>
      <c r="H50" s="460" t="s">
        <v>2370</v>
      </c>
      <c r="I50" s="823"/>
    </row>
    <row r="51" spans="2:9" s="169" customFormat="1" hidden="1" outlineLevel="1">
      <c r="B51" s="1318"/>
      <c r="C51" s="1034">
        <v>10</v>
      </c>
      <c r="D51" s="1033" t="s">
        <v>2371</v>
      </c>
      <c r="E51" s="1032" t="s">
        <v>1740</v>
      </c>
      <c r="F51" s="921" t="s">
        <v>2337</v>
      </c>
      <c r="G51" s="460" t="s">
        <v>2372</v>
      </c>
      <c r="H51" s="460" t="s">
        <v>2375</v>
      </c>
      <c r="I51" s="823" t="s">
        <v>2373</v>
      </c>
    </row>
    <row r="52" spans="2:9" s="169" customFormat="1" hidden="1" outlineLevel="1">
      <c r="B52" s="1318"/>
      <c r="C52" s="1034">
        <v>11</v>
      </c>
      <c r="D52" s="1033">
        <v>44699</v>
      </c>
      <c r="E52" s="1032" t="s">
        <v>1338</v>
      </c>
      <c r="F52" s="921" t="s">
        <v>2054</v>
      </c>
      <c r="G52" s="460" t="s">
        <v>2242</v>
      </c>
      <c r="H52" s="460" t="s">
        <v>2376</v>
      </c>
      <c r="I52" s="823"/>
    </row>
    <row r="53" spans="2:9" s="169" customFormat="1" hidden="1" outlineLevel="1">
      <c r="B53" s="1318"/>
      <c r="C53" s="1320">
        <v>12</v>
      </c>
      <c r="D53" s="1316" t="s">
        <v>2378</v>
      </c>
      <c r="E53" s="1310" t="s">
        <v>1740</v>
      </c>
      <c r="F53" s="1328" t="s">
        <v>2337</v>
      </c>
      <c r="G53" s="460" t="s">
        <v>2381</v>
      </c>
      <c r="H53" s="460" t="s">
        <v>2379</v>
      </c>
      <c r="I53" s="823" t="s">
        <v>2380</v>
      </c>
    </row>
    <row r="54" spans="2:9" s="169" customFormat="1" hidden="1" outlineLevel="1">
      <c r="B54" s="1318"/>
      <c r="C54" s="1321"/>
      <c r="D54" s="1319"/>
      <c r="E54" s="1311"/>
      <c r="F54" s="1329"/>
      <c r="G54" s="460" t="s">
        <v>2382</v>
      </c>
      <c r="H54" s="460" t="s">
        <v>2359</v>
      </c>
      <c r="I54" s="823"/>
    </row>
    <row r="55" spans="2:9" s="169" customFormat="1" hidden="1" outlineLevel="1">
      <c r="B55" s="1318"/>
      <c r="C55" s="1322"/>
      <c r="D55" s="1317"/>
      <c r="E55" s="1312"/>
      <c r="F55" s="1330"/>
      <c r="G55" s="915" t="s">
        <v>2388</v>
      </c>
      <c r="H55" s="460" t="s">
        <v>2345</v>
      </c>
      <c r="I55" s="823"/>
    </row>
    <row r="56" spans="2:9" s="169" customFormat="1" hidden="1" outlineLevel="1">
      <c r="B56" s="1318"/>
      <c r="C56" s="949">
        <v>13</v>
      </c>
      <c r="D56" s="141" t="s">
        <v>2390</v>
      </c>
      <c r="E56" s="140" t="s">
        <v>1740</v>
      </c>
      <c r="F56" s="1162" t="s">
        <v>2391</v>
      </c>
      <c r="G56" s="460" t="s">
        <v>2392</v>
      </c>
      <c r="H56" s="460" t="s">
        <v>2393</v>
      </c>
      <c r="I56" s="823"/>
    </row>
    <row r="57" spans="2:9" ht="22.8" hidden="1" outlineLevel="1">
      <c r="B57" s="1318"/>
      <c r="C57" s="1325">
        <v>14</v>
      </c>
      <c r="D57" s="1326" t="s">
        <v>2394</v>
      </c>
      <c r="E57" s="1327" t="s">
        <v>1740</v>
      </c>
      <c r="F57" s="1163" t="s">
        <v>2257</v>
      </c>
      <c r="G57" s="1164" t="s">
        <v>2395</v>
      </c>
      <c r="H57" s="460" t="s">
        <v>2345</v>
      </c>
      <c r="I57" s="1163"/>
    </row>
    <row r="58" spans="2:9" s="145" customFormat="1" hidden="1" outlineLevel="1">
      <c r="B58" s="1318"/>
      <c r="C58" s="1325"/>
      <c r="D58" s="1326"/>
      <c r="E58" s="1327"/>
      <c r="F58" s="1163" t="s">
        <v>2257</v>
      </c>
      <c r="G58" s="1164" t="s">
        <v>2381</v>
      </c>
      <c r="H58" s="460" t="s">
        <v>2401</v>
      </c>
      <c r="I58" s="823" t="s">
        <v>2380</v>
      </c>
    </row>
    <row r="59" spans="2:9" ht="34.200000000000003" hidden="1" outlineLevel="1">
      <c r="B59" s="1318"/>
      <c r="C59" s="1325">
        <v>15</v>
      </c>
      <c r="D59" s="141" t="s">
        <v>2402</v>
      </c>
      <c r="E59" s="1048" t="s">
        <v>1740</v>
      </c>
      <c r="F59" s="1162" t="s">
        <v>2257</v>
      </c>
      <c r="G59" s="915" t="s">
        <v>2409</v>
      </c>
      <c r="H59" s="460" t="s">
        <v>2345</v>
      </c>
      <c r="I59" s="823"/>
    </row>
    <row r="60" spans="2:9" hidden="1" outlineLevel="1">
      <c r="B60" s="1318"/>
      <c r="C60" s="1325"/>
      <c r="D60" s="1047" t="s">
        <v>2410</v>
      </c>
      <c r="E60" s="1048" t="s">
        <v>1740</v>
      </c>
      <c r="F60" s="1162" t="s">
        <v>2257</v>
      </c>
      <c r="G60" s="1162" t="s">
        <v>2411</v>
      </c>
      <c r="H60" s="460" t="s">
        <v>2345</v>
      </c>
      <c r="I60" s="1162"/>
    </row>
    <row r="61" spans="2:9" hidden="1" outlineLevel="1">
      <c r="B61" s="1318"/>
      <c r="C61" s="1325"/>
      <c r="D61" s="1049" t="s">
        <v>2412</v>
      </c>
      <c r="E61" s="1050" t="s">
        <v>1740</v>
      </c>
      <c r="F61" s="1162" t="s">
        <v>2257</v>
      </c>
      <c r="G61" s="1162" t="s">
        <v>2413</v>
      </c>
      <c r="H61" s="460" t="s">
        <v>2345</v>
      </c>
      <c r="I61" s="1162"/>
    </row>
    <row r="62" spans="2:9">
      <c r="B62" s="458">
        <v>5</v>
      </c>
      <c r="C62" s="173"/>
      <c r="D62" s="174"/>
      <c r="E62" s="173"/>
      <c r="F62" s="175"/>
      <c r="G62" s="914"/>
      <c r="H62" s="914"/>
      <c r="I62" s="822"/>
    </row>
    <row r="63" spans="2:9" ht="22.8">
      <c r="B63" s="1331">
        <v>5</v>
      </c>
      <c r="C63" s="826">
        <v>0</v>
      </c>
      <c r="D63" s="141">
        <v>44721</v>
      </c>
      <c r="E63" s="1251" t="s">
        <v>1740</v>
      </c>
      <c r="F63" s="460" t="s">
        <v>2069</v>
      </c>
      <c r="G63" s="460" t="s">
        <v>51</v>
      </c>
      <c r="H63" s="915" t="s">
        <v>2429</v>
      </c>
      <c r="I63" s="823"/>
    </row>
    <row r="64" spans="2:9" s="145" customFormat="1" ht="22.8">
      <c r="B64" s="1332"/>
      <c r="C64" s="1280">
        <v>1</v>
      </c>
      <c r="D64" s="1239">
        <v>44726</v>
      </c>
      <c r="E64" s="1240" t="s">
        <v>1338</v>
      </c>
      <c r="F64" s="1219" t="s">
        <v>2451</v>
      </c>
      <c r="G64" s="1220" t="s">
        <v>2452</v>
      </c>
      <c r="H64" s="1220" t="s">
        <v>2496</v>
      </c>
      <c r="I64" s="1221"/>
    </row>
    <row r="65" spans="2:9" s="145" customFormat="1" ht="45.6">
      <c r="B65" s="1332"/>
      <c r="C65" s="1280">
        <v>2</v>
      </c>
      <c r="D65" s="1239">
        <v>44726</v>
      </c>
      <c r="E65" s="1240" t="s">
        <v>1338</v>
      </c>
      <c r="F65" s="1219" t="s">
        <v>1731</v>
      </c>
      <c r="G65" s="1220" t="s">
        <v>2438</v>
      </c>
      <c r="H65" s="1220" t="s">
        <v>2453</v>
      </c>
      <c r="I65" s="1221"/>
    </row>
    <row r="66" spans="2:9" s="145" customFormat="1">
      <c r="B66" s="1332"/>
      <c r="C66" s="1313">
        <v>3</v>
      </c>
      <c r="D66" s="1315">
        <v>44727</v>
      </c>
      <c r="E66" s="1314" t="s">
        <v>1338</v>
      </c>
      <c r="F66" s="1236" t="s">
        <v>2451</v>
      </c>
      <c r="G66" s="1237" t="s">
        <v>2452</v>
      </c>
      <c r="H66" s="1237" t="s">
        <v>2495</v>
      </c>
      <c r="I66" s="1238"/>
    </row>
    <row r="67" spans="2:9" s="145" customFormat="1">
      <c r="B67" s="1332"/>
      <c r="C67" s="1313"/>
      <c r="D67" s="1315"/>
      <c r="E67" s="1314"/>
      <c r="F67" s="1236" t="s">
        <v>1731</v>
      </c>
      <c r="G67" s="1237" t="s">
        <v>2249</v>
      </c>
      <c r="H67" s="1237" t="s">
        <v>2499</v>
      </c>
      <c r="I67" s="1238"/>
    </row>
    <row r="68" spans="2:9" s="145" customFormat="1" ht="79.8">
      <c r="B68" s="1332"/>
      <c r="C68" s="1281">
        <v>4</v>
      </c>
      <c r="D68" s="1282" t="s">
        <v>2502</v>
      </c>
      <c r="E68" s="1283" t="s">
        <v>2231</v>
      </c>
      <c r="F68" s="1236" t="s">
        <v>1927</v>
      </c>
      <c r="G68" s="1237" t="s">
        <v>2498</v>
      </c>
      <c r="H68" s="1237" t="s">
        <v>2500</v>
      </c>
      <c r="I68" s="1238"/>
    </row>
    <row r="69" spans="2:9" ht="22.8">
      <c r="B69" s="1332"/>
      <c r="C69" s="1333">
        <v>5</v>
      </c>
      <c r="D69" s="1247" t="s">
        <v>2503</v>
      </c>
      <c r="E69" s="1247" t="s">
        <v>1740</v>
      </c>
      <c r="F69" s="1246" t="s">
        <v>2257</v>
      </c>
      <c r="G69" s="1248" t="s">
        <v>2504</v>
      </c>
      <c r="H69" s="1249" t="s">
        <v>2505</v>
      </c>
      <c r="I69" s="1246"/>
    </row>
    <row r="70" spans="2:9" ht="22.8">
      <c r="B70" s="1332"/>
      <c r="C70" s="1334"/>
      <c r="D70" s="1247" t="s">
        <v>2506</v>
      </c>
      <c r="E70" s="1247" t="s">
        <v>1740</v>
      </c>
      <c r="F70" s="1246" t="s">
        <v>2257</v>
      </c>
      <c r="G70" s="1246" t="s">
        <v>2507</v>
      </c>
      <c r="H70" s="1252" t="s">
        <v>2508</v>
      </c>
      <c r="I70" s="1247"/>
    </row>
    <row r="71" spans="2:9">
      <c r="B71" s="1332"/>
      <c r="C71" s="1284">
        <v>6</v>
      </c>
      <c r="D71" s="1285" t="s">
        <v>2517</v>
      </c>
      <c r="E71" s="1285" t="s">
        <v>1740</v>
      </c>
      <c r="F71" s="1286" t="s">
        <v>2257</v>
      </c>
      <c r="G71" s="1286" t="s">
        <v>2519</v>
      </c>
      <c r="H71" s="1287" t="s">
        <v>2505</v>
      </c>
      <c r="I71" s="1285"/>
    </row>
    <row r="72" spans="2:9" ht="114">
      <c r="B72" s="1332"/>
      <c r="C72" s="1289">
        <v>7</v>
      </c>
      <c r="D72" s="1290">
        <v>44754</v>
      </c>
      <c r="E72" s="1291" t="s">
        <v>2520</v>
      </c>
      <c r="F72" s="1292" t="s">
        <v>2257</v>
      </c>
      <c r="G72" s="1294" t="s">
        <v>2549</v>
      </c>
      <c r="H72" s="1293" t="s">
        <v>2550</v>
      </c>
      <c r="I72" s="1291"/>
    </row>
    <row r="73" spans="2:9">
      <c r="B73" s="1332"/>
      <c r="C73" s="1303">
        <v>8</v>
      </c>
      <c r="D73" s="1304" t="s">
        <v>2557</v>
      </c>
      <c r="E73" s="1304" t="s">
        <v>1740</v>
      </c>
      <c r="F73" s="1305" t="s">
        <v>2257</v>
      </c>
      <c r="G73" s="1305" t="s">
        <v>2558</v>
      </c>
      <c r="H73" s="1306" t="s">
        <v>2559</v>
      </c>
      <c r="I73" s="1304"/>
    </row>
    <row r="74" spans="2:9">
      <c r="B74" s="145"/>
      <c r="C74" s="1761">
        <v>9</v>
      </c>
      <c r="D74" s="1762">
        <v>44774</v>
      </c>
      <c r="E74" s="1763" t="s">
        <v>2520</v>
      </c>
      <c r="F74" s="1764" t="s">
        <v>2257</v>
      </c>
      <c r="G74" s="1765" t="s">
        <v>2560</v>
      </c>
      <c r="H74" s="1766" t="s">
        <v>2563</v>
      </c>
      <c r="I74" s="1763"/>
    </row>
    <row r="75" spans="2:9">
      <c r="B75" s="145"/>
    </row>
    <row r="76" spans="2:9">
      <c r="B76" s="145"/>
    </row>
    <row r="77" spans="2:9">
      <c r="B77" s="145"/>
    </row>
    <row r="78" spans="2:9">
      <c r="B78" s="145"/>
    </row>
    <row r="79" spans="2:9">
      <c r="B79" s="145"/>
    </row>
    <row r="80" spans="2:9">
      <c r="B80" s="145"/>
    </row>
    <row r="81" spans="2:2">
      <c r="B81" s="145"/>
    </row>
    <row r="82" spans="2:2">
      <c r="B82" s="145"/>
    </row>
    <row r="83" spans="2:2">
      <c r="B83" s="145"/>
    </row>
    <row r="84" spans="2:2">
      <c r="B84" s="145"/>
    </row>
    <row r="85" spans="2:2">
      <c r="B85" s="145"/>
    </row>
    <row r="86" spans="2:2">
      <c r="B86" s="145"/>
    </row>
    <row r="87" spans="2:2">
      <c r="B87" s="145"/>
    </row>
    <row r="88" spans="2:2">
      <c r="B88" s="145"/>
    </row>
    <row r="89" spans="2:2">
      <c r="B89" s="145"/>
    </row>
    <row r="90" spans="2:2">
      <c r="B90" s="145"/>
    </row>
    <row r="91" spans="2:2">
      <c r="B91" s="145"/>
    </row>
    <row r="92" spans="2:2">
      <c r="B92" s="145"/>
    </row>
    <row r="93" spans="2:2">
      <c r="B93" s="145"/>
    </row>
    <row r="94" spans="2:2">
      <c r="B94" s="145"/>
    </row>
    <row r="95" spans="2:2">
      <c r="B95" s="145"/>
    </row>
    <row r="96" spans="2:2">
      <c r="B96" s="145"/>
    </row>
    <row r="97" spans="2:2">
      <c r="B97" s="145"/>
    </row>
    <row r="98" spans="2:2">
      <c r="B98" s="145"/>
    </row>
    <row r="99" spans="2:2">
      <c r="B99" s="145"/>
    </row>
    <row r="100" spans="2:2">
      <c r="B100" s="145"/>
    </row>
    <row r="101" spans="2:2">
      <c r="B101" s="145"/>
    </row>
    <row r="102" spans="2:2">
      <c r="B102" s="145"/>
    </row>
    <row r="103" spans="2:2">
      <c r="B103" s="145"/>
    </row>
    <row r="104" spans="2:2">
      <c r="B104" s="145"/>
    </row>
  </sheetData>
  <mergeCells count="41">
    <mergeCell ref="B63:B73"/>
    <mergeCell ref="C69:C70"/>
    <mergeCell ref="B8:B20"/>
    <mergeCell ref="E8:E10"/>
    <mergeCell ref="D8:D10"/>
    <mergeCell ref="D18:D20"/>
    <mergeCell ref="E18:E20"/>
    <mergeCell ref="C8:C10"/>
    <mergeCell ref="C17:C20"/>
    <mergeCell ref="C37:C41"/>
    <mergeCell ref="E37:E41"/>
    <mergeCell ref="C42:C43"/>
    <mergeCell ref="D45:D48"/>
    <mergeCell ref="D38:D39"/>
    <mergeCell ref="E29:E33"/>
    <mergeCell ref="D29:D33"/>
    <mergeCell ref="F49:F50"/>
    <mergeCell ref="C57:C58"/>
    <mergeCell ref="D57:D58"/>
    <mergeCell ref="E57:E58"/>
    <mergeCell ref="C59:C61"/>
    <mergeCell ref="F53:F55"/>
    <mergeCell ref="E53:E55"/>
    <mergeCell ref="C53:C55"/>
    <mergeCell ref="D53:D55"/>
    <mergeCell ref="C45:C50"/>
    <mergeCell ref="D49:D50"/>
    <mergeCell ref="E45:E50"/>
    <mergeCell ref="B22:B61"/>
    <mergeCell ref="D25:D27"/>
    <mergeCell ref="C29:C36"/>
    <mergeCell ref="D35:D36"/>
    <mergeCell ref="C25:C27"/>
    <mergeCell ref="D40:D41"/>
    <mergeCell ref="E25:E27"/>
    <mergeCell ref="E35:E36"/>
    <mergeCell ref="C66:C67"/>
    <mergeCell ref="E66:E67"/>
    <mergeCell ref="D66:D67"/>
    <mergeCell ref="D42:D43"/>
    <mergeCell ref="E42:E43"/>
  </mergeCells>
  <phoneticPr fontId="13"/>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outlinePr summaryBelow="0" summaryRight="0"/>
    <pageSetUpPr fitToPage="1"/>
  </sheetPr>
  <dimension ref="A1:BG55"/>
  <sheetViews>
    <sheetView showGridLines="0" zoomScale="85" zoomScaleNormal="85" workbookViewId="0">
      <pane xSplit="9" ySplit="10" topLeftCell="J32" activePane="bottomRight" state="frozen"/>
      <selection pane="topRight"/>
      <selection pane="bottomLeft"/>
      <selection pane="bottomRight" activeCell="E38" sqref="E38:N38"/>
    </sheetView>
  </sheetViews>
  <sheetFormatPr defaultColWidth="10.25" defaultRowHeight="11.4" outlineLevelRow="1" outlineLevelCol="1"/>
  <cols>
    <col min="1" max="2" width="2.75" style="1" customWidth="1"/>
    <col min="3" max="3" width="4.75" style="1" customWidth="1"/>
    <col min="4" max="4" width="26.125" style="1" customWidth="1"/>
    <col min="5" max="5" width="41.375" style="1" customWidth="1"/>
    <col min="6" max="6" width="5.75" style="1" customWidth="1"/>
    <col min="7" max="7" width="5.875" style="1" customWidth="1" outlineLevel="1"/>
    <col min="8" max="9" width="1.75" style="84" customWidth="1"/>
    <col min="10" max="11" width="5.125" style="1" customWidth="1"/>
    <col min="12" max="12" width="1.75" style="84" customWidth="1"/>
    <col min="13" max="17" width="5.625" style="1" customWidth="1"/>
    <col min="18" max="18" width="1.75" style="84" customWidth="1"/>
    <col min="19" max="19" width="5.75" style="5" customWidth="1"/>
    <col min="20" max="20" width="1.75" style="84" customWidth="1"/>
    <col min="21" max="29" width="2.875" style="1" customWidth="1" outlineLevel="1"/>
    <col min="30" max="30" width="1.75" style="84" customWidth="1"/>
    <col min="31" max="56" width="2.875" style="1" customWidth="1" outlineLevel="1"/>
    <col min="57" max="57" width="2.75" style="84" customWidth="1"/>
    <col min="58" max="58" width="76.875" style="1" customWidth="1"/>
    <col min="59" max="16384" width="10.25" style="1"/>
  </cols>
  <sheetData>
    <row r="1" spans="1:58" ht="22.2">
      <c r="A1" s="100" t="s">
        <v>1352</v>
      </c>
    </row>
    <row r="2" spans="1:58" ht="11.25" customHeight="1">
      <c r="J2" s="1" t="s">
        <v>152</v>
      </c>
      <c r="AE2" s="142" t="s">
        <v>154</v>
      </c>
      <c r="AF2" s="142"/>
      <c r="AG2" s="142"/>
      <c r="AH2" s="142"/>
      <c r="AI2" s="142"/>
      <c r="AJ2" s="142"/>
      <c r="AK2" s="142"/>
      <c r="AL2" s="142"/>
      <c r="AM2" s="142"/>
      <c r="AN2" s="142"/>
      <c r="AO2" s="142"/>
      <c r="AP2" s="142"/>
      <c r="AQ2" s="142"/>
      <c r="AR2" s="142"/>
      <c r="AS2" s="142"/>
      <c r="AT2" s="142"/>
      <c r="AU2" s="142"/>
      <c r="AV2" s="142"/>
      <c r="AW2" s="142"/>
      <c r="AX2" s="142"/>
      <c r="AY2" s="142"/>
      <c r="AZ2" s="142"/>
      <c r="BA2" s="142"/>
      <c r="BB2" s="142"/>
      <c r="BC2" s="142"/>
      <c r="BD2" s="142"/>
      <c r="BE2" s="143"/>
    </row>
    <row r="3" spans="1:58" ht="11.25" customHeight="1">
      <c r="A3" s="2"/>
      <c r="J3" s="23" t="s">
        <v>101</v>
      </c>
      <c r="AE3" s="142" t="s">
        <v>158</v>
      </c>
      <c r="AF3" s="142"/>
      <c r="AG3" s="142"/>
      <c r="AH3" s="142"/>
      <c r="AI3" s="142"/>
      <c r="AJ3" s="142"/>
      <c r="AK3" s="142"/>
      <c r="AL3" s="142"/>
      <c r="AM3" s="142"/>
      <c r="AN3" s="142"/>
      <c r="AO3" s="142"/>
      <c r="AP3" s="142"/>
      <c r="AQ3" s="142"/>
      <c r="AR3" s="142"/>
      <c r="AS3" s="142"/>
      <c r="AT3" s="142"/>
      <c r="AU3" s="142"/>
      <c r="AV3" s="142"/>
      <c r="AW3" s="142"/>
      <c r="AX3" s="142"/>
      <c r="AY3" s="142"/>
      <c r="AZ3" s="142"/>
      <c r="BA3" s="142"/>
      <c r="BB3" s="142"/>
      <c r="BC3" s="142"/>
      <c r="BD3" s="142"/>
      <c r="BE3" s="143"/>
    </row>
    <row r="4" spans="1:58" ht="11.25" customHeight="1">
      <c r="J4" s="4" t="s">
        <v>102</v>
      </c>
      <c r="AE4" s="142" t="s">
        <v>159</v>
      </c>
      <c r="AF4" s="142"/>
      <c r="AG4" s="142"/>
      <c r="AH4" s="142"/>
      <c r="AI4" s="142"/>
      <c r="AJ4" s="142"/>
      <c r="AK4" s="142"/>
      <c r="AL4" s="142"/>
      <c r="AM4" s="142"/>
      <c r="AN4" s="142"/>
      <c r="AO4" s="142"/>
      <c r="AP4" s="142"/>
      <c r="AQ4" s="142"/>
      <c r="AR4" s="142"/>
      <c r="AS4" s="142"/>
      <c r="AT4" s="142"/>
      <c r="AU4" s="142"/>
      <c r="AV4" s="142"/>
      <c r="AW4" s="142"/>
      <c r="AX4" s="142"/>
      <c r="AY4" s="142"/>
      <c r="AZ4" s="142"/>
      <c r="BA4" s="142"/>
      <c r="BB4" s="142"/>
      <c r="BC4" s="142"/>
      <c r="BD4" s="142"/>
      <c r="BE4" s="143"/>
    </row>
    <row r="5" spans="1:58" ht="11.25" customHeight="1">
      <c r="C5" s="426" t="s">
        <v>0</v>
      </c>
      <c r="AE5" s="142" t="s">
        <v>160</v>
      </c>
      <c r="AF5" s="142"/>
      <c r="AG5" s="142"/>
      <c r="AH5" s="142"/>
      <c r="AI5" s="142"/>
      <c r="AJ5" s="142"/>
      <c r="AK5" s="142"/>
      <c r="AL5" s="142"/>
      <c r="AM5" s="142"/>
      <c r="AN5" s="142"/>
      <c r="AO5" s="142"/>
      <c r="AP5" s="142"/>
      <c r="AQ5" s="142"/>
      <c r="AR5" s="142"/>
      <c r="AS5" s="142"/>
      <c r="AT5" s="142"/>
      <c r="AU5" s="142"/>
      <c r="AV5" s="142"/>
      <c r="AW5" s="142"/>
      <c r="AX5" s="142"/>
      <c r="AY5" s="142"/>
      <c r="AZ5" s="142"/>
      <c r="BA5" s="142"/>
      <c r="BB5" s="142"/>
      <c r="BC5" s="142"/>
      <c r="BD5" s="142"/>
      <c r="BE5" s="143"/>
    </row>
    <row r="6" spans="1:58" ht="11.25" customHeight="1">
      <c r="C6" s="426" t="s">
        <v>1305</v>
      </c>
      <c r="AE6" s="142" t="s">
        <v>161</v>
      </c>
      <c r="AF6" s="142"/>
      <c r="AG6" s="142"/>
      <c r="AH6" s="142"/>
      <c r="AI6" s="142"/>
      <c r="AJ6" s="142"/>
      <c r="AK6" s="142"/>
      <c r="AL6" s="142"/>
      <c r="AM6" s="142"/>
      <c r="AN6" s="142"/>
      <c r="AO6" s="142"/>
      <c r="AP6" s="142"/>
      <c r="AQ6" s="142"/>
      <c r="AR6" s="142"/>
      <c r="AS6" s="142"/>
      <c r="AT6" s="142"/>
      <c r="AU6" s="142"/>
      <c r="AV6" s="142"/>
      <c r="AW6" s="142"/>
      <c r="AX6" s="142"/>
      <c r="AY6" s="142"/>
      <c r="AZ6" s="142"/>
      <c r="BA6" s="142"/>
      <c r="BB6" s="142"/>
      <c r="BC6" s="142"/>
      <c r="BD6" s="142"/>
      <c r="BE6" s="143"/>
    </row>
    <row r="7" spans="1:58" ht="11.25" customHeight="1">
      <c r="C7" s="427" t="s">
        <v>1306</v>
      </c>
      <c r="AE7" s="4" t="s">
        <v>1724</v>
      </c>
    </row>
    <row r="8" spans="1:58" ht="45.6">
      <c r="A8" s="2"/>
      <c r="B8" s="56" t="s">
        <v>155</v>
      </c>
      <c r="C8" s="1375" t="s">
        <v>1</v>
      </c>
      <c r="D8" s="1376"/>
      <c r="E8" s="1375" t="s">
        <v>2</v>
      </c>
      <c r="F8" s="1377"/>
      <c r="G8" s="1376"/>
      <c r="H8" s="97"/>
      <c r="I8" s="97"/>
      <c r="J8" s="1378" t="s">
        <v>131</v>
      </c>
      <c r="K8" s="1379"/>
      <c r="L8" s="97"/>
      <c r="M8" s="1378" t="s">
        <v>197</v>
      </c>
      <c r="N8" s="1380"/>
      <c r="O8" s="1381" t="s">
        <v>198</v>
      </c>
      <c r="P8" s="1382"/>
      <c r="Q8" s="1383"/>
      <c r="R8" s="97"/>
      <c r="S8" s="15"/>
      <c r="U8" s="1378" t="s">
        <v>1301</v>
      </c>
      <c r="V8" s="1380"/>
      <c r="W8" s="1380"/>
      <c r="X8" s="1380"/>
      <c r="Y8" s="1380"/>
      <c r="Z8" s="1380"/>
      <c r="AA8" s="1380"/>
      <c r="AB8" s="1380"/>
      <c r="AC8" s="1379"/>
      <c r="AE8" s="1378" t="s">
        <v>1302</v>
      </c>
      <c r="AF8" s="1380"/>
      <c r="AG8" s="1380"/>
      <c r="AH8" s="1380"/>
      <c r="AI8" s="1380"/>
      <c r="AJ8" s="1380"/>
      <c r="AK8" s="1380"/>
      <c r="AL8" s="1380"/>
      <c r="AM8" s="1380"/>
      <c r="AN8" s="1380"/>
      <c r="AO8" s="1380"/>
      <c r="AP8" s="1380"/>
      <c r="AQ8" s="1380"/>
      <c r="AR8" s="1380"/>
      <c r="AS8" s="1380"/>
      <c r="AT8" s="1380"/>
      <c r="AU8" s="1380"/>
      <c r="AV8" s="1380"/>
      <c r="AW8" s="1380"/>
      <c r="AX8" s="1380"/>
      <c r="AY8" s="1380"/>
      <c r="AZ8" s="1380"/>
      <c r="BA8" s="1380"/>
      <c r="BB8" s="1380"/>
      <c r="BC8" s="1380"/>
      <c r="BD8" s="1379"/>
      <c r="BF8" s="36"/>
    </row>
    <row r="9" spans="1:58" ht="22.8">
      <c r="A9" s="56" t="s">
        <v>151</v>
      </c>
      <c r="B9" s="56" t="s">
        <v>151</v>
      </c>
      <c r="C9" s="177"/>
      <c r="D9" s="179"/>
      <c r="E9" s="177"/>
      <c r="F9" s="178"/>
      <c r="G9" s="179"/>
      <c r="H9" s="97"/>
      <c r="I9" s="97"/>
      <c r="J9" s="464">
        <v>629</v>
      </c>
      <c r="K9" s="465">
        <v>111</v>
      </c>
      <c r="L9" s="466"/>
      <c r="M9" s="467" t="s">
        <v>3</v>
      </c>
      <c r="N9" s="468" t="s">
        <v>4</v>
      </c>
      <c r="O9" s="467" t="s">
        <v>3</v>
      </c>
      <c r="P9" s="468" t="s">
        <v>4</v>
      </c>
      <c r="Q9" s="469" t="s">
        <v>5</v>
      </c>
      <c r="R9" s="97"/>
      <c r="S9" s="37"/>
      <c r="U9" s="57" t="s">
        <v>6</v>
      </c>
      <c r="V9" s="48">
        <v>11</v>
      </c>
      <c r="W9" s="53" t="s">
        <v>7</v>
      </c>
      <c r="X9" s="132">
        <v>33</v>
      </c>
      <c r="Y9" s="95" t="s">
        <v>8</v>
      </c>
      <c r="Z9" s="134">
        <v>12</v>
      </c>
      <c r="AA9" s="94" t="s">
        <v>9</v>
      </c>
      <c r="AB9" s="135" t="s">
        <v>10</v>
      </c>
      <c r="AC9" s="147">
        <v>78</v>
      </c>
      <c r="AE9" s="737">
        <v>10</v>
      </c>
      <c r="AF9" s="48">
        <v>11</v>
      </c>
      <c r="AG9" s="49">
        <v>12</v>
      </c>
      <c r="AH9" s="50" t="s">
        <v>8</v>
      </c>
      <c r="AI9" s="59" t="s">
        <v>11</v>
      </c>
      <c r="AJ9" s="91" t="s">
        <v>6</v>
      </c>
      <c r="AK9" s="51">
        <v>22</v>
      </c>
      <c r="AL9" s="50" t="s">
        <v>10</v>
      </c>
      <c r="AM9" s="52" t="s">
        <v>12</v>
      </c>
      <c r="AN9" s="61" t="s">
        <v>13</v>
      </c>
      <c r="AO9" s="60">
        <v>31</v>
      </c>
      <c r="AP9" s="51">
        <v>33</v>
      </c>
      <c r="AQ9" s="51">
        <v>35</v>
      </c>
      <c r="AR9" s="51">
        <v>36</v>
      </c>
      <c r="AS9" s="58">
        <v>37</v>
      </c>
      <c r="AT9" s="734" t="s">
        <v>14</v>
      </c>
      <c r="AU9" s="50" t="s">
        <v>15</v>
      </c>
      <c r="AV9" s="51">
        <v>72</v>
      </c>
      <c r="AW9" s="50" t="s">
        <v>16</v>
      </c>
      <c r="AX9" s="92">
        <v>78</v>
      </c>
      <c r="AY9" s="62" t="s">
        <v>9</v>
      </c>
      <c r="AZ9" s="53" t="s">
        <v>7</v>
      </c>
      <c r="BA9" s="94" t="s">
        <v>17</v>
      </c>
      <c r="BB9" s="435" t="s">
        <v>18</v>
      </c>
      <c r="BC9" s="431" t="s">
        <v>1307</v>
      </c>
      <c r="BD9" s="432" t="s">
        <v>1308</v>
      </c>
      <c r="BF9" s="184"/>
    </row>
    <row r="10" spans="1:58" ht="172.8" outlineLevel="1">
      <c r="A10" s="2"/>
      <c r="B10" s="181"/>
      <c r="C10" s="182" t="s">
        <v>19</v>
      </c>
      <c r="D10" s="3" t="s">
        <v>20</v>
      </c>
      <c r="E10" s="180" t="s">
        <v>20</v>
      </c>
      <c r="F10" s="178" t="s">
        <v>19</v>
      </c>
      <c r="G10" s="14" t="s">
        <v>21</v>
      </c>
      <c r="H10" s="97"/>
      <c r="I10" s="97"/>
      <c r="J10" s="423" t="s">
        <v>22</v>
      </c>
      <c r="K10" s="63" t="s">
        <v>23</v>
      </c>
      <c r="L10" s="97"/>
      <c r="M10" s="38" t="s">
        <v>24</v>
      </c>
      <c r="N10" s="39" t="s">
        <v>25</v>
      </c>
      <c r="O10" s="38" t="s">
        <v>24</v>
      </c>
      <c r="P10" s="39" t="s">
        <v>25</v>
      </c>
      <c r="Q10" s="40" t="s">
        <v>26</v>
      </c>
      <c r="R10" s="97"/>
      <c r="S10" s="13" t="s">
        <v>27</v>
      </c>
      <c r="U10" s="64" t="s">
        <v>28</v>
      </c>
      <c r="V10" s="41" t="s">
        <v>145</v>
      </c>
      <c r="W10" s="47" t="s">
        <v>29</v>
      </c>
      <c r="X10" s="133" t="s">
        <v>30</v>
      </c>
      <c r="Y10" s="89" t="s">
        <v>31</v>
      </c>
      <c r="Z10" s="136" t="s">
        <v>146</v>
      </c>
      <c r="AA10" s="96" t="s">
        <v>32</v>
      </c>
      <c r="AB10" s="137" t="s">
        <v>33</v>
      </c>
      <c r="AC10" s="148" t="s">
        <v>162</v>
      </c>
      <c r="AE10" s="738" t="s">
        <v>34</v>
      </c>
      <c r="AF10" s="41" t="s">
        <v>145</v>
      </c>
      <c r="AG10" s="42" t="s">
        <v>146</v>
      </c>
      <c r="AH10" s="43" t="s">
        <v>31</v>
      </c>
      <c r="AI10" s="65" t="s">
        <v>35</v>
      </c>
      <c r="AJ10" s="90" t="s">
        <v>28</v>
      </c>
      <c r="AK10" s="44" t="s">
        <v>36</v>
      </c>
      <c r="AL10" s="43" t="s">
        <v>33</v>
      </c>
      <c r="AM10" s="45" t="s">
        <v>37</v>
      </c>
      <c r="AN10" s="89" t="s">
        <v>38</v>
      </c>
      <c r="AO10" s="66" t="s">
        <v>147</v>
      </c>
      <c r="AP10" s="46" t="s">
        <v>30</v>
      </c>
      <c r="AQ10" s="44" t="s">
        <v>39</v>
      </c>
      <c r="AR10" s="44" t="s">
        <v>40</v>
      </c>
      <c r="AS10" s="67" t="s">
        <v>41</v>
      </c>
      <c r="AT10" s="733" t="s">
        <v>42</v>
      </c>
      <c r="AU10" s="43" t="s">
        <v>43</v>
      </c>
      <c r="AV10" s="44" t="s">
        <v>44</v>
      </c>
      <c r="AW10" s="43" t="s">
        <v>45</v>
      </c>
      <c r="AX10" s="93" t="s">
        <v>46</v>
      </c>
      <c r="AY10" s="68" t="s">
        <v>32</v>
      </c>
      <c r="AZ10" s="47" t="s">
        <v>29</v>
      </c>
      <c r="BA10" s="96" t="s">
        <v>47</v>
      </c>
      <c r="BB10" s="148" t="s">
        <v>48</v>
      </c>
      <c r="BC10" s="433" t="s">
        <v>1309</v>
      </c>
      <c r="BD10" s="434" t="s">
        <v>1310</v>
      </c>
      <c r="BF10" s="130" t="s">
        <v>104</v>
      </c>
    </row>
    <row r="11" spans="1:58" s="35" customFormat="1" ht="4.2">
      <c r="C11" s="69"/>
      <c r="D11" s="70"/>
      <c r="E11" s="70"/>
      <c r="F11" s="70"/>
      <c r="G11" s="70"/>
      <c r="H11" s="407"/>
      <c r="I11" s="407"/>
      <c r="J11" s="424"/>
      <c r="K11" s="425"/>
      <c r="L11" s="408"/>
      <c r="M11" s="151"/>
      <c r="N11" s="151"/>
      <c r="O11" s="151"/>
      <c r="P11" s="151"/>
      <c r="Q11" s="151"/>
      <c r="R11" s="409"/>
      <c r="S11" s="151"/>
      <c r="T11" s="409"/>
      <c r="U11" s="151"/>
      <c r="V11" s="151"/>
      <c r="W11" s="151"/>
      <c r="X11" s="151"/>
      <c r="Y11" s="151"/>
      <c r="Z11" s="151"/>
      <c r="AA11" s="151"/>
      <c r="AB11" s="151"/>
      <c r="AC11" s="151"/>
      <c r="AD11" s="409"/>
      <c r="AE11" s="151"/>
      <c r="AF11" s="151"/>
      <c r="AG11" s="151"/>
      <c r="AH11" s="151"/>
      <c r="AI11" s="151"/>
      <c r="AJ11" s="151"/>
      <c r="AK11" s="151"/>
      <c r="AL11" s="151"/>
      <c r="AM11" s="151"/>
      <c r="AN11" s="151"/>
      <c r="AO11" s="151"/>
      <c r="AP11" s="151"/>
      <c r="AQ11" s="151"/>
      <c r="AR11" s="151"/>
      <c r="AS11" s="151"/>
      <c r="AT11" s="151"/>
      <c r="AU11" s="151"/>
      <c r="AV11" s="151"/>
      <c r="AW11" s="151"/>
      <c r="AX11" s="151"/>
      <c r="AY11" s="151"/>
      <c r="AZ11" s="151"/>
      <c r="BA11" s="151"/>
      <c r="BB11" s="151"/>
      <c r="BC11" s="151"/>
      <c r="BD11" s="151"/>
      <c r="BF11" s="71"/>
    </row>
    <row r="12" spans="1:58">
      <c r="B12" s="18"/>
      <c r="C12" s="1438" t="s">
        <v>49</v>
      </c>
      <c r="D12" s="1440" t="s">
        <v>50</v>
      </c>
      <c r="E12" s="146" t="s">
        <v>24</v>
      </c>
      <c r="F12" s="428" t="s">
        <v>3</v>
      </c>
      <c r="G12" s="1442" t="s">
        <v>51</v>
      </c>
      <c r="H12" s="1"/>
      <c r="I12" s="1"/>
      <c r="J12" s="1384" t="s">
        <v>136</v>
      </c>
      <c r="K12" s="1386" t="s">
        <v>136</v>
      </c>
      <c r="L12" s="363"/>
      <c r="M12" s="1415" t="s">
        <v>136</v>
      </c>
      <c r="N12" s="1416"/>
      <c r="O12" s="1415" t="s">
        <v>136</v>
      </c>
      <c r="P12" s="1416"/>
      <c r="Q12" s="1423"/>
      <c r="R12" s="2"/>
      <c r="S12" s="1444" t="s">
        <v>51</v>
      </c>
      <c r="T12" s="2"/>
      <c r="U12" s="1446" t="s">
        <v>136</v>
      </c>
      <c r="V12" s="1447"/>
      <c r="W12" s="1447"/>
      <c r="X12" s="1447"/>
      <c r="Y12" s="1447"/>
      <c r="Z12" s="1447"/>
      <c r="AA12" s="1447"/>
      <c r="AB12" s="1447"/>
      <c r="AC12" s="1448"/>
      <c r="AD12" s="2"/>
      <c r="AE12" s="1452"/>
      <c r="AF12" s="1454"/>
      <c r="AG12" s="1390" t="s">
        <v>136</v>
      </c>
      <c r="AH12" s="1354" t="s">
        <v>136</v>
      </c>
      <c r="AI12" s="1392"/>
      <c r="AJ12" s="1394"/>
      <c r="AK12" s="1354" t="s">
        <v>134</v>
      </c>
      <c r="AL12" s="1388"/>
      <c r="AM12" s="1419"/>
      <c r="AN12" s="1421"/>
      <c r="AO12" s="1403"/>
      <c r="AP12" s="1388"/>
      <c r="AQ12" s="1388"/>
      <c r="AR12" s="1388"/>
      <c r="AS12" s="1392"/>
      <c r="AT12" s="1403"/>
      <c r="AU12" s="1388"/>
      <c r="AV12" s="1388"/>
      <c r="AW12" s="1388"/>
      <c r="AX12" s="1405"/>
      <c r="AY12" s="1407"/>
      <c r="AZ12" s="1409"/>
      <c r="BA12" s="1411"/>
      <c r="BB12" s="1413"/>
      <c r="BC12" s="1354"/>
      <c r="BD12" s="1345"/>
      <c r="BE12" s="1"/>
      <c r="BF12" s="1401" t="s">
        <v>51</v>
      </c>
    </row>
    <row r="13" spans="1:58">
      <c r="B13" s="18"/>
      <c r="C13" s="1439"/>
      <c r="D13" s="1441"/>
      <c r="E13" s="429" t="s">
        <v>53</v>
      </c>
      <c r="F13" s="430" t="s">
        <v>54</v>
      </c>
      <c r="G13" s="1443"/>
      <c r="H13" s="1"/>
      <c r="I13" s="1"/>
      <c r="J13" s="1385"/>
      <c r="K13" s="1387"/>
      <c r="L13" s="363"/>
      <c r="M13" s="1417"/>
      <c r="N13" s="1418"/>
      <c r="O13" s="1417"/>
      <c r="P13" s="1418"/>
      <c r="Q13" s="1424"/>
      <c r="R13" s="2"/>
      <c r="S13" s="1445"/>
      <c r="T13" s="2"/>
      <c r="U13" s="1449"/>
      <c r="V13" s="1450"/>
      <c r="W13" s="1450"/>
      <c r="X13" s="1450"/>
      <c r="Y13" s="1450"/>
      <c r="Z13" s="1450"/>
      <c r="AA13" s="1450"/>
      <c r="AB13" s="1450"/>
      <c r="AC13" s="1451"/>
      <c r="AD13" s="2"/>
      <c r="AE13" s="1453"/>
      <c r="AF13" s="1455"/>
      <c r="AG13" s="1391"/>
      <c r="AH13" s="1355"/>
      <c r="AI13" s="1393"/>
      <c r="AJ13" s="1395"/>
      <c r="AK13" s="1355"/>
      <c r="AL13" s="1389"/>
      <c r="AM13" s="1420"/>
      <c r="AN13" s="1422"/>
      <c r="AO13" s="1404"/>
      <c r="AP13" s="1389"/>
      <c r="AQ13" s="1389"/>
      <c r="AR13" s="1389"/>
      <c r="AS13" s="1393"/>
      <c r="AT13" s="1404"/>
      <c r="AU13" s="1389"/>
      <c r="AV13" s="1389"/>
      <c r="AW13" s="1389"/>
      <c r="AX13" s="1406"/>
      <c r="AY13" s="1408"/>
      <c r="AZ13" s="1410"/>
      <c r="BA13" s="1412"/>
      <c r="BB13" s="1414"/>
      <c r="BC13" s="1355"/>
      <c r="BD13" s="1346"/>
      <c r="BE13" s="1"/>
      <c r="BF13" s="1402"/>
    </row>
    <row r="14" spans="1:58">
      <c r="B14" s="18"/>
      <c r="C14" s="1439"/>
      <c r="D14" s="1441"/>
      <c r="E14" s="429" t="s">
        <v>55</v>
      </c>
      <c r="F14" s="430" t="s">
        <v>56</v>
      </c>
      <c r="G14" s="1443"/>
      <c r="H14" s="1"/>
      <c r="I14" s="1"/>
      <c r="J14" s="1385"/>
      <c r="K14" s="1387"/>
      <c r="L14" s="363"/>
      <c r="M14" s="1417"/>
      <c r="N14" s="1418"/>
      <c r="O14" s="1417"/>
      <c r="P14" s="1418"/>
      <c r="Q14" s="1424"/>
      <c r="R14" s="2"/>
      <c r="S14" s="1445"/>
      <c r="T14" s="2"/>
      <c r="U14" s="1449"/>
      <c r="V14" s="1450"/>
      <c r="W14" s="1450"/>
      <c r="X14" s="1450"/>
      <c r="Y14" s="1450"/>
      <c r="Z14" s="1450"/>
      <c r="AA14" s="1450"/>
      <c r="AB14" s="1450"/>
      <c r="AC14" s="1451"/>
      <c r="AD14" s="2"/>
      <c r="AE14" s="1453"/>
      <c r="AF14" s="1455"/>
      <c r="AG14" s="1391"/>
      <c r="AH14" s="1355"/>
      <c r="AI14" s="1393"/>
      <c r="AJ14" s="1395"/>
      <c r="AK14" s="1355"/>
      <c r="AL14" s="1389"/>
      <c r="AM14" s="1420"/>
      <c r="AN14" s="1422"/>
      <c r="AO14" s="1404"/>
      <c r="AP14" s="1389"/>
      <c r="AQ14" s="1389"/>
      <c r="AR14" s="1389"/>
      <c r="AS14" s="1393"/>
      <c r="AT14" s="1404"/>
      <c r="AU14" s="1389"/>
      <c r="AV14" s="1389"/>
      <c r="AW14" s="1389"/>
      <c r="AX14" s="1406"/>
      <c r="AY14" s="1408"/>
      <c r="AZ14" s="1410"/>
      <c r="BA14" s="1412"/>
      <c r="BB14" s="1414"/>
      <c r="BC14" s="1355"/>
      <c r="BD14" s="1346"/>
      <c r="BE14" s="1"/>
      <c r="BF14" s="1402"/>
    </row>
    <row r="15" spans="1:58" s="35" customFormat="1" ht="4.2">
      <c r="C15" s="69"/>
      <c r="D15" s="70"/>
      <c r="E15" s="70"/>
      <c r="F15" s="70"/>
      <c r="G15" s="70"/>
      <c r="H15" s="407"/>
      <c r="I15" s="407"/>
      <c r="J15" s="424"/>
      <c r="K15" s="425"/>
      <c r="L15" s="408"/>
      <c r="M15" s="151"/>
      <c r="N15" s="151"/>
      <c r="O15" s="151"/>
      <c r="P15" s="151"/>
      <c r="Q15" s="151"/>
      <c r="R15" s="409"/>
      <c r="S15" s="151"/>
      <c r="T15" s="409"/>
      <c r="U15" s="151"/>
      <c r="V15" s="151"/>
      <c r="W15" s="151"/>
      <c r="X15" s="151"/>
      <c r="Y15" s="151"/>
      <c r="Z15" s="151"/>
      <c r="AA15" s="151"/>
      <c r="AB15" s="151"/>
      <c r="AC15" s="151"/>
      <c r="AD15" s="409"/>
      <c r="AE15" s="151"/>
      <c r="AF15" s="151"/>
      <c r="AG15" s="151"/>
      <c r="AH15" s="151"/>
      <c r="AI15" s="151"/>
      <c r="AJ15" s="151"/>
      <c r="AK15" s="151"/>
      <c r="AL15" s="151"/>
      <c r="AM15" s="151"/>
      <c r="AN15" s="151"/>
      <c r="AO15" s="151"/>
      <c r="AP15" s="151"/>
      <c r="AQ15" s="151"/>
      <c r="AR15" s="151"/>
      <c r="AS15" s="151"/>
      <c r="AT15" s="151"/>
      <c r="AU15" s="151"/>
      <c r="AV15" s="151"/>
      <c r="AW15" s="151"/>
      <c r="AX15" s="151"/>
      <c r="AY15" s="151"/>
      <c r="AZ15" s="151"/>
      <c r="BA15" s="151"/>
      <c r="BB15" s="151"/>
      <c r="BC15" s="151"/>
      <c r="BD15" s="151"/>
      <c r="BF15" s="71"/>
    </row>
    <row r="16" spans="1:58">
      <c r="B16" s="87"/>
      <c r="C16" s="372" t="s">
        <v>57</v>
      </c>
      <c r="D16" s="221" t="s">
        <v>58</v>
      </c>
      <c r="E16" s="72" t="s">
        <v>59</v>
      </c>
      <c r="F16" s="73" t="s">
        <v>60</v>
      </c>
      <c r="G16" s="379" t="s">
        <v>51</v>
      </c>
      <c r="H16" s="1"/>
      <c r="I16" s="1"/>
      <c r="J16" s="421" t="s">
        <v>136</v>
      </c>
      <c r="K16" s="152" t="s">
        <v>52</v>
      </c>
      <c r="L16" s="363"/>
      <c r="M16" s="149" t="s">
        <v>7</v>
      </c>
      <c r="N16" s="373" t="s">
        <v>136</v>
      </c>
      <c r="O16" s="701" t="s">
        <v>1718</v>
      </c>
      <c r="P16" s="1433" t="s">
        <v>136</v>
      </c>
      <c r="Q16" s="1434"/>
      <c r="R16" s="2"/>
      <c r="S16" s="369" t="s">
        <v>136</v>
      </c>
      <c r="T16" s="2"/>
      <c r="U16" s="1435" t="s">
        <v>136</v>
      </c>
      <c r="V16" s="1436"/>
      <c r="W16" s="1436"/>
      <c r="X16" s="1436"/>
      <c r="Y16" s="1436"/>
      <c r="Z16" s="1436"/>
      <c r="AA16" s="1436"/>
      <c r="AB16" s="1436"/>
      <c r="AC16" s="1437"/>
      <c r="AD16" s="2"/>
      <c r="AE16" s="863"/>
      <c r="AF16" s="864"/>
      <c r="AG16" s="860" t="s">
        <v>136</v>
      </c>
      <c r="AH16" s="841" t="s">
        <v>136</v>
      </c>
      <c r="AI16" s="843"/>
      <c r="AJ16" s="861"/>
      <c r="AK16" s="840"/>
      <c r="AL16" s="841"/>
      <c r="AM16" s="858"/>
      <c r="AN16" s="859"/>
      <c r="AO16" s="855"/>
      <c r="AP16" s="841" t="s">
        <v>136</v>
      </c>
      <c r="AQ16" s="841"/>
      <c r="AR16" s="841"/>
      <c r="AS16" s="843"/>
      <c r="AT16" s="855"/>
      <c r="AU16" s="841"/>
      <c r="AV16" s="841"/>
      <c r="AW16" s="841"/>
      <c r="AX16" s="853"/>
      <c r="AY16" s="846"/>
      <c r="AZ16" s="847" t="s">
        <v>136</v>
      </c>
      <c r="BA16" s="849"/>
      <c r="BB16" s="866"/>
      <c r="BC16" s="832"/>
      <c r="BD16" s="834"/>
      <c r="BE16" s="1"/>
      <c r="BF16" s="410" t="s">
        <v>51</v>
      </c>
    </row>
    <row r="17" spans="2:59" s="35" customFormat="1" ht="4.2">
      <c r="C17" s="69"/>
      <c r="D17" s="70"/>
      <c r="E17" s="70"/>
      <c r="F17" s="70"/>
      <c r="G17" s="70"/>
      <c r="H17" s="407"/>
      <c r="I17" s="407"/>
      <c r="J17" s="424"/>
      <c r="K17" s="425"/>
      <c r="L17" s="408"/>
      <c r="M17" s="151"/>
      <c r="N17" s="151"/>
      <c r="O17" s="151"/>
      <c r="P17" s="151"/>
      <c r="Q17" s="151"/>
      <c r="R17" s="409"/>
      <c r="S17" s="151"/>
      <c r="T17" s="409"/>
      <c r="U17" s="151"/>
      <c r="V17" s="151"/>
      <c r="W17" s="151"/>
      <c r="X17" s="151"/>
      <c r="Y17" s="151"/>
      <c r="Z17" s="151"/>
      <c r="AA17" s="151"/>
      <c r="AB17" s="151"/>
      <c r="AC17" s="151"/>
      <c r="AD17" s="409"/>
      <c r="AE17" s="151"/>
      <c r="AF17" s="413"/>
      <c r="AG17" s="151"/>
      <c r="AH17" s="151"/>
      <c r="AI17" s="151"/>
      <c r="AJ17" s="151"/>
      <c r="AK17" s="151"/>
      <c r="AL17" s="151"/>
      <c r="AM17" s="151"/>
      <c r="AN17" s="151"/>
      <c r="AO17" s="151"/>
      <c r="AP17" s="151"/>
      <c r="AQ17" s="151"/>
      <c r="AR17" s="151"/>
      <c r="AS17" s="151"/>
      <c r="AT17" s="151"/>
      <c r="AU17" s="151"/>
      <c r="AV17" s="151"/>
      <c r="AW17" s="151"/>
      <c r="AX17" s="151"/>
      <c r="AY17" s="151"/>
      <c r="AZ17" s="413"/>
      <c r="BA17" s="151"/>
      <c r="BB17" s="151"/>
      <c r="BC17" s="151"/>
      <c r="BD17" s="151"/>
      <c r="BF17" s="71"/>
    </row>
    <row r="18" spans="2:59">
      <c r="B18" s="87"/>
      <c r="C18" s="1477" t="s">
        <v>66</v>
      </c>
      <c r="D18" s="1479" t="s">
        <v>67</v>
      </c>
      <c r="E18" s="21" t="s">
        <v>68</v>
      </c>
      <c r="F18" s="17" t="s">
        <v>4</v>
      </c>
      <c r="G18" s="1493" t="s">
        <v>1246</v>
      </c>
      <c r="H18" s="1"/>
      <c r="I18" s="1"/>
      <c r="J18" s="1373" t="s">
        <v>134</v>
      </c>
      <c r="K18" s="1456" t="s">
        <v>163</v>
      </c>
      <c r="L18" s="363"/>
      <c r="M18" s="1458" t="s">
        <v>7</v>
      </c>
      <c r="N18" s="1460" t="s">
        <v>136</v>
      </c>
      <c r="O18" s="1458" t="s">
        <v>7</v>
      </c>
      <c r="P18" s="1460" t="s">
        <v>136</v>
      </c>
      <c r="Q18" s="1386"/>
      <c r="R18" s="2"/>
      <c r="S18" s="1462" t="s">
        <v>1717</v>
      </c>
      <c r="T18" s="2"/>
      <c r="U18" s="1464" t="s">
        <v>136</v>
      </c>
      <c r="V18" s="1465"/>
      <c r="W18" s="1465"/>
      <c r="X18" s="1465"/>
      <c r="Y18" s="1465"/>
      <c r="Z18" s="1465"/>
      <c r="AA18" s="1465"/>
      <c r="AB18" s="1465"/>
      <c r="AC18" s="1466"/>
      <c r="AD18" s="2"/>
      <c r="AE18" s="1467"/>
      <c r="AF18" s="1469"/>
      <c r="AG18" s="1429" t="s">
        <v>136</v>
      </c>
      <c r="AH18" s="1356" t="s">
        <v>136</v>
      </c>
      <c r="AI18" s="1358"/>
      <c r="AJ18" s="1431"/>
      <c r="AK18" s="1343" t="s">
        <v>136</v>
      </c>
      <c r="AL18" s="1356" t="s">
        <v>136</v>
      </c>
      <c r="AM18" s="1425"/>
      <c r="AN18" s="1427"/>
      <c r="AO18" s="1373"/>
      <c r="AP18" s="1356"/>
      <c r="AQ18" s="1356" t="s">
        <v>136</v>
      </c>
      <c r="AR18" s="1356" t="s">
        <v>136</v>
      </c>
      <c r="AS18" s="1358" t="s">
        <v>136</v>
      </c>
      <c r="AT18" s="1373"/>
      <c r="AU18" s="1356"/>
      <c r="AV18" s="1356"/>
      <c r="AW18" s="1356"/>
      <c r="AX18" s="1370"/>
      <c r="AY18" s="1362"/>
      <c r="AZ18" s="1364" t="s">
        <v>136</v>
      </c>
      <c r="BA18" s="1366"/>
      <c r="BB18" s="1473"/>
      <c r="BC18" s="1343"/>
      <c r="BD18" s="1347"/>
      <c r="BE18" s="1"/>
      <c r="BF18" s="1475" t="s">
        <v>1297</v>
      </c>
      <c r="BG18" s="19"/>
    </row>
    <row r="19" spans="2:59" s="35" customFormat="1">
      <c r="C19" s="1478"/>
      <c r="D19" s="1480"/>
      <c r="E19" s="21" t="s">
        <v>69</v>
      </c>
      <c r="F19" s="17" t="s">
        <v>65</v>
      </c>
      <c r="G19" s="1499"/>
      <c r="H19" s="1"/>
      <c r="I19" s="1"/>
      <c r="J19" s="1483"/>
      <c r="K19" s="1457"/>
      <c r="L19" s="363"/>
      <c r="M19" s="1459"/>
      <c r="N19" s="1461"/>
      <c r="O19" s="1459"/>
      <c r="P19" s="1461"/>
      <c r="Q19" s="1387"/>
      <c r="R19" s="2"/>
      <c r="S19" s="1463"/>
      <c r="T19" s="2"/>
      <c r="U19" s="1435"/>
      <c r="V19" s="1436"/>
      <c r="W19" s="1436"/>
      <c r="X19" s="1436"/>
      <c r="Y19" s="1436"/>
      <c r="Z19" s="1436"/>
      <c r="AA19" s="1436"/>
      <c r="AB19" s="1436"/>
      <c r="AC19" s="1437"/>
      <c r="AD19" s="2"/>
      <c r="AE19" s="1468"/>
      <c r="AF19" s="1470"/>
      <c r="AG19" s="1430"/>
      <c r="AH19" s="1357"/>
      <c r="AI19" s="1359"/>
      <c r="AJ19" s="1432"/>
      <c r="AK19" s="1344"/>
      <c r="AL19" s="1357"/>
      <c r="AM19" s="1426"/>
      <c r="AN19" s="1428"/>
      <c r="AO19" s="1374"/>
      <c r="AP19" s="1357"/>
      <c r="AQ19" s="1357"/>
      <c r="AR19" s="1357"/>
      <c r="AS19" s="1359"/>
      <c r="AT19" s="1374"/>
      <c r="AU19" s="1357"/>
      <c r="AV19" s="1357"/>
      <c r="AW19" s="1357"/>
      <c r="AX19" s="1371"/>
      <c r="AY19" s="1363"/>
      <c r="AZ19" s="1365"/>
      <c r="BA19" s="1367"/>
      <c r="BB19" s="1474"/>
      <c r="BC19" s="1344"/>
      <c r="BD19" s="1348"/>
      <c r="BE19" s="1"/>
      <c r="BF19" s="1476"/>
    </row>
    <row r="20" spans="2:59" s="35" customFormat="1" ht="4.2">
      <c r="C20" s="69"/>
      <c r="D20" s="70"/>
      <c r="E20" s="70"/>
      <c r="F20" s="70"/>
      <c r="G20" s="70"/>
      <c r="H20" s="407"/>
      <c r="I20" s="407"/>
      <c r="J20" s="424"/>
      <c r="K20" s="425"/>
      <c r="L20" s="408"/>
      <c r="M20" s="151"/>
      <c r="N20" s="151"/>
      <c r="O20" s="151"/>
      <c r="P20" s="151"/>
      <c r="Q20" s="151"/>
      <c r="R20" s="409"/>
      <c r="S20" s="151"/>
      <c r="T20" s="409"/>
      <c r="U20" s="151"/>
      <c r="V20" s="151"/>
      <c r="W20" s="151"/>
      <c r="X20" s="151"/>
      <c r="Y20" s="151"/>
      <c r="Z20" s="151"/>
      <c r="AA20" s="151"/>
      <c r="AB20" s="151"/>
      <c r="AC20" s="151"/>
      <c r="AD20" s="409"/>
      <c r="AE20" s="151"/>
      <c r="AF20" s="413"/>
      <c r="AG20" s="151"/>
      <c r="AH20" s="151"/>
      <c r="AI20" s="151"/>
      <c r="AJ20" s="151"/>
      <c r="AK20" s="151"/>
      <c r="AL20" s="151"/>
      <c r="AM20" s="151"/>
      <c r="AN20" s="151"/>
      <c r="AO20" s="151"/>
      <c r="AP20" s="151"/>
      <c r="AQ20" s="151"/>
      <c r="AR20" s="151"/>
      <c r="AS20" s="151"/>
      <c r="AT20" s="151"/>
      <c r="AU20" s="151"/>
      <c r="AV20" s="151"/>
      <c r="AW20" s="151"/>
      <c r="AX20" s="151"/>
      <c r="AY20" s="151"/>
      <c r="AZ20" s="413"/>
      <c r="BA20" s="151"/>
      <c r="BB20" s="151"/>
      <c r="BC20" s="151"/>
      <c r="BD20" s="151"/>
      <c r="BF20" s="71"/>
    </row>
    <row r="21" spans="2:59" s="35" customFormat="1">
      <c r="C21" s="1477" t="s">
        <v>61</v>
      </c>
      <c r="D21" s="1479" t="s">
        <v>1298</v>
      </c>
      <c r="E21" s="8" t="s">
        <v>62</v>
      </c>
      <c r="F21" s="11" t="s">
        <v>63</v>
      </c>
      <c r="G21" s="1481" t="s">
        <v>51</v>
      </c>
      <c r="H21" s="1"/>
      <c r="I21" s="1"/>
      <c r="J21" s="1373" t="s">
        <v>136</v>
      </c>
      <c r="K21" s="1484" t="s">
        <v>136</v>
      </c>
      <c r="L21" s="363"/>
      <c r="M21" s="1458" t="s">
        <v>7</v>
      </c>
      <c r="N21" s="1356" t="s">
        <v>136</v>
      </c>
      <c r="O21" s="1487" t="s">
        <v>1718</v>
      </c>
      <c r="P21" s="1489" t="s">
        <v>1725</v>
      </c>
      <c r="Q21" s="1490"/>
      <c r="R21" s="2"/>
      <c r="S21" s="1493" t="s">
        <v>51</v>
      </c>
      <c r="T21" s="2"/>
      <c r="U21" s="1464" t="s">
        <v>136</v>
      </c>
      <c r="V21" s="1465"/>
      <c r="W21" s="1465"/>
      <c r="X21" s="1465"/>
      <c r="Y21" s="1465"/>
      <c r="Z21" s="1465"/>
      <c r="AA21" s="1465"/>
      <c r="AB21" s="1465"/>
      <c r="AC21" s="1466"/>
      <c r="AD21" s="2"/>
      <c r="AE21" s="1495"/>
      <c r="AF21" s="1469"/>
      <c r="AG21" s="1497" t="s">
        <v>136</v>
      </c>
      <c r="AH21" s="1350" t="s">
        <v>136</v>
      </c>
      <c r="AI21" s="1352"/>
      <c r="AJ21" s="1498"/>
      <c r="AK21" s="1350"/>
      <c r="AL21" s="1350"/>
      <c r="AM21" s="1351"/>
      <c r="AN21" s="1360"/>
      <c r="AO21" s="1361" t="s">
        <v>136</v>
      </c>
      <c r="AP21" s="1350"/>
      <c r="AQ21" s="1350"/>
      <c r="AR21" s="1350"/>
      <c r="AS21" s="1352"/>
      <c r="AT21" s="1361"/>
      <c r="AU21" s="1350"/>
      <c r="AV21" s="1350"/>
      <c r="AW21" s="1350"/>
      <c r="AX21" s="1372"/>
      <c r="AY21" s="1353"/>
      <c r="AZ21" s="1364" t="s">
        <v>136</v>
      </c>
      <c r="BA21" s="1368"/>
      <c r="BB21" s="1369"/>
      <c r="BC21" s="1342"/>
      <c r="BD21" s="1349"/>
      <c r="BE21" s="1"/>
      <c r="BF21" s="1471" t="s">
        <v>1719</v>
      </c>
    </row>
    <row r="22" spans="2:59" s="82" customFormat="1" ht="34.200000000000003">
      <c r="B22" s="83"/>
      <c r="C22" s="1478"/>
      <c r="D22" s="1480"/>
      <c r="E22" s="21" t="s">
        <v>64</v>
      </c>
      <c r="F22" s="17" t="s">
        <v>4</v>
      </c>
      <c r="G22" s="1482"/>
      <c r="H22" s="1"/>
      <c r="I22" s="1"/>
      <c r="J22" s="1483"/>
      <c r="K22" s="1485"/>
      <c r="L22" s="363"/>
      <c r="M22" s="1459"/>
      <c r="N22" s="1486"/>
      <c r="O22" s="1488"/>
      <c r="P22" s="1491"/>
      <c r="Q22" s="1492"/>
      <c r="R22" s="2"/>
      <c r="S22" s="1494"/>
      <c r="T22" s="2"/>
      <c r="U22" s="1435"/>
      <c r="V22" s="1436"/>
      <c r="W22" s="1436"/>
      <c r="X22" s="1436"/>
      <c r="Y22" s="1436"/>
      <c r="Z22" s="1436"/>
      <c r="AA22" s="1436"/>
      <c r="AB22" s="1436"/>
      <c r="AC22" s="1437"/>
      <c r="AD22" s="2"/>
      <c r="AE22" s="1496"/>
      <c r="AF22" s="1470"/>
      <c r="AG22" s="1497"/>
      <c r="AH22" s="1350"/>
      <c r="AI22" s="1352"/>
      <c r="AJ22" s="1498"/>
      <c r="AK22" s="1350"/>
      <c r="AL22" s="1350"/>
      <c r="AM22" s="1351"/>
      <c r="AN22" s="1360"/>
      <c r="AO22" s="1361"/>
      <c r="AP22" s="1350"/>
      <c r="AQ22" s="1350"/>
      <c r="AR22" s="1350"/>
      <c r="AS22" s="1352"/>
      <c r="AT22" s="1361"/>
      <c r="AU22" s="1350"/>
      <c r="AV22" s="1350"/>
      <c r="AW22" s="1350"/>
      <c r="AX22" s="1372"/>
      <c r="AY22" s="1353"/>
      <c r="AZ22" s="1365"/>
      <c r="BA22" s="1368"/>
      <c r="BB22" s="1369"/>
      <c r="BC22" s="1342"/>
      <c r="BD22" s="1349"/>
      <c r="BE22" s="1"/>
      <c r="BF22" s="1472"/>
      <c r="BG22" s="131" t="s">
        <v>140</v>
      </c>
    </row>
    <row r="23" spans="2:59" s="35" customFormat="1" ht="4.2">
      <c r="C23" s="69"/>
      <c r="D23" s="70"/>
      <c r="E23" s="70"/>
      <c r="F23" s="70"/>
      <c r="G23" s="70"/>
      <c r="H23" s="407"/>
      <c r="I23" s="407"/>
      <c r="J23" s="424"/>
      <c r="K23" s="425"/>
      <c r="L23" s="408"/>
      <c r="M23" s="151"/>
      <c r="N23" s="151"/>
      <c r="O23" s="151"/>
      <c r="P23" s="151"/>
      <c r="Q23" s="151"/>
      <c r="R23" s="409"/>
      <c r="S23" s="151"/>
      <c r="T23" s="409"/>
      <c r="U23" s="151"/>
      <c r="V23" s="151"/>
      <c r="W23" s="151"/>
      <c r="X23" s="151"/>
      <c r="Y23" s="151"/>
      <c r="Z23" s="151"/>
      <c r="AA23" s="151"/>
      <c r="AB23" s="151"/>
      <c r="AC23" s="151"/>
      <c r="AD23" s="409"/>
      <c r="AE23" s="151"/>
      <c r="AF23" s="413"/>
      <c r="AG23" s="151"/>
      <c r="AH23" s="151"/>
      <c r="AI23" s="151"/>
      <c r="AJ23" s="151"/>
      <c r="AK23" s="151"/>
      <c r="AL23" s="151"/>
      <c r="AM23" s="151"/>
      <c r="AN23" s="151"/>
      <c r="AO23" s="151"/>
      <c r="AP23" s="151"/>
      <c r="AQ23" s="151"/>
      <c r="AR23" s="151"/>
      <c r="AS23" s="151"/>
      <c r="AT23" s="151"/>
      <c r="AU23" s="151"/>
      <c r="AV23" s="151"/>
      <c r="AW23" s="151"/>
      <c r="AX23" s="151"/>
      <c r="AY23" s="151"/>
      <c r="AZ23" s="413"/>
      <c r="BA23" s="151"/>
      <c r="BB23" s="151"/>
      <c r="BC23" s="151"/>
      <c r="BD23" s="151"/>
      <c r="BF23" s="71"/>
    </row>
    <row r="24" spans="2:59" s="82" customFormat="1" ht="22.8">
      <c r="B24" s="83"/>
      <c r="C24" s="364" t="s">
        <v>70</v>
      </c>
      <c r="D24" s="374" t="s">
        <v>71</v>
      </c>
      <c r="E24" s="8" t="s">
        <v>1300</v>
      </c>
      <c r="F24" s="9" t="s">
        <v>196</v>
      </c>
      <c r="G24" s="420" t="s">
        <v>136</v>
      </c>
      <c r="H24" s="1"/>
      <c r="I24" s="1"/>
      <c r="J24" s="362" t="s">
        <v>136</v>
      </c>
      <c r="K24" s="378" t="s">
        <v>156</v>
      </c>
      <c r="L24" s="363"/>
      <c r="M24" s="1464" t="s">
        <v>136</v>
      </c>
      <c r="N24" s="1466"/>
      <c r="O24" s="1464" t="s">
        <v>136</v>
      </c>
      <c r="P24" s="1465"/>
      <c r="Q24" s="1466"/>
      <c r="R24" s="2"/>
      <c r="S24" s="368" t="s">
        <v>51</v>
      </c>
      <c r="T24" s="2"/>
      <c r="U24" s="1464" t="s">
        <v>136</v>
      </c>
      <c r="V24" s="1465"/>
      <c r="W24" s="1465"/>
      <c r="X24" s="1465"/>
      <c r="Y24" s="1465"/>
      <c r="Z24" s="1465"/>
      <c r="AA24" s="1465"/>
      <c r="AB24" s="1465"/>
      <c r="AC24" s="1466"/>
      <c r="AD24" s="2"/>
      <c r="AE24" s="862"/>
      <c r="AF24" s="876"/>
      <c r="AG24" s="219" t="s">
        <v>136</v>
      </c>
      <c r="AH24" s="836" t="s">
        <v>136</v>
      </c>
      <c r="AI24" s="838"/>
      <c r="AJ24" s="869"/>
      <c r="AK24" s="836"/>
      <c r="AL24" s="836"/>
      <c r="AM24" s="837"/>
      <c r="AN24" s="844"/>
      <c r="AO24" s="845"/>
      <c r="AP24" s="836"/>
      <c r="AQ24" s="836"/>
      <c r="AR24" s="836"/>
      <c r="AS24" s="838"/>
      <c r="AT24" s="845"/>
      <c r="AU24" s="836"/>
      <c r="AV24" s="836"/>
      <c r="AW24" s="836"/>
      <c r="AX24" s="854"/>
      <c r="AY24" s="220"/>
      <c r="AZ24" s="875"/>
      <c r="BA24" s="872"/>
      <c r="BB24" s="851"/>
      <c r="BC24" s="830"/>
      <c r="BD24" s="835"/>
      <c r="BE24" s="1"/>
      <c r="BF24" s="226" t="s">
        <v>51</v>
      </c>
      <c r="BG24" s="131" t="s">
        <v>151</v>
      </c>
    </row>
    <row r="25" spans="2:59" s="35" customFormat="1" ht="4.2">
      <c r="C25" s="69"/>
      <c r="D25" s="70"/>
      <c r="E25" s="70"/>
      <c r="F25" s="70"/>
      <c r="G25" s="70"/>
      <c r="H25" s="407"/>
      <c r="I25" s="407"/>
      <c r="J25" s="424"/>
      <c r="K25" s="425"/>
      <c r="L25" s="408"/>
      <c r="M25" s="151"/>
      <c r="N25" s="151"/>
      <c r="O25" s="151"/>
      <c r="P25" s="151"/>
      <c r="Q25" s="151"/>
      <c r="R25" s="409"/>
      <c r="S25" s="151"/>
      <c r="T25" s="409"/>
      <c r="U25" s="151"/>
      <c r="V25" s="151"/>
      <c r="W25" s="151"/>
      <c r="X25" s="151"/>
      <c r="Y25" s="151"/>
      <c r="Z25" s="151"/>
      <c r="AA25" s="151"/>
      <c r="AB25" s="151"/>
      <c r="AC25" s="151"/>
      <c r="AD25" s="409"/>
      <c r="AE25" s="151"/>
      <c r="AF25" s="413"/>
      <c r="AG25" s="151"/>
      <c r="AH25" s="151"/>
      <c r="AI25" s="151"/>
      <c r="AJ25" s="151"/>
      <c r="AK25" s="151"/>
      <c r="AL25" s="151"/>
      <c r="AM25" s="151"/>
      <c r="AN25" s="151"/>
      <c r="AO25" s="151"/>
      <c r="AP25" s="151"/>
      <c r="AQ25" s="151"/>
      <c r="AR25" s="151"/>
      <c r="AS25" s="151"/>
      <c r="AT25" s="151"/>
      <c r="AU25" s="151"/>
      <c r="AV25" s="151"/>
      <c r="AW25" s="151"/>
      <c r="AX25" s="151"/>
      <c r="AY25" s="151"/>
      <c r="AZ25" s="413"/>
      <c r="BA25" s="151"/>
      <c r="BB25" s="151"/>
      <c r="BC25" s="151"/>
      <c r="BD25" s="151"/>
      <c r="BF25" s="71"/>
    </row>
    <row r="26" spans="2:59" s="35" customFormat="1">
      <c r="C26" s="1477" t="s">
        <v>72</v>
      </c>
      <c r="D26" s="1479" t="s">
        <v>1299</v>
      </c>
      <c r="E26" s="12" t="s">
        <v>73</v>
      </c>
      <c r="F26" s="9" t="s">
        <v>3</v>
      </c>
      <c r="G26" s="1481" t="s">
        <v>51</v>
      </c>
      <c r="H26" s="1"/>
      <c r="I26" s="1"/>
      <c r="J26" s="1373" t="s">
        <v>136</v>
      </c>
      <c r="K26" s="1484" t="s">
        <v>156</v>
      </c>
      <c r="L26" s="363"/>
      <c r="M26" s="1514" t="s">
        <v>7</v>
      </c>
      <c r="N26" s="1460" t="s">
        <v>136</v>
      </c>
      <c r="O26" s="1517" t="s">
        <v>1718</v>
      </c>
      <c r="P26" s="1489" t="s">
        <v>1725</v>
      </c>
      <c r="Q26" s="1490"/>
      <c r="R26" s="2"/>
      <c r="S26" s="1493" t="s">
        <v>51</v>
      </c>
      <c r="T26" s="2"/>
      <c r="U26" s="1464" t="s">
        <v>136</v>
      </c>
      <c r="V26" s="1465"/>
      <c r="W26" s="1465"/>
      <c r="X26" s="1465"/>
      <c r="Y26" s="1465"/>
      <c r="Z26" s="1465"/>
      <c r="AA26" s="1465"/>
      <c r="AB26" s="1465"/>
      <c r="AC26" s="1466"/>
      <c r="AD26" s="2"/>
      <c r="AE26" s="1495"/>
      <c r="AF26" s="1469"/>
      <c r="AG26" s="1506" t="s">
        <v>136</v>
      </c>
      <c r="AH26" s="1508" t="s">
        <v>136</v>
      </c>
      <c r="AI26" s="1352"/>
      <c r="AJ26" s="1498"/>
      <c r="AK26" s="1356"/>
      <c r="AL26" s="1350"/>
      <c r="AM26" s="1351"/>
      <c r="AN26" s="1360"/>
      <c r="AO26" s="1361"/>
      <c r="AP26" s="1350"/>
      <c r="AQ26" s="1350"/>
      <c r="AR26" s="1350"/>
      <c r="AS26" s="1352"/>
      <c r="AT26" s="1361"/>
      <c r="AU26" s="1350"/>
      <c r="AV26" s="1350"/>
      <c r="AW26" s="1350"/>
      <c r="AX26" s="1372"/>
      <c r="AY26" s="1353"/>
      <c r="AZ26" s="1364" t="s">
        <v>136</v>
      </c>
      <c r="BA26" s="1368"/>
      <c r="BB26" s="1369"/>
      <c r="BC26" s="1342"/>
      <c r="BD26" s="1349"/>
      <c r="BE26" s="1"/>
      <c r="BF26" s="1520"/>
    </row>
    <row r="27" spans="2:59" s="82" customFormat="1" ht="79.8">
      <c r="B27" s="83"/>
      <c r="C27" s="1509"/>
      <c r="D27" s="1510"/>
      <c r="E27" s="22" t="s">
        <v>75</v>
      </c>
      <c r="F27" s="10" t="s">
        <v>54</v>
      </c>
      <c r="G27" s="1511"/>
      <c r="H27" s="1"/>
      <c r="I27" s="1"/>
      <c r="J27" s="1512"/>
      <c r="K27" s="1513"/>
      <c r="L27" s="363"/>
      <c r="M27" s="1515"/>
      <c r="N27" s="1516"/>
      <c r="O27" s="1518"/>
      <c r="P27" s="1491"/>
      <c r="Q27" s="1492"/>
      <c r="R27" s="2"/>
      <c r="S27" s="1500"/>
      <c r="T27" s="2"/>
      <c r="U27" s="1501"/>
      <c r="V27" s="1502"/>
      <c r="W27" s="1502"/>
      <c r="X27" s="1502"/>
      <c r="Y27" s="1502"/>
      <c r="Z27" s="1502"/>
      <c r="AA27" s="1502"/>
      <c r="AB27" s="1502"/>
      <c r="AC27" s="1503"/>
      <c r="AD27" s="2"/>
      <c r="AE27" s="1504"/>
      <c r="AF27" s="1505"/>
      <c r="AG27" s="1507"/>
      <c r="AH27" s="1508"/>
      <c r="AI27" s="1352"/>
      <c r="AJ27" s="1498"/>
      <c r="AK27" s="1523"/>
      <c r="AL27" s="1350"/>
      <c r="AM27" s="1351"/>
      <c r="AN27" s="1360"/>
      <c r="AO27" s="1361"/>
      <c r="AP27" s="1350"/>
      <c r="AQ27" s="1350"/>
      <c r="AR27" s="1350"/>
      <c r="AS27" s="1352"/>
      <c r="AT27" s="1361"/>
      <c r="AU27" s="1350"/>
      <c r="AV27" s="1350"/>
      <c r="AW27" s="1350"/>
      <c r="AX27" s="1372"/>
      <c r="AY27" s="1353"/>
      <c r="AZ27" s="1519"/>
      <c r="BA27" s="1368"/>
      <c r="BB27" s="1369"/>
      <c r="BC27" s="1342"/>
      <c r="BD27" s="1349"/>
      <c r="BE27" s="1"/>
      <c r="BF27" s="1521"/>
      <c r="BG27" s="131" t="s">
        <v>1303</v>
      </c>
    </row>
    <row r="28" spans="2:59" s="35" customFormat="1" ht="4.2">
      <c r="C28" s="69"/>
      <c r="D28" s="70"/>
      <c r="E28" s="70"/>
      <c r="F28" s="70"/>
      <c r="G28" s="70"/>
      <c r="H28" s="407"/>
      <c r="I28" s="407"/>
      <c r="J28" s="424"/>
      <c r="K28" s="425"/>
      <c r="L28" s="408"/>
      <c r="M28" s="151"/>
      <c r="N28" s="151"/>
      <c r="O28" s="151"/>
      <c r="P28" s="151"/>
      <c r="Q28" s="151"/>
      <c r="R28" s="409"/>
      <c r="S28" s="151"/>
      <c r="T28" s="409"/>
      <c r="U28" s="151"/>
      <c r="V28" s="151"/>
      <c r="W28" s="151"/>
      <c r="X28" s="151"/>
      <c r="Y28" s="151"/>
      <c r="Z28" s="151"/>
      <c r="AA28" s="151"/>
      <c r="AB28" s="151"/>
      <c r="AC28" s="151"/>
      <c r="AD28" s="409"/>
      <c r="AE28" s="151"/>
      <c r="AF28" s="413"/>
      <c r="AG28" s="151"/>
      <c r="AH28" s="151"/>
      <c r="AI28" s="151"/>
      <c r="AJ28" s="151"/>
      <c r="AK28" s="151"/>
      <c r="AL28" s="151"/>
      <c r="AM28" s="151"/>
      <c r="AN28" s="151"/>
      <c r="AO28" s="151"/>
      <c r="AP28" s="151"/>
      <c r="AQ28" s="151"/>
      <c r="AR28" s="151"/>
      <c r="AS28" s="151"/>
      <c r="AT28" s="151"/>
      <c r="AU28" s="151"/>
      <c r="AV28" s="151"/>
      <c r="AW28" s="151"/>
      <c r="AX28" s="151"/>
      <c r="AY28" s="151"/>
      <c r="AZ28" s="413"/>
      <c r="BA28" s="151"/>
      <c r="BB28" s="151"/>
      <c r="BC28" s="151"/>
      <c r="BD28" s="151"/>
      <c r="BF28" s="71"/>
    </row>
    <row r="29" spans="2:59" s="82" customFormat="1" ht="34.200000000000003">
      <c r="B29" s="85"/>
      <c r="C29" s="189" t="s">
        <v>76</v>
      </c>
      <c r="D29" s="7" t="s">
        <v>77</v>
      </c>
      <c r="E29" s="411" t="s">
        <v>51</v>
      </c>
      <c r="F29" s="88" t="s">
        <v>51</v>
      </c>
      <c r="G29" s="183" t="s">
        <v>51</v>
      </c>
      <c r="H29" s="1"/>
      <c r="I29" s="1"/>
      <c r="J29" s="377" t="s">
        <v>136</v>
      </c>
      <c r="K29" s="375" t="s">
        <v>157</v>
      </c>
      <c r="L29" s="363"/>
      <c r="M29" s="1396" t="s">
        <v>136</v>
      </c>
      <c r="N29" s="1397"/>
      <c r="O29" s="1398" t="s">
        <v>136</v>
      </c>
      <c r="P29" s="1399"/>
      <c r="Q29" s="1400"/>
      <c r="R29" s="2"/>
      <c r="S29" s="711" t="s">
        <v>1246</v>
      </c>
      <c r="T29" s="2"/>
      <c r="U29" s="1396" t="s">
        <v>136</v>
      </c>
      <c r="V29" s="1522"/>
      <c r="W29" s="1522"/>
      <c r="X29" s="1522"/>
      <c r="Y29" s="1522"/>
      <c r="Z29" s="1522"/>
      <c r="AA29" s="1522"/>
      <c r="AB29" s="1522"/>
      <c r="AC29" s="1397"/>
      <c r="AD29" s="2"/>
      <c r="AE29" s="735"/>
      <c r="AF29" s="876"/>
      <c r="AG29" s="219"/>
      <c r="AH29" s="836" t="s">
        <v>136</v>
      </c>
      <c r="AI29" s="838" t="s">
        <v>136</v>
      </c>
      <c r="AJ29" s="873"/>
      <c r="AK29" s="836"/>
      <c r="AL29" s="836"/>
      <c r="AM29" s="837"/>
      <c r="AN29" s="854"/>
      <c r="AO29" s="856" t="s">
        <v>136</v>
      </c>
      <c r="AP29" s="879"/>
      <c r="AQ29" s="836"/>
      <c r="AR29" s="836"/>
      <c r="AS29" s="838"/>
      <c r="AT29" s="856"/>
      <c r="AU29" s="836"/>
      <c r="AV29" s="836"/>
      <c r="AW29" s="836"/>
      <c r="AX29" s="854"/>
      <c r="AY29" s="220"/>
      <c r="AZ29" s="875"/>
      <c r="BA29" s="872"/>
      <c r="BB29" s="851"/>
      <c r="BC29" s="830"/>
      <c r="BD29" s="835"/>
      <c r="BE29" s="1"/>
      <c r="BF29" s="227" t="s">
        <v>51</v>
      </c>
    </row>
    <row r="30" spans="2:59" s="35" customFormat="1" ht="4.2">
      <c r="C30" s="69"/>
      <c r="D30" s="70"/>
      <c r="E30" s="70"/>
      <c r="F30" s="70"/>
      <c r="G30" s="70"/>
      <c r="H30" s="407"/>
      <c r="I30" s="407"/>
      <c r="J30" s="424"/>
      <c r="K30" s="425"/>
      <c r="L30" s="408"/>
      <c r="M30" s="151"/>
      <c r="N30" s="151"/>
      <c r="O30" s="151"/>
      <c r="P30" s="151"/>
      <c r="Q30" s="151"/>
      <c r="R30" s="409"/>
      <c r="S30" s="151"/>
      <c r="T30" s="409"/>
      <c r="U30" s="151"/>
      <c r="V30" s="151"/>
      <c r="W30" s="151"/>
      <c r="X30" s="151"/>
      <c r="Y30" s="151"/>
      <c r="Z30" s="151"/>
      <c r="AA30" s="151"/>
      <c r="AB30" s="151"/>
      <c r="AC30" s="151"/>
      <c r="AD30" s="409"/>
      <c r="AE30" s="151"/>
      <c r="AF30" s="138"/>
      <c r="AG30" s="151"/>
      <c r="AH30" s="151"/>
      <c r="AI30" s="151"/>
      <c r="AJ30" s="151"/>
      <c r="AK30" s="151"/>
      <c r="AL30" s="151"/>
      <c r="AM30" s="151"/>
      <c r="AN30" s="151"/>
      <c r="AO30" s="151"/>
      <c r="AP30" s="151"/>
      <c r="AQ30" s="151"/>
      <c r="AR30" s="151"/>
      <c r="AS30" s="151"/>
      <c r="AT30" s="151"/>
      <c r="AU30" s="151"/>
      <c r="AV30" s="151"/>
      <c r="AW30" s="151"/>
      <c r="AX30" s="151"/>
      <c r="AY30" s="151"/>
      <c r="AZ30" s="138"/>
      <c r="BA30" s="151"/>
      <c r="BB30" s="151"/>
      <c r="BC30" s="151"/>
      <c r="BD30" s="151"/>
      <c r="BF30" s="71"/>
    </row>
    <row r="31" spans="2:59" ht="34.200000000000003">
      <c r="B31" s="87"/>
      <c r="C31" s="189" t="s">
        <v>100</v>
      </c>
      <c r="D31" s="7" t="s">
        <v>124</v>
      </c>
      <c r="E31" s="411" t="s">
        <v>51</v>
      </c>
      <c r="F31" s="88" t="s">
        <v>51</v>
      </c>
      <c r="G31" s="183" t="s">
        <v>51</v>
      </c>
      <c r="H31" s="1"/>
      <c r="I31" s="1"/>
      <c r="J31" s="377" t="s">
        <v>136</v>
      </c>
      <c r="K31" s="412" t="s">
        <v>52</v>
      </c>
      <c r="L31" s="363"/>
      <c r="M31" s="150" t="s">
        <v>7</v>
      </c>
      <c r="N31" s="361" t="s">
        <v>136</v>
      </c>
      <c r="O31" s="1545">
        <v>11</v>
      </c>
      <c r="P31" s="1546"/>
      <c r="Q31" s="1547"/>
      <c r="R31" s="2"/>
      <c r="S31" s="3" t="s">
        <v>136</v>
      </c>
      <c r="T31" s="2"/>
      <c r="U31" s="1396" t="s">
        <v>136</v>
      </c>
      <c r="V31" s="1522"/>
      <c r="W31" s="1522"/>
      <c r="X31" s="1522"/>
      <c r="Y31" s="1522"/>
      <c r="Z31" s="1522"/>
      <c r="AA31" s="1522"/>
      <c r="AB31" s="1522"/>
      <c r="AC31" s="1397"/>
      <c r="AD31" s="2"/>
      <c r="AE31" s="736"/>
      <c r="AF31" s="877" t="s">
        <v>136</v>
      </c>
      <c r="AG31" s="868"/>
      <c r="AH31" s="836" t="s">
        <v>136</v>
      </c>
      <c r="AI31" s="851" t="s">
        <v>136</v>
      </c>
      <c r="AJ31" s="869"/>
      <c r="AK31" s="836"/>
      <c r="AL31" s="836"/>
      <c r="AM31" s="837"/>
      <c r="AN31" s="844"/>
      <c r="AO31" s="845" t="s">
        <v>136</v>
      </c>
      <c r="AP31" s="836" t="s">
        <v>136</v>
      </c>
      <c r="AQ31" s="836"/>
      <c r="AR31" s="836"/>
      <c r="AS31" s="838"/>
      <c r="AT31" s="845"/>
      <c r="AU31" s="836"/>
      <c r="AV31" s="836"/>
      <c r="AW31" s="836"/>
      <c r="AX31" s="854"/>
      <c r="AY31" s="839"/>
      <c r="AZ31" s="874" t="s">
        <v>136</v>
      </c>
      <c r="BA31" s="850"/>
      <c r="BB31" s="851"/>
      <c r="BC31" s="830"/>
      <c r="BD31" s="835"/>
      <c r="BE31" s="1"/>
      <c r="BF31" s="882" t="s">
        <v>1727</v>
      </c>
    </row>
    <row r="32" spans="2:59" s="35" customFormat="1" ht="4.2">
      <c r="C32" s="69"/>
      <c r="D32" s="70"/>
      <c r="E32" s="70"/>
      <c r="F32" s="70"/>
      <c r="G32" s="70"/>
      <c r="H32" s="407"/>
      <c r="I32" s="407"/>
      <c r="J32" s="424"/>
      <c r="K32" s="425"/>
      <c r="L32" s="408"/>
      <c r="M32" s="151"/>
      <c r="N32" s="151"/>
      <c r="O32" s="151"/>
      <c r="P32" s="151"/>
      <c r="Q32" s="151"/>
      <c r="R32" s="409"/>
      <c r="S32" s="151"/>
      <c r="T32" s="409"/>
      <c r="U32" s="151"/>
      <c r="V32" s="151"/>
      <c r="W32" s="151"/>
      <c r="X32" s="151"/>
      <c r="Y32" s="151"/>
      <c r="Z32" s="151"/>
      <c r="AA32" s="151"/>
      <c r="AB32" s="151"/>
      <c r="AC32" s="151"/>
      <c r="AD32" s="409"/>
      <c r="AE32" s="151"/>
      <c r="AF32" s="413"/>
      <c r="AG32" s="151"/>
      <c r="AH32" s="151"/>
      <c r="AI32" s="151"/>
      <c r="AJ32" s="151"/>
      <c r="AK32" s="151"/>
      <c r="AL32" s="151"/>
      <c r="AM32" s="151"/>
      <c r="AN32" s="151"/>
      <c r="AO32" s="151"/>
      <c r="AP32" s="151"/>
      <c r="AQ32" s="151"/>
      <c r="AR32" s="151"/>
      <c r="AS32" s="151"/>
      <c r="AT32" s="151"/>
      <c r="AU32" s="151"/>
      <c r="AV32" s="151"/>
      <c r="AW32" s="151"/>
      <c r="AX32" s="151"/>
      <c r="AY32" s="151"/>
      <c r="AZ32" s="413"/>
      <c r="BA32" s="151"/>
      <c r="BB32" s="151"/>
      <c r="BC32" s="151"/>
      <c r="BD32" s="151"/>
      <c r="BF32" s="71"/>
    </row>
    <row r="33" spans="1:59">
      <c r="B33" s="74"/>
      <c r="C33" s="1477" t="s">
        <v>127</v>
      </c>
      <c r="D33" s="1479" t="s">
        <v>126</v>
      </c>
      <c r="E33" s="926" t="s">
        <v>2056</v>
      </c>
      <c r="F33" s="9" t="s">
        <v>3</v>
      </c>
      <c r="G33" s="1481" t="s">
        <v>51</v>
      </c>
      <c r="H33" s="1"/>
      <c r="I33" s="1"/>
      <c r="J33" s="1524" t="s">
        <v>136</v>
      </c>
      <c r="K33" s="1527" t="s">
        <v>52</v>
      </c>
      <c r="L33" s="363"/>
      <c r="M33" s="1530" t="s">
        <v>7</v>
      </c>
      <c r="N33" s="1533" t="s">
        <v>136</v>
      </c>
      <c r="O33" s="1536">
        <v>11</v>
      </c>
      <c r="P33" s="1537"/>
      <c r="Q33" s="1538"/>
      <c r="R33" s="2"/>
      <c r="S33" s="1493" t="s">
        <v>51</v>
      </c>
      <c r="T33" s="2"/>
      <c r="U33" s="1464" t="s">
        <v>136</v>
      </c>
      <c r="V33" s="1465"/>
      <c r="W33" s="1465"/>
      <c r="X33" s="1465"/>
      <c r="Y33" s="1465"/>
      <c r="Z33" s="1465"/>
      <c r="AA33" s="1465"/>
      <c r="AB33" s="1465"/>
      <c r="AC33" s="1466"/>
      <c r="AD33" s="2"/>
      <c r="AE33" s="1495"/>
      <c r="AF33" s="1553" t="s">
        <v>136</v>
      </c>
      <c r="AG33" s="1497"/>
      <c r="AH33" s="1350" t="s">
        <v>136</v>
      </c>
      <c r="AI33" s="1352"/>
      <c r="AJ33" s="1498"/>
      <c r="AK33" s="1350"/>
      <c r="AL33" s="1350"/>
      <c r="AM33" s="1556"/>
      <c r="AN33" s="1372"/>
      <c r="AO33" s="1361" t="s">
        <v>136</v>
      </c>
      <c r="AP33" s="1557"/>
      <c r="AQ33" s="1350"/>
      <c r="AR33" s="1350"/>
      <c r="AS33" s="1352"/>
      <c r="AT33" s="1361"/>
      <c r="AU33" s="1350"/>
      <c r="AV33" s="1350"/>
      <c r="AW33" s="1350"/>
      <c r="AX33" s="1372"/>
      <c r="AY33" s="1558"/>
      <c r="AZ33" s="1559" t="s">
        <v>136</v>
      </c>
      <c r="BA33" s="1368"/>
      <c r="BB33" s="1369"/>
      <c r="BC33" s="1342"/>
      <c r="BD33" s="1349"/>
      <c r="BE33" s="1"/>
      <c r="BF33" s="1548" t="s">
        <v>51</v>
      </c>
    </row>
    <row r="34" spans="1:59">
      <c r="B34" s="87"/>
      <c r="C34" s="1478"/>
      <c r="D34" s="1480"/>
      <c r="E34" s="927" t="s">
        <v>2057</v>
      </c>
      <c r="F34" s="17" t="s">
        <v>5</v>
      </c>
      <c r="G34" s="1482"/>
      <c r="H34" s="1"/>
      <c r="I34" s="1"/>
      <c r="J34" s="1525"/>
      <c r="K34" s="1528"/>
      <c r="L34" s="363"/>
      <c r="M34" s="1531"/>
      <c r="N34" s="1534"/>
      <c r="O34" s="1539"/>
      <c r="P34" s="1540"/>
      <c r="Q34" s="1541"/>
      <c r="R34" s="2"/>
      <c r="S34" s="1494"/>
      <c r="T34" s="2"/>
      <c r="U34" s="1435"/>
      <c r="V34" s="1436"/>
      <c r="W34" s="1436"/>
      <c r="X34" s="1436"/>
      <c r="Y34" s="1436"/>
      <c r="Z34" s="1436"/>
      <c r="AA34" s="1436"/>
      <c r="AB34" s="1436"/>
      <c r="AC34" s="1437"/>
      <c r="AD34" s="2"/>
      <c r="AE34" s="1496"/>
      <c r="AF34" s="1554"/>
      <c r="AG34" s="1497"/>
      <c r="AH34" s="1350"/>
      <c r="AI34" s="1352"/>
      <c r="AJ34" s="1498"/>
      <c r="AK34" s="1350"/>
      <c r="AL34" s="1350"/>
      <c r="AM34" s="1556"/>
      <c r="AN34" s="1372"/>
      <c r="AO34" s="1361"/>
      <c r="AP34" s="1557"/>
      <c r="AQ34" s="1350"/>
      <c r="AR34" s="1350"/>
      <c r="AS34" s="1352"/>
      <c r="AT34" s="1361"/>
      <c r="AU34" s="1350"/>
      <c r="AV34" s="1350"/>
      <c r="AW34" s="1350"/>
      <c r="AX34" s="1372"/>
      <c r="AY34" s="1558"/>
      <c r="AZ34" s="1560"/>
      <c r="BA34" s="1368"/>
      <c r="BB34" s="1369"/>
      <c r="BC34" s="1342"/>
      <c r="BD34" s="1349"/>
      <c r="BE34" s="1"/>
      <c r="BF34" s="1549"/>
    </row>
    <row r="35" spans="1:59">
      <c r="B35" s="87"/>
      <c r="C35" s="1478"/>
      <c r="D35" s="1480"/>
      <c r="E35" s="927" t="s">
        <v>2058</v>
      </c>
      <c r="F35" s="17" t="s">
        <v>4</v>
      </c>
      <c r="G35" s="1482"/>
      <c r="H35" s="1"/>
      <c r="I35" s="1"/>
      <c r="J35" s="1525"/>
      <c r="K35" s="1528"/>
      <c r="L35" s="363"/>
      <c r="M35" s="1531"/>
      <c r="N35" s="1534"/>
      <c r="O35" s="1539"/>
      <c r="P35" s="1540"/>
      <c r="Q35" s="1541"/>
      <c r="R35" s="2"/>
      <c r="S35" s="1494"/>
      <c r="T35" s="2"/>
      <c r="U35" s="1435"/>
      <c r="V35" s="1436"/>
      <c r="W35" s="1436"/>
      <c r="X35" s="1436"/>
      <c r="Y35" s="1436"/>
      <c r="Z35" s="1436"/>
      <c r="AA35" s="1436"/>
      <c r="AB35" s="1436"/>
      <c r="AC35" s="1437"/>
      <c r="AD35" s="2"/>
      <c r="AE35" s="1496"/>
      <c r="AF35" s="1554"/>
      <c r="AG35" s="1497"/>
      <c r="AH35" s="1350"/>
      <c r="AI35" s="1352"/>
      <c r="AJ35" s="1498"/>
      <c r="AK35" s="1350"/>
      <c r="AL35" s="1350"/>
      <c r="AM35" s="1556"/>
      <c r="AN35" s="1372"/>
      <c r="AO35" s="1361"/>
      <c r="AP35" s="1557"/>
      <c r="AQ35" s="1350"/>
      <c r="AR35" s="1350"/>
      <c r="AS35" s="1352"/>
      <c r="AT35" s="1361"/>
      <c r="AU35" s="1350"/>
      <c r="AV35" s="1350"/>
      <c r="AW35" s="1350"/>
      <c r="AX35" s="1372"/>
      <c r="AY35" s="1558"/>
      <c r="AZ35" s="1560"/>
      <c r="BA35" s="1368"/>
      <c r="BB35" s="1369"/>
      <c r="BC35" s="1342"/>
      <c r="BD35" s="1349"/>
      <c r="BE35" s="1"/>
      <c r="BF35" s="1549"/>
    </row>
    <row r="36" spans="1:59">
      <c r="B36" s="87"/>
      <c r="C36" s="1509"/>
      <c r="D36" s="1510"/>
      <c r="E36" s="414" t="s">
        <v>125</v>
      </c>
      <c r="F36" s="10" t="s">
        <v>65</v>
      </c>
      <c r="G36" s="1511"/>
      <c r="H36" s="1"/>
      <c r="I36" s="1"/>
      <c r="J36" s="1526"/>
      <c r="K36" s="1529"/>
      <c r="L36" s="363"/>
      <c r="M36" s="1532"/>
      <c r="N36" s="1535"/>
      <c r="O36" s="1542"/>
      <c r="P36" s="1543"/>
      <c r="Q36" s="1544"/>
      <c r="R36" s="2"/>
      <c r="S36" s="1500"/>
      <c r="T36" s="2"/>
      <c r="U36" s="1501"/>
      <c r="V36" s="1502"/>
      <c r="W36" s="1502"/>
      <c r="X36" s="1502"/>
      <c r="Y36" s="1502"/>
      <c r="Z36" s="1502"/>
      <c r="AA36" s="1502"/>
      <c r="AB36" s="1502"/>
      <c r="AC36" s="1503"/>
      <c r="AD36" s="2"/>
      <c r="AE36" s="1504"/>
      <c r="AF36" s="1555"/>
      <c r="AG36" s="1497"/>
      <c r="AH36" s="1350"/>
      <c r="AI36" s="1352"/>
      <c r="AJ36" s="1498"/>
      <c r="AK36" s="1350"/>
      <c r="AL36" s="1350"/>
      <c r="AM36" s="1556"/>
      <c r="AN36" s="1372"/>
      <c r="AO36" s="1361"/>
      <c r="AP36" s="1557"/>
      <c r="AQ36" s="1350"/>
      <c r="AR36" s="1350"/>
      <c r="AS36" s="1352"/>
      <c r="AT36" s="1361"/>
      <c r="AU36" s="1350"/>
      <c r="AV36" s="1350"/>
      <c r="AW36" s="1350"/>
      <c r="AX36" s="1372"/>
      <c r="AY36" s="1558"/>
      <c r="AZ36" s="1560"/>
      <c r="BA36" s="1368"/>
      <c r="BB36" s="1369"/>
      <c r="BC36" s="1342"/>
      <c r="BD36" s="1349"/>
      <c r="BE36" s="1"/>
      <c r="BF36" s="1549"/>
    </row>
    <row r="37" spans="1:59" s="35" customFormat="1" ht="4.2">
      <c r="C37" s="69"/>
      <c r="D37" s="70"/>
      <c r="E37" s="70"/>
      <c r="F37" s="70"/>
      <c r="G37" s="70"/>
      <c r="H37" s="407"/>
      <c r="I37" s="407"/>
      <c r="J37" s="424"/>
      <c r="K37" s="425"/>
      <c r="L37" s="408"/>
      <c r="M37" s="151"/>
      <c r="N37" s="151"/>
      <c r="O37" s="151"/>
      <c r="P37" s="151"/>
      <c r="Q37" s="151"/>
      <c r="R37" s="409"/>
      <c r="S37" s="151"/>
      <c r="T37" s="409"/>
      <c r="U37" s="151"/>
      <c r="V37" s="151"/>
      <c r="W37" s="151"/>
      <c r="X37" s="151"/>
      <c r="Y37" s="151"/>
      <c r="Z37" s="151"/>
      <c r="AA37" s="151"/>
      <c r="AB37" s="151"/>
      <c r="AC37" s="151"/>
      <c r="AD37" s="409"/>
      <c r="AE37" s="151"/>
      <c r="AF37" s="413"/>
      <c r="AG37" s="151"/>
      <c r="AH37" s="151"/>
      <c r="AI37" s="151"/>
      <c r="AJ37" s="151"/>
      <c r="AK37" s="151"/>
      <c r="AL37" s="151"/>
      <c r="AM37" s="151"/>
      <c r="AN37" s="151"/>
      <c r="AO37" s="151"/>
      <c r="AP37" s="151"/>
      <c r="AQ37" s="151"/>
      <c r="AR37" s="151"/>
      <c r="AS37" s="151"/>
      <c r="AT37" s="151"/>
      <c r="AU37" s="151"/>
      <c r="AV37" s="151"/>
      <c r="AW37" s="151"/>
      <c r="AX37" s="151"/>
      <c r="AY37" s="151"/>
      <c r="AZ37" s="413"/>
      <c r="BA37" s="151"/>
      <c r="BB37" s="151"/>
      <c r="BC37" s="151"/>
      <c r="BD37" s="151"/>
      <c r="BF37" s="71"/>
    </row>
    <row r="38" spans="1:59" ht="45.6">
      <c r="A38" s="84"/>
      <c r="B38" s="83"/>
      <c r="C38" s="364" t="s">
        <v>130</v>
      </c>
      <c r="D38" s="365" t="s">
        <v>129</v>
      </c>
      <c r="E38" s="55" t="s">
        <v>128</v>
      </c>
      <c r="F38" s="9" t="s">
        <v>3</v>
      </c>
      <c r="G38" s="366" t="s">
        <v>51</v>
      </c>
      <c r="H38" s="1"/>
      <c r="I38" s="1"/>
      <c r="J38" s="417" t="s">
        <v>136</v>
      </c>
      <c r="K38" s="416" t="s">
        <v>52</v>
      </c>
      <c r="L38" s="363"/>
      <c r="M38" s="417" t="s">
        <v>136</v>
      </c>
      <c r="N38" s="415" t="s">
        <v>136</v>
      </c>
      <c r="O38" s="1550" t="s">
        <v>57</v>
      </c>
      <c r="P38" s="1551"/>
      <c r="Q38" s="1552"/>
      <c r="R38" s="2"/>
      <c r="S38" s="368" t="s">
        <v>51</v>
      </c>
      <c r="T38" s="2"/>
      <c r="U38" s="1464"/>
      <c r="V38" s="1465"/>
      <c r="W38" s="1465"/>
      <c r="X38" s="1465"/>
      <c r="Y38" s="1465"/>
      <c r="Z38" s="1465"/>
      <c r="AA38" s="1465"/>
      <c r="AB38" s="1465"/>
      <c r="AC38" s="1466"/>
      <c r="AD38" s="2"/>
      <c r="AE38" s="867"/>
      <c r="AF38" s="877" t="s">
        <v>136</v>
      </c>
      <c r="AG38" s="868" t="s">
        <v>136</v>
      </c>
      <c r="AH38" s="836" t="s">
        <v>136</v>
      </c>
      <c r="AI38" s="838"/>
      <c r="AJ38" s="869"/>
      <c r="AK38" s="836"/>
      <c r="AL38" s="836"/>
      <c r="AM38" s="872"/>
      <c r="AN38" s="854"/>
      <c r="AO38" s="845" t="s">
        <v>136</v>
      </c>
      <c r="AP38" s="878"/>
      <c r="AQ38" s="836"/>
      <c r="AR38" s="836"/>
      <c r="AS38" s="838"/>
      <c r="AT38" s="845"/>
      <c r="AU38" s="836"/>
      <c r="AV38" s="836"/>
      <c r="AW38" s="836"/>
      <c r="AX38" s="854"/>
      <c r="AY38" s="873"/>
      <c r="AZ38" s="878"/>
      <c r="BA38" s="850"/>
      <c r="BB38" s="851"/>
      <c r="BC38" s="830"/>
      <c r="BD38" s="835"/>
      <c r="BE38" s="1"/>
      <c r="BF38" s="226" t="s">
        <v>1304</v>
      </c>
    </row>
    <row r="39" spans="1:59" s="35" customFormat="1" ht="4.2">
      <c r="C39" s="69"/>
      <c r="D39" s="70"/>
      <c r="E39" s="70"/>
      <c r="F39" s="70"/>
      <c r="G39" s="70"/>
      <c r="H39" s="407"/>
      <c r="I39" s="407"/>
      <c r="J39" s="424"/>
      <c r="K39" s="425"/>
      <c r="L39" s="408"/>
      <c r="M39" s="151"/>
      <c r="N39" s="151"/>
      <c r="O39" s="151"/>
      <c r="P39" s="151"/>
      <c r="Q39" s="151"/>
      <c r="R39" s="409"/>
      <c r="S39" s="151"/>
      <c r="T39" s="409"/>
      <c r="U39" s="151"/>
      <c r="V39" s="151"/>
      <c r="W39" s="151"/>
      <c r="X39" s="151"/>
      <c r="Y39" s="151"/>
      <c r="Z39" s="151"/>
      <c r="AA39" s="151"/>
      <c r="AB39" s="151"/>
      <c r="AC39" s="151"/>
      <c r="AD39" s="409"/>
      <c r="AE39" s="151"/>
      <c r="AF39" s="413"/>
      <c r="AG39" s="151"/>
      <c r="AH39" s="151"/>
      <c r="AI39" s="151"/>
      <c r="AJ39" s="151"/>
      <c r="AK39" s="151"/>
      <c r="AL39" s="151"/>
      <c r="AM39" s="151"/>
      <c r="AN39" s="151"/>
      <c r="AO39" s="151"/>
      <c r="AP39" s="151"/>
      <c r="AQ39" s="151"/>
      <c r="AR39" s="151"/>
      <c r="AS39" s="151"/>
      <c r="AT39" s="151"/>
      <c r="AU39" s="151"/>
      <c r="AV39" s="151"/>
      <c r="AW39" s="151"/>
      <c r="AX39" s="151"/>
      <c r="AY39" s="151"/>
      <c r="AZ39" s="413"/>
      <c r="BA39" s="151"/>
      <c r="BB39" s="151"/>
      <c r="BC39" s="151"/>
      <c r="BD39" s="151"/>
      <c r="BF39" s="71"/>
    </row>
    <row r="40" spans="1:59" ht="22.8">
      <c r="B40" s="87"/>
      <c r="C40" s="189" t="s">
        <v>79</v>
      </c>
      <c r="D40" s="7" t="s">
        <v>80</v>
      </c>
      <c r="E40" s="411" t="s">
        <v>51</v>
      </c>
      <c r="F40" s="88" t="s">
        <v>51</v>
      </c>
      <c r="G40" s="183" t="s">
        <v>51</v>
      </c>
      <c r="H40" s="1"/>
      <c r="I40" s="1"/>
      <c r="J40" s="377" t="s">
        <v>136</v>
      </c>
      <c r="K40" s="713" t="s">
        <v>163</v>
      </c>
      <c r="L40" s="363"/>
      <c r="M40" s="150" t="s">
        <v>7</v>
      </c>
      <c r="N40" s="361" t="s">
        <v>136</v>
      </c>
      <c r="O40" s="150" t="s">
        <v>7</v>
      </c>
      <c r="P40" s="1565" t="s">
        <v>134</v>
      </c>
      <c r="Q40" s="1566"/>
      <c r="R40" s="2"/>
      <c r="S40" s="3" t="s">
        <v>136</v>
      </c>
      <c r="T40" s="2"/>
      <c r="U40" s="1396" t="s">
        <v>136</v>
      </c>
      <c r="V40" s="1522"/>
      <c r="W40" s="1522"/>
      <c r="X40" s="1522"/>
      <c r="Y40" s="1522"/>
      <c r="Z40" s="1522"/>
      <c r="AA40" s="1522"/>
      <c r="AB40" s="1522"/>
      <c r="AC40" s="1397"/>
      <c r="AD40" s="2"/>
      <c r="AE40" s="736"/>
      <c r="AF40" s="876"/>
      <c r="AG40" s="868"/>
      <c r="AH40" s="836" t="s">
        <v>136</v>
      </c>
      <c r="AI40" s="838"/>
      <c r="AJ40" s="873"/>
      <c r="AK40" s="836"/>
      <c r="AL40" s="836"/>
      <c r="AM40" s="837"/>
      <c r="AN40" s="844"/>
      <c r="AO40" s="845" t="s">
        <v>136</v>
      </c>
      <c r="AP40" s="836" t="s">
        <v>136</v>
      </c>
      <c r="AQ40" s="836"/>
      <c r="AR40" s="836"/>
      <c r="AS40" s="838"/>
      <c r="AT40" s="845"/>
      <c r="AU40" s="836"/>
      <c r="AV40" s="836" t="s">
        <v>136</v>
      </c>
      <c r="AW40" s="836"/>
      <c r="AX40" s="854"/>
      <c r="AY40" s="839"/>
      <c r="AZ40" s="875" t="s">
        <v>136</v>
      </c>
      <c r="BA40" s="850"/>
      <c r="BB40" s="851"/>
      <c r="BC40" s="830"/>
      <c r="BD40" s="835"/>
      <c r="BE40" s="1"/>
      <c r="BF40" s="882" t="s">
        <v>1728</v>
      </c>
    </row>
    <row r="41" spans="1:59" s="35" customFormat="1" ht="4.2">
      <c r="C41" s="69"/>
      <c r="D41" s="70"/>
      <c r="E41" s="70"/>
      <c r="F41" s="70"/>
      <c r="G41" s="70"/>
      <c r="H41" s="407"/>
      <c r="I41" s="407"/>
      <c r="J41" s="424"/>
      <c r="K41" s="425"/>
      <c r="L41" s="408"/>
      <c r="M41" s="151"/>
      <c r="N41" s="151"/>
      <c r="O41" s="151"/>
      <c r="P41" s="151"/>
      <c r="Q41" s="151"/>
      <c r="R41" s="409"/>
      <c r="S41" s="151"/>
      <c r="T41" s="409"/>
      <c r="U41" s="151"/>
      <c r="V41" s="151"/>
      <c r="W41" s="151"/>
      <c r="X41" s="151"/>
      <c r="Y41" s="151"/>
      <c r="Z41" s="151"/>
      <c r="AA41" s="151"/>
      <c r="AB41" s="151"/>
      <c r="AC41" s="151"/>
      <c r="AD41" s="409"/>
      <c r="AE41" s="151"/>
      <c r="AF41" s="413"/>
      <c r="AG41" s="151"/>
      <c r="AH41" s="151"/>
      <c r="AI41" s="151"/>
      <c r="AJ41" s="151"/>
      <c r="AK41" s="151"/>
      <c r="AL41" s="151"/>
      <c r="AM41" s="151"/>
      <c r="AN41" s="151"/>
      <c r="AO41" s="151"/>
      <c r="AP41" s="151"/>
      <c r="AQ41" s="151"/>
      <c r="AR41" s="151"/>
      <c r="AS41" s="151"/>
      <c r="AT41" s="151"/>
      <c r="AU41" s="151"/>
      <c r="AV41" s="151"/>
      <c r="AW41" s="151"/>
      <c r="AX41" s="151"/>
      <c r="AY41" s="151"/>
      <c r="AZ41" s="413"/>
      <c r="BA41" s="151"/>
      <c r="BB41" s="151"/>
      <c r="BC41" s="151"/>
      <c r="BD41" s="151"/>
      <c r="BF41" s="71"/>
    </row>
    <row r="42" spans="1:59" ht="34.200000000000003">
      <c r="B42" s="87"/>
      <c r="C42" s="445" t="s">
        <v>11</v>
      </c>
      <c r="D42" s="444" t="s">
        <v>81</v>
      </c>
      <c r="E42" s="418" t="s">
        <v>122</v>
      </c>
      <c r="F42" s="17" t="s">
        <v>123</v>
      </c>
      <c r="G42" s="446" t="s">
        <v>51</v>
      </c>
      <c r="H42" s="1"/>
      <c r="I42" s="1"/>
      <c r="J42" s="421" t="s">
        <v>136</v>
      </c>
      <c r="K42" s="422" t="s">
        <v>156</v>
      </c>
      <c r="L42" s="363"/>
      <c r="M42" s="421" t="s">
        <v>136</v>
      </c>
      <c r="N42" s="376" t="s">
        <v>136</v>
      </c>
      <c r="O42" s="1561">
        <v>11</v>
      </c>
      <c r="P42" s="1562"/>
      <c r="Q42" s="1563"/>
      <c r="R42" s="2"/>
      <c r="S42" s="439" t="s">
        <v>51</v>
      </c>
      <c r="T42" s="2"/>
      <c r="U42" s="1435" t="s">
        <v>136</v>
      </c>
      <c r="V42" s="1436"/>
      <c r="W42" s="1436"/>
      <c r="X42" s="1436"/>
      <c r="Y42" s="1436"/>
      <c r="Z42" s="1436"/>
      <c r="AA42" s="1436"/>
      <c r="AB42" s="1436"/>
      <c r="AC42" s="1437"/>
      <c r="AD42" s="2"/>
      <c r="AE42" s="867"/>
      <c r="AF42" s="881" t="s">
        <v>136</v>
      </c>
      <c r="AG42" s="870"/>
      <c r="AH42" s="840" t="s">
        <v>136</v>
      </c>
      <c r="AI42" s="842"/>
      <c r="AJ42" s="440"/>
      <c r="AK42" s="880" t="s">
        <v>136</v>
      </c>
      <c r="AL42" s="443"/>
      <c r="AM42" s="848"/>
      <c r="AN42" s="852"/>
      <c r="AO42" s="442" t="s">
        <v>136</v>
      </c>
      <c r="AP42" s="840"/>
      <c r="AQ42" s="840"/>
      <c r="AR42" s="840"/>
      <c r="AS42" s="842"/>
      <c r="AT42" s="442"/>
      <c r="AU42" s="840"/>
      <c r="AV42" s="840" t="s">
        <v>136</v>
      </c>
      <c r="AW42" s="840"/>
      <c r="AX42" s="852"/>
      <c r="AY42" s="440"/>
      <c r="AZ42" s="879"/>
      <c r="BA42" s="441"/>
      <c r="BB42" s="865"/>
      <c r="BC42" s="831"/>
      <c r="BD42" s="833"/>
      <c r="BE42" s="367"/>
      <c r="BF42" s="438" t="s">
        <v>1730</v>
      </c>
    </row>
    <row r="43" spans="1:59" s="35" customFormat="1" ht="4.2">
      <c r="C43" s="69"/>
      <c r="D43" s="70"/>
      <c r="E43" s="70"/>
      <c r="F43" s="70"/>
      <c r="G43" s="70"/>
      <c r="H43" s="407"/>
      <c r="I43" s="407"/>
      <c r="J43" s="424"/>
      <c r="K43" s="425"/>
      <c r="L43" s="408"/>
      <c r="M43" s="151"/>
      <c r="N43" s="151"/>
      <c r="O43" s="151"/>
      <c r="P43" s="151"/>
      <c r="Q43" s="151"/>
      <c r="R43" s="409"/>
      <c r="S43" s="151"/>
      <c r="T43" s="409"/>
      <c r="U43" s="151"/>
      <c r="V43" s="151"/>
      <c r="W43" s="151"/>
      <c r="X43" s="151"/>
      <c r="Y43" s="151"/>
      <c r="Z43" s="151"/>
      <c r="AA43" s="151"/>
      <c r="AB43" s="151"/>
      <c r="AC43" s="151"/>
      <c r="AD43" s="409"/>
      <c r="AE43" s="151"/>
      <c r="AF43" s="413"/>
      <c r="AG43" s="151"/>
      <c r="AH43" s="151"/>
      <c r="AI43" s="151"/>
      <c r="AJ43" s="151"/>
      <c r="AK43" s="151"/>
      <c r="AL43" s="151"/>
      <c r="AM43" s="151"/>
      <c r="AN43" s="151"/>
      <c r="AO43" s="151"/>
      <c r="AP43" s="151"/>
      <c r="AQ43" s="151"/>
      <c r="AR43" s="151"/>
      <c r="AS43" s="151"/>
      <c r="AT43" s="151"/>
      <c r="AU43" s="151"/>
      <c r="AV43" s="151"/>
      <c r="AW43" s="151"/>
      <c r="AX43" s="151"/>
      <c r="AY43" s="151"/>
      <c r="AZ43" s="413"/>
      <c r="BA43" s="151"/>
      <c r="BB43" s="151"/>
      <c r="BC43" s="151"/>
      <c r="BD43" s="151"/>
      <c r="BF43" s="71"/>
    </row>
    <row r="44" spans="1:59" ht="125.4">
      <c r="B44" s="87"/>
      <c r="C44" s="1477" t="s">
        <v>82</v>
      </c>
      <c r="D44" s="1479" t="s">
        <v>83</v>
      </c>
      <c r="E44" s="16" t="s">
        <v>84</v>
      </c>
      <c r="F44" s="17" t="s">
        <v>85</v>
      </c>
      <c r="G44" s="1481" t="s">
        <v>74</v>
      </c>
      <c r="H44" s="1"/>
      <c r="I44" s="1"/>
      <c r="J44" s="1373" t="s">
        <v>136</v>
      </c>
      <c r="K44" s="1484" t="s">
        <v>156</v>
      </c>
      <c r="L44" s="363"/>
      <c r="M44" s="1373" t="s">
        <v>136</v>
      </c>
      <c r="N44" s="1358" t="s">
        <v>136</v>
      </c>
      <c r="O44" s="1536">
        <v>11</v>
      </c>
      <c r="P44" s="1537"/>
      <c r="Q44" s="1538"/>
      <c r="R44" s="2"/>
      <c r="S44" s="1493" t="s">
        <v>51</v>
      </c>
      <c r="T44" s="2"/>
      <c r="U44" s="1464" t="s">
        <v>136</v>
      </c>
      <c r="V44" s="1465"/>
      <c r="W44" s="1465"/>
      <c r="X44" s="1465"/>
      <c r="Y44" s="1465"/>
      <c r="Z44" s="1465"/>
      <c r="AA44" s="1465"/>
      <c r="AB44" s="1465"/>
      <c r="AC44" s="1466"/>
      <c r="AD44" s="2"/>
      <c r="AE44" s="1495"/>
      <c r="AF44" s="1564" t="s">
        <v>136</v>
      </c>
      <c r="AG44" s="1497" t="s">
        <v>136</v>
      </c>
      <c r="AH44" s="1350" t="s">
        <v>136</v>
      </c>
      <c r="AI44" s="1352"/>
      <c r="AJ44" s="1498"/>
      <c r="AK44" s="1350"/>
      <c r="AL44" s="1350"/>
      <c r="AM44" s="1351"/>
      <c r="AN44" s="1360"/>
      <c r="AO44" s="1361"/>
      <c r="AP44" s="1350"/>
      <c r="AQ44" s="1350"/>
      <c r="AR44" s="1350"/>
      <c r="AS44" s="1352"/>
      <c r="AT44" s="1361"/>
      <c r="AU44" s="1350"/>
      <c r="AV44" s="1350"/>
      <c r="AW44" s="1350"/>
      <c r="AX44" s="1372"/>
      <c r="AY44" s="1353"/>
      <c r="AZ44" s="1557"/>
      <c r="BA44" s="1368"/>
      <c r="BB44" s="1369"/>
      <c r="BC44" s="1342"/>
      <c r="BD44" s="1349"/>
      <c r="BE44" s="1"/>
      <c r="BF44" s="714" t="s">
        <v>1729</v>
      </c>
    </row>
    <row r="45" spans="1:59">
      <c r="B45" s="87"/>
      <c r="C45" s="1478"/>
      <c r="D45" s="1480"/>
      <c r="E45" s="16" t="s">
        <v>86</v>
      </c>
      <c r="F45" s="17" t="s">
        <v>87</v>
      </c>
      <c r="G45" s="1482"/>
      <c r="H45" s="1"/>
      <c r="I45" s="1"/>
      <c r="J45" s="1483"/>
      <c r="K45" s="1485"/>
      <c r="L45" s="363"/>
      <c r="M45" s="1483"/>
      <c r="N45" s="1567"/>
      <c r="O45" s="1568"/>
      <c r="P45" s="1569"/>
      <c r="Q45" s="1570"/>
      <c r="R45" s="2"/>
      <c r="S45" s="1494"/>
      <c r="T45" s="2"/>
      <c r="U45" s="1435"/>
      <c r="V45" s="1436"/>
      <c r="W45" s="1436"/>
      <c r="X45" s="1436"/>
      <c r="Y45" s="1436"/>
      <c r="Z45" s="1436"/>
      <c r="AA45" s="1436"/>
      <c r="AB45" s="1436"/>
      <c r="AC45" s="1437"/>
      <c r="AD45" s="2"/>
      <c r="AE45" s="1496"/>
      <c r="AF45" s="1564"/>
      <c r="AG45" s="1497"/>
      <c r="AH45" s="1350"/>
      <c r="AI45" s="1352"/>
      <c r="AJ45" s="1498"/>
      <c r="AK45" s="1350"/>
      <c r="AL45" s="1350"/>
      <c r="AM45" s="1351"/>
      <c r="AN45" s="1360"/>
      <c r="AO45" s="1361"/>
      <c r="AP45" s="1350"/>
      <c r="AQ45" s="1350"/>
      <c r="AR45" s="1350"/>
      <c r="AS45" s="1352"/>
      <c r="AT45" s="1361"/>
      <c r="AU45" s="1350"/>
      <c r="AV45" s="1350"/>
      <c r="AW45" s="1350"/>
      <c r="AX45" s="1372"/>
      <c r="AY45" s="1353"/>
      <c r="AZ45" s="1557"/>
      <c r="BA45" s="1368"/>
      <c r="BB45" s="1369"/>
      <c r="BC45" s="1342"/>
      <c r="BD45" s="1349"/>
      <c r="BE45" s="1"/>
      <c r="BF45" s="454"/>
    </row>
    <row r="46" spans="1:59" s="35" customFormat="1" ht="4.2">
      <c r="C46" s="69"/>
      <c r="D46" s="70"/>
      <c r="E46" s="70"/>
      <c r="F46" s="70"/>
      <c r="G46" s="70"/>
      <c r="H46" s="407"/>
      <c r="I46" s="407"/>
      <c r="J46" s="424"/>
      <c r="K46" s="425"/>
      <c r="L46" s="408"/>
      <c r="M46" s="151"/>
      <c r="N46" s="151"/>
      <c r="O46" s="151"/>
      <c r="P46" s="151"/>
      <c r="Q46" s="151"/>
      <c r="R46" s="409"/>
      <c r="S46" s="151"/>
      <c r="T46" s="409"/>
      <c r="U46" s="151"/>
      <c r="V46" s="151"/>
      <c r="W46" s="151"/>
      <c r="X46" s="151"/>
      <c r="Y46" s="151"/>
      <c r="Z46" s="151"/>
      <c r="AA46" s="151"/>
      <c r="AB46" s="151"/>
      <c r="AC46" s="151"/>
      <c r="AD46" s="409"/>
      <c r="AE46" s="151"/>
      <c r="AF46" s="413"/>
      <c r="AG46" s="151"/>
      <c r="AH46" s="151"/>
      <c r="AI46" s="151"/>
      <c r="AJ46" s="151"/>
      <c r="AK46" s="151"/>
      <c r="AL46" s="151"/>
      <c r="AM46" s="151"/>
      <c r="AN46" s="151"/>
      <c r="AO46" s="151"/>
      <c r="AP46" s="151"/>
      <c r="AQ46" s="151"/>
      <c r="AR46" s="151"/>
      <c r="AS46" s="151"/>
      <c r="AT46" s="151"/>
      <c r="AU46" s="151"/>
      <c r="AV46" s="151"/>
      <c r="AW46" s="151"/>
      <c r="AX46" s="151"/>
      <c r="AY46" s="151"/>
      <c r="AZ46" s="413"/>
      <c r="BA46" s="151"/>
      <c r="BB46" s="151"/>
      <c r="BC46" s="151"/>
      <c r="BD46" s="151"/>
      <c r="BF46" s="71"/>
    </row>
    <row r="47" spans="1:59">
      <c r="C47" s="1571" t="s">
        <v>88</v>
      </c>
      <c r="D47" s="1573" t="s">
        <v>89</v>
      </c>
      <c r="E47" s="54" t="s">
        <v>167</v>
      </c>
      <c r="F47" s="9" t="s">
        <v>63</v>
      </c>
      <c r="G47" s="1481" t="s">
        <v>74</v>
      </c>
      <c r="H47" s="1"/>
      <c r="I47" s="1"/>
      <c r="J47" s="1384" t="s">
        <v>136</v>
      </c>
      <c r="K47" s="1576" t="s">
        <v>52</v>
      </c>
      <c r="L47" s="363"/>
      <c r="M47" s="1578" t="s">
        <v>7</v>
      </c>
      <c r="N47" s="1358" t="s">
        <v>136</v>
      </c>
      <c r="O47" s="1580">
        <v>11</v>
      </c>
      <c r="P47" s="1581"/>
      <c r="Q47" s="1582"/>
      <c r="R47" s="2"/>
      <c r="S47" s="1586" t="s">
        <v>136</v>
      </c>
      <c r="T47" s="2"/>
      <c r="U47" s="1464" t="s">
        <v>136</v>
      </c>
      <c r="V47" s="1465"/>
      <c r="W47" s="1465"/>
      <c r="X47" s="1465"/>
      <c r="Y47" s="1465"/>
      <c r="Z47" s="1465"/>
      <c r="AA47" s="1465"/>
      <c r="AB47" s="1465"/>
      <c r="AC47" s="1466"/>
      <c r="AD47" s="2"/>
      <c r="AE47" s="1467"/>
      <c r="AF47" s="1553" t="s">
        <v>136</v>
      </c>
      <c r="AG47" s="1429"/>
      <c r="AH47" s="1356" t="s">
        <v>136</v>
      </c>
      <c r="AI47" s="1358"/>
      <c r="AJ47" s="1431"/>
      <c r="AK47" s="1356" t="s">
        <v>136</v>
      </c>
      <c r="AL47" s="1356"/>
      <c r="AM47" s="1425"/>
      <c r="AN47" s="1427"/>
      <c r="AO47" s="1373" t="s">
        <v>136</v>
      </c>
      <c r="AP47" s="1356" t="s">
        <v>136</v>
      </c>
      <c r="AQ47" s="1356"/>
      <c r="AR47" s="1356"/>
      <c r="AS47" s="1358"/>
      <c r="AT47" s="1373"/>
      <c r="AU47" s="1356"/>
      <c r="AV47" s="1356"/>
      <c r="AW47" s="1356"/>
      <c r="AX47" s="1370"/>
      <c r="AY47" s="1362"/>
      <c r="AZ47" s="1588" t="s">
        <v>136</v>
      </c>
      <c r="BA47" s="1366"/>
      <c r="BB47" s="1473"/>
      <c r="BC47" s="1343"/>
      <c r="BD47" s="1347"/>
      <c r="BE47" s="1"/>
      <c r="BF47" s="1471" t="s">
        <v>2377</v>
      </c>
    </row>
    <row r="48" spans="1:59" ht="34.200000000000003">
      <c r="C48" s="1572"/>
      <c r="D48" s="1574"/>
      <c r="E48" s="221" t="s">
        <v>164</v>
      </c>
      <c r="F48" s="419" t="s">
        <v>4</v>
      </c>
      <c r="G48" s="1575"/>
      <c r="H48" s="1"/>
      <c r="I48" s="1"/>
      <c r="J48" s="1385"/>
      <c r="K48" s="1577"/>
      <c r="L48" s="363"/>
      <c r="M48" s="1579"/>
      <c r="N48" s="1567"/>
      <c r="O48" s="1583"/>
      <c r="P48" s="1584"/>
      <c r="Q48" s="1585"/>
      <c r="R48" s="2"/>
      <c r="S48" s="1587"/>
      <c r="T48" s="2"/>
      <c r="U48" s="1435"/>
      <c r="V48" s="1436"/>
      <c r="W48" s="1436"/>
      <c r="X48" s="1436"/>
      <c r="Y48" s="1436"/>
      <c r="Z48" s="1436"/>
      <c r="AA48" s="1436"/>
      <c r="AB48" s="1436"/>
      <c r="AC48" s="1437"/>
      <c r="AD48" s="2"/>
      <c r="AE48" s="1468"/>
      <c r="AF48" s="1554"/>
      <c r="AG48" s="1430"/>
      <c r="AH48" s="1357"/>
      <c r="AI48" s="1359"/>
      <c r="AJ48" s="1432"/>
      <c r="AK48" s="1357"/>
      <c r="AL48" s="1357"/>
      <c r="AM48" s="1426"/>
      <c r="AN48" s="1428"/>
      <c r="AO48" s="1374"/>
      <c r="AP48" s="1357"/>
      <c r="AQ48" s="1357"/>
      <c r="AR48" s="1357"/>
      <c r="AS48" s="1359"/>
      <c r="AT48" s="1374"/>
      <c r="AU48" s="1357"/>
      <c r="AV48" s="1357"/>
      <c r="AW48" s="1357"/>
      <c r="AX48" s="1371"/>
      <c r="AY48" s="1363"/>
      <c r="AZ48" s="1589"/>
      <c r="BA48" s="1367"/>
      <c r="BB48" s="1474"/>
      <c r="BC48" s="1344"/>
      <c r="BD48" s="1348"/>
      <c r="BE48" s="1"/>
      <c r="BF48" s="1590"/>
      <c r="BG48" s="19" t="s">
        <v>140</v>
      </c>
    </row>
    <row r="49" spans="3:58" s="35" customFormat="1" ht="4.2">
      <c r="C49" s="69"/>
      <c r="D49" s="70"/>
      <c r="E49" s="70"/>
      <c r="F49" s="70"/>
      <c r="G49" s="70"/>
      <c r="H49" s="407"/>
      <c r="I49" s="407"/>
      <c r="J49" s="424"/>
      <c r="K49" s="425"/>
      <c r="L49" s="408"/>
      <c r="M49" s="151"/>
      <c r="N49" s="151"/>
      <c r="O49" s="151"/>
      <c r="P49" s="151"/>
      <c r="Q49" s="151"/>
      <c r="R49" s="409"/>
      <c r="S49" s="151"/>
      <c r="T49" s="409"/>
      <c r="U49" s="151"/>
      <c r="V49" s="151"/>
      <c r="W49" s="151"/>
      <c r="X49" s="151"/>
      <c r="Y49" s="151"/>
      <c r="Z49" s="151"/>
      <c r="AA49" s="151"/>
      <c r="AB49" s="151"/>
      <c r="AC49" s="151"/>
      <c r="AD49" s="409"/>
      <c r="AE49" s="151"/>
      <c r="AF49" s="413"/>
      <c r="AG49" s="151"/>
      <c r="AH49" s="151"/>
      <c r="AI49" s="151"/>
      <c r="AJ49" s="151"/>
      <c r="AK49" s="151"/>
      <c r="AL49" s="151"/>
      <c r="AM49" s="151"/>
      <c r="AN49" s="151"/>
      <c r="AO49" s="151"/>
      <c r="AP49" s="151"/>
      <c r="AQ49" s="151"/>
      <c r="AR49" s="151"/>
      <c r="AS49" s="151"/>
      <c r="AT49" s="151"/>
      <c r="AU49" s="151"/>
      <c r="AV49" s="151"/>
      <c r="AW49" s="151"/>
      <c r="AX49" s="151"/>
      <c r="AY49" s="151"/>
      <c r="AZ49" s="413"/>
      <c r="BA49" s="151"/>
      <c r="BB49" s="151"/>
      <c r="BC49" s="151"/>
      <c r="BD49" s="151"/>
      <c r="BF49" s="71"/>
    </row>
    <row r="50" spans="3:58">
      <c r="C50" s="1477" t="s">
        <v>90</v>
      </c>
      <c r="D50" s="1479" t="s">
        <v>91</v>
      </c>
      <c r="E50" s="8" t="s">
        <v>92</v>
      </c>
      <c r="F50" s="9" t="s">
        <v>3</v>
      </c>
      <c r="G50" s="1600"/>
      <c r="H50" s="1"/>
      <c r="I50" s="1"/>
      <c r="J50" s="1373" t="s">
        <v>136</v>
      </c>
      <c r="K50" s="1456" t="s">
        <v>52</v>
      </c>
      <c r="L50" s="363"/>
      <c r="M50" s="1598" t="s">
        <v>1718</v>
      </c>
      <c r="N50" s="1358" t="s">
        <v>136</v>
      </c>
      <c r="O50" s="1602" t="s">
        <v>1718</v>
      </c>
      <c r="P50" s="1604" t="s">
        <v>134</v>
      </c>
      <c r="Q50" s="1605"/>
      <c r="R50" s="2"/>
      <c r="S50" s="1586" t="s">
        <v>136</v>
      </c>
      <c r="T50" s="2"/>
      <c r="U50" s="1464" t="s">
        <v>136</v>
      </c>
      <c r="V50" s="1465"/>
      <c r="W50" s="1465"/>
      <c r="X50" s="1465"/>
      <c r="Y50" s="1465"/>
      <c r="Z50" s="1465"/>
      <c r="AA50" s="1465"/>
      <c r="AB50" s="1465"/>
      <c r="AC50" s="1466"/>
      <c r="AD50" s="2"/>
      <c r="AE50" s="1495"/>
      <c r="AF50" s="1597"/>
      <c r="AG50" s="1497" t="s">
        <v>136</v>
      </c>
      <c r="AH50" s="1350" t="s">
        <v>136</v>
      </c>
      <c r="AI50" s="1352"/>
      <c r="AJ50" s="1498"/>
      <c r="AK50" s="1350" t="s">
        <v>136</v>
      </c>
      <c r="AL50" s="1350" t="s">
        <v>136</v>
      </c>
      <c r="AM50" s="1351"/>
      <c r="AN50" s="1360"/>
      <c r="AO50" s="1361" t="s">
        <v>136</v>
      </c>
      <c r="AP50" s="1350" t="s">
        <v>136</v>
      </c>
      <c r="AQ50" s="1350"/>
      <c r="AR50" s="1350"/>
      <c r="AS50" s="1352"/>
      <c r="AT50" s="1361"/>
      <c r="AU50" s="1350"/>
      <c r="AV50" s="1350" t="s">
        <v>136</v>
      </c>
      <c r="AW50" s="1350"/>
      <c r="AX50" s="1372"/>
      <c r="AY50" s="1353"/>
      <c r="AZ50" s="1596" t="s">
        <v>134</v>
      </c>
      <c r="BA50" s="1368"/>
      <c r="BB50" s="1369"/>
      <c r="BC50" s="1342" t="s">
        <v>134</v>
      </c>
      <c r="BD50" s="1349" t="s">
        <v>134</v>
      </c>
      <c r="BE50" s="1"/>
      <c r="BF50" s="1591"/>
    </row>
    <row r="51" spans="3:58">
      <c r="C51" s="1478"/>
      <c r="D51" s="1480"/>
      <c r="E51" s="21" t="s">
        <v>93</v>
      </c>
      <c r="F51" s="17" t="s">
        <v>54</v>
      </c>
      <c r="G51" s="1463"/>
      <c r="H51" s="1"/>
      <c r="I51" s="1"/>
      <c r="J51" s="1374"/>
      <c r="K51" s="1601"/>
      <c r="L51" s="363"/>
      <c r="M51" s="1599"/>
      <c r="N51" s="1359"/>
      <c r="O51" s="1603"/>
      <c r="P51" s="1606">
        <v>12</v>
      </c>
      <c r="Q51" s="1607"/>
      <c r="R51" s="1037"/>
      <c r="S51" s="1494"/>
      <c r="T51" s="2"/>
      <c r="U51" s="1435"/>
      <c r="V51" s="1436"/>
      <c r="W51" s="1436"/>
      <c r="X51" s="1436"/>
      <c r="Y51" s="1436"/>
      <c r="Z51" s="1436"/>
      <c r="AA51" s="1436"/>
      <c r="AB51" s="1436"/>
      <c r="AC51" s="1437"/>
      <c r="AD51" s="2"/>
      <c r="AE51" s="1496"/>
      <c r="AF51" s="1597"/>
      <c r="AG51" s="1497"/>
      <c r="AH51" s="1350"/>
      <c r="AI51" s="1352"/>
      <c r="AJ51" s="1498"/>
      <c r="AK51" s="1350"/>
      <c r="AL51" s="1350"/>
      <c r="AM51" s="1351"/>
      <c r="AN51" s="1360"/>
      <c r="AO51" s="1361"/>
      <c r="AP51" s="1350"/>
      <c r="AQ51" s="1350"/>
      <c r="AR51" s="1350"/>
      <c r="AS51" s="1352"/>
      <c r="AT51" s="1361"/>
      <c r="AU51" s="1350"/>
      <c r="AV51" s="1350"/>
      <c r="AW51" s="1350"/>
      <c r="AX51" s="1372"/>
      <c r="AY51" s="1353"/>
      <c r="AZ51" s="1596"/>
      <c r="BA51" s="1368"/>
      <c r="BB51" s="1369"/>
      <c r="BC51" s="1342"/>
      <c r="BD51" s="1349"/>
      <c r="BE51" s="1"/>
      <c r="BF51" s="1549"/>
    </row>
    <row r="52" spans="3:58" s="35" customFormat="1" ht="4.2">
      <c r="C52" s="69"/>
      <c r="D52" s="70"/>
      <c r="E52" s="70"/>
      <c r="F52" s="70"/>
      <c r="G52" s="70"/>
      <c r="H52" s="407"/>
      <c r="I52" s="407"/>
      <c r="J52" s="424"/>
      <c r="K52" s="425"/>
      <c r="L52" s="408"/>
      <c r="M52" s="151"/>
      <c r="N52" s="151"/>
      <c r="O52" s="151"/>
      <c r="P52" s="151"/>
      <c r="Q52" s="151"/>
      <c r="R52" s="409"/>
      <c r="S52" s="151"/>
      <c r="T52" s="409"/>
      <c r="U52" s="151"/>
      <c r="V52" s="151"/>
      <c r="W52" s="151"/>
      <c r="X52" s="151"/>
      <c r="Y52" s="151"/>
      <c r="Z52" s="151"/>
      <c r="AA52" s="151"/>
      <c r="AB52" s="151"/>
      <c r="AC52" s="151"/>
      <c r="AD52" s="409"/>
      <c r="AE52" s="151"/>
      <c r="AF52" s="413"/>
      <c r="AG52" s="151"/>
      <c r="AH52" s="151"/>
      <c r="AI52" s="151"/>
      <c r="AJ52" s="151"/>
      <c r="AK52" s="151"/>
      <c r="AL52" s="151"/>
      <c r="AM52" s="151"/>
      <c r="AN52" s="151"/>
      <c r="AO52" s="151"/>
      <c r="AP52" s="151"/>
      <c r="AQ52" s="151"/>
      <c r="AR52" s="151"/>
      <c r="AS52" s="151"/>
      <c r="AT52" s="151"/>
      <c r="AU52" s="151"/>
      <c r="AV52" s="151"/>
      <c r="AW52" s="151"/>
      <c r="AX52" s="151"/>
      <c r="AY52" s="151"/>
      <c r="AZ52" s="413"/>
      <c r="BA52" s="151"/>
      <c r="BB52" s="151"/>
      <c r="BC52" s="151"/>
      <c r="BD52" s="151"/>
      <c r="BF52" s="71"/>
    </row>
    <row r="53" spans="3:58" ht="45.6">
      <c r="C53" s="189" t="s">
        <v>94</v>
      </c>
      <c r="D53" s="7" t="s">
        <v>95</v>
      </c>
      <c r="E53" s="75" t="s">
        <v>78</v>
      </c>
      <c r="F53" s="20" t="s">
        <v>78</v>
      </c>
      <c r="G53" s="183" t="s">
        <v>74</v>
      </c>
      <c r="H53" s="1"/>
      <c r="I53" s="1"/>
      <c r="J53" s="377" t="s">
        <v>136</v>
      </c>
      <c r="K53" s="370" t="s">
        <v>52</v>
      </c>
      <c r="L53" s="363"/>
      <c r="M53" s="1592">
        <v>11</v>
      </c>
      <c r="N53" s="1593"/>
      <c r="O53" s="1594" t="s">
        <v>7</v>
      </c>
      <c r="P53" s="1595"/>
      <c r="Q53" s="154" t="s">
        <v>136</v>
      </c>
      <c r="R53" s="2"/>
      <c r="S53" s="139" t="s">
        <v>136</v>
      </c>
      <c r="T53" s="2"/>
      <c r="U53" s="1396" t="s">
        <v>136</v>
      </c>
      <c r="V53" s="1522"/>
      <c r="W53" s="1522"/>
      <c r="X53" s="1522"/>
      <c r="Y53" s="1522"/>
      <c r="Z53" s="1522"/>
      <c r="AA53" s="1522"/>
      <c r="AB53" s="1522"/>
      <c r="AC53" s="1397"/>
      <c r="AD53" s="2"/>
      <c r="AE53" s="735"/>
      <c r="AF53" s="876"/>
      <c r="AG53" s="219"/>
      <c r="AH53" s="836" t="s">
        <v>136</v>
      </c>
      <c r="AI53" s="838"/>
      <c r="AJ53" s="869"/>
      <c r="AK53" s="830"/>
      <c r="AL53" s="830" t="s">
        <v>134</v>
      </c>
      <c r="AM53" s="837"/>
      <c r="AN53" s="844"/>
      <c r="AO53" s="845" t="s">
        <v>136</v>
      </c>
      <c r="AP53" s="836" t="s">
        <v>136</v>
      </c>
      <c r="AQ53" s="836"/>
      <c r="AR53" s="836"/>
      <c r="AS53" s="838"/>
      <c r="AT53" s="735" t="s">
        <v>136</v>
      </c>
      <c r="AU53" s="371"/>
      <c r="AV53" s="857"/>
      <c r="AW53" s="871"/>
      <c r="AX53" s="854"/>
      <c r="AY53" s="220"/>
      <c r="AZ53" s="875" t="s">
        <v>136</v>
      </c>
      <c r="BA53" s="872"/>
      <c r="BB53" s="851"/>
      <c r="BC53" s="830"/>
      <c r="BD53" s="835"/>
      <c r="BE53" s="1"/>
      <c r="BF53" s="882" t="s">
        <v>1781</v>
      </c>
    </row>
    <row r="54" spans="3:58" ht="68.400000000000006">
      <c r="C54" s="189" t="s">
        <v>96</v>
      </c>
      <c r="D54" s="7" t="s">
        <v>97</v>
      </c>
      <c r="E54" s="75" t="s">
        <v>78</v>
      </c>
      <c r="F54" s="20" t="s">
        <v>78</v>
      </c>
      <c r="G54" s="183" t="s">
        <v>74</v>
      </c>
      <c r="H54" s="1"/>
      <c r="I54" s="1"/>
      <c r="J54" s="377" t="s">
        <v>136</v>
      </c>
      <c r="K54" s="370" t="s">
        <v>52</v>
      </c>
      <c r="L54" s="363"/>
      <c r="M54" s="1592">
        <v>11</v>
      </c>
      <c r="N54" s="1593"/>
      <c r="O54" s="1594" t="s">
        <v>7</v>
      </c>
      <c r="P54" s="1595"/>
      <c r="Q54" s="155" t="s">
        <v>136</v>
      </c>
      <c r="R54" s="2"/>
      <c r="S54" s="139" t="s">
        <v>136</v>
      </c>
      <c r="T54" s="2"/>
      <c r="U54" s="1396" t="s">
        <v>136</v>
      </c>
      <c r="V54" s="1522"/>
      <c r="W54" s="1522"/>
      <c r="X54" s="1522"/>
      <c r="Y54" s="1522"/>
      <c r="Z54" s="1522"/>
      <c r="AA54" s="1522"/>
      <c r="AB54" s="1522"/>
      <c r="AC54" s="1397"/>
      <c r="AD54" s="2"/>
      <c r="AE54" s="735"/>
      <c r="AF54" s="876"/>
      <c r="AG54" s="219"/>
      <c r="AH54" s="836" t="s">
        <v>136</v>
      </c>
      <c r="AI54" s="838"/>
      <c r="AJ54" s="869"/>
      <c r="AK54" s="836"/>
      <c r="AL54" s="836" t="s">
        <v>136</v>
      </c>
      <c r="AM54" s="837"/>
      <c r="AN54" s="844"/>
      <c r="AO54" s="735" t="s">
        <v>136</v>
      </c>
      <c r="AP54" s="1057" t="s">
        <v>134</v>
      </c>
      <c r="AQ54" s="1057"/>
      <c r="AR54" s="1057"/>
      <c r="AS54" s="1058"/>
      <c r="AT54" s="735" t="s">
        <v>136</v>
      </c>
      <c r="AU54" s="1057"/>
      <c r="AV54" s="928"/>
      <c r="AW54" s="1057"/>
      <c r="AX54" s="854"/>
      <c r="AY54" s="220"/>
      <c r="AZ54" s="875" t="s">
        <v>136</v>
      </c>
      <c r="BA54" s="872"/>
      <c r="BB54" s="883"/>
      <c r="BC54" s="830"/>
      <c r="BD54" s="835"/>
      <c r="BE54" s="1"/>
      <c r="BF54" s="882" t="s">
        <v>1789</v>
      </c>
    </row>
    <row r="55" spans="3:58" ht="22.8">
      <c r="C55" s="189" t="s">
        <v>98</v>
      </c>
      <c r="D55" s="7" t="s">
        <v>99</v>
      </c>
      <c r="E55" s="75" t="s">
        <v>78</v>
      </c>
      <c r="F55" s="20" t="s">
        <v>78</v>
      </c>
      <c r="G55" s="183" t="s">
        <v>74</v>
      </c>
      <c r="H55" s="1"/>
      <c r="I55" s="1"/>
      <c r="J55" s="377" t="s">
        <v>136</v>
      </c>
      <c r="K55" s="153" t="s">
        <v>52</v>
      </c>
      <c r="L55" s="363"/>
      <c r="M55" s="1592">
        <v>11</v>
      </c>
      <c r="N55" s="1593"/>
      <c r="O55" s="1594" t="s">
        <v>7</v>
      </c>
      <c r="P55" s="1595"/>
      <c r="Q55" s="155" t="s">
        <v>136</v>
      </c>
      <c r="R55" s="2"/>
      <c r="S55" s="139" t="s">
        <v>136</v>
      </c>
      <c r="T55" s="2"/>
      <c r="U55" s="1396" t="s">
        <v>136</v>
      </c>
      <c r="V55" s="1522"/>
      <c r="W55" s="1522"/>
      <c r="X55" s="1522"/>
      <c r="Y55" s="1522"/>
      <c r="Z55" s="1522"/>
      <c r="AA55" s="1522"/>
      <c r="AB55" s="1522"/>
      <c r="AC55" s="1397"/>
      <c r="AD55" s="2"/>
      <c r="AE55" s="735" t="s">
        <v>136</v>
      </c>
      <c r="AF55" s="876"/>
      <c r="AG55" s="219"/>
      <c r="AH55" s="836" t="s">
        <v>136</v>
      </c>
      <c r="AI55" s="838"/>
      <c r="AJ55" s="869"/>
      <c r="AK55" s="836"/>
      <c r="AL55" s="836" t="s">
        <v>136</v>
      </c>
      <c r="AM55" s="837"/>
      <c r="AN55" s="844"/>
      <c r="AO55" s="845"/>
      <c r="AP55" s="830" t="s">
        <v>134</v>
      </c>
      <c r="AQ55" s="836"/>
      <c r="AR55" s="836"/>
      <c r="AS55" s="838"/>
      <c r="AT55" s="845"/>
      <c r="AU55" s="836"/>
      <c r="AV55" s="836" t="s">
        <v>136</v>
      </c>
      <c r="AW55" s="836"/>
      <c r="AX55" s="854"/>
      <c r="AY55" s="220"/>
      <c r="AZ55" s="875" t="s">
        <v>136</v>
      </c>
      <c r="BA55" s="872"/>
      <c r="BB55" s="851"/>
      <c r="BC55" s="830"/>
      <c r="BD55" s="835"/>
      <c r="BE55" s="1"/>
      <c r="BF55" s="882" t="s">
        <v>1780</v>
      </c>
    </row>
  </sheetData>
  <mergeCells count="331">
    <mergeCell ref="M54:N54"/>
    <mergeCell ref="O54:P54"/>
    <mergeCell ref="U54:AC54"/>
    <mergeCell ref="C50:C51"/>
    <mergeCell ref="D50:D51"/>
    <mergeCell ref="G50:G51"/>
    <mergeCell ref="J50:J51"/>
    <mergeCell ref="K50:K51"/>
    <mergeCell ref="O50:O51"/>
    <mergeCell ref="P50:Q50"/>
    <mergeCell ref="P51:Q51"/>
    <mergeCell ref="M55:N55"/>
    <mergeCell ref="O55:P55"/>
    <mergeCell ref="U55:AC55"/>
    <mergeCell ref="AV50:AV51"/>
    <mergeCell ref="AW50:AW51"/>
    <mergeCell ref="AX50:AX51"/>
    <mergeCell ref="AY50:AY51"/>
    <mergeCell ref="AZ50:AZ51"/>
    <mergeCell ref="BA50:BA51"/>
    <mergeCell ref="U50:AC51"/>
    <mergeCell ref="AE50:AE51"/>
    <mergeCell ref="AF50:AF51"/>
    <mergeCell ref="AG50:AG51"/>
    <mergeCell ref="AH50:AH51"/>
    <mergeCell ref="AI50:AI51"/>
    <mergeCell ref="AJ50:AJ51"/>
    <mergeCell ref="AK50:AK51"/>
    <mergeCell ref="AL50:AL51"/>
    <mergeCell ref="M50:M51"/>
    <mergeCell ref="N50:N51"/>
    <mergeCell ref="S50:S51"/>
    <mergeCell ref="M53:N53"/>
    <mergeCell ref="O53:P53"/>
    <mergeCell ref="U53:AC53"/>
    <mergeCell ref="BB50:BB51"/>
    <mergeCell ref="BF50:BF51"/>
    <mergeCell ref="AM50:AM51"/>
    <mergeCell ref="AN50:AN51"/>
    <mergeCell ref="AO50:AO51"/>
    <mergeCell ref="AP50:AP51"/>
    <mergeCell ref="AQ50:AQ51"/>
    <mergeCell ref="AR50:AR51"/>
    <mergeCell ref="AS50:AS51"/>
    <mergeCell ref="AT50:AT51"/>
    <mergeCell ref="AU50:AU51"/>
    <mergeCell ref="AV47:AV48"/>
    <mergeCell ref="AW47:AW48"/>
    <mergeCell ref="AX47:AX48"/>
    <mergeCell ref="AY47:AY48"/>
    <mergeCell ref="AZ47:AZ48"/>
    <mergeCell ref="BA47:BA48"/>
    <mergeCell ref="BB47:BB48"/>
    <mergeCell ref="BF47:BF48"/>
    <mergeCell ref="AM47:AM48"/>
    <mergeCell ref="AN47:AN48"/>
    <mergeCell ref="AO47:AO48"/>
    <mergeCell ref="AP47:AP48"/>
    <mergeCell ref="AQ47:AQ48"/>
    <mergeCell ref="AR47:AR48"/>
    <mergeCell ref="AS47:AS48"/>
    <mergeCell ref="AT47:AT48"/>
    <mergeCell ref="AU47:AU48"/>
    <mergeCell ref="AE47:AE48"/>
    <mergeCell ref="AF47:AF48"/>
    <mergeCell ref="AG47:AG48"/>
    <mergeCell ref="AH47:AH48"/>
    <mergeCell ref="AI47:AI48"/>
    <mergeCell ref="AJ47:AJ48"/>
    <mergeCell ref="AK47:AK48"/>
    <mergeCell ref="AL47:AL48"/>
    <mergeCell ref="C47:C48"/>
    <mergeCell ref="D47:D48"/>
    <mergeCell ref="G47:G48"/>
    <mergeCell ref="J47:J48"/>
    <mergeCell ref="K47:K48"/>
    <mergeCell ref="M47:M48"/>
    <mergeCell ref="N47:N48"/>
    <mergeCell ref="O47:Q48"/>
    <mergeCell ref="S47:S48"/>
    <mergeCell ref="U47:AC48"/>
    <mergeCell ref="BA44:BA45"/>
    <mergeCell ref="BB44:BB45"/>
    <mergeCell ref="AN44:AN45"/>
    <mergeCell ref="AO44:AO45"/>
    <mergeCell ref="AP44:AP45"/>
    <mergeCell ref="AQ44:AQ45"/>
    <mergeCell ref="AR44:AR45"/>
    <mergeCell ref="AS44:AS45"/>
    <mergeCell ref="AT44:AT45"/>
    <mergeCell ref="AU44:AU45"/>
    <mergeCell ref="AV44:AV45"/>
    <mergeCell ref="C44:C45"/>
    <mergeCell ref="D44:D45"/>
    <mergeCell ref="G44:G45"/>
    <mergeCell ref="J44:J45"/>
    <mergeCell ref="K44:K45"/>
    <mergeCell ref="M44:M45"/>
    <mergeCell ref="N44:N45"/>
    <mergeCell ref="O44:Q45"/>
    <mergeCell ref="S44:S45"/>
    <mergeCell ref="U40:AC40"/>
    <mergeCell ref="U42:AC42"/>
    <mergeCell ref="AW33:AW36"/>
    <mergeCell ref="AX33:AX36"/>
    <mergeCell ref="AY33:AY36"/>
    <mergeCell ref="AZ33:AZ36"/>
    <mergeCell ref="O42:Q42"/>
    <mergeCell ref="AI44:AI45"/>
    <mergeCell ref="AJ44:AJ45"/>
    <mergeCell ref="AK44:AK45"/>
    <mergeCell ref="AL44:AL45"/>
    <mergeCell ref="AM44:AM45"/>
    <mergeCell ref="U44:AC45"/>
    <mergeCell ref="AW44:AW45"/>
    <mergeCell ref="AX44:AX45"/>
    <mergeCell ref="AY44:AY45"/>
    <mergeCell ref="AZ44:AZ45"/>
    <mergeCell ref="AE44:AE45"/>
    <mergeCell ref="AF44:AF45"/>
    <mergeCell ref="AG44:AG45"/>
    <mergeCell ref="AH44:AH45"/>
    <mergeCell ref="P40:Q40"/>
    <mergeCell ref="BA33:BA36"/>
    <mergeCell ref="BB33:BB36"/>
    <mergeCell ref="BF33:BF36"/>
    <mergeCell ref="O38:Q38"/>
    <mergeCell ref="U38:AC38"/>
    <mergeCell ref="AE33:AE36"/>
    <mergeCell ref="AF33:AF36"/>
    <mergeCell ref="AG33:AG36"/>
    <mergeCell ref="AH33:AH36"/>
    <mergeCell ref="AI33:AI36"/>
    <mergeCell ref="AJ33:AJ36"/>
    <mergeCell ref="AK33:AK36"/>
    <mergeCell ref="AL33:AL36"/>
    <mergeCell ref="AM33:AM36"/>
    <mergeCell ref="AT33:AT36"/>
    <mergeCell ref="AU33:AU36"/>
    <mergeCell ref="AV33:AV36"/>
    <mergeCell ref="BC33:BC36"/>
    <mergeCell ref="AN33:AN36"/>
    <mergeCell ref="AO33:AO36"/>
    <mergeCell ref="AP33:AP36"/>
    <mergeCell ref="AQ33:AQ36"/>
    <mergeCell ref="AR33:AR36"/>
    <mergeCell ref="AS33:AS36"/>
    <mergeCell ref="U31:AC31"/>
    <mergeCell ref="C33:C36"/>
    <mergeCell ref="D33:D36"/>
    <mergeCell ref="G33:G36"/>
    <mergeCell ref="J33:J36"/>
    <mergeCell ref="K33:K36"/>
    <mergeCell ref="M33:M36"/>
    <mergeCell ref="N33:N36"/>
    <mergeCell ref="O33:Q36"/>
    <mergeCell ref="S33:S36"/>
    <mergeCell ref="U33:AC36"/>
    <mergeCell ref="O31:Q31"/>
    <mergeCell ref="AY26:AY27"/>
    <mergeCell ref="AZ26:AZ27"/>
    <mergeCell ref="BA26:BA27"/>
    <mergeCell ref="BB26:BB27"/>
    <mergeCell ref="BF26:BF27"/>
    <mergeCell ref="U29:AC29"/>
    <mergeCell ref="AM26:AM27"/>
    <mergeCell ref="AN26:AN27"/>
    <mergeCell ref="AO26:AO27"/>
    <mergeCell ref="AP26:AP27"/>
    <mergeCell ref="AQ26:AQ27"/>
    <mergeCell ref="AR26:AR27"/>
    <mergeCell ref="AS26:AS27"/>
    <mergeCell ref="AT26:AT27"/>
    <mergeCell ref="AU26:AU27"/>
    <mergeCell ref="AK26:AK27"/>
    <mergeCell ref="AL26:AL27"/>
    <mergeCell ref="BC26:BC27"/>
    <mergeCell ref="AV26:AV27"/>
    <mergeCell ref="AW26:AW27"/>
    <mergeCell ref="AX26:AX27"/>
    <mergeCell ref="C26:C27"/>
    <mergeCell ref="D26:D27"/>
    <mergeCell ref="G26:G27"/>
    <mergeCell ref="J26:J27"/>
    <mergeCell ref="K26:K27"/>
    <mergeCell ref="M26:M27"/>
    <mergeCell ref="N26:N27"/>
    <mergeCell ref="O26:O27"/>
    <mergeCell ref="P26:Q27"/>
    <mergeCell ref="S26:S27"/>
    <mergeCell ref="U26:AC27"/>
    <mergeCell ref="AE26:AE27"/>
    <mergeCell ref="AF26:AF27"/>
    <mergeCell ref="AG26:AG27"/>
    <mergeCell ref="AH26:AH27"/>
    <mergeCell ref="AI26:AI27"/>
    <mergeCell ref="AJ26:AJ27"/>
    <mergeCell ref="M24:N24"/>
    <mergeCell ref="O24:Q24"/>
    <mergeCell ref="U24:AC24"/>
    <mergeCell ref="BF21:BF22"/>
    <mergeCell ref="BB18:BB19"/>
    <mergeCell ref="BF18:BF19"/>
    <mergeCell ref="C21:C22"/>
    <mergeCell ref="D21:D22"/>
    <mergeCell ref="G21:G22"/>
    <mergeCell ref="J21:J22"/>
    <mergeCell ref="K21:K22"/>
    <mergeCell ref="M21:M22"/>
    <mergeCell ref="N21:N22"/>
    <mergeCell ref="O21:O22"/>
    <mergeCell ref="P21:Q22"/>
    <mergeCell ref="S21:S22"/>
    <mergeCell ref="U21:AC22"/>
    <mergeCell ref="AE21:AE22"/>
    <mergeCell ref="AF21:AF22"/>
    <mergeCell ref="AG21:AG22"/>
    <mergeCell ref="AH21:AH22"/>
    <mergeCell ref="AI21:AI22"/>
    <mergeCell ref="AJ21:AJ22"/>
    <mergeCell ref="C18:C19"/>
    <mergeCell ref="D18:D19"/>
    <mergeCell ref="G18:G19"/>
    <mergeCell ref="J18:J19"/>
    <mergeCell ref="AG18:AG19"/>
    <mergeCell ref="AH18:AH19"/>
    <mergeCell ref="AI18:AI19"/>
    <mergeCell ref="AJ18:AJ19"/>
    <mergeCell ref="AK18:AK19"/>
    <mergeCell ref="AL18:AL19"/>
    <mergeCell ref="P16:Q16"/>
    <mergeCell ref="U16:AC16"/>
    <mergeCell ref="C12:C14"/>
    <mergeCell ref="D12:D14"/>
    <mergeCell ref="G12:G14"/>
    <mergeCell ref="S12:S14"/>
    <mergeCell ref="U12:AC14"/>
    <mergeCell ref="AE12:AE14"/>
    <mergeCell ref="AF12:AF14"/>
    <mergeCell ref="K18:K19"/>
    <mergeCell ref="M18:M19"/>
    <mergeCell ref="N18:N19"/>
    <mergeCell ref="O18:O19"/>
    <mergeCell ref="P18:Q19"/>
    <mergeCell ref="S18:S19"/>
    <mergeCell ref="U18:AC19"/>
    <mergeCell ref="AE18:AE19"/>
    <mergeCell ref="AF18:AF19"/>
    <mergeCell ref="M29:N29"/>
    <mergeCell ref="O29:Q29"/>
    <mergeCell ref="BF12:BF14"/>
    <mergeCell ref="AS12:AS14"/>
    <mergeCell ref="AT12:AT14"/>
    <mergeCell ref="AU12:AU14"/>
    <mergeCell ref="AV12:AV14"/>
    <mergeCell ref="AW12:AW14"/>
    <mergeCell ref="AX12:AX14"/>
    <mergeCell ref="AY12:AY14"/>
    <mergeCell ref="AZ12:AZ14"/>
    <mergeCell ref="BA12:BA14"/>
    <mergeCell ref="BB12:BB14"/>
    <mergeCell ref="M12:N14"/>
    <mergeCell ref="AM12:AM14"/>
    <mergeCell ref="AN12:AN14"/>
    <mergeCell ref="AO12:AO14"/>
    <mergeCell ref="O12:Q14"/>
    <mergeCell ref="AQ12:AQ14"/>
    <mergeCell ref="AR12:AR14"/>
    <mergeCell ref="AT18:AT19"/>
    <mergeCell ref="AU18:AU19"/>
    <mergeCell ref="AM18:AM19"/>
    <mergeCell ref="AN18:AN19"/>
    <mergeCell ref="AX18:AX19"/>
    <mergeCell ref="AT21:AT22"/>
    <mergeCell ref="AU21:AU22"/>
    <mergeCell ref="AV21:AV22"/>
    <mergeCell ref="AW21:AW22"/>
    <mergeCell ref="AX21:AX22"/>
    <mergeCell ref="AO18:AO19"/>
    <mergeCell ref="AP18:AP19"/>
    <mergeCell ref="C8:D8"/>
    <mergeCell ref="E8:G8"/>
    <mergeCell ref="J8:K8"/>
    <mergeCell ref="M8:N8"/>
    <mergeCell ref="O8:Q8"/>
    <mergeCell ref="J12:J14"/>
    <mergeCell ref="K12:K14"/>
    <mergeCell ref="AP12:AP14"/>
    <mergeCell ref="AG12:AG14"/>
    <mergeCell ref="AH12:AH14"/>
    <mergeCell ref="AI12:AI14"/>
    <mergeCell ref="AJ12:AJ14"/>
    <mergeCell ref="AK12:AK14"/>
    <mergeCell ref="AL12:AL14"/>
    <mergeCell ref="U8:AC8"/>
    <mergeCell ref="AE8:BD8"/>
    <mergeCell ref="AK21:AK22"/>
    <mergeCell ref="AL21:AL22"/>
    <mergeCell ref="AM21:AM22"/>
    <mergeCell ref="AS21:AS22"/>
    <mergeCell ref="AY21:AY22"/>
    <mergeCell ref="BC12:BC14"/>
    <mergeCell ref="BC18:BC19"/>
    <mergeCell ref="BC21:BC22"/>
    <mergeCell ref="AQ18:AQ19"/>
    <mergeCell ref="AR18:AR19"/>
    <mergeCell ref="AS18:AS19"/>
    <mergeCell ref="AN21:AN22"/>
    <mergeCell ref="AO21:AO22"/>
    <mergeCell ref="AP21:AP22"/>
    <mergeCell ref="AQ21:AQ22"/>
    <mergeCell ref="AR21:AR22"/>
    <mergeCell ref="AY18:AY19"/>
    <mergeCell ref="AZ18:AZ19"/>
    <mergeCell ref="BA18:BA19"/>
    <mergeCell ref="AZ21:AZ22"/>
    <mergeCell ref="BA21:BA22"/>
    <mergeCell ref="BB21:BB22"/>
    <mergeCell ref="AV18:AV19"/>
    <mergeCell ref="AW18:AW19"/>
    <mergeCell ref="BC44:BC45"/>
    <mergeCell ref="BC47:BC48"/>
    <mergeCell ref="BC50:BC51"/>
    <mergeCell ref="BD12:BD14"/>
    <mergeCell ref="BD18:BD19"/>
    <mergeCell ref="BD21:BD22"/>
    <mergeCell ref="BD26:BD27"/>
    <mergeCell ref="BD33:BD36"/>
    <mergeCell ref="BD44:BD45"/>
    <mergeCell ref="BD47:BD48"/>
    <mergeCell ref="BD50:BD51"/>
  </mergeCells>
  <phoneticPr fontId="13"/>
  <pageMargins left="0.23622047244094491" right="0.23622047244094491" top="0.74803149606299213" bottom="0.74803149606299213" header="0.31496062992125984" footer="0.31496062992125984"/>
  <pageSetup paperSize="9" scale="36" orientation="portrait" cellComments="asDisplayed" r:id="rId1"/>
  <drawing r:id="rId2"/>
  <legacyDrawing r:id="rId3"/>
  <mc:AlternateContent xmlns:mc="http://schemas.openxmlformats.org/markup-compatibility/2006">
    <mc:Choice Requires="x14">
      <controls>
        <mc:AlternateContent xmlns:mc="http://schemas.openxmlformats.org/markup-compatibility/2006">
          <mc:Choice Requires="x14">
            <control shapeId="179202" r:id="rId4" name="Button 2">
              <controlPr defaultSize="0" print="0" autoFill="0" autoPict="0" macro="[0]!Compact">
                <anchor moveWithCells="1" sizeWithCells="1">
                  <from>
                    <xdr:col>3</xdr:col>
                    <xdr:colOff>0</xdr:colOff>
                    <xdr:row>1</xdr:row>
                    <xdr:rowOff>38100</xdr:rowOff>
                  </from>
                  <to>
                    <xdr:col>3</xdr:col>
                    <xdr:colOff>594360</xdr:colOff>
                    <xdr:row>2</xdr:row>
                    <xdr:rowOff>76200</xdr:rowOff>
                  </to>
                </anchor>
              </controlPr>
            </control>
          </mc:Choice>
        </mc:AlternateContent>
        <mc:AlternateContent xmlns:mc="http://schemas.openxmlformats.org/markup-compatibility/2006">
          <mc:Choice Requires="x14">
            <control shapeId="179203" r:id="rId5" name="Button 3">
              <controlPr defaultSize="0" print="0" autoFill="0" autoPict="0" macro="[0]!AutoFit">
                <anchor moveWithCells="1" sizeWithCells="1">
                  <from>
                    <xdr:col>3</xdr:col>
                    <xdr:colOff>640080</xdr:colOff>
                    <xdr:row>1</xdr:row>
                    <xdr:rowOff>38100</xdr:rowOff>
                  </from>
                  <to>
                    <xdr:col>3</xdr:col>
                    <xdr:colOff>1226820</xdr:colOff>
                    <xdr:row>2</xdr:row>
                    <xdr:rowOff>76200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4DBC38-1CBB-4D06-B055-F15C05E05E83}">
  <sheetPr codeName="Sheet3" filterMode="1">
    <outlinePr summaryBelow="0" summaryRight="0"/>
  </sheetPr>
  <dimension ref="A1:XEU391"/>
  <sheetViews>
    <sheetView showGridLines="0" zoomScale="85" zoomScaleNormal="85" zoomScaleSheetLayoutView="50" workbookViewId="0">
      <pane xSplit="9" ySplit="6" topLeftCell="J20" activePane="bottomRight" state="frozen"/>
      <selection pane="topRight" activeCell="I1" sqref="I1"/>
      <selection pane="bottomLeft" activeCell="A7" sqref="A7"/>
      <selection pane="bottomRight" activeCell="A2" sqref="A2"/>
    </sheetView>
  </sheetViews>
  <sheetFormatPr defaultColWidth="11.75" defaultRowHeight="13.2" outlineLevelCol="1"/>
  <cols>
    <col min="1" max="1" width="1.75" style="238" customWidth="1"/>
    <col min="2" max="2" width="24.625" style="890" customWidth="1" outlineLevel="1"/>
    <col min="3" max="4" width="11.625" style="238" customWidth="1"/>
    <col min="5" max="5" width="2.75" style="311" customWidth="1"/>
    <col min="6" max="6" width="8.375" style="238" bestFit="1" customWidth="1" collapsed="1"/>
    <col min="7" max="7" width="50" style="238" hidden="1" customWidth="1" outlineLevel="1"/>
    <col min="8" max="8" width="5.625" style="238" bestFit="1" customWidth="1"/>
    <col min="9" max="9" width="4.375" style="238" bestFit="1" customWidth="1"/>
    <col min="10" max="10" width="59" style="489" customWidth="1"/>
    <col min="11" max="11" width="2.75" style="311" customWidth="1" collapsed="1"/>
    <col min="12" max="13" width="6.25" style="238" hidden="1" customWidth="1" outlineLevel="1"/>
    <col min="14" max="14" width="2.75" style="311" customWidth="1" collapsed="1"/>
    <col min="15" max="15" width="6.25" style="238" hidden="1" customWidth="1" outlineLevel="1"/>
    <col min="16" max="16" width="2.75" style="311" customWidth="1" collapsed="1"/>
    <col min="17" max="22" width="4.75" style="238" hidden="1" customWidth="1" outlineLevel="1"/>
    <col min="23" max="23" width="2.75" style="311" customWidth="1" collapsed="1"/>
    <col min="24" max="29" width="4.75" style="238" hidden="1" customWidth="1" outlineLevel="1"/>
    <col min="30" max="30" width="2.75" style="311" customWidth="1"/>
    <col min="31" max="31" width="40.375" style="238" bestFit="1" customWidth="1"/>
    <col min="32" max="32" width="2.75" style="311" customWidth="1"/>
    <col min="33" max="33" width="7.875" style="238" customWidth="1" outlineLevel="1"/>
    <col min="34" max="34" width="8.625" style="238" customWidth="1" outlineLevel="1"/>
    <col min="35" max="36" width="7" style="239" customWidth="1" outlineLevel="1"/>
    <col min="37" max="37" width="7" style="238" customWidth="1" outlineLevel="1"/>
    <col min="38" max="38" width="10.25" style="238" customWidth="1" outlineLevel="1"/>
    <col min="39" max="39" width="6.625" style="238" customWidth="1" outlineLevel="1"/>
    <col min="40" max="40" width="44.375" style="238" customWidth="1" outlineLevel="1"/>
    <col min="41" max="41" width="2.75" style="311" customWidth="1"/>
    <col min="42" max="42" width="28.875" style="485" customWidth="1" outlineLevel="1"/>
    <col min="43" max="43" width="49.25" style="485" customWidth="1" outlineLevel="1"/>
    <col min="44" max="44" width="2.75" style="238" customWidth="1"/>
    <col min="45" max="45" width="26" style="485" customWidth="1" outlineLevel="1"/>
    <col min="46" max="46" width="39.125" style="485" customWidth="1" outlineLevel="1"/>
    <col min="47" max="48" width="49.25" style="485" customWidth="1"/>
    <col min="49" max="49" width="2.625" style="238" customWidth="1"/>
    <col min="50" max="16384" width="11.75" style="238"/>
  </cols>
  <sheetData>
    <row r="1" spans="1:48" ht="22.2">
      <c r="A1" s="1232" t="s">
        <v>1351</v>
      </c>
    </row>
    <row r="2" spans="1:48">
      <c r="L2" s="1617" t="s">
        <v>110</v>
      </c>
      <c r="M2" s="1618"/>
      <c r="N2" s="99"/>
      <c r="O2" s="1619" t="s">
        <v>732</v>
      </c>
      <c r="P2" s="99"/>
      <c r="Q2" s="1621" t="s">
        <v>138</v>
      </c>
      <c r="R2" s="1622"/>
      <c r="S2" s="1622"/>
      <c r="T2" s="1622"/>
      <c r="U2" s="1622"/>
      <c r="V2" s="1623"/>
      <c r="W2" s="144"/>
      <c r="X2" s="1621" t="s">
        <v>139</v>
      </c>
      <c r="Y2" s="1622"/>
      <c r="Z2" s="1622"/>
      <c r="AA2" s="1622"/>
      <c r="AB2" s="1622"/>
      <c r="AC2" s="1623"/>
      <c r="AD2" s="359"/>
    </row>
    <row r="3" spans="1:48">
      <c r="C3" s="890" t="s">
        <v>1703</v>
      </c>
      <c r="D3" s="890"/>
      <c r="E3" s="891"/>
      <c r="F3" s="890"/>
      <c r="L3" s="1617" t="s">
        <v>119</v>
      </c>
      <c r="M3" s="1618"/>
      <c r="N3" s="99"/>
      <c r="O3" s="1620"/>
      <c r="P3" s="99"/>
      <c r="Q3" s="1608" t="s">
        <v>120</v>
      </c>
      <c r="R3" s="1609"/>
      <c r="S3" s="1608" t="s">
        <v>121</v>
      </c>
      <c r="T3" s="1610"/>
      <c r="U3" s="1608" t="s">
        <v>137</v>
      </c>
      <c r="V3" s="1610"/>
      <c r="W3" s="144"/>
      <c r="X3" s="1608" t="s">
        <v>120</v>
      </c>
      <c r="Y3" s="1609"/>
      <c r="Z3" s="1610"/>
      <c r="AA3" s="1608" t="s">
        <v>121</v>
      </c>
      <c r="AB3" s="1609"/>
      <c r="AC3" s="1610"/>
      <c r="AD3" s="359"/>
    </row>
    <row r="4" spans="1:48">
      <c r="C4" s="238">
        <f>COUNTA(C17:C391)</f>
        <v>372</v>
      </c>
      <c r="D4" s="238">
        <f>COUNTA(D17:D391)</f>
        <v>347</v>
      </c>
      <c r="L4" s="257"/>
      <c r="M4" s="258"/>
      <c r="N4" s="99"/>
      <c r="O4" s="1620"/>
      <c r="P4" s="99"/>
      <c r="Q4" s="1611" t="s">
        <v>168</v>
      </c>
      <c r="R4" s="1612"/>
      <c r="S4" s="1611" t="s">
        <v>169</v>
      </c>
      <c r="T4" s="1612"/>
      <c r="U4" s="1611" t="s">
        <v>170</v>
      </c>
      <c r="V4" s="1612"/>
      <c r="W4" s="144"/>
      <c r="X4" s="1611" t="s">
        <v>168</v>
      </c>
      <c r="Y4" s="1613"/>
      <c r="Z4" s="1612"/>
      <c r="AA4" s="1611" t="s">
        <v>169</v>
      </c>
      <c r="AB4" s="1613"/>
      <c r="AC4" s="1612"/>
      <c r="AD4" s="359"/>
      <c r="AG4" s="1632"/>
      <c r="AH4" s="1632"/>
      <c r="AI4" s="1632"/>
      <c r="AJ4" s="1632"/>
      <c r="AK4" s="1632"/>
      <c r="AL4" s="1632"/>
      <c r="AM4" s="1632"/>
      <c r="AN4" s="1632"/>
    </row>
    <row r="5" spans="1:48">
      <c r="C5" s="1633" t="s">
        <v>844</v>
      </c>
      <c r="D5" s="1633"/>
      <c r="F5" s="315"/>
      <c r="G5" s="315"/>
      <c r="H5" s="315"/>
      <c r="I5" s="315"/>
      <c r="J5" s="490"/>
      <c r="K5" s="313"/>
      <c r="L5" s="461">
        <v>629</v>
      </c>
      <c r="M5" s="241">
        <v>111</v>
      </c>
      <c r="N5" s="99"/>
      <c r="O5" s="1620"/>
      <c r="P5" s="99"/>
      <c r="Q5" s="32" t="s">
        <v>183</v>
      </c>
      <c r="R5" s="34" t="s">
        <v>56</v>
      </c>
      <c r="S5" s="113" t="s">
        <v>183</v>
      </c>
      <c r="T5" s="34" t="s">
        <v>56</v>
      </c>
      <c r="U5" s="170" t="s">
        <v>183</v>
      </c>
      <c r="V5" s="34" t="s">
        <v>56</v>
      </c>
      <c r="W5" s="144"/>
      <c r="X5" s="32" t="s">
        <v>183</v>
      </c>
      <c r="Y5" s="33" t="s">
        <v>56</v>
      </c>
      <c r="Z5" s="34" t="s">
        <v>54</v>
      </c>
      <c r="AA5" s="113" t="s">
        <v>183</v>
      </c>
      <c r="AB5" s="33" t="s">
        <v>56</v>
      </c>
      <c r="AC5" s="34" t="s">
        <v>54</v>
      </c>
      <c r="AD5" s="234"/>
      <c r="AE5" s="315"/>
      <c r="AG5" s="315"/>
      <c r="AH5" s="315"/>
      <c r="AI5" s="1634" t="s">
        <v>835</v>
      </c>
      <c r="AJ5" s="1635"/>
      <c r="AK5" s="1634" t="s">
        <v>836</v>
      </c>
      <c r="AL5" s="1635"/>
      <c r="AM5" s="260"/>
      <c r="AN5" s="260"/>
      <c r="AP5" s="1616" t="s">
        <v>843</v>
      </c>
      <c r="AQ5" s="1616"/>
    </row>
    <row r="6" spans="1:48" ht="52.8">
      <c r="B6" s="910"/>
      <c r="C6" s="470" t="s">
        <v>852</v>
      </c>
      <c r="D6" s="470" t="s">
        <v>853</v>
      </c>
      <c r="E6" s="313" t="s">
        <v>1349</v>
      </c>
      <c r="F6" s="471" t="s">
        <v>845</v>
      </c>
      <c r="G6" s="471" t="s">
        <v>846</v>
      </c>
      <c r="H6" s="471" t="s">
        <v>847</v>
      </c>
      <c r="I6" s="471" t="s">
        <v>848</v>
      </c>
      <c r="J6" s="491" t="s">
        <v>849</v>
      </c>
      <c r="K6" s="313" t="s">
        <v>140</v>
      </c>
      <c r="L6" s="259" t="s">
        <v>179</v>
      </c>
      <c r="M6" s="78" t="s">
        <v>180</v>
      </c>
      <c r="N6" s="176"/>
      <c r="O6" s="228"/>
      <c r="P6" s="176"/>
      <c r="Q6" s="229" t="s">
        <v>1182</v>
      </c>
      <c r="R6" s="230" t="s">
        <v>1183</v>
      </c>
      <c r="S6" s="231" t="s">
        <v>1182</v>
      </c>
      <c r="T6" s="230" t="s">
        <v>1183</v>
      </c>
      <c r="U6" s="231" t="s">
        <v>1182</v>
      </c>
      <c r="V6" s="230" t="s">
        <v>1183</v>
      </c>
      <c r="W6" s="360"/>
      <c r="X6" s="167" t="s">
        <v>1182</v>
      </c>
      <c r="Y6" s="168" t="s">
        <v>1183</v>
      </c>
      <c r="Z6" s="30" t="s">
        <v>184</v>
      </c>
      <c r="AA6" s="251" t="s">
        <v>1182</v>
      </c>
      <c r="AB6" s="168" t="s">
        <v>1183</v>
      </c>
      <c r="AC6" s="30" t="s">
        <v>184</v>
      </c>
      <c r="AD6" s="235"/>
      <c r="AE6" s="471" t="s">
        <v>1181</v>
      </c>
      <c r="AF6" s="472"/>
      <c r="AG6" s="471" t="s">
        <v>837</v>
      </c>
      <c r="AH6" s="471" t="s">
        <v>838</v>
      </c>
      <c r="AI6" s="473" t="s">
        <v>839</v>
      </c>
      <c r="AJ6" s="474" t="s">
        <v>840</v>
      </c>
      <c r="AK6" s="473" t="s">
        <v>839</v>
      </c>
      <c r="AL6" s="474" t="s">
        <v>840</v>
      </c>
      <c r="AM6" s="470" t="s">
        <v>841</v>
      </c>
      <c r="AN6" s="470" t="s">
        <v>842</v>
      </c>
      <c r="AP6" s="475" t="s">
        <v>850</v>
      </c>
      <c r="AQ6" s="475" t="s">
        <v>1498</v>
      </c>
      <c r="AS6" s="475" t="s">
        <v>1497</v>
      </c>
      <c r="AT6" s="475" t="s">
        <v>1411</v>
      </c>
      <c r="AU6" s="475" t="s">
        <v>1484</v>
      </c>
      <c r="AV6" s="475" t="s">
        <v>1414</v>
      </c>
    </row>
    <row r="7" spans="1:48" hidden="1">
      <c r="B7" s="813" t="s">
        <v>1222</v>
      </c>
      <c r="C7" s="456" t="s">
        <v>1222</v>
      </c>
      <c r="D7" s="456" t="s">
        <v>1222</v>
      </c>
      <c r="F7" s="265" t="s">
        <v>1209</v>
      </c>
      <c r="G7" s="264" t="s">
        <v>2186</v>
      </c>
      <c r="H7" s="456" t="s">
        <v>1222</v>
      </c>
      <c r="I7" s="456" t="s">
        <v>1222</v>
      </c>
      <c r="J7" s="559" t="s">
        <v>1222</v>
      </c>
      <c r="K7" s="313"/>
      <c r="L7" s="560" t="s">
        <v>1222</v>
      </c>
      <c r="M7" s="560" t="s">
        <v>1222</v>
      </c>
      <c r="N7" s="176"/>
      <c r="O7" s="561" t="s">
        <v>1222</v>
      </c>
      <c r="P7" s="176"/>
      <c r="Q7" s="562" t="s">
        <v>1222</v>
      </c>
      <c r="R7" s="562" t="s">
        <v>1222</v>
      </c>
      <c r="S7" s="563" t="s">
        <v>1222</v>
      </c>
      <c r="T7" s="562" t="s">
        <v>1222</v>
      </c>
      <c r="U7" s="563" t="s">
        <v>1222</v>
      </c>
      <c r="V7" s="562" t="s">
        <v>1222</v>
      </c>
      <c r="W7" s="360"/>
      <c r="X7" s="562" t="s">
        <v>1222</v>
      </c>
      <c r="Y7" s="562" t="s">
        <v>1222</v>
      </c>
      <c r="Z7" s="562" t="s">
        <v>1222</v>
      </c>
      <c r="AA7" s="562" t="s">
        <v>1222</v>
      </c>
      <c r="AB7" s="562" t="s">
        <v>1222</v>
      </c>
      <c r="AC7" s="562" t="s">
        <v>1222</v>
      </c>
      <c r="AD7" s="235"/>
      <c r="AE7" s="456" t="s">
        <v>1222</v>
      </c>
      <c r="AG7" s="559" t="s">
        <v>1222</v>
      </c>
      <c r="AH7" s="559" t="s">
        <v>1222</v>
      </c>
      <c r="AI7" s="559" t="s">
        <v>1222</v>
      </c>
      <c r="AJ7" s="559" t="s">
        <v>1222</v>
      </c>
      <c r="AK7" s="559" t="s">
        <v>1222</v>
      </c>
      <c r="AL7" s="559" t="s">
        <v>1222</v>
      </c>
      <c r="AM7" s="559" t="s">
        <v>1222</v>
      </c>
      <c r="AN7" s="559" t="s">
        <v>1222</v>
      </c>
      <c r="AP7" s="456" t="s">
        <v>1222</v>
      </c>
      <c r="AQ7" s="456" t="s">
        <v>1222</v>
      </c>
      <c r="AS7" s="456" t="s">
        <v>1222</v>
      </c>
      <c r="AT7" s="456" t="s">
        <v>1222</v>
      </c>
      <c r="AU7" s="456" t="s">
        <v>1222</v>
      </c>
      <c r="AV7" s="456" t="s">
        <v>1222</v>
      </c>
    </row>
    <row r="8" spans="1:48" s="252" customFormat="1" hidden="1">
      <c r="B8" s="957"/>
      <c r="C8" s="1189" t="s">
        <v>134</v>
      </c>
      <c r="D8" s="1189" t="s">
        <v>134</v>
      </c>
      <c r="E8" s="1095"/>
      <c r="F8" s="1145" t="s">
        <v>2228</v>
      </c>
      <c r="G8" s="598" t="s">
        <v>2229</v>
      </c>
      <c r="H8" s="599" t="s">
        <v>1515</v>
      </c>
      <c r="I8" s="599" t="s">
        <v>1515</v>
      </c>
      <c r="J8" s="1190" t="s">
        <v>1515</v>
      </c>
      <c r="K8" s="1095"/>
      <c r="L8" s="1143" t="s">
        <v>1515</v>
      </c>
      <c r="M8" s="1143" t="s">
        <v>1515</v>
      </c>
      <c r="N8" s="1096"/>
      <c r="O8" s="1143" t="s">
        <v>1515</v>
      </c>
      <c r="P8" s="1096"/>
      <c r="Q8" s="1193" t="s">
        <v>1515</v>
      </c>
      <c r="R8" s="1194" t="s">
        <v>1515</v>
      </c>
      <c r="S8" s="1193" t="s">
        <v>1515</v>
      </c>
      <c r="T8" s="1194" t="s">
        <v>1515</v>
      </c>
      <c r="U8" s="1193" t="s">
        <v>1515</v>
      </c>
      <c r="V8" s="1194" t="s">
        <v>1515</v>
      </c>
      <c r="W8" s="1096"/>
      <c r="X8" s="1193" t="s">
        <v>1515</v>
      </c>
      <c r="Y8" s="1200" t="s">
        <v>1515</v>
      </c>
      <c r="Z8" s="1194" t="s">
        <v>1515</v>
      </c>
      <c r="AA8" s="1193" t="s">
        <v>1515</v>
      </c>
      <c r="AB8" s="1200" t="s">
        <v>1515</v>
      </c>
      <c r="AC8" s="1194" t="s">
        <v>1515</v>
      </c>
      <c r="AD8" s="1095"/>
      <c r="AE8" s="598" t="s">
        <v>1515</v>
      </c>
      <c r="AF8" s="1095"/>
      <c r="AG8" s="1202" t="s">
        <v>1515</v>
      </c>
      <c r="AH8" s="1203" t="s">
        <v>1515</v>
      </c>
      <c r="AI8" s="1157" t="s">
        <v>1515</v>
      </c>
      <c r="AJ8" s="1158" t="s">
        <v>1515</v>
      </c>
      <c r="AK8" s="1204" t="s">
        <v>1515</v>
      </c>
      <c r="AL8" s="1205" t="s">
        <v>1515</v>
      </c>
      <c r="AM8" s="1203" t="s">
        <v>1515</v>
      </c>
      <c r="AN8" s="1206" t="s">
        <v>1515</v>
      </c>
      <c r="AO8" s="1095"/>
      <c r="AP8" s="1214" t="s">
        <v>1515</v>
      </c>
      <c r="AQ8" s="1214" t="s">
        <v>1515</v>
      </c>
      <c r="AR8" s="1095"/>
      <c r="AS8" s="1214" t="s">
        <v>1515</v>
      </c>
      <c r="AT8" s="1214" t="s">
        <v>1515</v>
      </c>
      <c r="AU8" s="1214" t="s">
        <v>1515</v>
      </c>
      <c r="AV8" s="1214" t="s">
        <v>1515</v>
      </c>
    </row>
    <row r="9" spans="1:48" s="252" customFormat="1" ht="26.4" hidden="1">
      <c r="B9" s="957"/>
      <c r="C9" s="710" t="s">
        <v>134</v>
      </c>
      <c r="D9" s="710" t="s">
        <v>134</v>
      </c>
      <c r="E9" s="1060"/>
      <c r="F9" s="704" t="s">
        <v>2177</v>
      </c>
      <c r="G9" s="587" t="s">
        <v>2194</v>
      </c>
      <c r="H9" s="1062" t="s">
        <v>281</v>
      </c>
      <c r="I9" s="1062" t="s">
        <v>1222</v>
      </c>
      <c r="J9" s="1066" t="s">
        <v>1222</v>
      </c>
      <c r="K9" s="951"/>
      <c r="L9" s="704" t="s">
        <v>134</v>
      </c>
      <c r="M9" s="635"/>
      <c r="N9" s="811"/>
      <c r="O9" s="704"/>
      <c r="P9" s="811"/>
      <c r="Q9" s="1128" t="s">
        <v>134</v>
      </c>
      <c r="R9" s="1129" t="s">
        <v>134</v>
      </c>
      <c r="S9" s="1097"/>
      <c r="T9" s="1098"/>
      <c r="U9" s="1099"/>
      <c r="V9" s="1100"/>
      <c r="W9" s="1061"/>
      <c r="X9" s="1097"/>
      <c r="Y9" s="1101"/>
      <c r="Z9" s="1098"/>
      <c r="AA9" s="1097"/>
      <c r="AB9" s="1101"/>
      <c r="AC9" s="1098"/>
      <c r="AD9" s="1060"/>
      <c r="AE9" s="1063" t="str">
        <f t="shared" ref="AE9:AE16" si="0">IF(AM9&lt;&gt;"",
       "0x" &amp; AI9 &amp;" ~ 0x" &amp; AJ9 &amp; " (" &amp; AK9 &amp;"~" &amp; AL9 &amp; AM9 &amp; ")","")&amp;IF(AN9&lt;&gt;"",IF(AM9&lt;&gt;"",CHAR(10)&amp;AN9,AN9),
       "")</f>
        <v/>
      </c>
      <c r="AF9" s="1060"/>
      <c r="AG9" s="1102"/>
      <c r="AH9" s="1103"/>
      <c r="AI9" s="1119" t="s">
        <v>750</v>
      </c>
      <c r="AJ9" s="1120" t="s">
        <v>751</v>
      </c>
      <c r="AK9" s="1104"/>
      <c r="AL9" s="1105"/>
      <c r="AM9" s="1103"/>
      <c r="AN9" s="1106"/>
      <c r="AO9" s="1060"/>
      <c r="AP9" s="932" t="s">
        <v>1222</v>
      </c>
      <c r="AQ9" s="932" t="s">
        <v>1222</v>
      </c>
      <c r="AR9" s="1060"/>
      <c r="AS9" s="932" t="s">
        <v>1222</v>
      </c>
      <c r="AT9" s="932" t="s">
        <v>1222</v>
      </c>
      <c r="AU9" s="932" t="s">
        <v>2178</v>
      </c>
      <c r="AV9" s="932" t="s">
        <v>2418</v>
      </c>
    </row>
    <row r="10" spans="1:48" s="252" customFormat="1" ht="26.4" hidden="1">
      <c r="B10" s="957"/>
      <c r="C10" s="1189" t="s">
        <v>134</v>
      </c>
      <c r="D10" s="1189" t="s">
        <v>134</v>
      </c>
      <c r="E10" s="1095"/>
      <c r="F10" s="1145" t="s">
        <v>2179</v>
      </c>
      <c r="G10" s="598" t="s">
        <v>2195</v>
      </c>
      <c r="H10" s="599" t="s">
        <v>281</v>
      </c>
      <c r="I10" s="599" t="s">
        <v>1222</v>
      </c>
      <c r="J10" s="1190" t="s">
        <v>1222</v>
      </c>
      <c r="K10" s="1095"/>
      <c r="L10" s="1145" t="s">
        <v>134</v>
      </c>
      <c r="M10" s="1143"/>
      <c r="N10" s="1096"/>
      <c r="O10" s="1145"/>
      <c r="P10" s="1096"/>
      <c r="Q10" s="1193" t="s">
        <v>134</v>
      </c>
      <c r="R10" s="1194" t="s">
        <v>134</v>
      </c>
      <c r="S10" s="1193"/>
      <c r="T10" s="1194"/>
      <c r="U10" s="1195"/>
      <c r="V10" s="1196"/>
      <c r="W10" s="1096"/>
      <c r="X10" s="1191"/>
      <c r="Y10" s="1199"/>
      <c r="Z10" s="1192"/>
      <c r="AA10" s="1191"/>
      <c r="AB10" s="1199"/>
      <c r="AC10" s="1192"/>
      <c r="AD10" s="1095"/>
      <c r="AE10" s="1170" t="str">
        <f t="shared" si="0"/>
        <v/>
      </c>
      <c r="AF10" s="1095"/>
      <c r="AG10" s="1202"/>
      <c r="AH10" s="1203"/>
      <c r="AI10" s="1157" t="s">
        <v>750</v>
      </c>
      <c r="AJ10" s="1158" t="s">
        <v>751</v>
      </c>
      <c r="AK10" s="1204"/>
      <c r="AL10" s="1205"/>
      <c r="AM10" s="1203"/>
      <c r="AN10" s="1206"/>
      <c r="AO10" s="1095"/>
      <c r="AP10" s="1213" t="s">
        <v>1222</v>
      </c>
      <c r="AQ10" s="1213" t="s">
        <v>1222</v>
      </c>
      <c r="AR10" s="1095"/>
      <c r="AS10" s="1214" t="s">
        <v>1222</v>
      </c>
      <c r="AT10" s="1214" t="s">
        <v>1222</v>
      </c>
      <c r="AU10" s="1214" t="s">
        <v>2180</v>
      </c>
      <c r="AV10" s="1214" t="s">
        <v>2214</v>
      </c>
    </row>
    <row r="11" spans="1:48" s="252" customFormat="1" ht="26.4" hidden="1">
      <c r="B11" s="957"/>
      <c r="C11" s="710" t="s">
        <v>134</v>
      </c>
      <c r="D11" s="710" t="s">
        <v>134</v>
      </c>
      <c r="E11" s="1060"/>
      <c r="F11" s="704" t="s">
        <v>1177</v>
      </c>
      <c r="G11" s="587" t="s">
        <v>2196</v>
      </c>
      <c r="H11" s="1062" t="s">
        <v>281</v>
      </c>
      <c r="I11" s="1062" t="s">
        <v>1222</v>
      </c>
      <c r="J11" s="1066" t="s">
        <v>1222</v>
      </c>
      <c r="K11" s="951"/>
      <c r="L11" s="704" t="s">
        <v>134</v>
      </c>
      <c r="M11" s="635"/>
      <c r="N11" s="811"/>
      <c r="O11" s="704"/>
      <c r="P11" s="811"/>
      <c r="Q11" s="1128" t="s">
        <v>134</v>
      </c>
      <c r="R11" s="1129" t="s">
        <v>134</v>
      </c>
      <c r="S11" s="1097"/>
      <c r="T11" s="1098"/>
      <c r="U11" s="1099"/>
      <c r="V11" s="1100"/>
      <c r="W11" s="1061"/>
      <c r="X11" s="1097"/>
      <c r="Y11" s="1101"/>
      <c r="Z11" s="1098"/>
      <c r="AA11" s="1097"/>
      <c r="AB11" s="1101"/>
      <c r="AC11" s="1098"/>
      <c r="AD11" s="1060"/>
      <c r="AE11" s="1063" t="str">
        <f t="shared" si="0"/>
        <v/>
      </c>
      <c r="AF11" s="1060"/>
      <c r="AG11" s="1102"/>
      <c r="AH11" s="1103"/>
      <c r="AI11" s="1119" t="s">
        <v>750</v>
      </c>
      <c r="AJ11" s="1120" t="s">
        <v>751</v>
      </c>
      <c r="AK11" s="1104"/>
      <c r="AL11" s="1105"/>
      <c r="AM11" s="1103"/>
      <c r="AN11" s="1106"/>
      <c r="AO11" s="1060"/>
      <c r="AP11" s="932" t="s">
        <v>1222</v>
      </c>
      <c r="AQ11" s="932" t="s">
        <v>1222</v>
      </c>
      <c r="AR11" s="1060"/>
      <c r="AS11" s="932" t="s">
        <v>1222</v>
      </c>
      <c r="AT11" s="932" t="s">
        <v>1222</v>
      </c>
      <c r="AU11" s="932" t="s">
        <v>2181</v>
      </c>
      <c r="AV11" s="932" t="s">
        <v>2214</v>
      </c>
    </row>
    <row r="12" spans="1:48" s="252" customFormat="1" hidden="1">
      <c r="B12" s="957"/>
      <c r="C12" s="1126" t="s">
        <v>134</v>
      </c>
      <c r="D12" s="1126" t="s">
        <v>134</v>
      </c>
      <c r="E12" s="1095"/>
      <c r="F12" s="1624" t="s">
        <v>2258</v>
      </c>
      <c r="G12" s="1626" t="s">
        <v>2260</v>
      </c>
      <c r="H12" s="1628" t="s">
        <v>2259</v>
      </c>
      <c r="I12" s="690" t="s">
        <v>2261</v>
      </c>
      <c r="J12" s="1130" t="s">
        <v>2263</v>
      </c>
      <c r="K12" s="1131"/>
      <c r="L12" s="705" t="s">
        <v>134</v>
      </c>
      <c r="M12" s="710"/>
      <c r="N12" s="1131"/>
      <c r="O12" s="705"/>
      <c r="P12" s="1131"/>
      <c r="Q12" s="1128" t="s">
        <v>134</v>
      </c>
      <c r="R12" s="1129" t="s">
        <v>134</v>
      </c>
      <c r="S12" s="1097"/>
      <c r="T12" s="1098"/>
      <c r="U12" s="1099"/>
      <c r="V12" s="1100"/>
      <c r="W12" s="1095"/>
      <c r="X12" s="1097"/>
      <c r="Y12" s="1101"/>
      <c r="Z12" s="1098"/>
      <c r="AA12" s="1097"/>
      <c r="AB12" s="1101"/>
      <c r="AC12" s="1098"/>
      <c r="AD12" s="1095"/>
      <c r="AE12" s="1106"/>
      <c r="AF12" s="1095"/>
      <c r="AG12" s="1102"/>
      <c r="AH12" s="1103"/>
      <c r="AI12" s="1121" t="s">
        <v>1663</v>
      </c>
      <c r="AJ12" s="1122" t="s">
        <v>2264</v>
      </c>
      <c r="AK12" s="1104"/>
      <c r="AL12" s="1105"/>
      <c r="AM12" s="1103"/>
      <c r="AN12" s="1106"/>
      <c r="AO12" s="1095"/>
      <c r="AP12" s="932" t="s">
        <v>1246</v>
      </c>
      <c r="AQ12" s="932" t="s">
        <v>1246</v>
      </c>
      <c r="AR12" s="1095"/>
      <c r="AS12" s="932" t="s">
        <v>1246</v>
      </c>
      <c r="AT12" s="932" t="s">
        <v>1246</v>
      </c>
      <c r="AU12" s="932" t="s">
        <v>2269</v>
      </c>
      <c r="AV12" s="932" t="s">
        <v>2269</v>
      </c>
    </row>
    <row r="13" spans="1:48" s="252" customFormat="1" hidden="1">
      <c r="B13" s="957"/>
      <c r="C13" s="1127" t="s">
        <v>134</v>
      </c>
      <c r="D13" s="1127" t="s">
        <v>134</v>
      </c>
      <c r="E13" s="1060"/>
      <c r="F13" s="1625"/>
      <c r="G13" s="1627"/>
      <c r="H13" s="1629"/>
      <c r="I13" s="1125" t="s">
        <v>2262</v>
      </c>
      <c r="J13" s="1132" t="s">
        <v>2265</v>
      </c>
      <c r="K13" s="951"/>
      <c r="L13" s="707" t="s">
        <v>134</v>
      </c>
      <c r="M13" s="1133"/>
      <c r="N13" s="811"/>
      <c r="O13" s="1134"/>
      <c r="P13" s="811"/>
      <c r="Q13" s="1135" t="s">
        <v>134</v>
      </c>
      <c r="R13" s="1136" t="s">
        <v>134</v>
      </c>
      <c r="S13" s="1107"/>
      <c r="T13" s="1108"/>
      <c r="U13" s="1109"/>
      <c r="V13" s="1110"/>
      <c r="W13" s="1061"/>
      <c r="X13" s="1107"/>
      <c r="Y13" s="1111"/>
      <c r="Z13" s="1108"/>
      <c r="AA13" s="1107"/>
      <c r="AB13" s="1111"/>
      <c r="AC13" s="1108"/>
      <c r="AD13" s="1060"/>
      <c r="AE13" s="1112"/>
      <c r="AF13" s="1060"/>
      <c r="AG13" s="1113"/>
      <c r="AH13" s="1114"/>
      <c r="AI13" s="1123" t="s">
        <v>1663</v>
      </c>
      <c r="AJ13" s="1124" t="s">
        <v>2264</v>
      </c>
      <c r="AK13" s="1115"/>
      <c r="AL13" s="1116"/>
      <c r="AM13" s="1114"/>
      <c r="AN13" s="1117"/>
      <c r="AO13" s="1060"/>
      <c r="AP13" s="1118" t="s">
        <v>1246</v>
      </c>
      <c r="AQ13" s="1118" t="s">
        <v>1246</v>
      </c>
      <c r="AR13" s="1060"/>
      <c r="AS13" s="1118" t="s">
        <v>1246</v>
      </c>
      <c r="AT13" s="1118" t="s">
        <v>1246</v>
      </c>
      <c r="AU13" s="1118" t="s">
        <v>2269</v>
      </c>
      <c r="AV13" s="1118" t="s">
        <v>2269</v>
      </c>
    </row>
    <row r="14" spans="1:48" s="252" customFormat="1" ht="52.8" hidden="1">
      <c r="B14" s="957"/>
      <c r="C14" s="1189" t="s">
        <v>134</v>
      </c>
      <c r="D14" s="1189" t="s">
        <v>134</v>
      </c>
      <c r="E14" s="1095"/>
      <c r="F14" s="1145" t="s">
        <v>2182</v>
      </c>
      <c r="G14" s="598" t="s">
        <v>2203</v>
      </c>
      <c r="H14" s="599" t="s">
        <v>2193</v>
      </c>
      <c r="I14" s="599" t="s">
        <v>1222</v>
      </c>
      <c r="J14" s="1190" t="s">
        <v>1222</v>
      </c>
      <c r="K14" s="1095"/>
      <c r="L14" s="1145" t="s">
        <v>134</v>
      </c>
      <c r="M14" s="1143"/>
      <c r="N14" s="1096"/>
      <c r="O14" s="1145"/>
      <c r="P14" s="1096"/>
      <c r="Q14" s="1193" t="s">
        <v>134</v>
      </c>
      <c r="R14" s="1194" t="s">
        <v>134</v>
      </c>
      <c r="S14" s="1193"/>
      <c r="T14" s="1194"/>
      <c r="U14" s="1195"/>
      <c r="V14" s="1196"/>
      <c r="W14" s="1096"/>
      <c r="X14" s="1191"/>
      <c r="Y14" s="1199"/>
      <c r="Z14" s="1192"/>
      <c r="AA14" s="1191"/>
      <c r="AB14" s="1199"/>
      <c r="AC14" s="1192"/>
      <c r="AD14" s="1095"/>
      <c r="AE14" s="1170" t="str">
        <f t="shared" si="0"/>
        <v/>
      </c>
      <c r="AF14" s="1095"/>
      <c r="AG14" s="1202"/>
      <c r="AH14" s="1203"/>
      <c r="AI14" s="1207" t="s">
        <v>2187</v>
      </c>
      <c r="AJ14" s="1208" t="s">
        <v>2188</v>
      </c>
      <c r="AK14" s="1209"/>
      <c r="AL14" s="1210"/>
      <c r="AM14" s="1203"/>
      <c r="AN14" s="1206"/>
      <c r="AO14" s="1095"/>
      <c r="AP14" s="1213" t="s">
        <v>1222</v>
      </c>
      <c r="AQ14" s="1213" t="s">
        <v>1222</v>
      </c>
      <c r="AR14" s="1095"/>
      <c r="AS14" s="1214" t="s">
        <v>1222</v>
      </c>
      <c r="AT14" s="1214" t="s">
        <v>1222</v>
      </c>
      <c r="AU14" s="1214" t="s">
        <v>2185</v>
      </c>
      <c r="AV14" s="1214" t="s">
        <v>2432</v>
      </c>
    </row>
    <row r="15" spans="1:48" s="252" customFormat="1" ht="52.8" hidden="1">
      <c r="B15" s="957"/>
      <c r="C15" s="1143" t="s">
        <v>134</v>
      </c>
      <c r="D15" s="1143" t="s">
        <v>134</v>
      </c>
      <c r="E15" s="1095"/>
      <c r="F15" s="1145" t="s">
        <v>2184</v>
      </c>
      <c r="G15" s="598" t="s">
        <v>2204</v>
      </c>
      <c r="H15" s="599" t="s">
        <v>2192</v>
      </c>
      <c r="I15" s="599" t="s">
        <v>1222</v>
      </c>
      <c r="J15" s="1190" t="s">
        <v>1222</v>
      </c>
      <c r="K15" s="1095"/>
      <c r="L15" s="1145" t="s">
        <v>134</v>
      </c>
      <c r="M15" s="1143"/>
      <c r="N15" s="1096"/>
      <c r="O15" s="1145"/>
      <c r="P15" s="1096"/>
      <c r="Q15" s="1150" t="s">
        <v>134</v>
      </c>
      <c r="R15" s="1148" t="s">
        <v>134</v>
      </c>
      <c r="S15" s="1150"/>
      <c r="T15" s="1148"/>
      <c r="U15" s="1147"/>
      <c r="V15" s="1151"/>
      <c r="W15" s="1096"/>
      <c r="X15" s="1197"/>
      <c r="Y15" s="1201"/>
      <c r="Z15" s="1198"/>
      <c r="AA15" s="1197"/>
      <c r="AB15" s="1201"/>
      <c r="AC15" s="1198"/>
      <c r="AD15" s="1095"/>
      <c r="AE15" s="1170" t="str">
        <f t="shared" si="0"/>
        <v/>
      </c>
      <c r="AF15" s="1095"/>
      <c r="AG15" s="1155"/>
      <c r="AH15" s="1156"/>
      <c r="AI15" s="1207" t="s">
        <v>2187</v>
      </c>
      <c r="AJ15" s="1208" t="s">
        <v>2188</v>
      </c>
      <c r="AK15" s="1211"/>
      <c r="AL15" s="1212"/>
      <c r="AM15" s="1156"/>
      <c r="AN15" s="598"/>
      <c r="AO15" s="1095"/>
      <c r="AP15" s="1215" t="s">
        <v>1222</v>
      </c>
      <c r="AQ15" s="1215" t="s">
        <v>1222</v>
      </c>
      <c r="AR15" s="1095"/>
      <c r="AS15" s="1154" t="s">
        <v>1222</v>
      </c>
      <c r="AT15" s="1154" t="s">
        <v>1222</v>
      </c>
      <c r="AU15" s="1154" t="s">
        <v>2183</v>
      </c>
      <c r="AV15" s="1214" t="s">
        <v>2433</v>
      </c>
    </row>
    <row r="16" spans="1:48" s="252" customFormat="1" ht="52.8" hidden="1">
      <c r="B16" s="957"/>
      <c r="C16" s="1143" t="s">
        <v>134</v>
      </c>
      <c r="D16" s="1143" t="s">
        <v>134</v>
      </c>
      <c r="E16" s="1095"/>
      <c r="F16" s="1145" t="s">
        <v>2184</v>
      </c>
      <c r="G16" s="598" t="s">
        <v>2204</v>
      </c>
      <c r="H16" s="599" t="s">
        <v>2192</v>
      </c>
      <c r="I16" s="599" t="s">
        <v>1222</v>
      </c>
      <c r="J16" s="1190" t="s">
        <v>1222</v>
      </c>
      <c r="K16" s="1095"/>
      <c r="L16" s="1145" t="s">
        <v>134</v>
      </c>
      <c r="M16" s="1143"/>
      <c r="N16" s="1096"/>
      <c r="O16" s="1145"/>
      <c r="P16" s="1096"/>
      <c r="Q16" s="1150" t="s">
        <v>134</v>
      </c>
      <c r="R16" s="1148" t="s">
        <v>134</v>
      </c>
      <c r="S16" s="1150"/>
      <c r="T16" s="1148"/>
      <c r="U16" s="1147"/>
      <c r="V16" s="1151"/>
      <c r="W16" s="1096"/>
      <c r="X16" s="1197"/>
      <c r="Y16" s="1201"/>
      <c r="Z16" s="1198"/>
      <c r="AA16" s="1197"/>
      <c r="AB16" s="1201"/>
      <c r="AC16" s="1198"/>
      <c r="AD16" s="1095"/>
      <c r="AE16" s="1170" t="str">
        <f t="shared" si="0"/>
        <v/>
      </c>
      <c r="AF16" s="1095"/>
      <c r="AG16" s="1155"/>
      <c r="AH16" s="1156"/>
      <c r="AI16" s="1207" t="s">
        <v>2187</v>
      </c>
      <c r="AJ16" s="1208" t="s">
        <v>2188</v>
      </c>
      <c r="AK16" s="1211"/>
      <c r="AL16" s="1212"/>
      <c r="AM16" s="1156"/>
      <c r="AN16" s="598"/>
      <c r="AO16" s="1095"/>
      <c r="AP16" s="1215" t="s">
        <v>1222</v>
      </c>
      <c r="AQ16" s="1215" t="s">
        <v>1222</v>
      </c>
      <c r="AR16" s="1095"/>
      <c r="AS16" s="1154" t="s">
        <v>1222</v>
      </c>
      <c r="AT16" s="1154" t="s">
        <v>1222</v>
      </c>
      <c r="AU16" s="1154" t="s">
        <v>2183</v>
      </c>
      <c r="AV16" s="1214" t="s">
        <v>2433</v>
      </c>
    </row>
    <row r="17" spans="2:48" hidden="1">
      <c r="B17" s="813" t="s">
        <v>2052</v>
      </c>
      <c r="C17" s="456" t="s">
        <v>1222</v>
      </c>
      <c r="D17" s="456" t="s">
        <v>1337</v>
      </c>
      <c r="F17" s="265" t="s">
        <v>1209</v>
      </c>
      <c r="G17" s="264" t="s">
        <v>1185</v>
      </c>
      <c r="H17" s="456" t="s">
        <v>1590</v>
      </c>
      <c r="I17" s="456" t="s">
        <v>1590</v>
      </c>
      <c r="J17" s="559" t="s">
        <v>1590</v>
      </c>
      <c r="K17" s="313"/>
      <c r="L17" s="560" t="s">
        <v>1590</v>
      </c>
      <c r="M17" s="560" t="s">
        <v>1590</v>
      </c>
      <c r="N17" s="176"/>
      <c r="O17" s="561" t="s">
        <v>1590</v>
      </c>
      <c r="P17" s="176"/>
      <c r="Q17" s="562" t="s">
        <v>1590</v>
      </c>
      <c r="R17" s="562" t="s">
        <v>1590</v>
      </c>
      <c r="S17" s="563" t="s">
        <v>1590</v>
      </c>
      <c r="T17" s="562" t="s">
        <v>1590</v>
      </c>
      <c r="U17" s="563" t="s">
        <v>1590</v>
      </c>
      <c r="V17" s="562" t="s">
        <v>1590</v>
      </c>
      <c r="W17" s="360"/>
      <c r="X17" s="562" t="s">
        <v>1590</v>
      </c>
      <c r="Y17" s="562" t="s">
        <v>1590</v>
      </c>
      <c r="Z17" s="562" t="s">
        <v>1590</v>
      </c>
      <c r="AA17" s="562" t="s">
        <v>1590</v>
      </c>
      <c r="AB17" s="562" t="s">
        <v>1590</v>
      </c>
      <c r="AC17" s="562" t="s">
        <v>1590</v>
      </c>
      <c r="AD17" s="235"/>
      <c r="AE17" s="456" t="s">
        <v>1590</v>
      </c>
      <c r="AG17" s="559" t="s">
        <v>1591</v>
      </c>
      <c r="AH17" s="559" t="s">
        <v>1591</v>
      </c>
      <c r="AI17" s="559" t="s">
        <v>1591</v>
      </c>
      <c r="AJ17" s="559" t="s">
        <v>1591</v>
      </c>
      <c r="AK17" s="559" t="s">
        <v>1591</v>
      </c>
      <c r="AL17" s="559" t="s">
        <v>1591</v>
      </c>
      <c r="AM17" s="559" t="s">
        <v>1591</v>
      </c>
      <c r="AN17" s="559" t="s">
        <v>1591</v>
      </c>
      <c r="AP17" s="456" t="s">
        <v>1590</v>
      </c>
      <c r="AQ17" s="456" t="s">
        <v>1590</v>
      </c>
      <c r="AS17" s="456" t="s">
        <v>1222</v>
      </c>
      <c r="AT17" s="456" t="s">
        <v>1222</v>
      </c>
      <c r="AU17" s="456" t="s">
        <v>1222</v>
      </c>
      <c r="AV17" s="456" t="s">
        <v>1222</v>
      </c>
    </row>
    <row r="18" spans="2:48" s="252" customFormat="1" hidden="1">
      <c r="B18" s="1218" t="s">
        <v>2450</v>
      </c>
      <c r="C18" s="248" t="s">
        <v>134</v>
      </c>
      <c r="D18" s="248" t="s">
        <v>134</v>
      </c>
      <c r="E18" s="312"/>
      <c r="F18" s="233" t="s">
        <v>854</v>
      </c>
      <c r="G18" s="242" t="s">
        <v>199</v>
      </c>
      <c r="H18" s="243">
        <v>1</v>
      </c>
      <c r="I18" s="243" t="s">
        <v>200</v>
      </c>
      <c r="J18" s="492" t="s">
        <v>199</v>
      </c>
      <c r="K18" s="312"/>
      <c r="L18" s="236" t="s">
        <v>134</v>
      </c>
      <c r="M18" s="253"/>
      <c r="N18" s="314"/>
      <c r="O18" s="233"/>
      <c r="P18" s="314"/>
      <c r="Q18" s="254" t="s">
        <v>134</v>
      </c>
      <c r="R18" s="253" t="s">
        <v>134</v>
      </c>
      <c r="S18" s="255"/>
      <c r="T18" s="253"/>
      <c r="U18" s="237"/>
      <c r="V18" s="261"/>
      <c r="W18" s="314"/>
      <c r="X18" s="254"/>
      <c r="Y18" s="256"/>
      <c r="Z18" s="253"/>
      <c r="AA18" s="255"/>
      <c r="AB18" s="256"/>
      <c r="AC18" s="253"/>
      <c r="AD18" s="312"/>
      <c r="AE18" s="242" t="str">
        <f>IF(AM18&lt;&gt;"",
       "0x" &amp; AI18 &amp;" ~ 0x" &amp; AJ18 &amp; " (" &amp; AK18 &amp;"~" &amp; AL18 &amp; AM18 &amp; ")","")&amp;IF(AN18&lt;&gt;"",IF(AM18&lt;&gt;"",CHAR(10)&amp;AN18,AN18),
       "")</f>
        <v>0x00 ~ 0xFF (0~25.5V)</v>
      </c>
      <c r="AF18" s="312"/>
      <c r="AG18" s="245">
        <v>0</v>
      </c>
      <c r="AH18" s="245">
        <v>0.1</v>
      </c>
      <c r="AI18" s="318" t="s">
        <v>750</v>
      </c>
      <c r="AJ18" s="319" t="s">
        <v>751</v>
      </c>
      <c r="AK18" s="334">
        <f>HEX2DEC(AI18)*AH18+AG18</f>
        <v>0</v>
      </c>
      <c r="AL18" s="335">
        <f>HEX2DEC(AJ18)*AH18+AG18</f>
        <v>25.5</v>
      </c>
      <c r="AM18" s="246" t="s">
        <v>752</v>
      </c>
      <c r="AN18" s="242"/>
      <c r="AO18" s="312"/>
      <c r="AP18" s="482" t="s">
        <v>855</v>
      </c>
      <c r="AQ18" s="594" t="s">
        <v>1408</v>
      </c>
      <c r="AR18" s="929"/>
      <c r="AS18" s="594" t="s">
        <v>1737</v>
      </c>
      <c r="AT18" s="594" t="s">
        <v>1738</v>
      </c>
      <c r="AU18" s="594" t="s">
        <v>2420</v>
      </c>
      <c r="AV18" s="594" t="s">
        <v>1739</v>
      </c>
    </row>
    <row r="19" spans="2:48" hidden="1">
      <c r="B19" s="813" t="s">
        <v>2052</v>
      </c>
      <c r="C19" s="456" t="s">
        <v>1337</v>
      </c>
      <c r="D19" s="456" t="s">
        <v>1337</v>
      </c>
      <c r="F19" s="265" t="s">
        <v>1209</v>
      </c>
      <c r="G19" s="264" t="s">
        <v>1186</v>
      </c>
      <c r="H19" s="456" t="s">
        <v>1590</v>
      </c>
      <c r="I19" s="456" t="s">
        <v>1590</v>
      </c>
      <c r="J19" s="559" t="s">
        <v>1590</v>
      </c>
      <c r="K19" s="313"/>
      <c r="L19" s="560" t="s">
        <v>1590</v>
      </c>
      <c r="M19" s="560" t="s">
        <v>1590</v>
      </c>
      <c r="N19" s="176"/>
      <c r="O19" s="561" t="s">
        <v>1590</v>
      </c>
      <c r="P19" s="176"/>
      <c r="Q19" s="562" t="s">
        <v>1590</v>
      </c>
      <c r="R19" s="562" t="s">
        <v>1590</v>
      </c>
      <c r="S19" s="563" t="s">
        <v>1590</v>
      </c>
      <c r="T19" s="562" t="s">
        <v>1590</v>
      </c>
      <c r="U19" s="563" t="s">
        <v>1590</v>
      </c>
      <c r="V19" s="562" t="s">
        <v>1590</v>
      </c>
      <c r="W19" s="360"/>
      <c r="X19" s="562" t="s">
        <v>1590</v>
      </c>
      <c r="Y19" s="562" t="s">
        <v>1590</v>
      </c>
      <c r="Z19" s="562" t="s">
        <v>1590</v>
      </c>
      <c r="AA19" s="562" t="s">
        <v>1590</v>
      </c>
      <c r="AB19" s="562" t="s">
        <v>1590</v>
      </c>
      <c r="AC19" s="562" t="s">
        <v>1590</v>
      </c>
      <c r="AD19" s="235"/>
      <c r="AE19" s="456" t="s">
        <v>1590</v>
      </c>
      <c r="AG19" s="559" t="s">
        <v>1591</v>
      </c>
      <c r="AH19" s="559" t="s">
        <v>1591</v>
      </c>
      <c r="AI19" s="559" t="s">
        <v>1591</v>
      </c>
      <c r="AJ19" s="559" t="s">
        <v>1591</v>
      </c>
      <c r="AK19" s="559" t="s">
        <v>1591</v>
      </c>
      <c r="AL19" s="559" t="s">
        <v>1591</v>
      </c>
      <c r="AM19" s="559" t="s">
        <v>1591</v>
      </c>
      <c r="AN19" s="559" t="s">
        <v>1591</v>
      </c>
      <c r="AP19" s="456" t="s">
        <v>1590</v>
      </c>
      <c r="AQ19" s="456" t="s">
        <v>1590</v>
      </c>
      <c r="AS19" s="456" t="s">
        <v>1222</v>
      </c>
      <c r="AT19" s="456" t="s">
        <v>1222</v>
      </c>
      <c r="AU19" s="456" t="s">
        <v>1222</v>
      </c>
      <c r="AV19" s="456" t="s">
        <v>1222</v>
      </c>
    </row>
    <row r="20" spans="2:48" s="252" customFormat="1" ht="39.6">
      <c r="B20" s="810" t="s">
        <v>2050</v>
      </c>
      <c r="C20" s="1295"/>
      <c r="D20" s="248" t="s">
        <v>134</v>
      </c>
      <c r="E20" s="312"/>
      <c r="F20" s="233" t="s">
        <v>856</v>
      </c>
      <c r="G20" s="242" t="s">
        <v>857</v>
      </c>
      <c r="H20" s="243">
        <v>1</v>
      </c>
      <c r="I20" s="243" t="s">
        <v>200</v>
      </c>
      <c r="J20" s="492" t="s">
        <v>201</v>
      </c>
      <c r="K20" s="312"/>
      <c r="L20" s="236" t="s">
        <v>134</v>
      </c>
      <c r="M20" s="253"/>
      <c r="N20" s="314"/>
      <c r="O20" s="233"/>
      <c r="P20" s="314"/>
      <c r="Q20" s="254" t="s">
        <v>134</v>
      </c>
      <c r="R20" s="253" t="s">
        <v>134</v>
      </c>
      <c r="S20" s="255"/>
      <c r="T20" s="253"/>
      <c r="U20" s="237"/>
      <c r="V20" s="261"/>
      <c r="W20" s="314"/>
      <c r="X20" s="254"/>
      <c r="Y20" s="256"/>
      <c r="Z20" s="253"/>
      <c r="AA20" s="255"/>
      <c r="AB20" s="256"/>
      <c r="AC20" s="253"/>
      <c r="AD20" s="312"/>
      <c r="AE20" s="242" t="str">
        <f t="shared" ref="AE20:AE85" si="1">IF(AM20&lt;&gt;"",
       "0x" &amp; AI20 &amp;" ~ 0x" &amp; AJ20 &amp; " (" &amp; AK20 &amp;"~" &amp; AL20 &amp; AM20 &amp; ")","")&amp;IF(AN20&lt;&gt;"",IF(AM20&lt;&gt;"",CHAR(10)&amp;AN20,AN20),
       "")</f>
        <v>0x00 ~ 0xFA (0~12.5V)</v>
      </c>
      <c r="AF20" s="312"/>
      <c r="AG20" s="245">
        <v>0</v>
      </c>
      <c r="AH20" s="246">
        <v>0.05</v>
      </c>
      <c r="AI20" s="318" t="s">
        <v>750</v>
      </c>
      <c r="AJ20" s="319" t="s">
        <v>753</v>
      </c>
      <c r="AK20" s="334">
        <f t="shared" ref="AK20:AK86" si="2">HEX2DEC(AI20)*AH20+AG20</f>
        <v>0</v>
      </c>
      <c r="AL20" s="336">
        <f t="shared" ref="AL20:AL89" si="3">HEX2DEC(AJ20)*AH20+AG20</f>
        <v>12.5</v>
      </c>
      <c r="AM20" s="246" t="s">
        <v>752</v>
      </c>
      <c r="AN20" s="242"/>
      <c r="AO20" s="312"/>
      <c r="AP20" s="482" t="s">
        <v>855</v>
      </c>
      <c r="AQ20" s="594" t="s">
        <v>1489</v>
      </c>
      <c r="AR20" s="929"/>
      <c r="AS20" s="930" t="s">
        <v>1222</v>
      </c>
      <c r="AT20" s="930" t="s">
        <v>1222</v>
      </c>
      <c r="AU20" s="930" t="s">
        <v>1222</v>
      </c>
      <c r="AV20" s="1296" t="s">
        <v>2521</v>
      </c>
    </row>
    <row r="21" spans="2:48" s="252" customFormat="1" ht="39.6">
      <c r="B21" s="810" t="s">
        <v>2050</v>
      </c>
      <c r="C21" s="1295"/>
      <c r="D21" s="248" t="s">
        <v>134</v>
      </c>
      <c r="E21" s="312"/>
      <c r="F21" s="233" t="s">
        <v>858</v>
      </c>
      <c r="G21" s="242" t="s">
        <v>859</v>
      </c>
      <c r="H21" s="243">
        <v>1</v>
      </c>
      <c r="I21" s="243" t="s">
        <v>200</v>
      </c>
      <c r="J21" s="492" t="s">
        <v>202</v>
      </c>
      <c r="K21" s="312"/>
      <c r="L21" s="236" t="s">
        <v>134</v>
      </c>
      <c r="M21" s="253"/>
      <c r="N21" s="314"/>
      <c r="O21" s="233"/>
      <c r="P21" s="314"/>
      <c r="Q21" s="254" t="s">
        <v>134</v>
      </c>
      <c r="R21" s="253" t="s">
        <v>134</v>
      </c>
      <c r="S21" s="255"/>
      <c r="T21" s="253"/>
      <c r="U21" s="237"/>
      <c r="V21" s="261"/>
      <c r="W21" s="314"/>
      <c r="X21" s="254"/>
      <c r="Y21" s="256"/>
      <c r="Z21" s="253"/>
      <c r="AA21" s="255"/>
      <c r="AB21" s="256"/>
      <c r="AC21" s="253"/>
      <c r="AD21" s="312"/>
      <c r="AE21" s="242" t="str">
        <f t="shared" si="1"/>
        <v>0x00 ~ 0xFA (0~12.5V)</v>
      </c>
      <c r="AF21" s="312"/>
      <c r="AG21" s="245">
        <v>0</v>
      </c>
      <c r="AH21" s="246">
        <v>0.05</v>
      </c>
      <c r="AI21" s="318" t="s">
        <v>750</v>
      </c>
      <c r="AJ21" s="319" t="s">
        <v>753</v>
      </c>
      <c r="AK21" s="334">
        <f t="shared" si="2"/>
        <v>0</v>
      </c>
      <c r="AL21" s="336">
        <f t="shared" si="3"/>
        <v>12.5</v>
      </c>
      <c r="AM21" s="246" t="s">
        <v>752</v>
      </c>
      <c r="AN21" s="242"/>
      <c r="AO21" s="312"/>
      <c r="AP21" s="482" t="s">
        <v>855</v>
      </c>
      <c r="AQ21" s="594" t="s">
        <v>1409</v>
      </c>
      <c r="AR21" s="929"/>
      <c r="AS21" s="930" t="s">
        <v>1222</v>
      </c>
      <c r="AT21" s="930" t="s">
        <v>1222</v>
      </c>
      <c r="AU21" s="930" t="s">
        <v>1222</v>
      </c>
      <c r="AV21" s="1296" t="s">
        <v>2521</v>
      </c>
    </row>
    <row r="22" spans="2:48" s="252" customFormat="1" ht="39.6">
      <c r="B22" s="810" t="s">
        <v>2050</v>
      </c>
      <c r="C22" s="1295"/>
      <c r="D22" s="502"/>
      <c r="E22" s="312"/>
      <c r="F22" s="233" t="s">
        <v>860</v>
      </c>
      <c r="G22" s="242" t="s">
        <v>861</v>
      </c>
      <c r="H22" s="243">
        <v>1</v>
      </c>
      <c r="I22" s="243" t="s">
        <v>200</v>
      </c>
      <c r="J22" s="492" t="s">
        <v>203</v>
      </c>
      <c r="K22" s="312"/>
      <c r="L22" s="236" t="s">
        <v>134</v>
      </c>
      <c r="M22" s="253"/>
      <c r="N22" s="314"/>
      <c r="O22" s="233"/>
      <c r="P22" s="314"/>
      <c r="Q22" s="254" t="s">
        <v>134</v>
      </c>
      <c r="R22" s="253" t="s">
        <v>134</v>
      </c>
      <c r="S22" s="255"/>
      <c r="T22" s="253"/>
      <c r="U22" s="237"/>
      <c r="V22" s="261"/>
      <c r="W22" s="314"/>
      <c r="X22" s="254"/>
      <c r="Y22" s="256"/>
      <c r="Z22" s="253"/>
      <c r="AA22" s="255"/>
      <c r="AB22" s="256"/>
      <c r="AC22" s="253"/>
      <c r="AD22" s="312"/>
      <c r="AE22" s="242" t="str">
        <f t="shared" si="1"/>
        <v>0x00 ~ 0xFA (0~12.5V)</v>
      </c>
      <c r="AF22" s="312"/>
      <c r="AG22" s="245">
        <v>0</v>
      </c>
      <c r="AH22" s="246">
        <v>0.05</v>
      </c>
      <c r="AI22" s="318" t="s">
        <v>750</v>
      </c>
      <c r="AJ22" s="319" t="s">
        <v>753</v>
      </c>
      <c r="AK22" s="334">
        <f t="shared" si="2"/>
        <v>0</v>
      </c>
      <c r="AL22" s="336">
        <f t="shared" si="3"/>
        <v>12.5</v>
      </c>
      <c r="AM22" s="246" t="s">
        <v>752</v>
      </c>
      <c r="AN22" s="242"/>
      <c r="AO22" s="312"/>
      <c r="AP22" s="482" t="s">
        <v>855</v>
      </c>
      <c r="AQ22" s="594" t="s">
        <v>1490</v>
      </c>
      <c r="AR22" s="929"/>
      <c r="AS22" s="930" t="s">
        <v>1222</v>
      </c>
      <c r="AT22" s="930" t="s">
        <v>1222</v>
      </c>
      <c r="AU22" s="930" t="s">
        <v>1222</v>
      </c>
      <c r="AV22" s="1296" t="s">
        <v>2521</v>
      </c>
    </row>
    <row r="23" spans="2:48" hidden="1">
      <c r="B23" s="813" t="s">
        <v>2052</v>
      </c>
      <c r="C23" s="456" t="s">
        <v>1337</v>
      </c>
      <c r="D23" s="456" t="s">
        <v>1337</v>
      </c>
      <c r="F23" s="265" t="s">
        <v>1209</v>
      </c>
      <c r="G23" s="264" t="s">
        <v>1187</v>
      </c>
      <c r="H23" s="456" t="s">
        <v>1590</v>
      </c>
      <c r="I23" s="456" t="s">
        <v>1590</v>
      </c>
      <c r="J23" s="559" t="s">
        <v>1590</v>
      </c>
      <c r="K23" s="313"/>
      <c r="L23" s="560" t="s">
        <v>1590</v>
      </c>
      <c r="M23" s="560" t="s">
        <v>1590</v>
      </c>
      <c r="N23" s="176"/>
      <c r="O23" s="561" t="s">
        <v>1590</v>
      </c>
      <c r="P23" s="176"/>
      <c r="Q23" s="562" t="s">
        <v>1590</v>
      </c>
      <c r="R23" s="562" t="s">
        <v>1590</v>
      </c>
      <c r="S23" s="563" t="s">
        <v>1590</v>
      </c>
      <c r="T23" s="562" t="s">
        <v>1590</v>
      </c>
      <c r="U23" s="563" t="s">
        <v>1590</v>
      </c>
      <c r="V23" s="562" t="s">
        <v>1590</v>
      </c>
      <c r="W23" s="360"/>
      <c r="X23" s="562" t="s">
        <v>1590</v>
      </c>
      <c r="Y23" s="562" t="s">
        <v>1590</v>
      </c>
      <c r="Z23" s="562" t="s">
        <v>1590</v>
      </c>
      <c r="AA23" s="562" t="s">
        <v>1590</v>
      </c>
      <c r="AB23" s="562" t="s">
        <v>1590</v>
      </c>
      <c r="AC23" s="562" t="s">
        <v>1590</v>
      </c>
      <c r="AD23" s="235"/>
      <c r="AE23" s="456" t="s">
        <v>1590</v>
      </c>
      <c r="AG23" s="559" t="s">
        <v>1591</v>
      </c>
      <c r="AH23" s="559" t="s">
        <v>1591</v>
      </c>
      <c r="AI23" s="559" t="s">
        <v>1591</v>
      </c>
      <c r="AJ23" s="559" t="s">
        <v>1591</v>
      </c>
      <c r="AK23" s="559" t="s">
        <v>1591</v>
      </c>
      <c r="AL23" s="559" t="s">
        <v>1591</v>
      </c>
      <c r="AM23" s="559" t="s">
        <v>1591</v>
      </c>
      <c r="AN23" s="559" t="s">
        <v>1591</v>
      </c>
      <c r="AP23" s="456" t="s">
        <v>1590</v>
      </c>
      <c r="AQ23" s="456" t="s">
        <v>1590</v>
      </c>
      <c r="AS23" s="456" t="s">
        <v>1222</v>
      </c>
      <c r="AT23" s="456" t="s">
        <v>1222</v>
      </c>
      <c r="AU23" s="456" t="s">
        <v>1222</v>
      </c>
      <c r="AV23" s="456" t="s">
        <v>1222</v>
      </c>
    </row>
    <row r="24" spans="2:48" s="252" customFormat="1" ht="26.4" hidden="1">
      <c r="B24" s="1218" t="s">
        <v>2450</v>
      </c>
      <c r="C24" s="248" t="s">
        <v>134</v>
      </c>
      <c r="D24" s="248" t="s">
        <v>134</v>
      </c>
      <c r="E24" s="312"/>
      <c r="F24" s="233" t="s">
        <v>862</v>
      </c>
      <c r="G24" s="242" t="s">
        <v>863</v>
      </c>
      <c r="H24" s="243">
        <v>1</v>
      </c>
      <c r="I24" s="243" t="s">
        <v>200</v>
      </c>
      <c r="J24" s="492" t="s">
        <v>204</v>
      </c>
      <c r="K24" s="312"/>
      <c r="L24" s="236" t="s">
        <v>134</v>
      </c>
      <c r="M24" s="253"/>
      <c r="N24" s="314"/>
      <c r="O24" s="233"/>
      <c r="P24" s="314"/>
      <c r="Q24" s="254" t="s">
        <v>134</v>
      </c>
      <c r="R24" s="253" t="s">
        <v>134</v>
      </c>
      <c r="S24" s="255"/>
      <c r="T24" s="253"/>
      <c r="U24" s="237"/>
      <c r="V24" s="261"/>
      <c r="W24" s="314"/>
      <c r="X24" s="254"/>
      <c r="Y24" s="256"/>
      <c r="Z24" s="253"/>
      <c r="AA24" s="255"/>
      <c r="AB24" s="256"/>
      <c r="AC24" s="253"/>
      <c r="AD24" s="312"/>
      <c r="AE24" s="1224" t="str">
        <f t="shared" si="1"/>
        <v>0x00 ~ 0x83 (0~6.55V)</v>
      </c>
      <c r="AF24" s="312"/>
      <c r="AG24" s="245">
        <v>0</v>
      </c>
      <c r="AH24" s="246">
        <v>0.05</v>
      </c>
      <c r="AI24" s="318" t="s">
        <v>750</v>
      </c>
      <c r="AJ24" s="1222" t="s">
        <v>2439</v>
      </c>
      <c r="AK24" s="334">
        <f t="shared" si="2"/>
        <v>0</v>
      </c>
      <c r="AL24" s="1223">
        <f t="shared" si="3"/>
        <v>6.5500000000000007</v>
      </c>
      <c r="AM24" s="246" t="s">
        <v>752</v>
      </c>
      <c r="AN24" s="242"/>
      <c r="AO24" s="312"/>
      <c r="AP24" s="482" t="s">
        <v>855</v>
      </c>
      <c r="AQ24" s="594" t="s">
        <v>205</v>
      </c>
      <c r="AR24" s="929"/>
      <c r="AS24" s="594" t="s">
        <v>1743</v>
      </c>
      <c r="AT24" s="594" t="s">
        <v>1410</v>
      </c>
      <c r="AU24" s="594" t="s">
        <v>1419</v>
      </c>
      <c r="AV24" s="930" t="s">
        <v>1222</v>
      </c>
    </row>
    <row r="25" spans="2:48" s="252" customFormat="1" ht="26.4" hidden="1">
      <c r="B25" s="1218" t="s">
        <v>2450</v>
      </c>
      <c r="C25" s="248" t="s">
        <v>134</v>
      </c>
      <c r="D25" s="248" t="s">
        <v>134</v>
      </c>
      <c r="E25" s="312"/>
      <c r="F25" s="233" t="s">
        <v>864</v>
      </c>
      <c r="G25" s="242" t="s">
        <v>865</v>
      </c>
      <c r="H25" s="243">
        <v>1</v>
      </c>
      <c r="I25" s="243" t="s">
        <v>200</v>
      </c>
      <c r="J25" s="492" t="s">
        <v>206</v>
      </c>
      <c r="K25" s="312"/>
      <c r="L25" s="236" t="s">
        <v>134</v>
      </c>
      <c r="M25" s="253"/>
      <c r="N25" s="314"/>
      <c r="O25" s="233"/>
      <c r="P25" s="314"/>
      <c r="Q25" s="254" t="s">
        <v>134</v>
      </c>
      <c r="R25" s="253" t="s">
        <v>134</v>
      </c>
      <c r="S25" s="255"/>
      <c r="T25" s="253"/>
      <c r="U25" s="237"/>
      <c r="V25" s="261"/>
      <c r="W25" s="314"/>
      <c r="X25" s="254"/>
      <c r="Y25" s="256"/>
      <c r="Z25" s="253"/>
      <c r="AA25" s="255"/>
      <c r="AB25" s="256"/>
      <c r="AC25" s="253"/>
      <c r="AD25" s="312"/>
      <c r="AE25" s="1224" t="str">
        <f t="shared" si="1"/>
        <v>0x00 ~ 0x83 (0~6.55V)</v>
      </c>
      <c r="AF25" s="312"/>
      <c r="AG25" s="245">
        <v>0</v>
      </c>
      <c r="AH25" s="246">
        <v>0.05</v>
      </c>
      <c r="AI25" s="318" t="s">
        <v>750</v>
      </c>
      <c r="AJ25" s="1222" t="s">
        <v>2439</v>
      </c>
      <c r="AK25" s="334">
        <f t="shared" si="2"/>
        <v>0</v>
      </c>
      <c r="AL25" s="1223">
        <f t="shared" si="3"/>
        <v>6.5500000000000007</v>
      </c>
      <c r="AM25" s="246" t="s">
        <v>752</v>
      </c>
      <c r="AN25" s="242"/>
      <c r="AO25" s="312"/>
      <c r="AP25" s="482" t="s">
        <v>855</v>
      </c>
      <c r="AQ25" s="594" t="s">
        <v>207</v>
      </c>
      <c r="AR25" s="929"/>
      <c r="AS25" s="594" t="s">
        <v>1744</v>
      </c>
      <c r="AT25" s="594" t="s">
        <v>1410</v>
      </c>
      <c r="AU25" s="594" t="s">
        <v>1420</v>
      </c>
      <c r="AV25" s="930" t="s">
        <v>1222</v>
      </c>
    </row>
    <row r="26" spans="2:48" s="252" customFormat="1" ht="39.6" hidden="1">
      <c r="B26" s="1218" t="s">
        <v>2450</v>
      </c>
      <c r="C26" s="248" t="s">
        <v>134</v>
      </c>
      <c r="D26" s="502"/>
      <c r="E26" s="312"/>
      <c r="F26" s="233" t="s">
        <v>866</v>
      </c>
      <c r="G26" s="242" t="s">
        <v>867</v>
      </c>
      <c r="H26" s="243">
        <v>1</v>
      </c>
      <c r="I26" s="243" t="s">
        <v>200</v>
      </c>
      <c r="J26" s="492" t="s">
        <v>208</v>
      </c>
      <c r="K26" s="312"/>
      <c r="L26" s="236" t="s">
        <v>134</v>
      </c>
      <c r="M26" s="253"/>
      <c r="N26" s="314"/>
      <c r="O26" s="233"/>
      <c r="P26" s="314"/>
      <c r="Q26" s="254" t="s">
        <v>134</v>
      </c>
      <c r="R26" s="253" t="s">
        <v>134</v>
      </c>
      <c r="S26" s="255"/>
      <c r="T26" s="253"/>
      <c r="U26" s="237"/>
      <c r="V26" s="261"/>
      <c r="W26" s="314"/>
      <c r="X26" s="254"/>
      <c r="Y26" s="256"/>
      <c r="Z26" s="253"/>
      <c r="AA26" s="255"/>
      <c r="AB26" s="256"/>
      <c r="AC26" s="253"/>
      <c r="AD26" s="312"/>
      <c r="AE26" s="1224" t="str">
        <f t="shared" si="1"/>
        <v>0x00 ~ 0x83 (0~6.55V)</v>
      </c>
      <c r="AF26" s="312"/>
      <c r="AG26" s="245">
        <v>0</v>
      </c>
      <c r="AH26" s="246">
        <v>0.05</v>
      </c>
      <c r="AI26" s="318" t="s">
        <v>750</v>
      </c>
      <c r="AJ26" s="1222" t="s">
        <v>2439</v>
      </c>
      <c r="AK26" s="334">
        <f t="shared" si="2"/>
        <v>0</v>
      </c>
      <c r="AL26" s="1223">
        <f t="shared" si="3"/>
        <v>6.5500000000000007</v>
      </c>
      <c r="AM26" s="246" t="s">
        <v>752</v>
      </c>
      <c r="AN26" s="242"/>
      <c r="AO26" s="312"/>
      <c r="AP26" s="482" t="s">
        <v>855</v>
      </c>
      <c r="AQ26" s="594" t="s">
        <v>209</v>
      </c>
      <c r="AR26" s="929"/>
      <c r="AS26" s="594" t="s">
        <v>1412</v>
      </c>
      <c r="AT26" s="594" t="s">
        <v>1413</v>
      </c>
      <c r="AU26" s="594" t="s">
        <v>2419</v>
      </c>
      <c r="AV26" s="594" t="s">
        <v>1415</v>
      </c>
    </row>
    <row r="27" spans="2:48" s="252" customFormat="1" hidden="1">
      <c r="B27" s="810"/>
      <c r="C27" s="502" t="s">
        <v>1714</v>
      </c>
      <c r="D27" s="248" t="s">
        <v>134</v>
      </c>
      <c r="E27" s="312"/>
      <c r="F27" s="233" t="s">
        <v>868</v>
      </c>
      <c r="G27" s="242" t="s">
        <v>869</v>
      </c>
      <c r="H27" s="243">
        <v>1</v>
      </c>
      <c r="I27" s="243" t="s">
        <v>200</v>
      </c>
      <c r="J27" s="242" t="s">
        <v>210</v>
      </c>
      <c r="K27" s="312"/>
      <c r="L27" s="236" t="s">
        <v>134</v>
      </c>
      <c r="M27" s="253"/>
      <c r="N27" s="314"/>
      <c r="O27" s="233"/>
      <c r="P27" s="314"/>
      <c r="Q27" s="254" t="s">
        <v>134</v>
      </c>
      <c r="R27" s="253" t="s">
        <v>134</v>
      </c>
      <c r="S27" s="255"/>
      <c r="T27" s="253"/>
      <c r="U27" s="237"/>
      <c r="V27" s="261"/>
      <c r="W27" s="314"/>
      <c r="X27" s="254"/>
      <c r="Y27" s="256"/>
      <c r="Z27" s="253"/>
      <c r="AA27" s="255"/>
      <c r="AB27" s="256"/>
      <c r="AC27" s="253"/>
      <c r="AD27" s="312"/>
      <c r="AE27" s="242" t="str">
        <f t="shared" si="1"/>
        <v>0x00 ~ 0xFA (0~12.5V)</v>
      </c>
      <c r="AF27" s="312"/>
      <c r="AG27" s="245">
        <v>0</v>
      </c>
      <c r="AH27" s="246">
        <v>0.05</v>
      </c>
      <c r="AI27" s="318" t="s">
        <v>750</v>
      </c>
      <c r="AJ27" s="319" t="s">
        <v>753</v>
      </c>
      <c r="AK27" s="334">
        <f t="shared" si="2"/>
        <v>0</v>
      </c>
      <c r="AL27" s="336">
        <f t="shared" si="3"/>
        <v>12.5</v>
      </c>
      <c r="AM27" s="246" t="s">
        <v>752</v>
      </c>
      <c r="AN27" s="242"/>
      <c r="AO27" s="312"/>
      <c r="AP27" s="482" t="s">
        <v>855</v>
      </c>
      <c r="AQ27" s="482" t="s">
        <v>211</v>
      </c>
      <c r="AS27" s="504" t="s">
        <v>1406</v>
      </c>
      <c r="AT27" s="504" t="s">
        <v>1406</v>
      </c>
      <c r="AU27" s="504" t="s">
        <v>1406</v>
      </c>
      <c r="AV27" s="504" t="s">
        <v>1406</v>
      </c>
    </row>
    <row r="28" spans="2:48" s="252" customFormat="1" ht="26.4" hidden="1">
      <c r="B28" s="1218" t="s">
        <v>2450</v>
      </c>
      <c r="C28" s="248" t="s">
        <v>134</v>
      </c>
      <c r="D28" s="248" t="s">
        <v>134</v>
      </c>
      <c r="E28" s="312"/>
      <c r="F28" s="233" t="s">
        <v>870</v>
      </c>
      <c r="G28" s="242" t="s">
        <v>871</v>
      </c>
      <c r="H28" s="243">
        <v>1</v>
      </c>
      <c r="I28" s="243" t="s">
        <v>200</v>
      </c>
      <c r="J28" s="492" t="s">
        <v>212</v>
      </c>
      <c r="K28" s="312"/>
      <c r="L28" s="236" t="s">
        <v>134</v>
      </c>
      <c r="M28" s="253"/>
      <c r="N28" s="314"/>
      <c r="O28" s="233"/>
      <c r="P28" s="314"/>
      <c r="Q28" s="254" t="s">
        <v>134</v>
      </c>
      <c r="R28" s="253" t="s">
        <v>134</v>
      </c>
      <c r="S28" s="255"/>
      <c r="T28" s="253"/>
      <c r="U28" s="237"/>
      <c r="V28" s="261"/>
      <c r="W28" s="314"/>
      <c r="X28" s="254"/>
      <c r="Y28" s="256"/>
      <c r="Z28" s="253"/>
      <c r="AA28" s="255"/>
      <c r="AB28" s="256"/>
      <c r="AC28" s="253"/>
      <c r="AD28" s="312"/>
      <c r="AE28" s="1224" t="str">
        <f t="shared" si="1"/>
        <v>0x00 ~ 0x83 (0~6.55V)</v>
      </c>
      <c r="AF28" s="312"/>
      <c r="AG28" s="245">
        <v>0</v>
      </c>
      <c r="AH28" s="246">
        <v>0.05</v>
      </c>
      <c r="AI28" s="318" t="s">
        <v>750</v>
      </c>
      <c r="AJ28" s="1222" t="s">
        <v>2439</v>
      </c>
      <c r="AK28" s="334">
        <f t="shared" si="2"/>
        <v>0</v>
      </c>
      <c r="AL28" s="1223">
        <f t="shared" si="3"/>
        <v>6.5500000000000007</v>
      </c>
      <c r="AM28" s="246" t="s">
        <v>752</v>
      </c>
      <c r="AN28" s="242"/>
      <c r="AO28" s="312"/>
      <c r="AP28" s="482" t="s">
        <v>855</v>
      </c>
      <c r="AQ28" s="594" t="s">
        <v>1416</v>
      </c>
      <c r="AR28" s="929"/>
      <c r="AS28" s="594" t="s">
        <v>1421</v>
      </c>
      <c r="AT28" s="594" t="s">
        <v>1418</v>
      </c>
      <c r="AU28" s="594" t="s">
        <v>1422</v>
      </c>
      <c r="AV28" s="594" t="s">
        <v>1745</v>
      </c>
    </row>
    <row r="29" spans="2:48" s="252" customFormat="1" ht="26.4" hidden="1">
      <c r="B29" s="1218" t="s">
        <v>2450</v>
      </c>
      <c r="C29" s="248" t="s">
        <v>134</v>
      </c>
      <c r="D29" s="248" t="s">
        <v>134</v>
      </c>
      <c r="E29" s="312"/>
      <c r="F29" s="233" t="s">
        <v>872</v>
      </c>
      <c r="G29" s="242" t="s">
        <v>873</v>
      </c>
      <c r="H29" s="243">
        <v>1</v>
      </c>
      <c r="I29" s="243" t="s">
        <v>200</v>
      </c>
      <c r="J29" s="492" t="s">
        <v>213</v>
      </c>
      <c r="K29" s="312"/>
      <c r="L29" s="236" t="s">
        <v>134</v>
      </c>
      <c r="M29" s="253"/>
      <c r="N29" s="314"/>
      <c r="O29" s="233"/>
      <c r="P29" s="314"/>
      <c r="Q29" s="254" t="s">
        <v>134</v>
      </c>
      <c r="R29" s="253" t="s">
        <v>134</v>
      </c>
      <c r="S29" s="255"/>
      <c r="T29" s="253"/>
      <c r="U29" s="237"/>
      <c r="V29" s="261"/>
      <c r="W29" s="314"/>
      <c r="X29" s="254"/>
      <c r="Y29" s="256"/>
      <c r="Z29" s="253"/>
      <c r="AA29" s="255"/>
      <c r="AB29" s="256"/>
      <c r="AC29" s="253"/>
      <c r="AD29" s="312"/>
      <c r="AE29" s="1224" t="str">
        <f t="shared" si="1"/>
        <v>0x00 ~ 0x83 (0~6.55V)</v>
      </c>
      <c r="AF29" s="312"/>
      <c r="AG29" s="245">
        <v>0</v>
      </c>
      <c r="AH29" s="246">
        <v>0.05</v>
      </c>
      <c r="AI29" s="318" t="s">
        <v>750</v>
      </c>
      <c r="AJ29" s="1222" t="s">
        <v>2439</v>
      </c>
      <c r="AK29" s="334">
        <f t="shared" si="2"/>
        <v>0</v>
      </c>
      <c r="AL29" s="1223">
        <f t="shared" si="3"/>
        <v>6.5500000000000007</v>
      </c>
      <c r="AM29" s="246" t="s">
        <v>752</v>
      </c>
      <c r="AN29" s="242"/>
      <c r="AO29" s="312"/>
      <c r="AP29" s="482" t="s">
        <v>855</v>
      </c>
      <c r="AQ29" s="594" t="s">
        <v>1423</v>
      </c>
      <c r="AR29" s="929"/>
      <c r="AS29" s="594" t="s">
        <v>1424</v>
      </c>
      <c r="AT29" s="594" t="s">
        <v>1425</v>
      </c>
      <c r="AU29" s="594" t="s">
        <v>1426</v>
      </c>
      <c r="AV29" s="594" t="s">
        <v>1745</v>
      </c>
    </row>
    <row r="30" spans="2:48" s="252" customFormat="1" ht="26.4" hidden="1">
      <c r="B30" s="1218" t="s">
        <v>2450</v>
      </c>
      <c r="C30" s="248" t="s">
        <v>134</v>
      </c>
      <c r="D30" s="248" t="s">
        <v>134</v>
      </c>
      <c r="E30" s="312"/>
      <c r="F30" s="233" t="s">
        <v>874</v>
      </c>
      <c r="G30" s="242" t="s">
        <v>875</v>
      </c>
      <c r="H30" s="243">
        <v>1</v>
      </c>
      <c r="I30" s="243" t="s">
        <v>200</v>
      </c>
      <c r="J30" s="492" t="s">
        <v>215</v>
      </c>
      <c r="K30" s="312"/>
      <c r="L30" s="236" t="s">
        <v>134</v>
      </c>
      <c r="M30" s="253"/>
      <c r="N30" s="314"/>
      <c r="O30" s="233"/>
      <c r="P30" s="314"/>
      <c r="Q30" s="254" t="s">
        <v>134</v>
      </c>
      <c r="R30" s="253" t="s">
        <v>134</v>
      </c>
      <c r="S30" s="255"/>
      <c r="T30" s="253"/>
      <c r="U30" s="237"/>
      <c r="V30" s="261"/>
      <c r="W30" s="314"/>
      <c r="X30" s="254"/>
      <c r="Y30" s="256"/>
      <c r="Z30" s="253"/>
      <c r="AA30" s="255"/>
      <c r="AB30" s="256"/>
      <c r="AC30" s="253"/>
      <c r="AD30" s="312"/>
      <c r="AE30" s="1224" t="str">
        <f t="shared" si="1"/>
        <v>0x00 ~ 0x83 (0~6.55V)</v>
      </c>
      <c r="AF30" s="312"/>
      <c r="AG30" s="245">
        <v>0</v>
      </c>
      <c r="AH30" s="246">
        <v>0.05</v>
      </c>
      <c r="AI30" s="318" t="s">
        <v>750</v>
      </c>
      <c r="AJ30" s="1222" t="s">
        <v>2439</v>
      </c>
      <c r="AK30" s="334">
        <f t="shared" si="2"/>
        <v>0</v>
      </c>
      <c r="AL30" s="1223">
        <f t="shared" si="3"/>
        <v>6.5500000000000007</v>
      </c>
      <c r="AM30" s="246" t="s">
        <v>752</v>
      </c>
      <c r="AN30" s="242"/>
      <c r="AO30" s="312"/>
      <c r="AP30" s="482" t="s">
        <v>855</v>
      </c>
      <c r="AQ30" s="594" t="s">
        <v>216</v>
      </c>
      <c r="AR30" s="929"/>
      <c r="AS30" s="594" t="s">
        <v>1427</v>
      </c>
      <c r="AT30" s="594" t="s">
        <v>1428</v>
      </c>
      <c r="AU30" s="594" t="s">
        <v>1429</v>
      </c>
      <c r="AV30" s="594" t="s">
        <v>1745</v>
      </c>
    </row>
    <row r="31" spans="2:48" s="252" customFormat="1" ht="26.4" hidden="1">
      <c r="B31" s="1218" t="s">
        <v>2450</v>
      </c>
      <c r="C31" s="248" t="s">
        <v>134</v>
      </c>
      <c r="D31" s="248" t="s">
        <v>134</v>
      </c>
      <c r="E31" s="312"/>
      <c r="F31" s="233" t="s">
        <v>876</v>
      </c>
      <c r="G31" s="242" t="s">
        <v>877</v>
      </c>
      <c r="H31" s="243">
        <v>1</v>
      </c>
      <c r="I31" s="243" t="s">
        <v>200</v>
      </c>
      <c r="J31" s="492" t="s">
        <v>217</v>
      </c>
      <c r="K31" s="312"/>
      <c r="L31" s="236" t="s">
        <v>134</v>
      </c>
      <c r="M31" s="253"/>
      <c r="N31" s="314"/>
      <c r="O31" s="233"/>
      <c r="P31" s="314"/>
      <c r="Q31" s="254" t="s">
        <v>134</v>
      </c>
      <c r="R31" s="253" t="s">
        <v>134</v>
      </c>
      <c r="S31" s="255"/>
      <c r="T31" s="253"/>
      <c r="U31" s="237"/>
      <c r="V31" s="261"/>
      <c r="W31" s="314"/>
      <c r="X31" s="254"/>
      <c r="Y31" s="256"/>
      <c r="Z31" s="253"/>
      <c r="AA31" s="255"/>
      <c r="AB31" s="256"/>
      <c r="AC31" s="253"/>
      <c r="AD31" s="312"/>
      <c r="AE31" s="1224" t="str">
        <f t="shared" si="1"/>
        <v>0x00 ~ 0x83 (0~6.55V)</v>
      </c>
      <c r="AF31" s="312"/>
      <c r="AG31" s="245">
        <v>0</v>
      </c>
      <c r="AH31" s="246">
        <v>0.05</v>
      </c>
      <c r="AI31" s="318" t="s">
        <v>750</v>
      </c>
      <c r="AJ31" s="1222" t="s">
        <v>2439</v>
      </c>
      <c r="AK31" s="334">
        <f t="shared" si="2"/>
        <v>0</v>
      </c>
      <c r="AL31" s="1223">
        <f t="shared" si="3"/>
        <v>6.5500000000000007</v>
      </c>
      <c r="AM31" s="246" t="s">
        <v>752</v>
      </c>
      <c r="AN31" s="242"/>
      <c r="AO31" s="312"/>
      <c r="AP31" s="482" t="s">
        <v>855</v>
      </c>
      <c r="AQ31" s="594" t="s">
        <v>218</v>
      </c>
      <c r="AR31" s="929"/>
      <c r="AS31" s="594" t="s">
        <v>1430</v>
      </c>
      <c r="AT31" s="594" t="s">
        <v>1431</v>
      </c>
      <c r="AU31" s="594" t="s">
        <v>1432</v>
      </c>
      <c r="AV31" s="594" t="s">
        <v>1745</v>
      </c>
    </row>
    <row r="32" spans="2:48" s="252" customFormat="1" ht="26.4" hidden="1">
      <c r="B32" s="1218" t="s">
        <v>2450</v>
      </c>
      <c r="C32" s="248" t="s">
        <v>134</v>
      </c>
      <c r="D32" s="248" t="s">
        <v>134</v>
      </c>
      <c r="E32" s="312"/>
      <c r="F32" s="233" t="s">
        <v>878</v>
      </c>
      <c r="G32" s="242" t="s">
        <v>879</v>
      </c>
      <c r="H32" s="243">
        <v>1</v>
      </c>
      <c r="I32" s="243" t="s">
        <v>200</v>
      </c>
      <c r="J32" s="492" t="s">
        <v>219</v>
      </c>
      <c r="K32" s="312"/>
      <c r="L32" s="236" t="s">
        <v>134</v>
      </c>
      <c r="M32" s="253"/>
      <c r="N32" s="314"/>
      <c r="O32" s="233"/>
      <c r="P32" s="314"/>
      <c r="Q32" s="254" t="s">
        <v>134</v>
      </c>
      <c r="R32" s="253" t="s">
        <v>134</v>
      </c>
      <c r="S32" s="255"/>
      <c r="T32" s="253"/>
      <c r="U32" s="237"/>
      <c r="V32" s="261"/>
      <c r="W32" s="314"/>
      <c r="X32" s="254"/>
      <c r="Y32" s="256"/>
      <c r="Z32" s="253"/>
      <c r="AA32" s="255"/>
      <c r="AB32" s="256"/>
      <c r="AC32" s="253"/>
      <c r="AD32" s="312"/>
      <c r="AE32" s="1224" t="str">
        <f t="shared" si="1"/>
        <v>0x00 ~ 0x83 (0~6.55V)</v>
      </c>
      <c r="AF32" s="312"/>
      <c r="AG32" s="245">
        <v>0</v>
      </c>
      <c r="AH32" s="246">
        <v>0.05</v>
      </c>
      <c r="AI32" s="318" t="s">
        <v>750</v>
      </c>
      <c r="AJ32" s="1222" t="s">
        <v>2439</v>
      </c>
      <c r="AK32" s="334">
        <f t="shared" si="2"/>
        <v>0</v>
      </c>
      <c r="AL32" s="1223">
        <f t="shared" si="3"/>
        <v>6.5500000000000007</v>
      </c>
      <c r="AM32" s="246" t="s">
        <v>752</v>
      </c>
      <c r="AN32" s="242"/>
      <c r="AO32" s="312"/>
      <c r="AP32" s="482" t="s">
        <v>855</v>
      </c>
      <c r="AQ32" s="594" t="s">
        <v>220</v>
      </c>
      <c r="AR32" s="929"/>
      <c r="AS32" s="594" t="s">
        <v>1433</v>
      </c>
      <c r="AT32" s="594" t="s">
        <v>1434</v>
      </c>
      <c r="AU32" s="594" t="s">
        <v>1435</v>
      </c>
      <c r="AV32" s="594" t="s">
        <v>1745</v>
      </c>
    </row>
    <row r="33" spans="2:48" s="252" customFormat="1" ht="26.4" hidden="1">
      <c r="B33" s="810"/>
      <c r="C33" s="502" t="s">
        <v>1714</v>
      </c>
      <c r="D33" s="248" t="s">
        <v>882</v>
      </c>
      <c r="E33" s="312"/>
      <c r="F33" s="233" t="s">
        <v>880</v>
      </c>
      <c r="G33" s="242" t="s">
        <v>881</v>
      </c>
      <c r="H33" s="243">
        <v>1</v>
      </c>
      <c r="I33" s="243" t="s">
        <v>200</v>
      </c>
      <c r="J33" s="244" t="s">
        <v>221</v>
      </c>
      <c r="K33" s="312"/>
      <c r="L33" s="236" t="s">
        <v>134</v>
      </c>
      <c r="M33" s="253"/>
      <c r="N33" s="314"/>
      <c r="O33" s="233"/>
      <c r="P33" s="314"/>
      <c r="Q33" s="254" t="s">
        <v>134</v>
      </c>
      <c r="R33" s="253" t="s">
        <v>134</v>
      </c>
      <c r="S33" s="255"/>
      <c r="T33" s="253"/>
      <c r="U33" s="237"/>
      <c r="V33" s="261"/>
      <c r="W33" s="314"/>
      <c r="X33" s="254"/>
      <c r="Y33" s="256"/>
      <c r="Z33" s="253"/>
      <c r="AA33" s="255"/>
      <c r="AB33" s="256"/>
      <c r="AC33" s="253"/>
      <c r="AD33" s="312"/>
      <c r="AE33" s="242" t="str">
        <f t="shared" si="1"/>
        <v>0x00 ~ 0xFA (0~12.5V)
0xFF: Not equipped</v>
      </c>
      <c r="AF33" s="312"/>
      <c r="AG33" s="245">
        <v>0</v>
      </c>
      <c r="AH33" s="246">
        <v>0.05</v>
      </c>
      <c r="AI33" s="318" t="s">
        <v>750</v>
      </c>
      <c r="AJ33" s="319" t="s">
        <v>753</v>
      </c>
      <c r="AK33" s="334">
        <f t="shared" si="2"/>
        <v>0</v>
      </c>
      <c r="AL33" s="336">
        <f t="shared" si="3"/>
        <v>12.5</v>
      </c>
      <c r="AM33" s="246" t="s">
        <v>752</v>
      </c>
      <c r="AN33" s="242" t="s">
        <v>754</v>
      </c>
      <c r="AO33" s="312"/>
      <c r="AP33" s="482" t="s">
        <v>855</v>
      </c>
      <c r="AQ33" s="482" t="s">
        <v>222</v>
      </c>
      <c r="AS33" s="504" t="s">
        <v>1406</v>
      </c>
      <c r="AT33" s="504" t="s">
        <v>1406</v>
      </c>
      <c r="AU33" s="504" t="s">
        <v>1406</v>
      </c>
      <c r="AV33" s="504" t="s">
        <v>1406</v>
      </c>
    </row>
    <row r="34" spans="2:48" s="252" customFormat="1" ht="26.4" hidden="1">
      <c r="B34" s="810"/>
      <c r="C34" s="502" t="s">
        <v>1714</v>
      </c>
      <c r="D34" s="248" t="s">
        <v>882</v>
      </c>
      <c r="E34" s="312"/>
      <c r="F34" s="233" t="s">
        <v>883</v>
      </c>
      <c r="G34" s="242" t="s">
        <v>884</v>
      </c>
      <c r="H34" s="243">
        <v>1</v>
      </c>
      <c r="I34" s="243" t="s">
        <v>200</v>
      </c>
      <c r="J34" s="244" t="s">
        <v>223</v>
      </c>
      <c r="K34" s="312"/>
      <c r="L34" s="236" t="s">
        <v>134</v>
      </c>
      <c r="M34" s="253"/>
      <c r="N34" s="314"/>
      <c r="O34" s="233"/>
      <c r="P34" s="314"/>
      <c r="Q34" s="254" t="s">
        <v>134</v>
      </c>
      <c r="R34" s="253" t="s">
        <v>134</v>
      </c>
      <c r="S34" s="255"/>
      <c r="T34" s="253"/>
      <c r="U34" s="237"/>
      <c r="V34" s="261"/>
      <c r="W34" s="314"/>
      <c r="X34" s="254"/>
      <c r="Y34" s="256"/>
      <c r="Z34" s="253"/>
      <c r="AA34" s="255"/>
      <c r="AB34" s="256"/>
      <c r="AC34" s="253"/>
      <c r="AD34" s="312"/>
      <c r="AE34" s="242" t="str">
        <f t="shared" si="1"/>
        <v>0x00 ~ 0xFA (0~12.5V)
0xFF: Not equipped</v>
      </c>
      <c r="AF34" s="312"/>
      <c r="AG34" s="245">
        <v>0</v>
      </c>
      <c r="AH34" s="246">
        <v>0.05</v>
      </c>
      <c r="AI34" s="318" t="s">
        <v>750</v>
      </c>
      <c r="AJ34" s="319" t="s">
        <v>753</v>
      </c>
      <c r="AK34" s="334">
        <f t="shared" si="2"/>
        <v>0</v>
      </c>
      <c r="AL34" s="336">
        <f t="shared" si="3"/>
        <v>12.5</v>
      </c>
      <c r="AM34" s="246" t="s">
        <v>752</v>
      </c>
      <c r="AN34" s="242" t="s">
        <v>754</v>
      </c>
      <c r="AO34" s="312"/>
      <c r="AP34" s="482" t="s">
        <v>855</v>
      </c>
      <c r="AQ34" s="482" t="s">
        <v>224</v>
      </c>
      <c r="AS34" s="504" t="s">
        <v>1406</v>
      </c>
      <c r="AT34" s="504" t="s">
        <v>1406</v>
      </c>
      <c r="AU34" s="504" t="s">
        <v>1406</v>
      </c>
      <c r="AV34" s="504" t="s">
        <v>1406</v>
      </c>
    </row>
    <row r="35" spans="2:48" s="252" customFormat="1" ht="26.4" hidden="1">
      <c r="B35" s="810"/>
      <c r="C35" s="502" t="s">
        <v>1714</v>
      </c>
      <c r="D35" s="248" t="s">
        <v>882</v>
      </c>
      <c r="E35" s="312"/>
      <c r="F35" s="233" t="s">
        <v>885</v>
      </c>
      <c r="G35" s="242" t="s">
        <v>886</v>
      </c>
      <c r="H35" s="243">
        <v>1</v>
      </c>
      <c r="I35" s="243" t="s">
        <v>200</v>
      </c>
      <c r="J35" s="244" t="s">
        <v>225</v>
      </c>
      <c r="K35" s="312"/>
      <c r="L35" s="236" t="s">
        <v>134</v>
      </c>
      <c r="M35" s="253"/>
      <c r="N35" s="314"/>
      <c r="O35" s="233"/>
      <c r="P35" s="314"/>
      <c r="Q35" s="254" t="s">
        <v>134</v>
      </c>
      <c r="R35" s="253" t="s">
        <v>134</v>
      </c>
      <c r="S35" s="255"/>
      <c r="T35" s="253"/>
      <c r="U35" s="237"/>
      <c r="V35" s="261"/>
      <c r="W35" s="314"/>
      <c r="X35" s="254"/>
      <c r="Y35" s="256"/>
      <c r="Z35" s="253"/>
      <c r="AA35" s="255"/>
      <c r="AB35" s="256"/>
      <c r="AC35" s="253"/>
      <c r="AD35" s="312"/>
      <c r="AE35" s="242" t="str">
        <f t="shared" si="1"/>
        <v>0x00 ~ 0xFA (0~12.5V)
0xFF: Not equipped</v>
      </c>
      <c r="AF35" s="312"/>
      <c r="AG35" s="245">
        <v>0</v>
      </c>
      <c r="AH35" s="246">
        <v>0.05</v>
      </c>
      <c r="AI35" s="318" t="s">
        <v>750</v>
      </c>
      <c r="AJ35" s="319" t="s">
        <v>753</v>
      </c>
      <c r="AK35" s="334">
        <f t="shared" si="2"/>
        <v>0</v>
      </c>
      <c r="AL35" s="336">
        <f t="shared" si="3"/>
        <v>12.5</v>
      </c>
      <c r="AM35" s="246" t="s">
        <v>752</v>
      </c>
      <c r="AN35" s="242" t="s">
        <v>754</v>
      </c>
      <c r="AO35" s="312"/>
      <c r="AP35" s="482" t="s">
        <v>855</v>
      </c>
      <c r="AQ35" s="482" t="s">
        <v>226</v>
      </c>
      <c r="AS35" s="504" t="s">
        <v>1406</v>
      </c>
      <c r="AT35" s="504" t="s">
        <v>1406</v>
      </c>
      <c r="AU35" s="504" t="s">
        <v>1406</v>
      </c>
      <c r="AV35" s="504" t="s">
        <v>1406</v>
      </c>
    </row>
    <row r="36" spans="2:48" s="252" customFormat="1" hidden="1">
      <c r="B36" s="1218" t="s">
        <v>2450</v>
      </c>
      <c r="C36" s="248" t="s">
        <v>134</v>
      </c>
      <c r="D36" s="248" t="s">
        <v>134</v>
      </c>
      <c r="E36" s="312"/>
      <c r="F36" s="233" t="s">
        <v>887</v>
      </c>
      <c r="G36" s="242" t="s">
        <v>2347</v>
      </c>
      <c r="H36" s="243">
        <v>1</v>
      </c>
      <c r="I36" s="243" t="s">
        <v>200</v>
      </c>
      <c r="J36" s="492" t="s">
        <v>227</v>
      </c>
      <c r="K36" s="312"/>
      <c r="L36" s="236" t="s">
        <v>134</v>
      </c>
      <c r="M36" s="253"/>
      <c r="N36" s="314"/>
      <c r="O36" s="233"/>
      <c r="P36" s="314"/>
      <c r="Q36" s="254" t="s">
        <v>134</v>
      </c>
      <c r="R36" s="253" t="s">
        <v>134</v>
      </c>
      <c r="S36" s="255"/>
      <c r="T36" s="253"/>
      <c r="U36" s="237"/>
      <c r="V36" s="261"/>
      <c r="W36" s="314"/>
      <c r="X36" s="254"/>
      <c r="Y36" s="256"/>
      <c r="Z36" s="253"/>
      <c r="AA36" s="255"/>
      <c r="AB36" s="256"/>
      <c r="AC36" s="253"/>
      <c r="AD36" s="312"/>
      <c r="AE36" s="1224" t="str">
        <f t="shared" si="1"/>
        <v>0x00 ~ 0x83 (0~6.55V)</v>
      </c>
      <c r="AF36" s="312"/>
      <c r="AG36" s="245">
        <v>0</v>
      </c>
      <c r="AH36" s="246">
        <v>0.05</v>
      </c>
      <c r="AI36" s="318" t="s">
        <v>750</v>
      </c>
      <c r="AJ36" s="1222" t="s">
        <v>2439</v>
      </c>
      <c r="AK36" s="334">
        <f t="shared" si="2"/>
        <v>0</v>
      </c>
      <c r="AL36" s="1223">
        <f t="shared" si="3"/>
        <v>6.5500000000000007</v>
      </c>
      <c r="AM36" s="246" t="s">
        <v>752</v>
      </c>
      <c r="AN36" s="242"/>
      <c r="AO36" s="312"/>
      <c r="AP36" s="482" t="s">
        <v>855</v>
      </c>
      <c r="AQ36" s="594" t="s">
        <v>1436</v>
      </c>
      <c r="AR36" s="929"/>
      <c r="AS36" s="594" t="s">
        <v>1437</v>
      </c>
      <c r="AT36" s="594" t="s">
        <v>1438</v>
      </c>
      <c r="AU36" s="594" t="s">
        <v>2421</v>
      </c>
      <c r="AV36" s="930" t="s">
        <v>1246</v>
      </c>
    </row>
    <row r="37" spans="2:48" s="252" customFormat="1" hidden="1">
      <c r="B37" s="1218" t="s">
        <v>2450</v>
      </c>
      <c r="C37" s="248" t="s">
        <v>134</v>
      </c>
      <c r="D37" s="248" t="s">
        <v>134</v>
      </c>
      <c r="E37" s="312"/>
      <c r="F37" s="233" t="s">
        <v>888</v>
      </c>
      <c r="G37" s="242" t="s">
        <v>2348</v>
      </c>
      <c r="H37" s="243">
        <v>1</v>
      </c>
      <c r="I37" s="243" t="s">
        <v>200</v>
      </c>
      <c r="J37" s="492" t="s">
        <v>229</v>
      </c>
      <c r="K37" s="312"/>
      <c r="L37" s="236" t="s">
        <v>134</v>
      </c>
      <c r="M37" s="253"/>
      <c r="N37" s="314"/>
      <c r="O37" s="233"/>
      <c r="P37" s="314"/>
      <c r="Q37" s="254" t="s">
        <v>134</v>
      </c>
      <c r="R37" s="253" t="s">
        <v>134</v>
      </c>
      <c r="S37" s="255"/>
      <c r="T37" s="253"/>
      <c r="U37" s="237"/>
      <c r="V37" s="261"/>
      <c r="W37" s="314"/>
      <c r="X37" s="254"/>
      <c r="Y37" s="256"/>
      <c r="Z37" s="253"/>
      <c r="AA37" s="255"/>
      <c r="AB37" s="256"/>
      <c r="AC37" s="253"/>
      <c r="AD37" s="312"/>
      <c r="AE37" s="1224" t="str">
        <f t="shared" si="1"/>
        <v>0x00 ~ 0x83 (0~6.55V)</v>
      </c>
      <c r="AF37" s="312"/>
      <c r="AG37" s="245">
        <v>0</v>
      </c>
      <c r="AH37" s="246">
        <v>0.05</v>
      </c>
      <c r="AI37" s="318" t="s">
        <v>750</v>
      </c>
      <c r="AJ37" s="1222" t="s">
        <v>2439</v>
      </c>
      <c r="AK37" s="334">
        <f t="shared" si="2"/>
        <v>0</v>
      </c>
      <c r="AL37" s="1223">
        <f t="shared" si="3"/>
        <v>6.5500000000000007</v>
      </c>
      <c r="AM37" s="246" t="s">
        <v>752</v>
      </c>
      <c r="AN37" s="242"/>
      <c r="AO37" s="312"/>
      <c r="AP37" s="482" t="s">
        <v>855</v>
      </c>
      <c r="AQ37" s="594" t="s">
        <v>1751</v>
      </c>
      <c r="AR37" s="929"/>
      <c r="AS37" s="594" t="s">
        <v>1492</v>
      </c>
      <c r="AT37" s="594" t="s">
        <v>1493</v>
      </c>
      <c r="AU37" s="594" t="s">
        <v>2422</v>
      </c>
      <c r="AV37" s="930" t="s">
        <v>1246</v>
      </c>
    </row>
    <row r="38" spans="2:48" s="252" customFormat="1" hidden="1">
      <c r="B38" s="1218" t="s">
        <v>2450</v>
      </c>
      <c r="C38" s="248" t="s">
        <v>134</v>
      </c>
      <c r="D38" s="248" t="s">
        <v>134</v>
      </c>
      <c r="E38" s="312"/>
      <c r="F38" s="233" t="s">
        <v>889</v>
      </c>
      <c r="G38" s="242" t="s">
        <v>2349</v>
      </c>
      <c r="H38" s="243">
        <v>1</v>
      </c>
      <c r="I38" s="243" t="s">
        <v>200</v>
      </c>
      <c r="J38" s="492" t="s">
        <v>230</v>
      </c>
      <c r="K38" s="312"/>
      <c r="L38" s="236" t="s">
        <v>134</v>
      </c>
      <c r="M38" s="253"/>
      <c r="N38" s="314"/>
      <c r="O38" s="233"/>
      <c r="P38" s="314"/>
      <c r="Q38" s="254" t="s">
        <v>134</v>
      </c>
      <c r="R38" s="253" t="s">
        <v>134</v>
      </c>
      <c r="S38" s="255"/>
      <c r="T38" s="253"/>
      <c r="U38" s="237"/>
      <c r="V38" s="261"/>
      <c r="W38" s="314"/>
      <c r="X38" s="254"/>
      <c r="Y38" s="256"/>
      <c r="Z38" s="253"/>
      <c r="AA38" s="255"/>
      <c r="AB38" s="256"/>
      <c r="AC38" s="253"/>
      <c r="AD38" s="312"/>
      <c r="AE38" s="1224" t="str">
        <f t="shared" si="1"/>
        <v>0x00 ~ 0x83 (0~6.55V)</v>
      </c>
      <c r="AF38" s="312"/>
      <c r="AG38" s="245">
        <v>0</v>
      </c>
      <c r="AH38" s="246">
        <v>0.05</v>
      </c>
      <c r="AI38" s="318" t="s">
        <v>750</v>
      </c>
      <c r="AJ38" s="1222" t="s">
        <v>2439</v>
      </c>
      <c r="AK38" s="334">
        <f t="shared" si="2"/>
        <v>0</v>
      </c>
      <c r="AL38" s="1223">
        <f t="shared" si="3"/>
        <v>6.5500000000000007</v>
      </c>
      <c r="AM38" s="246" t="s">
        <v>752</v>
      </c>
      <c r="AN38" s="242"/>
      <c r="AO38" s="312"/>
      <c r="AP38" s="482" t="s">
        <v>855</v>
      </c>
      <c r="AQ38" s="594" t="s">
        <v>1440</v>
      </c>
      <c r="AR38" s="929"/>
      <c r="AS38" s="594" t="s">
        <v>1441</v>
      </c>
      <c r="AT38" s="594" t="s">
        <v>1442</v>
      </c>
      <c r="AU38" s="594" t="s">
        <v>2423</v>
      </c>
      <c r="AV38" s="930" t="s">
        <v>1246</v>
      </c>
    </row>
    <row r="39" spans="2:48" s="252" customFormat="1" ht="26.4" hidden="1">
      <c r="B39" s="810"/>
      <c r="C39" s="502" t="s">
        <v>1714</v>
      </c>
      <c r="D39" s="248" t="s">
        <v>882</v>
      </c>
      <c r="E39" s="312"/>
      <c r="F39" s="233" t="s">
        <v>890</v>
      </c>
      <c r="G39" s="242" t="s">
        <v>891</v>
      </c>
      <c r="H39" s="243">
        <v>1</v>
      </c>
      <c r="I39" s="243" t="s">
        <v>200</v>
      </c>
      <c r="J39" s="244" t="s">
        <v>231</v>
      </c>
      <c r="K39" s="312"/>
      <c r="L39" s="236" t="s">
        <v>134</v>
      </c>
      <c r="M39" s="253"/>
      <c r="N39" s="314"/>
      <c r="O39" s="233"/>
      <c r="P39" s="314"/>
      <c r="Q39" s="254" t="s">
        <v>134</v>
      </c>
      <c r="R39" s="253" t="s">
        <v>134</v>
      </c>
      <c r="S39" s="255"/>
      <c r="T39" s="253"/>
      <c r="U39" s="237"/>
      <c r="V39" s="261"/>
      <c r="W39" s="314"/>
      <c r="X39" s="254"/>
      <c r="Y39" s="256"/>
      <c r="Z39" s="253"/>
      <c r="AA39" s="255"/>
      <c r="AB39" s="256"/>
      <c r="AC39" s="253"/>
      <c r="AD39" s="312"/>
      <c r="AE39" s="242" t="str">
        <f t="shared" si="1"/>
        <v>0x00 ~ 0xFA (0~12.5V)
0xFF: Not equipped</v>
      </c>
      <c r="AF39" s="312"/>
      <c r="AG39" s="245">
        <v>0</v>
      </c>
      <c r="AH39" s="246">
        <v>0.05</v>
      </c>
      <c r="AI39" s="318" t="s">
        <v>750</v>
      </c>
      <c r="AJ39" s="319" t="s">
        <v>753</v>
      </c>
      <c r="AK39" s="334">
        <f t="shared" si="2"/>
        <v>0</v>
      </c>
      <c r="AL39" s="336">
        <f t="shared" si="3"/>
        <v>12.5</v>
      </c>
      <c r="AM39" s="246" t="s">
        <v>752</v>
      </c>
      <c r="AN39" s="242" t="s">
        <v>754</v>
      </c>
      <c r="AO39" s="312"/>
      <c r="AP39" s="482" t="s">
        <v>855</v>
      </c>
      <c r="AQ39" s="482" t="s">
        <v>232</v>
      </c>
      <c r="AS39" s="504" t="s">
        <v>1406</v>
      </c>
      <c r="AT39" s="504" t="s">
        <v>1406</v>
      </c>
      <c r="AU39" s="504" t="s">
        <v>1406</v>
      </c>
      <c r="AV39" s="504" t="s">
        <v>1406</v>
      </c>
    </row>
    <row r="40" spans="2:48" s="252" customFormat="1" ht="26.4" hidden="1">
      <c r="B40" s="1218" t="s">
        <v>2450</v>
      </c>
      <c r="C40" s="248" t="s">
        <v>134</v>
      </c>
      <c r="D40" s="248" t="s">
        <v>134</v>
      </c>
      <c r="E40" s="312"/>
      <c r="F40" s="233" t="s">
        <v>892</v>
      </c>
      <c r="G40" s="242" t="s">
        <v>893</v>
      </c>
      <c r="H40" s="243">
        <v>1</v>
      </c>
      <c r="I40" s="243" t="s">
        <v>200</v>
      </c>
      <c r="J40" s="492" t="s">
        <v>233</v>
      </c>
      <c r="K40" s="312"/>
      <c r="L40" s="236" t="s">
        <v>134</v>
      </c>
      <c r="M40" s="253"/>
      <c r="N40" s="314"/>
      <c r="O40" s="233"/>
      <c r="P40" s="314"/>
      <c r="Q40" s="254" t="s">
        <v>134</v>
      </c>
      <c r="R40" s="253" t="s">
        <v>134</v>
      </c>
      <c r="S40" s="255"/>
      <c r="T40" s="253"/>
      <c r="U40" s="237"/>
      <c r="V40" s="261"/>
      <c r="W40" s="314"/>
      <c r="X40" s="254"/>
      <c r="Y40" s="256"/>
      <c r="Z40" s="253"/>
      <c r="AA40" s="255"/>
      <c r="AB40" s="256"/>
      <c r="AC40" s="253"/>
      <c r="AD40" s="312"/>
      <c r="AE40" s="1224" t="str">
        <f t="shared" si="1"/>
        <v>0x00 ~ 0x83 (0~6.55V)</v>
      </c>
      <c r="AF40" s="312"/>
      <c r="AG40" s="245">
        <v>0</v>
      </c>
      <c r="AH40" s="246">
        <v>0.05</v>
      </c>
      <c r="AI40" s="318" t="s">
        <v>750</v>
      </c>
      <c r="AJ40" s="1222" t="s">
        <v>2439</v>
      </c>
      <c r="AK40" s="334">
        <f t="shared" si="2"/>
        <v>0</v>
      </c>
      <c r="AL40" s="1223">
        <f t="shared" si="3"/>
        <v>6.5500000000000007</v>
      </c>
      <c r="AM40" s="246" t="s">
        <v>752</v>
      </c>
      <c r="AN40" s="242"/>
      <c r="AO40" s="312"/>
      <c r="AP40" s="482" t="s">
        <v>855</v>
      </c>
      <c r="AQ40" s="594" t="s">
        <v>1752</v>
      </c>
      <c r="AR40" s="929"/>
      <c r="AS40" s="594" t="s">
        <v>1746</v>
      </c>
      <c r="AT40" s="930" t="s">
        <v>1246</v>
      </c>
      <c r="AU40" s="594" t="s">
        <v>1747</v>
      </c>
      <c r="AV40" s="594" t="s">
        <v>1748</v>
      </c>
    </row>
    <row r="41" spans="2:48" s="252" customFormat="1" ht="26.4" hidden="1">
      <c r="B41" s="1218" t="s">
        <v>2450</v>
      </c>
      <c r="C41" s="248" t="s">
        <v>134</v>
      </c>
      <c r="D41" s="248" t="s">
        <v>134</v>
      </c>
      <c r="E41" s="312"/>
      <c r="F41" s="233" t="s">
        <v>894</v>
      </c>
      <c r="G41" s="242" t="s">
        <v>895</v>
      </c>
      <c r="H41" s="243">
        <v>1</v>
      </c>
      <c r="I41" s="243" t="s">
        <v>200</v>
      </c>
      <c r="J41" s="492" t="s">
        <v>234</v>
      </c>
      <c r="K41" s="312"/>
      <c r="L41" s="236" t="s">
        <v>134</v>
      </c>
      <c r="M41" s="253"/>
      <c r="N41" s="314"/>
      <c r="O41" s="233"/>
      <c r="P41" s="314"/>
      <c r="Q41" s="254" t="s">
        <v>134</v>
      </c>
      <c r="R41" s="253" t="s">
        <v>134</v>
      </c>
      <c r="S41" s="255"/>
      <c r="T41" s="253"/>
      <c r="U41" s="237"/>
      <c r="V41" s="261"/>
      <c r="W41" s="314"/>
      <c r="X41" s="254"/>
      <c r="Y41" s="256"/>
      <c r="Z41" s="253"/>
      <c r="AA41" s="255"/>
      <c r="AB41" s="256"/>
      <c r="AC41" s="253"/>
      <c r="AD41" s="312"/>
      <c r="AE41" s="1224" t="str">
        <f t="shared" si="1"/>
        <v>0x00 ~ 0x83 (0~6.55V)</v>
      </c>
      <c r="AF41" s="312"/>
      <c r="AG41" s="245">
        <v>0</v>
      </c>
      <c r="AH41" s="246">
        <v>0.05</v>
      </c>
      <c r="AI41" s="318" t="s">
        <v>750</v>
      </c>
      <c r="AJ41" s="1222" t="s">
        <v>2439</v>
      </c>
      <c r="AK41" s="334">
        <f t="shared" si="2"/>
        <v>0</v>
      </c>
      <c r="AL41" s="1223">
        <f t="shared" si="3"/>
        <v>6.5500000000000007</v>
      </c>
      <c r="AM41" s="246" t="s">
        <v>752</v>
      </c>
      <c r="AN41" s="242"/>
      <c r="AO41" s="312"/>
      <c r="AP41" s="482" t="s">
        <v>855</v>
      </c>
      <c r="AQ41" s="594" t="s">
        <v>1444</v>
      </c>
      <c r="AR41" s="929"/>
      <c r="AS41" s="594" t="s">
        <v>1749</v>
      </c>
      <c r="AT41" s="930" t="s">
        <v>1246</v>
      </c>
      <c r="AU41" s="594" t="s">
        <v>1750</v>
      </c>
      <c r="AV41" s="594" t="s">
        <v>1748</v>
      </c>
    </row>
    <row r="42" spans="2:48" s="252" customFormat="1" hidden="1">
      <c r="B42" s="810"/>
      <c r="C42" s="248" t="s">
        <v>898</v>
      </c>
      <c r="D42" s="502"/>
      <c r="E42" s="312"/>
      <c r="F42" s="233" t="s">
        <v>896</v>
      </c>
      <c r="G42" s="242" t="s">
        <v>897</v>
      </c>
      <c r="H42" s="243">
        <v>1</v>
      </c>
      <c r="I42" s="243" t="s">
        <v>200</v>
      </c>
      <c r="J42" s="492" t="s">
        <v>235</v>
      </c>
      <c r="K42" s="312"/>
      <c r="L42" s="236" t="s">
        <v>134</v>
      </c>
      <c r="M42" s="253"/>
      <c r="N42" s="314"/>
      <c r="O42" s="233"/>
      <c r="P42" s="314"/>
      <c r="Q42" s="254" t="s">
        <v>134</v>
      </c>
      <c r="R42" s="253" t="s">
        <v>134</v>
      </c>
      <c r="S42" s="255"/>
      <c r="T42" s="253"/>
      <c r="U42" s="237"/>
      <c r="V42" s="261"/>
      <c r="W42" s="314"/>
      <c r="X42" s="254"/>
      <c r="Y42" s="256"/>
      <c r="Z42" s="253"/>
      <c r="AA42" s="255"/>
      <c r="AB42" s="256"/>
      <c r="AC42" s="253"/>
      <c r="AD42" s="312"/>
      <c r="AE42" s="242" t="str">
        <f t="shared" si="1"/>
        <v>0x00 ~ 0xFA (0~12.5V)</v>
      </c>
      <c r="AF42" s="312"/>
      <c r="AG42" s="245">
        <v>0</v>
      </c>
      <c r="AH42" s="246">
        <v>0.05</v>
      </c>
      <c r="AI42" s="318" t="s">
        <v>750</v>
      </c>
      <c r="AJ42" s="319" t="s">
        <v>753</v>
      </c>
      <c r="AK42" s="334">
        <f t="shared" si="2"/>
        <v>0</v>
      </c>
      <c r="AL42" s="336">
        <f t="shared" si="3"/>
        <v>12.5</v>
      </c>
      <c r="AM42" s="246" t="s">
        <v>752</v>
      </c>
      <c r="AN42" s="242"/>
      <c r="AO42" s="312"/>
      <c r="AP42" s="482" t="s">
        <v>855</v>
      </c>
      <c r="AQ42" s="594" t="s">
        <v>1753</v>
      </c>
      <c r="AR42" s="929"/>
      <c r="AS42" s="594" t="s">
        <v>1754</v>
      </c>
      <c r="AT42" s="930" t="s">
        <v>1246</v>
      </c>
      <c r="AU42" s="930" t="s">
        <v>1246</v>
      </c>
      <c r="AV42" s="594" t="s">
        <v>1755</v>
      </c>
    </row>
    <row r="43" spans="2:48" s="252" customFormat="1" hidden="1">
      <c r="B43" s="810"/>
      <c r="C43" s="248" t="s">
        <v>898</v>
      </c>
      <c r="D43" s="502"/>
      <c r="E43" s="312"/>
      <c r="F43" s="233" t="s">
        <v>899</v>
      </c>
      <c r="G43" s="242" t="s">
        <v>900</v>
      </c>
      <c r="H43" s="243">
        <v>1</v>
      </c>
      <c r="I43" s="243" t="s">
        <v>200</v>
      </c>
      <c r="J43" s="492" t="s">
        <v>236</v>
      </c>
      <c r="K43" s="312"/>
      <c r="L43" s="236" t="s">
        <v>134</v>
      </c>
      <c r="M43" s="253"/>
      <c r="N43" s="314"/>
      <c r="O43" s="233"/>
      <c r="P43" s="314"/>
      <c r="Q43" s="254" t="s">
        <v>134</v>
      </c>
      <c r="R43" s="253" t="s">
        <v>134</v>
      </c>
      <c r="S43" s="255"/>
      <c r="T43" s="253"/>
      <c r="U43" s="237"/>
      <c r="V43" s="261"/>
      <c r="W43" s="314"/>
      <c r="X43" s="254"/>
      <c r="Y43" s="256"/>
      <c r="Z43" s="253"/>
      <c r="AA43" s="255"/>
      <c r="AB43" s="256"/>
      <c r="AC43" s="253"/>
      <c r="AD43" s="312"/>
      <c r="AE43" s="242" t="str">
        <f t="shared" si="1"/>
        <v>0x00 ~ 0xFA (0~12.5V)</v>
      </c>
      <c r="AF43" s="312"/>
      <c r="AG43" s="245">
        <v>0</v>
      </c>
      <c r="AH43" s="246">
        <v>0.05</v>
      </c>
      <c r="AI43" s="318" t="s">
        <v>750</v>
      </c>
      <c r="AJ43" s="319" t="s">
        <v>753</v>
      </c>
      <c r="AK43" s="334">
        <f t="shared" si="2"/>
        <v>0</v>
      </c>
      <c r="AL43" s="336">
        <f t="shared" si="3"/>
        <v>12.5</v>
      </c>
      <c r="AM43" s="246" t="s">
        <v>752</v>
      </c>
      <c r="AN43" s="242"/>
      <c r="AO43" s="312"/>
      <c r="AP43" s="482" t="s">
        <v>855</v>
      </c>
      <c r="AQ43" s="594" t="s">
        <v>1756</v>
      </c>
      <c r="AR43" s="929"/>
      <c r="AS43" s="930" t="s">
        <v>1246</v>
      </c>
      <c r="AT43" s="930" t="s">
        <v>1246</v>
      </c>
      <c r="AU43" s="930" t="s">
        <v>1246</v>
      </c>
      <c r="AV43" s="594" t="s">
        <v>1755</v>
      </c>
    </row>
    <row r="44" spans="2:48" s="252" customFormat="1" ht="26.4" hidden="1">
      <c r="B44" s="1218" t="s">
        <v>2450</v>
      </c>
      <c r="C44" s="248" t="s">
        <v>134</v>
      </c>
      <c r="D44" s="248" t="s">
        <v>134</v>
      </c>
      <c r="E44" s="312"/>
      <c r="F44" s="233" t="s">
        <v>901</v>
      </c>
      <c r="G44" s="242" t="s">
        <v>902</v>
      </c>
      <c r="H44" s="243">
        <v>1</v>
      </c>
      <c r="I44" s="243" t="s">
        <v>200</v>
      </c>
      <c r="J44" s="492" t="s">
        <v>237</v>
      </c>
      <c r="K44" s="312"/>
      <c r="L44" s="236" t="s">
        <v>134</v>
      </c>
      <c r="M44" s="253"/>
      <c r="N44" s="314"/>
      <c r="O44" s="233"/>
      <c r="P44" s="314"/>
      <c r="Q44" s="254" t="s">
        <v>134</v>
      </c>
      <c r="R44" s="253" t="s">
        <v>134</v>
      </c>
      <c r="S44" s="255"/>
      <c r="T44" s="253"/>
      <c r="U44" s="237"/>
      <c r="V44" s="261"/>
      <c r="W44" s="314"/>
      <c r="X44" s="254"/>
      <c r="Y44" s="256"/>
      <c r="Z44" s="253"/>
      <c r="AA44" s="255"/>
      <c r="AB44" s="256"/>
      <c r="AC44" s="253"/>
      <c r="AD44" s="312"/>
      <c r="AE44" s="1224" t="str">
        <f t="shared" si="1"/>
        <v>0x00 ~ 0x83 (0~6.55V)</v>
      </c>
      <c r="AF44" s="312"/>
      <c r="AG44" s="245">
        <v>0</v>
      </c>
      <c r="AH44" s="246">
        <v>0.05</v>
      </c>
      <c r="AI44" s="318" t="s">
        <v>750</v>
      </c>
      <c r="AJ44" s="1222" t="s">
        <v>2439</v>
      </c>
      <c r="AK44" s="334">
        <f t="shared" si="2"/>
        <v>0</v>
      </c>
      <c r="AL44" s="1223">
        <f t="shared" si="3"/>
        <v>6.5500000000000007</v>
      </c>
      <c r="AM44" s="246" t="s">
        <v>752</v>
      </c>
      <c r="AN44" s="242"/>
      <c r="AO44" s="312"/>
      <c r="AP44" s="482" t="s">
        <v>855</v>
      </c>
      <c r="AQ44" s="594" t="s">
        <v>1757</v>
      </c>
      <c r="AR44" s="929"/>
      <c r="AS44" s="594" t="s">
        <v>1758</v>
      </c>
      <c r="AT44" s="930" t="s">
        <v>1246</v>
      </c>
      <c r="AU44" s="594" t="s">
        <v>2444</v>
      </c>
      <c r="AV44" s="594" t="s">
        <v>1748</v>
      </c>
    </row>
    <row r="45" spans="2:48" hidden="1">
      <c r="B45" s="813" t="s">
        <v>2052</v>
      </c>
      <c r="C45" s="456" t="s">
        <v>1337</v>
      </c>
      <c r="D45" s="456" t="s">
        <v>1337</v>
      </c>
      <c r="F45" s="265" t="s">
        <v>1209</v>
      </c>
      <c r="G45" s="264" t="s">
        <v>1188</v>
      </c>
      <c r="H45" s="456" t="s">
        <v>1590</v>
      </c>
      <c r="I45" s="456" t="s">
        <v>1590</v>
      </c>
      <c r="J45" s="559" t="s">
        <v>1590</v>
      </c>
      <c r="K45" s="313"/>
      <c r="L45" s="560" t="s">
        <v>1590</v>
      </c>
      <c r="M45" s="560" t="s">
        <v>1590</v>
      </c>
      <c r="N45" s="176"/>
      <c r="O45" s="561" t="s">
        <v>1590</v>
      </c>
      <c r="P45" s="176"/>
      <c r="Q45" s="562" t="s">
        <v>1590</v>
      </c>
      <c r="R45" s="562" t="s">
        <v>1590</v>
      </c>
      <c r="S45" s="563" t="s">
        <v>1590</v>
      </c>
      <c r="T45" s="562" t="s">
        <v>1590</v>
      </c>
      <c r="U45" s="563" t="s">
        <v>1590</v>
      </c>
      <c r="V45" s="562" t="s">
        <v>1590</v>
      </c>
      <c r="W45" s="360"/>
      <c r="X45" s="562" t="s">
        <v>1590</v>
      </c>
      <c r="Y45" s="562" t="s">
        <v>1590</v>
      </c>
      <c r="Z45" s="562" t="s">
        <v>1590</v>
      </c>
      <c r="AA45" s="562" t="s">
        <v>1590</v>
      </c>
      <c r="AB45" s="562" t="s">
        <v>1590</v>
      </c>
      <c r="AC45" s="562" t="s">
        <v>1590</v>
      </c>
      <c r="AD45" s="235"/>
      <c r="AE45" s="456" t="s">
        <v>1590</v>
      </c>
      <c r="AG45" s="559" t="s">
        <v>1591</v>
      </c>
      <c r="AH45" s="559" t="s">
        <v>1591</v>
      </c>
      <c r="AI45" s="559" t="s">
        <v>1591</v>
      </c>
      <c r="AJ45" s="559" t="s">
        <v>1591</v>
      </c>
      <c r="AK45" s="559" t="s">
        <v>1591</v>
      </c>
      <c r="AL45" s="559" t="s">
        <v>1591</v>
      </c>
      <c r="AM45" s="559" t="s">
        <v>1591</v>
      </c>
      <c r="AN45" s="559" t="s">
        <v>1591</v>
      </c>
      <c r="AP45" s="456" t="s">
        <v>1590</v>
      </c>
      <c r="AQ45" s="456" t="s">
        <v>1590</v>
      </c>
      <c r="AS45" s="456" t="s">
        <v>1222</v>
      </c>
      <c r="AT45" s="456" t="s">
        <v>1222</v>
      </c>
      <c r="AU45" s="456" t="s">
        <v>1222</v>
      </c>
      <c r="AV45" s="456" t="s">
        <v>1222</v>
      </c>
    </row>
    <row r="46" spans="2:48" s="252" customFormat="1" ht="26.4" hidden="1">
      <c r="B46" s="1218" t="s">
        <v>2450</v>
      </c>
      <c r="C46" s="248" t="s">
        <v>134</v>
      </c>
      <c r="D46" s="502"/>
      <c r="E46" s="312"/>
      <c r="F46" s="233" t="s">
        <v>903</v>
      </c>
      <c r="G46" s="242" t="s">
        <v>904</v>
      </c>
      <c r="H46" s="243">
        <v>1</v>
      </c>
      <c r="I46" s="243" t="s">
        <v>200</v>
      </c>
      <c r="J46" s="492" t="s">
        <v>238</v>
      </c>
      <c r="K46" s="312"/>
      <c r="L46" s="236" t="s">
        <v>134</v>
      </c>
      <c r="M46" s="253"/>
      <c r="N46" s="314"/>
      <c r="O46" s="233"/>
      <c r="P46" s="314"/>
      <c r="Q46" s="254" t="s">
        <v>134</v>
      </c>
      <c r="R46" s="253" t="s">
        <v>134</v>
      </c>
      <c r="S46" s="255"/>
      <c r="T46" s="253"/>
      <c r="U46" s="237"/>
      <c r="V46" s="261"/>
      <c r="W46" s="314"/>
      <c r="X46" s="254"/>
      <c r="Y46" s="256"/>
      <c r="Z46" s="253"/>
      <c r="AA46" s="255"/>
      <c r="AB46" s="256"/>
      <c r="AC46" s="253"/>
      <c r="AD46" s="312"/>
      <c r="AE46" s="1276" t="str">
        <f t="shared" si="1"/>
        <v>0x00 ~ 0xFF (0~510Hz)</v>
      </c>
      <c r="AF46" s="312"/>
      <c r="AG46" s="245">
        <v>0</v>
      </c>
      <c r="AH46" s="246">
        <v>2</v>
      </c>
      <c r="AI46" s="318" t="s">
        <v>750</v>
      </c>
      <c r="AJ46" s="1267" t="s">
        <v>2509</v>
      </c>
      <c r="AK46" s="334">
        <f t="shared" si="2"/>
        <v>0</v>
      </c>
      <c r="AL46" s="1272">
        <f t="shared" si="3"/>
        <v>510</v>
      </c>
      <c r="AM46" s="246" t="s">
        <v>755</v>
      </c>
      <c r="AN46" s="242"/>
      <c r="AO46" s="312"/>
      <c r="AP46" s="482" t="s">
        <v>855</v>
      </c>
      <c r="AQ46" s="594" t="s">
        <v>239</v>
      </c>
      <c r="AR46" s="929"/>
      <c r="AS46" s="594" t="s">
        <v>1445</v>
      </c>
      <c r="AT46" s="594" t="s">
        <v>1446</v>
      </c>
      <c r="AU46" s="594" t="s">
        <v>1760</v>
      </c>
      <c r="AV46" s="594" t="s">
        <v>1759</v>
      </c>
    </row>
    <row r="47" spans="2:48" s="252" customFormat="1" ht="26.4" hidden="1">
      <c r="B47" s="1218" t="s">
        <v>2450</v>
      </c>
      <c r="C47" s="248" t="s">
        <v>134</v>
      </c>
      <c r="D47" s="502"/>
      <c r="E47" s="312"/>
      <c r="F47" s="233" t="s">
        <v>905</v>
      </c>
      <c r="G47" s="242" t="s">
        <v>2350</v>
      </c>
      <c r="H47" s="243">
        <v>1</v>
      </c>
      <c r="I47" s="243" t="s">
        <v>200</v>
      </c>
      <c r="J47" s="492" t="s">
        <v>240</v>
      </c>
      <c r="K47" s="312"/>
      <c r="L47" s="236" t="s">
        <v>134</v>
      </c>
      <c r="M47" s="253"/>
      <c r="N47" s="314"/>
      <c r="O47" s="233"/>
      <c r="P47" s="314"/>
      <c r="Q47" s="254" t="s">
        <v>134</v>
      </c>
      <c r="R47" s="253" t="s">
        <v>134</v>
      </c>
      <c r="S47" s="255"/>
      <c r="T47" s="253"/>
      <c r="U47" s="237"/>
      <c r="V47" s="261"/>
      <c r="W47" s="314"/>
      <c r="X47" s="254"/>
      <c r="Y47" s="256"/>
      <c r="Z47" s="253"/>
      <c r="AA47" s="255"/>
      <c r="AB47" s="256"/>
      <c r="AC47" s="253"/>
      <c r="AD47" s="312"/>
      <c r="AE47" s="1276" t="str">
        <f t="shared" si="1"/>
        <v>0x00 ~ 0xFF (0~127.5%)</v>
      </c>
      <c r="AF47" s="312"/>
      <c r="AG47" s="245">
        <v>0</v>
      </c>
      <c r="AH47" s="246">
        <v>0.5</v>
      </c>
      <c r="AI47" s="318" t="s">
        <v>750</v>
      </c>
      <c r="AJ47" s="1267" t="s">
        <v>2509</v>
      </c>
      <c r="AK47" s="334">
        <f t="shared" si="2"/>
        <v>0</v>
      </c>
      <c r="AL47" s="1272">
        <f t="shared" si="3"/>
        <v>127.5</v>
      </c>
      <c r="AM47" s="246" t="s">
        <v>757</v>
      </c>
      <c r="AN47" s="242"/>
      <c r="AO47" s="312"/>
      <c r="AP47" s="482" t="s">
        <v>855</v>
      </c>
      <c r="AQ47" s="594" t="s">
        <v>239</v>
      </c>
      <c r="AR47" s="929"/>
      <c r="AS47" s="594" t="s">
        <v>1445</v>
      </c>
      <c r="AT47" s="594" t="s">
        <v>1446</v>
      </c>
      <c r="AU47" s="594" t="s">
        <v>1447</v>
      </c>
      <c r="AV47" s="930" t="s">
        <v>1246</v>
      </c>
    </row>
    <row r="48" spans="2:48" s="252" customFormat="1" ht="26.4" hidden="1">
      <c r="B48" s="1218" t="s">
        <v>2450</v>
      </c>
      <c r="C48" s="248" t="s">
        <v>134</v>
      </c>
      <c r="D48" s="248" t="s">
        <v>134</v>
      </c>
      <c r="E48" s="312"/>
      <c r="F48" s="233" t="s">
        <v>906</v>
      </c>
      <c r="G48" s="242" t="s">
        <v>907</v>
      </c>
      <c r="H48" s="243">
        <v>1</v>
      </c>
      <c r="I48" s="243" t="s">
        <v>200</v>
      </c>
      <c r="J48" s="493" t="s">
        <v>241</v>
      </c>
      <c r="K48" s="312"/>
      <c r="L48" s="236" t="s">
        <v>134</v>
      </c>
      <c r="M48" s="253"/>
      <c r="N48" s="314"/>
      <c r="O48" s="233"/>
      <c r="P48" s="314"/>
      <c r="Q48" s="254" t="s">
        <v>134</v>
      </c>
      <c r="R48" s="253" t="s">
        <v>134</v>
      </c>
      <c r="S48" s="255"/>
      <c r="T48" s="253"/>
      <c r="U48" s="237"/>
      <c r="V48" s="261"/>
      <c r="W48" s="314"/>
      <c r="X48" s="254"/>
      <c r="Y48" s="256"/>
      <c r="Z48" s="253"/>
      <c r="AA48" s="255"/>
      <c r="AB48" s="256"/>
      <c r="AC48" s="253"/>
      <c r="AD48" s="312"/>
      <c r="AE48" s="1276" t="str">
        <f t="shared" si="1"/>
        <v>0x00 ~ 0xFF (0~510Hz)</v>
      </c>
      <c r="AF48" s="312"/>
      <c r="AG48" s="245">
        <v>0</v>
      </c>
      <c r="AH48" s="246">
        <v>2</v>
      </c>
      <c r="AI48" s="318" t="s">
        <v>750</v>
      </c>
      <c r="AJ48" s="1267" t="s">
        <v>2509</v>
      </c>
      <c r="AK48" s="334">
        <f t="shared" si="2"/>
        <v>0</v>
      </c>
      <c r="AL48" s="1272">
        <f t="shared" si="3"/>
        <v>510</v>
      </c>
      <c r="AM48" s="246" t="s">
        <v>755</v>
      </c>
      <c r="AN48" s="242"/>
      <c r="AO48" s="312"/>
      <c r="AP48" s="482" t="s">
        <v>855</v>
      </c>
      <c r="AQ48" s="594" t="s">
        <v>326</v>
      </c>
      <c r="AR48" s="929"/>
      <c r="AS48" s="594" t="s">
        <v>1448</v>
      </c>
      <c r="AT48" s="594" t="s">
        <v>1449</v>
      </c>
      <c r="AU48" s="594" t="s">
        <v>1450</v>
      </c>
      <c r="AV48" s="594" t="s">
        <v>1759</v>
      </c>
    </row>
    <row r="49" spans="2:48" s="252" customFormat="1" ht="26.4" hidden="1">
      <c r="B49" s="1218" t="s">
        <v>2450</v>
      </c>
      <c r="C49" s="248" t="s">
        <v>134</v>
      </c>
      <c r="D49" s="248" t="s">
        <v>134</v>
      </c>
      <c r="E49" s="312"/>
      <c r="F49" s="233" t="s">
        <v>908</v>
      </c>
      <c r="G49" s="242" t="s">
        <v>2351</v>
      </c>
      <c r="H49" s="243">
        <v>1</v>
      </c>
      <c r="I49" s="243" t="s">
        <v>200</v>
      </c>
      <c r="J49" s="493" t="s">
        <v>243</v>
      </c>
      <c r="K49" s="312"/>
      <c r="L49" s="236" t="s">
        <v>134</v>
      </c>
      <c r="M49" s="253"/>
      <c r="N49" s="314"/>
      <c r="O49" s="233"/>
      <c r="P49" s="314"/>
      <c r="Q49" s="254" t="s">
        <v>134</v>
      </c>
      <c r="R49" s="253" t="s">
        <v>134</v>
      </c>
      <c r="S49" s="255"/>
      <c r="T49" s="253"/>
      <c r="U49" s="237"/>
      <c r="V49" s="261"/>
      <c r="W49" s="314"/>
      <c r="X49" s="254"/>
      <c r="Y49" s="256"/>
      <c r="Z49" s="253"/>
      <c r="AA49" s="255"/>
      <c r="AB49" s="256"/>
      <c r="AC49" s="253"/>
      <c r="AD49" s="312"/>
      <c r="AE49" s="1276" t="str">
        <f t="shared" si="1"/>
        <v>0x00 ~ 0xFF (0~127.5%)</v>
      </c>
      <c r="AF49" s="312"/>
      <c r="AG49" s="245">
        <v>0</v>
      </c>
      <c r="AH49" s="246">
        <v>0.5</v>
      </c>
      <c r="AI49" s="318" t="s">
        <v>750</v>
      </c>
      <c r="AJ49" s="1267" t="s">
        <v>2509</v>
      </c>
      <c r="AK49" s="334">
        <f t="shared" si="2"/>
        <v>0</v>
      </c>
      <c r="AL49" s="1272">
        <f t="shared" si="3"/>
        <v>127.5</v>
      </c>
      <c r="AM49" s="246" t="s">
        <v>757</v>
      </c>
      <c r="AN49" s="242"/>
      <c r="AO49" s="312"/>
      <c r="AP49" s="482" t="s">
        <v>855</v>
      </c>
      <c r="AQ49" s="594" t="s">
        <v>242</v>
      </c>
      <c r="AR49" s="929"/>
      <c r="AS49" s="594" t="s">
        <v>1448</v>
      </c>
      <c r="AT49" s="594" t="s">
        <v>1449</v>
      </c>
      <c r="AU49" s="594" t="s">
        <v>1451</v>
      </c>
      <c r="AV49" s="930" t="s">
        <v>1246</v>
      </c>
    </row>
    <row r="50" spans="2:48" s="252" customFormat="1" ht="26.4" hidden="1">
      <c r="B50" s="810"/>
      <c r="C50" s="502" t="s">
        <v>1714</v>
      </c>
      <c r="D50" s="248" t="s">
        <v>134</v>
      </c>
      <c r="E50" s="312"/>
      <c r="F50" s="233" t="s">
        <v>909</v>
      </c>
      <c r="G50" s="242" t="s">
        <v>910</v>
      </c>
      <c r="H50" s="243">
        <v>1</v>
      </c>
      <c r="I50" s="243" t="s">
        <v>200</v>
      </c>
      <c r="J50" s="242" t="s">
        <v>244</v>
      </c>
      <c r="K50" s="312"/>
      <c r="L50" s="236" t="s">
        <v>134</v>
      </c>
      <c r="M50" s="253"/>
      <c r="N50" s="314"/>
      <c r="O50" s="233"/>
      <c r="P50" s="314"/>
      <c r="Q50" s="254" t="s">
        <v>134</v>
      </c>
      <c r="R50" s="253" t="s">
        <v>134</v>
      </c>
      <c r="S50" s="255"/>
      <c r="T50" s="253"/>
      <c r="U50" s="237"/>
      <c r="V50" s="261"/>
      <c r="W50" s="314"/>
      <c r="X50" s="254"/>
      <c r="Y50" s="256"/>
      <c r="Z50" s="253"/>
      <c r="AA50" s="255"/>
      <c r="AB50" s="256"/>
      <c r="AC50" s="253"/>
      <c r="AD50" s="312"/>
      <c r="AE50" s="242" t="str">
        <f t="shared" si="1"/>
        <v>0x00 ~ 0xFA (0~500Hz)</v>
      </c>
      <c r="AF50" s="312"/>
      <c r="AG50" s="245">
        <v>0</v>
      </c>
      <c r="AH50" s="246">
        <v>2</v>
      </c>
      <c r="AI50" s="318" t="s">
        <v>750</v>
      </c>
      <c r="AJ50" s="319" t="s">
        <v>753</v>
      </c>
      <c r="AK50" s="334">
        <f t="shared" si="2"/>
        <v>0</v>
      </c>
      <c r="AL50" s="336">
        <f t="shared" si="3"/>
        <v>500</v>
      </c>
      <c r="AM50" s="246" t="s">
        <v>755</v>
      </c>
      <c r="AN50" s="242"/>
      <c r="AO50" s="312"/>
      <c r="AP50" s="482" t="s">
        <v>855</v>
      </c>
      <c r="AQ50" s="482" t="s">
        <v>245</v>
      </c>
      <c r="AS50" s="504" t="s">
        <v>1406</v>
      </c>
      <c r="AT50" s="504" t="s">
        <v>1406</v>
      </c>
      <c r="AU50" s="504" t="s">
        <v>1406</v>
      </c>
      <c r="AV50" s="504" t="s">
        <v>1406</v>
      </c>
    </row>
    <row r="51" spans="2:48" s="252" customFormat="1" ht="26.4" hidden="1">
      <c r="B51" s="810"/>
      <c r="C51" s="502" t="s">
        <v>1714</v>
      </c>
      <c r="D51" s="248" t="s">
        <v>134</v>
      </c>
      <c r="E51" s="312"/>
      <c r="F51" s="233" t="s">
        <v>911</v>
      </c>
      <c r="G51" s="242" t="s">
        <v>912</v>
      </c>
      <c r="H51" s="243">
        <v>1</v>
      </c>
      <c r="I51" s="243" t="s">
        <v>200</v>
      </c>
      <c r="J51" s="242" t="s">
        <v>246</v>
      </c>
      <c r="K51" s="312"/>
      <c r="L51" s="236" t="s">
        <v>134</v>
      </c>
      <c r="M51" s="253"/>
      <c r="N51" s="314"/>
      <c r="O51" s="233"/>
      <c r="P51" s="314"/>
      <c r="Q51" s="254" t="s">
        <v>134</v>
      </c>
      <c r="R51" s="253" t="s">
        <v>134</v>
      </c>
      <c r="S51" s="255"/>
      <c r="T51" s="253"/>
      <c r="U51" s="237"/>
      <c r="V51" s="261"/>
      <c r="W51" s="314"/>
      <c r="X51" s="254"/>
      <c r="Y51" s="256"/>
      <c r="Z51" s="253"/>
      <c r="AA51" s="255"/>
      <c r="AB51" s="256"/>
      <c r="AC51" s="253"/>
      <c r="AD51" s="312"/>
      <c r="AE51" s="242" t="str">
        <f t="shared" si="1"/>
        <v>0x00 ~ 0xC8 (0~100%)</v>
      </c>
      <c r="AF51" s="312"/>
      <c r="AG51" s="245">
        <v>0</v>
      </c>
      <c r="AH51" s="246">
        <v>0.5</v>
      </c>
      <c r="AI51" s="318" t="s">
        <v>750</v>
      </c>
      <c r="AJ51" s="319" t="s">
        <v>756</v>
      </c>
      <c r="AK51" s="334">
        <f t="shared" si="2"/>
        <v>0</v>
      </c>
      <c r="AL51" s="336">
        <f t="shared" si="3"/>
        <v>100</v>
      </c>
      <c r="AM51" s="246" t="s">
        <v>757</v>
      </c>
      <c r="AN51" s="242"/>
      <c r="AO51" s="312"/>
      <c r="AP51" s="482" t="s">
        <v>855</v>
      </c>
      <c r="AQ51" s="482" t="s">
        <v>245</v>
      </c>
      <c r="AS51" s="504" t="s">
        <v>1406</v>
      </c>
      <c r="AT51" s="504" t="s">
        <v>1406</v>
      </c>
      <c r="AU51" s="504" t="s">
        <v>1406</v>
      </c>
      <c r="AV51" s="504" t="s">
        <v>1406</v>
      </c>
    </row>
    <row r="52" spans="2:48" s="252" customFormat="1" ht="26.4" hidden="1">
      <c r="B52" s="1218" t="s">
        <v>2450</v>
      </c>
      <c r="C52" s="248" t="s">
        <v>134</v>
      </c>
      <c r="D52" s="248" t="s">
        <v>134</v>
      </c>
      <c r="E52" s="312"/>
      <c r="F52" s="233" t="s">
        <v>913</v>
      </c>
      <c r="G52" s="242" t="s">
        <v>914</v>
      </c>
      <c r="H52" s="243">
        <v>1</v>
      </c>
      <c r="I52" s="243" t="s">
        <v>200</v>
      </c>
      <c r="J52" s="493" t="s">
        <v>247</v>
      </c>
      <c r="K52" s="312"/>
      <c r="L52" s="236" t="s">
        <v>134</v>
      </c>
      <c r="M52" s="253"/>
      <c r="N52" s="314"/>
      <c r="O52" s="233"/>
      <c r="P52" s="314"/>
      <c r="Q52" s="254" t="s">
        <v>134</v>
      </c>
      <c r="R52" s="253" t="s">
        <v>134</v>
      </c>
      <c r="S52" s="255"/>
      <c r="T52" s="253"/>
      <c r="U52" s="237"/>
      <c r="V52" s="261"/>
      <c r="W52" s="314"/>
      <c r="X52" s="254"/>
      <c r="Y52" s="256"/>
      <c r="Z52" s="253"/>
      <c r="AA52" s="255"/>
      <c r="AB52" s="256"/>
      <c r="AC52" s="253"/>
      <c r="AD52" s="312"/>
      <c r="AE52" s="1276" t="str">
        <f t="shared" si="1"/>
        <v>0x00 ~ 0xFF (0~510Hz)</v>
      </c>
      <c r="AF52" s="312"/>
      <c r="AG52" s="245">
        <v>0</v>
      </c>
      <c r="AH52" s="246">
        <v>2</v>
      </c>
      <c r="AI52" s="318" t="s">
        <v>750</v>
      </c>
      <c r="AJ52" s="1267" t="s">
        <v>2509</v>
      </c>
      <c r="AK52" s="334">
        <f t="shared" si="2"/>
        <v>0</v>
      </c>
      <c r="AL52" s="1272">
        <f t="shared" si="3"/>
        <v>510</v>
      </c>
      <c r="AM52" s="246" t="s">
        <v>755</v>
      </c>
      <c r="AN52" s="242"/>
      <c r="AO52" s="312"/>
      <c r="AP52" s="482" t="s">
        <v>855</v>
      </c>
      <c r="AQ52" s="594" t="s">
        <v>328</v>
      </c>
      <c r="AR52" s="929"/>
      <c r="AS52" s="594" t="s">
        <v>1452</v>
      </c>
      <c r="AT52" s="594" t="s">
        <v>1453</v>
      </c>
      <c r="AU52" s="594" t="s">
        <v>1454</v>
      </c>
      <c r="AV52" s="594" t="s">
        <v>1759</v>
      </c>
    </row>
    <row r="53" spans="2:48" s="252" customFormat="1" ht="26.4" hidden="1">
      <c r="B53" s="1218" t="s">
        <v>2450</v>
      </c>
      <c r="C53" s="248" t="s">
        <v>134</v>
      </c>
      <c r="D53" s="248" t="s">
        <v>134</v>
      </c>
      <c r="E53" s="312"/>
      <c r="F53" s="233" t="s">
        <v>915</v>
      </c>
      <c r="G53" s="242" t="s">
        <v>2352</v>
      </c>
      <c r="H53" s="243">
        <v>1</v>
      </c>
      <c r="I53" s="243" t="s">
        <v>200</v>
      </c>
      <c r="J53" s="493" t="s">
        <v>249</v>
      </c>
      <c r="K53" s="312"/>
      <c r="L53" s="236" t="s">
        <v>134</v>
      </c>
      <c r="M53" s="253"/>
      <c r="N53" s="314"/>
      <c r="O53" s="233"/>
      <c r="P53" s="314"/>
      <c r="Q53" s="254" t="s">
        <v>134</v>
      </c>
      <c r="R53" s="253" t="s">
        <v>134</v>
      </c>
      <c r="S53" s="255"/>
      <c r="T53" s="253"/>
      <c r="U53" s="237"/>
      <c r="V53" s="261"/>
      <c r="W53" s="314"/>
      <c r="X53" s="254"/>
      <c r="Y53" s="256"/>
      <c r="Z53" s="253"/>
      <c r="AA53" s="255"/>
      <c r="AB53" s="256"/>
      <c r="AC53" s="253"/>
      <c r="AD53" s="312"/>
      <c r="AE53" s="1276" t="str">
        <f t="shared" si="1"/>
        <v>0x00 ~ 0xFF (0~127.5%)</v>
      </c>
      <c r="AF53" s="312"/>
      <c r="AG53" s="245">
        <v>0</v>
      </c>
      <c r="AH53" s="246">
        <v>0.5</v>
      </c>
      <c r="AI53" s="318" t="s">
        <v>750</v>
      </c>
      <c r="AJ53" s="1267" t="s">
        <v>2509</v>
      </c>
      <c r="AK53" s="334">
        <f t="shared" si="2"/>
        <v>0</v>
      </c>
      <c r="AL53" s="1272">
        <f t="shared" si="3"/>
        <v>127.5</v>
      </c>
      <c r="AM53" s="246" t="s">
        <v>757</v>
      </c>
      <c r="AN53" s="242"/>
      <c r="AO53" s="312"/>
      <c r="AP53" s="482" t="s">
        <v>855</v>
      </c>
      <c r="AQ53" s="594" t="s">
        <v>248</v>
      </c>
      <c r="AR53" s="929"/>
      <c r="AS53" s="594" t="s">
        <v>1452</v>
      </c>
      <c r="AT53" s="594" t="s">
        <v>1453</v>
      </c>
      <c r="AU53" s="594" t="s">
        <v>1455</v>
      </c>
      <c r="AV53" s="930" t="s">
        <v>1246</v>
      </c>
    </row>
    <row r="54" spans="2:48" s="252" customFormat="1" ht="26.4" hidden="1">
      <c r="B54" s="1218" t="s">
        <v>2450</v>
      </c>
      <c r="C54" s="248" t="s">
        <v>134</v>
      </c>
      <c r="D54" s="248" t="s">
        <v>134</v>
      </c>
      <c r="E54" s="312"/>
      <c r="F54" s="233" t="s">
        <v>916</v>
      </c>
      <c r="G54" s="242" t="s">
        <v>917</v>
      </c>
      <c r="H54" s="243">
        <v>1</v>
      </c>
      <c r="I54" s="243" t="s">
        <v>200</v>
      </c>
      <c r="J54" s="493" t="s">
        <v>250</v>
      </c>
      <c r="K54" s="312"/>
      <c r="L54" s="236" t="s">
        <v>134</v>
      </c>
      <c r="M54" s="253"/>
      <c r="N54" s="314"/>
      <c r="O54" s="233"/>
      <c r="P54" s="314"/>
      <c r="Q54" s="254" t="s">
        <v>134</v>
      </c>
      <c r="R54" s="253" t="s">
        <v>134</v>
      </c>
      <c r="S54" s="255"/>
      <c r="T54" s="253"/>
      <c r="U54" s="237"/>
      <c r="V54" s="261"/>
      <c r="W54" s="314"/>
      <c r="X54" s="254"/>
      <c r="Y54" s="256"/>
      <c r="Z54" s="253"/>
      <c r="AA54" s="255"/>
      <c r="AB54" s="256"/>
      <c r="AC54" s="253"/>
      <c r="AD54" s="312"/>
      <c r="AE54" s="1276" t="str">
        <f t="shared" si="1"/>
        <v>0x00 ~ 0xFF (0~510Hz)</v>
      </c>
      <c r="AF54" s="312"/>
      <c r="AG54" s="245">
        <v>0</v>
      </c>
      <c r="AH54" s="246">
        <v>2</v>
      </c>
      <c r="AI54" s="318" t="s">
        <v>750</v>
      </c>
      <c r="AJ54" s="1267" t="s">
        <v>2509</v>
      </c>
      <c r="AK54" s="334">
        <f t="shared" si="2"/>
        <v>0</v>
      </c>
      <c r="AL54" s="1272">
        <f t="shared" si="3"/>
        <v>510</v>
      </c>
      <c r="AM54" s="246" t="s">
        <v>755</v>
      </c>
      <c r="AN54" s="242"/>
      <c r="AO54" s="312"/>
      <c r="AP54" s="482" t="s">
        <v>855</v>
      </c>
      <c r="AQ54" s="594" t="s">
        <v>329</v>
      </c>
      <c r="AR54" s="929"/>
      <c r="AS54" s="594" t="s">
        <v>1456</v>
      </c>
      <c r="AT54" s="594" t="s">
        <v>1457</v>
      </c>
      <c r="AU54" s="1137" t="s">
        <v>2447</v>
      </c>
      <c r="AV54" s="594" t="s">
        <v>1759</v>
      </c>
    </row>
    <row r="55" spans="2:48" s="252" customFormat="1" ht="26.4" hidden="1">
      <c r="B55" s="1218" t="s">
        <v>2450</v>
      </c>
      <c r="C55" s="248" t="s">
        <v>134</v>
      </c>
      <c r="D55" s="248" t="s">
        <v>134</v>
      </c>
      <c r="E55" s="312"/>
      <c r="F55" s="233" t="s">
        <v>918</v>
      </c>
      <c r="G55" s="242" t="s">
        <v>2353</v>
      </c>
      <c r="H55" s="243">
        <v>1</v>
      </c>
      <c r="I55" s="243" t="s">
        <v>200</v>
      </c>
      <c r="J55" s="493" t="s">
        <v>252</v>
      </c>
      <c r="K55" s="312"/>
      <c r="L55" s="236" t="s">
        <v>134</v>
      </c>
      <c r="M55" s="253"/>
      <c r="N55" s="314"/>
      <c r="O55" s="233"/>
      <c r="P55" s="314"/>
      <c r="Q55" s="254" t="s">
        <v>134</v>
      </c>
      <c r="R55" s="253" t="s">
        <v>134</v>
      </c>
      <c r="S55" s="255"/>
      <c r="T55" s="253"/>
      <c r="U55" s="237"/>
      <c r="V55" s="261"/>
      <c r="W55" s="314"/>
      <c r="X55" s="254"/>
      <c r="Y55" s="256"/>
      <c r="Z55" s="253"/>
      <c r="AA55" s="255"/>
      <c r="AB55" s="256"/>
      <c r="AC55" s="253"/>
      <c r="AD55" s="312"/>
      <c r="AE55" s="1276" t="str">
        <f t="shared" si="1"/>
        <v>0x00 ~ 0xFF (0~127.5%)</v>
      </c>
      <c r="AF55" s="312"/>
      <c r="AG55" s="245">
        <v>0</v>
      </c>
      <c r="AH55" s="246">
        <v>0.5</v>
      </c>
      <c r="AI55" s="318" t="s">
        <v>750</v>
      </c>
      <c r="AJ55" s="1267" t="s">
        <v>2509</v>
      </c>
      <c r="AK55" s="334">
        <f t="shared" si="2"/>
        <v>0</v>
      </c>
      <c r="AL55" s="1272">
        <f t="shared" si="3"/>
        <v>127.5</v>
      </c>
      <c r="AM55" s="246" t="s">
        <v>757</v>
      </c>
      <c r="AN55" s="242"/>
      <c r="AO55" s="312"/>
      <c r="AP55" s="482" t="s">
        <v>855</v>
      </c>
      <c r="AQ55" s="594" t="s">
        <v>251</v>
      </c>
      <c r="AR55" s="929"/>
      <c r="AS55" s="594" t="s">
        <v>1456</v>
      </c>
      <c r="AT55" s="594" t="s">
        <v>1457</v>
      </c>
      <c r="AU55" s="1137" t="s">
        <v>2448</v>
      </c>
      <c r="AV55" s="930" t="s">
        <v>1246</v>
      </c>
    </row>
    <row r="56" spans="2:48" s="252" customFormat="1" ht="26.4" hidden="1">
      <c r="B56" s="810"/>
      <c r="C56" s="502" t="s">
        <v>1714</v>
      </c>
      <c r="D56" s="248" t="s">
        <v>882</v>
      </c>
      <c r="E56" s="312"/>
      <c r="F56" s="233" t="s">
        <v>919</v>
      </c>
      <c r="G56" s="242" t="s">
        <v>920</v>
      </c>
      <c r="H56" s="243">
        <v>1</v>
      </c>
      <c r="I56" s="243" t="s">
        <v>200</v>
      </c>
      <c r="J56" s="242" t="s">
        <v>253</v>
      </c>
      <c r="K56" s="312"/>
      <c r="L56" s="236" t="s">
        <v>134</v>
      </c>
      <c r="M56" s="253"/>
      <c r="N56" s="314"/>
      <c r="O56" s="233"/>
      <c r="P56" s="314"/>
      <c r="Q56" s="254" t="s">
        <v>134</v>
      </c>
      <c r="R56" s="253" t="s">
        <v>134</v>
      </c>
      <c r="S56" s="255"/>
      <c r="T56" s="253"/>
      <c r="U56" s="237"/>
      <c r="V56" s="261"/>
      <c r="W56" s="314"/>
      <c r="X56" s="254"/>
      <c r="Y56" s="256"/>
      <c r="Z56" s="253"/>
      <c r="AA56" s="255"/>
      <c r="AB56" s="256"/>
      <c r="AC56" s="253"/>
      <c r="AD56" s="312"/>
      <c r="AE56" s="242" t="str">
        <f t="shared" si="1"/>
        <v>0x00 ~ 0xFA (0~500Hz)
0xFF: Not equipped</v>
      </c>
      <c r="AF56" s="312"/>
      <c r="AG56" s="245">
        <v>0</v>
      </c>
      <c r="AH56" s="246">
        <v>2</v>
      </c>
      <c r="AI56" s="318" t="s">
        <v>750</v>
      </c>
      <c r="AJ56" s="319" t="s">
        <v>753</v>
      </c>
      <c r="AK56" s="334">
        <f t="shared" si="2"/>
        <v>0</v>
      </c>
      <c r="AL56" s="336">
        <f t="shared" si="3"/>
        <v>500</v>
      </c>
      <c r="AM56" s="246" t="s">
        <v>755</v>
      </c>
      <c r="AN56" s="242" t="s">
        <v>754</v>
      </c>
      <c r="AO56" s="312"/>
      <c r="AP56" s="482" t="s">
        <v>855</v>
      </c>
      <c r="AQ56" s="482" t="s">
        <v>254</v>
      </c>
      <c r="AS56" s="504" t="s">
        <v>1406</v>
      </c>
      <c r="AT56" s="504" t="s">
        <v>1406</v>
      </c>
      <c r="AU56" s="504" t="s">
        <v>1406</v>
      </c>
      <c r="AV56" s="504" t="s">
        <v>1406</v>
      </c>
    </row>
    <row r="57" spans="2:48" s="252" customFormat="1" ht="26.4" hidden="1">
      <c r="B57" s="810"/>
      <c r="C57" s="502" t="s">
        <v>1714</v>
      </c>
      <c r="D57" s="248" t="s">
        <v>882</v>
      </c>
      <c r="E57" s="312"/>
      <c r="F57" s="233" t="s">
        <v>921</v>
      </c>
      <c r="G57" s="242" t="s">
        <v>922</v>
      </c>
      <c r="H57" s="243">
        <v>1</v>
      </c>
      <c r="I57" s="243" t="s">
        <v>200</v>
      </c>
      <c r="J57" s="242" t="s">
        <v>255</v>
      </c>
      <c r="K57" s="312"/>
      <c r="L57" s="236" t="s">
        <v>134</v>
      </c>
      <c r="M57" s="253"/>
      <c r="N57" s="314"/>
      <c r="O57" s="233"/>
      <c r="P57" s="314"/>
      <c r="Q57" s="254" t="s">
        <v>134</v>
      </c>
      <c r="R57" s="253" t="s">
        <v>134</v>
      </c>
      <c r="S57" s="255"/>
      <c r="T57" s="253"/>
      <c r="U57" s="237"/>
      <c r="V57" s="261"/>
      <c r="W57" s="314"/>
      <c r="X57" s="254"/>
      <c r="Y57" s="256"/>
      <c r="Z57" s="253"/>
      <c r="AA57" s="255"/>
      <c r="AB57" s="256"/>
      <c r="AC57" s="253"/>
      <c r="AD57" s="312"/>
      <c r="AE57" s="242" t="str">
        <f t="shared" si="1"/>
        <v>0x00 ~ 0xC8 (0~100%)
0xFF: Not equipped</v>
      </c>
      <c r="AF57" s="312"/>
      <c r="AG57" s="245">
        <v>0</v>
      </c>
      <c r="AH57" s="246">
        <v>0.5</v>
      </c>
      <c r="AI57" s="318" t="s">
        <v>750</v>
      </c>
      <c r="AJ57" s="319" t="s">
        <v>756</v>
      </c>
      <c r="AK57" s="334">
        <f t="shared" si="2"/>
        <v>0</v>
      </c>
      <c r="AL57" s="336">
        <f t="shared" si="3"/>
        <v>100</v>
      </c>
      <c r="AM57" s="246" t="s">
        <v>757</v>
      </c>
      <c r="AN57" s="242" t="s">
        <v>754</v>
      </c>
      <c r="AO57" s="312"/>
      <c r="AP57" s="482" t="s">
        <v>855</v>
      </c>
      <c r="AQ57" s="482" t="s">
        <v>254</v>
      </c>
      <c r="AS57" s="504" t="s">
        <v>1406</v>
      </c>
      <c r="AT57" s="504" t="s">
        <v>1406</v>
      </c>
      <c r="AU57" s="504" t="s">
        <v>1406</v>
      </c>
      <c r="AV57" s="504" t="s">
        <v>1406</v>
      </c>
    </row>
    <row r="58" spans="2:48" s="252" customFormat="1" ht="26.4" hidden="1">
      <c r="B58" s="810"/>
      <c r="C58" s="502" t="s">
        <v>1714</v>
      </c>
      <c r="D58" s="248" t="s">
        <v>882</v>
      </c>
      <c r="E58" s="312"/>
      <c r="F58" s="233" t="s">
        <v>923</v>
      </c>
      <c r="G58" s="242" t="s">
        <v>924</v>
      </c>
      <c r="H58" s="243">
        <v>1</v>
      </c>
      <c r="I58" s="243" t="s">
        <v>200</v>
      </c>
      <c r="J58" s="242" t="s">
        <v>256</v>
      </c>
      <c r="K58" s="312"/>
      <c r="L58" s="236" t="s">
        <v>134</v>
      </c>
      <c r="M58" s="253"/>
      <c r="N58" s="314"/>
      <c r="O58" s="233"/>
      <c r="P58" s="314"/>
      <c r="Q58" s="254" t="s">
        <v>134</v>
      </c>
      <c r="R58" s="253" t="s">
        <v>134</v>
      </c>
      <c r="S58" s="255"/>
      <c r="T58" s="253"/>
      <c r="U58" s="237"/>
      <c r="V58" s="261"/>
      <c r="W58" s="314"/>
      <c r="X58" s="254"/>
      <c r="Y58" s="256"/>
      <c r="Z58" s="253"/>
      <c r="AA58" s="255"/>
      <c r="AB58" s="256"/>
      <c r="AC58" s="253"/>
      <c r="AD58" s="312"/>
      <c r="AE58" s="242" t="str">
        <f t="shared" si="1"/>
        <v>0x00 ~ 0xFA (0~500Hz)
0xFF: Not equipped</v>
      </c>
      <c r="AF58" s="312"/>
      <c r="AG58" s="245">
        <v>0</v>
      </c>
      <c r="AH58" s="246">
        <v>2</v>
      </c>
      <c r="AI58" s="318" t="s">
        <v>750</v>
      </c>
      <c r="AJ58" s="319" t="s">
        <v>753</v>
      </c>
      <c r="AK58" s="334">
        <f t="shared" si="2"/>
        <v>0</v>
      </c>
      <c r="AL58" s="336">
        <f t="shared" si="3"/>
        <v>500</v>
      </c>
      <c r="AM58" s="246" t="s">
        <v>755</v>
      </c>
      <c r="AN58" s="242" t="s">
        <v>754</v>
      </c>
      <c r="AO58" s="312"/>
      <c r="AP58" s="482" t="s">
        <v>855</v>
      </c>
      <c r="AQ58" s="482" t="s">
        <v>257</v>
      </c>
      <c r="AS58" s="504" t="s">
        <v>1406</v>
      </c>
      <c r="AT58" s="504" t="s">
        <v>1406</v>
      </c>
      <c r="AU58" s="504" t="s">
        <v>1406</v>
      </c>
      <c r="AV58" s="504" t="s">
        <v>1406</v>
      </c>
    </row>
    <row r="59" spans="2:48" s="252" customFormat="1" ht="26.4" hidden="1">
      <c r="B59" s="810"/>
      <c r="C59" s="502" t="s">
        <v>1714</v>
      </c>
      <c r="D59" s="248" t="s">
        <v>882</v>
      </c>
      <c r="E59" s="312"/>
      <c r="F59" s="233" t="s">
        <v>925</v>
      </c>
      <c r="G59" s="242" t="s">
        <v>926</v>
      </c>
      <c r="H59" s="243">
        <v>1</v>
      </c>
      <c r="I59" s="243" t="s">
        <v>200</v>
      </c>
      <c r="J59" s="242" t="s">
        <v>258</v>
      </c>
      <c r="K59" s="312"/>
      <c r="L59" s="236" t="s">
        <v>134</v>
      </c>
      <c r="M59" s="253"/>
      <c r="N59" s="314"/>
      <c r="O59" s="233"/>
      <c r="P59" s="314"/>
      <c r="Q59" s="254" t="s">
        <v>134</v>
      </c>
      <c r="R59" s="253" t="s">
        <v>134</v>
      </c>
      <c r="S59" s="255"/>
      <c r="T59" s="253"/>
      <c r="U59" s="237"/>
      <c r="V59" s="261"/>
      <c r="W59" s="314"/>
      <c r="X59" s="254"/>
      <c r="Y59" s="256"/>
      <c r="Z59" s="253"/>
      <c r="AA59" s="255"/>
      <c r="AB59" s="256"/>
      <c r="AC59" s="253"/>
      <c r="AD59" s="312"/>
      <c r="AE59" s="242" t="str">
        <f t="shared" si="1"/>
        <v>0x00 ~ 0xC8 (0~100%)
0xFF: Not equipped</v>
      </c>
      <c r="AF59" s="312"/>
      <c r="AG59" s="245">
        <v>0</v>
      </c>
      <c r="AH59" s="246">
        <v>0.5</v>
      </c>
      <c r="AI59" s="318" t="s">
        <v>750</v>
      </c>
      <c r="AJ59" s="319" t="s">
        <v>756</v>
      </c>
      <c r="AK59" s="334">
        <f t="shared" si="2"/>
        <v>0</v>
      </c>
      <c r="AL59" s="336">
        <f t="shared" si="3"/>
        <v>100</v>
      </c>
      <c r="AM59" s="246" t="s">
        <v>757</v>
      </c>
      <c r="AN59" s="242" t="s">
        <v>754</v>
      </c>
      <c r="AO59" s="312"/>
      <c r="AP59" s="482" t="s">
        <v>855</v>
      </c>
      <c r="AQ59" s="482" t="s">
        <v>257</v>
      </c>
      <c r="AS59" s="504" t="s">
        <v>1406</v>
      </c>
      <c r="AT59" s="504" t="s">
        <v>1406</v>
      </c>
      <c r="AU59" s="504" t="s">
        <v>1406</v>
      </c>
      <c r="AV59" s="504" t="s">
        <v>1406</v>
      </c>
    </row>
    <row r="60" spans="2:48" s="252" customFormat="1" hidden="1">
      <c r="B60" s="1218" t="s">
        <v>2450</v>
      </c>
      <c r="C60" s="248" t="s">
        <v>134</v>
      </c>
      <c r="D60" s="502"/>
      <c r="E60" s="312"/>
      <c r="F60" s="233" t="s">
        <v>927</v>
      </c>
      <c r="G60" s="242" t="s">
        <v>928</v>
      </c>
      <c r="H60" s="243">
        <v>1</v>
      </c>
      <c r="I60" s="243" t="s">
        <v>200</v>
      </c>
      <c r="J60" s="493" t="s">
        <v>259</v>
      </c>
      <c r="K60" s="312"/>
      <c r="L60" s="236" t="s">
        <v>134</v>
      </c>
      <c r="M60" s="253"/>
      <c r="N60" s="314"/>
      <c r="O60" s="233"/>
      <c r="P60" s="314"/>
      <c r="Q60" s="254" t="s">
        <v>134</v>
      </c>
      <c r="R60" s="253" t="s">
        <v>134</v>
      </c>
      <c r="S60" s="255"/>
      <c r="T60" s="253"/>
      <c r="U60" s="237"/>
      <c r="V60" s="261"/>
      <c r="W60" s="314"/>
      <c r="X60" s="254"/>
      <c r="Y60" s="256"/>
      <c r="Z60" s="253"/>
      <c r="AA60" s="255"/>
      <c r="AB60" s="256"/>
      <c r="AC60" s="253"/>
      <c r="AD60" s="312"/>
      <c r="AE60" s="1276" t="str">
        <f t="shared" si="1"/>
        <v>0x00 ~ 0xFF (0~127.5Hz)</v>
      </c>
      <c r="AF60" s="312"/>
      <c r="AG60" s="245">
        <v>0</v>
      </c>
      <c r="AH60" s="246">
        <v>0.5</v>
      </c>
      <c r="AI60" s="318" t="s">
        <v>750</v>
      </c>
      <c r="AJ60" s="1267" t="s">
        <v>2509</v>
      </c>
      <c r="AK60" s="334">
        <f t="shared" si="2"/>
        <v>0</v>
      </c>
      <c r="AL60" s="1272">
        <f t="shared" si="3"/>
        <v>127.5</v>
      </c>
      <c r="AM60" s="246" t="s">
        <v>755</v>
      </c>
      <c r="AN60" s="242"/>
      <c r="AO60" s="312"/>
      <c r="AP60" s="482" t="s">
        <v>855</v>
      </c>
      <c r="AQ60" s="594" t="s">
        <v>333</v>
      </c>
      <c r="AR60" s="929"/>
      <c r="AS60" s="594" t="s">
        <v>1458</v>
      </c>
      <c r="AT60" s="594" t="s">
        <v>1459</v>
      </c>
      <c r="AU60" s="594" t="s">
        <v>1461</v>
      </c>
      <c r="AV60" s="930" t="s">
        <v>1246</v>
      </c>
    </row>
    <row r="61" spans="2:48" s="252" customFormat="1" ht="26.4" hidden="1">
      <c r="B61" s="1218" t="s">
        <v>2450</v>
      </c>
      <c r="C61" s="248" t="s">
        <v>134</v>
      </c>
      <c r="D61" s="502"/>
      <c r="E61" s="312"/>
      <c r="F61" s="233" t="s">
        <v>929</v>
      </c>
      <c r="G61" s="242" t="s">
        <v>930</v>
      </c>
      <c r="H61" s="243">
        <v>1</v>
      </c>
      <c r="I61" s="243" t="s">
        <v>200</v>
      </c>
      <c r="J61" s="493" t="s">
        <v>261</v>
      </c>
      <c r="K61" s="312"/>
      <c r="L61" s="236" t="s">
        <v>134</v>
      </c>
      <c r="M61" s="253"/>
      <c r="N61" s="314"/>
      <c r="O61" s="233"/>
      <c r="P61" s="314"/>
      <c r="Q61" s="254" t="s">
        <v>134</v>
      </c>
      <c r="R61" s="253" t="s">
        <v>134</v>
      </c>
      <c r="S61" s="255"/>
      <c r="T61" s="253"/>
      <c r="U61" s="237"/>
      <c r="V61" s="261"/>
      <c r="W61" s="314"/>
      <c r="X61" s="254"/>
      <c r="Y61" s="256"/>
      <c r="Z61" s="253"/>
      <c r="AA61" s="255"/>
      <c r="AB61" s="256"/>
      <c r="AC61" s="253"/>
      <c r="AD61" s="312"/>
      <c r="AE61" s="1276" t="str">
        <f t="shared" si="1"/>
        <v>0x00 ~ 0xFF (0~127.5%)</v>
      </c>
      <c r="AF61" s="312"/>
      <c r="AG61" s="245">
        <v>0</v>
      </c>
      <c r="AH61" s="246">
        <v>0.5</v>
      </c>
      <c r="AI61" s="318" t="s">
        <v>750</v>
      </c>
      <c r="AJ61" s="1267" t="s">
        <v>2509</v>
      </c>
      <c r="AK61" s="334">
        <f t="shared" si="2"/>
        <v>0</v>
      </c>
      <c r="AL61" s="1272">
        <f t="shared" si="3"/>
        <v>127.5</v>
      </c>
      <c r="AM61" s="246" t="s">
        <v>757</v>
      </c>
      <c r="AN61" s="242"/>
      <c r="AO61" s="312"/>
      <c r="AP61" s="482" t="s">
        <v>855</v>
      </c>
      <c r="AQ61" s="594" t="s">
        <v>260</v>
      </c>
      <c r="AR61" s="929"/>
      <c r="AS61" s="594" t="s">
        <v>1458</v>
      </c>
      <c r="AT61" s="594" t="s">
        <v>1459</v>
      </c>
      <c r="AU61" s="594" t="s">
        <v>1460</v>
      </c>
      <c r="AV61" s="594" t="s">
        <v>1759</v>
      </c>
    </row>
    <row r="62" spans="2:48" s="252" customFormat="1" ht="26.4" hidden="1">
      <c r="B62" s="1218" t="s">
        <v>2450</v>
      </c>
      <c r="C62" s="248" t="s">
        <v>134</v>
      </c>
      <c r="D62" s="248" t="s">
        <v>134</v>
      </c>
      <c r="E62" s="312"/>
      <c r="F62" s="233" t="s">
        <v>931</v>
      </c>
      <c r="G62" s="242" t="s">
        <v>932</v>
      </c>
      <c r="H62" s="243">
        <v>1</v>
      </c>
      <c r="I62" s="243" t="s">
        <v>200</v>
      </c>
      <c r="J62" s="493" t="s">
        <v>262</v>
      </c>
      <c r="K62" s="312"/>
      <c r="L62" s="236" t="s">
        <v>134</v>
      </c>
      <c r="M62" s="253"/>
      <c r="N62" s="314"/>
      <c r="O62" s="233"/>
      <c r="P62" s="314"/>
      <c r="Q62" s="254" t="s">
        <v>134</v>
      </c>
      <c r="R62" s="253" t="s">
        <v>134</v>
      </c>
      <c r="S62" s="255"/>
      <c r="T62" s="253"/>
      <c r="U62" s="237"/>
      <c r="V62" s="261"/>
      <c r="W62" s="314"/>
      <c r="X62" s="254"/>
      <c r="Y62" s="256"/>
      <c r="Z62" s="253"/>
      <c r="AA62" s="255"/>
      <c r="AB62" s="256"/>
      <c r="AC62" s="253"/>
      <c r="AD62" s="312"/>
      <c r="AE62" s="1276" t="str">
        <f t="shared" si="1"/>
        <v>0x00 ~ 0xFF (0~2.55kHz)</v>
      </c>
      <c r="AF62" s="312"/>
      <c r="AG62" s="245">
        <v>0</v>
      </c>
      <c r="AH62" s="246">
        <v>0.01</v>
      </c>
      <c r="AI62" s="318" t="s">
        <v>750</v>
      </c>
      <c r="AJ62" s="1267" t="s">
        <v>2509</v>
      </c>
      <c r="AK62" s="334">
        <f t="shared" si="2"/>
        <v>0</v>
      </c>
      <c r="AL62" s="1272">
        <f t="shared" si="3"/>
        <v>2.5500000000000003</v>
      </c>
      <c r="AM62" s="246" t="s">
        <v>758</v>
      </c>
      <c r="AN62" s="242"/>
      <c r="AO62" s="312"/>
      <c r="AP62" s="482" t="s">
        <v>855</v>
      </c>
      <c r="AQ62" s="594" t="s">
        <v>1764</v>
      </c>
      <c r="AR62" s="929"/>
      <c r="AS62" s="594" t="s">
        <v>1761</v>
      </c>
      <c r="AT62" s="930" t="s">
        <v>1246</v>
      </c>
      <c r="AU62" s="594" t="s">
        <v>1762</v>
      </c>
      <c r="AV62" s="594" t="s">
        <v>1763</v>
      </c>
    </row>
    <row r="63" spans="2:48" s="252" customFormat="1" ht="171.6">
      <c r="B63" s="810" t="s">
        <v>2050</v>
      </c>
      <c r="C63" s="248" t="s">
        <v>134</v>
      </c>
      <c r="D63" s="248" t="s">
        <v>134</v>
      </c>
      <c r="E63" s="312"/>
      <c r="F63" s="233" t="s">
        <v>933</v>
      </c>
      <c r="G63" s="242" t="s">
        <v>934</v>
      </c>
      <c r="H63" s="243">
        <v>1</v>
      </c>
      <c r="I63" s="243" t="s">
        <v>200</v>
      </c>
      <c r="J63" s="493" t="s">
        <v>264</v>
      </c>
      <c r="K63" s="312"/>
      <c r="L63" s="236" t="s">
        <v>134</v>
      </c>
      <c r="M63" s="253"/>
      <c r="N63" s="314"/>
      <c r="O63" s="233"/>
      <c r="P63" s="314"/>
      <c r="Q63" s="254" t="s">
        <v>134</v>
      </c>
      <c r="R63" s="253" t="s">
        <v>134</v>
      </c>
      <c r="S63" s="255"/>
      <c r="T63" s="253"/>
      <c r="U63" s="237"/>
      <c r="V63" s="261"/>
      <c r="W63" s="314"/>
      <c r="X63" s="254"/>
      <c r="Y63" s="256"/>
      <c r="Z63" s="253"/>
      <c r="AA63" s="255"/>
      <c r="AB63" s="256"/>
      <c r="AC63" s="253"/>
      <c r="AD63" s="312"/>
      <c r="AE63" s="242" t="str">
        <f t="shared" si="1"/>
        <v>0x00 ~ 0xC8 (0~100%)</v>
      </c>
      <c r="AF63" s="312"/>
      <c r="AG63" s="245">
        <v>0</v>
      </c>
      <c r="AH63" s="246">
        <v>0.5</v>
      </c>
      <c r="AI63" s="318" t="s">
        <v>750</v>
      </c>
      <c r="AJ63" s="319" t="s">
        <v>756</v>
      </c>
      <c r="AK63" s="334">
        <f t="shared" si="2"/>
        <v>0</v>
      </c>
      <c r="AL63" s="336">
        <f t="shared" si="3"/>
        <v>100</v>
      </c>
      <c r="AM63" s="246" t="s">
        <v>757</v>
      </c>
      <c r="AN63" s="242"/>
      <c r="AO63" s="312"/>
      <c r="AP63" s="482" t="s">
        <v>855</v>
      </c>
      <c r="AQ63" s="594" t="s">
        <v>335</v>
      </c>
      <c r="AR63" s="929"/>
      <c r="AS63" s="1297" t="s">
        <v>2522</v>
      </c>
      <c r="AT63" s="1297" t="s">
        <v>2523</v>
      </c>
      <c r="AU63" s="1297" t="s">
        <v>2552</v>
      </c>
      <c r="AV63" s="1297" t="s">
        <v>2555</v>
      </c>
    </row>
    <row r="64" spans="2:48" s="252" customFormat="1" ht="211.2">
      <c r="B64" s="810" t="s">
        <v>2050</v>
      </c>
      <c r="C64" s="248" t="s">
        <v>134</v>
      </c>
      <c r="D64" s="248" t="s">
        <v>134</v>
      </c>
      <c r="E64" s="312"/>
      <c r="F64" s="233" t="s">
        <v>935</v>
      </c>
      <c r="G64" s="242" t="s">
        <v>936</v>
      </c>
      <c r="H64" s="243">
        <v>1</v>
      </c>
      <c r="I64" s="243" t="s">
        <v>200</v>
      </c>
      <c r="J64" s="493" t="s">
        <v>265</v>
      </c>
      <c r="K64" s="312"/>
      <c r="L64" s="236" t="s">
        <v>134</v>
      </c>
      <c r="M64" s="253"/>
      <c r="N64" s="314"/>
      <c r="O64" s="233"/>
      <c r="P64" s="314"/>
      <c r="Q64" s="254" t="s">
        <v>134</v>
      </c>
      <c r="R64" s="253" t="s">
        <v>134</v>
      </c>
      <c r="S64" s="255"/>
      <c r="T64" s="253"/>
      <c r="U64" s="237"/>
      <c r="V64" s="261"/>
      <c r="W64" s="314"/>
      <c r="X64" s="254"/>
      <c r="Y64" s="256"/>
      <c r="Z64" s="253"/>
      <c r="AA64" s="255"/>
      <c r="AB64" s="256"/>
      <c r="AC64" s="253"/>
      <c r="AD64" s="312"/>
      <c r="AE64" s="242" t="str">
        <f t="shared" si="1"/>
        <v>0x00 ~ 0xFF (0~25.5V)</v>
      </c>
      <c r="AF64" s="312"/>
      <c r="AG64" s="245">
        <v>0</v>
      </c>
      <c r="AH64" s="246">
        <v>0.1</v>
      </c>
      <c r="AI64" s="318" t="s">
        <v>750</v>
      </c>
      <c r="AJ64" s="1301" t="s">
        <v>751</v>
      </c>
      <c r="AK64" s="334">
        <f t="shared" si="2"/>
        <v>0</v>
      </c>
      <c r="AL64" s="1302">
        <f t="shared" si="3"/>
        <v>25.5</v>
      </c>
      <c r="AM64" s="246" t="s">
        <v>752</v>
      </c>
      <c r="AN64" s="242"/>
      <c r="AO64" s="312"/>
      <c r="AP64" s="482" t="s">
        <v>855</v>
      </c>
      <c r="AQ64" s="594" t="s">
        <v>263</v>
      </c>
      <c r="AR64" s="929"/>
      <c r="AS64" s="1297" t="s">
        <v>2522</v>
      </c>
      <c r="AT64" s="1297" t="s">
        <v>2524</v>
      </c>
      <c r="AU64" s="1297" t="s">
        <v>2553</v>
      </c>
      <c r="AV64" s="1297" t="s">
        <v>2556</v>
      </c>
    </row>
    <row r="65" spans="2:48" hidden="1">
      <c r="B65" s="813" t="s">
        <v>2052</v>
      </c>
      <c r="C65" s="456" t="s">
        <v>1337</v>
      </c>
      <c r="D65" s="456" t="s">
        <v>1337</v>
      </c>
      <c r="F65" s="265" t="s">
        <v>1209</v>
      </c>
      <c r="G65" s="264" t="s">
        <v>1189</v>
      </c>
      <c r="H65" s="456" t="s">
        <v>1590</v>
      </c>
      <c r="I65" s="456" t="s">
        <v>1590</v>
      </c>
      <c r="J65" s="559" t="s">
        <v>1590</v>
      </c>
      <c r="K65" s="313"/>
      <c r="L65" s="560" t="s">
        <v>1590</v>
      </c>
      <c r="M65" s="560" t="s">
        <v>1590</v>
      </c>
      <c r="N65" s="176"/>
      <c r="O65" s="561" t="s">
        <v>1590</v>
      </c>
      <c r="P65" s="176"/>
      <c r="Q65" s="562" t="s">
        <v>1590</v>
      </c>
      <c r="R65" s="562" t="s">
        <v>1590</v>
      </c>
      <c r="S65" s="563" t="s">
        <v>1590</v>
      </c>
      <c r="T65" s="562" t="s">
        <v>1590</v>
      </c>
      <c r="U65" s="563" t="s">
        <v>1590</v>
      </c>
      <c r="V65" s="562" t="s">
        <v>1590</v>
      </c>
      <c r="W65" s="360"/>
      <c r="X65" s="562" t="s">
        <v>1590</v>
      </c>
      <c r="Y65" s="562" t="s">
        <v>1590</v>
      </c>
      <c r="Z65" s="562" t="s">
        <v>1590</v>
      </c>
      <c r="AA65" s="562" t="s">
        <v>1590</v>
      </c>
      <c r="AB65" s="562" t="s">
        <v>1590</v>
      </c>
      <c r="AC65" s="562" t="s">
        <v>1590</v>
      </c>
      <c r="AD65" s="235"/>
      <c r="AE65" s="456" t="s">
        <v>1590</v>
      </c>
      <c r="AG65" s="559" t="s">
        <v>1591</v>
      </c>
      <c r="AH65" s="559" t="s">
        <v>1591</v>
      </c>
      <c r="AI65" s="559" t="s">
        <v>1591</v>
      </c>
      <c r="AJ65" s="559" t="s">
        <v>1591</v>
      </c>
      <c r="AK65" s="559" t="s">
        <v>1591</v>
      </c>
      <c r="AL65" s="559" t="s">
        <v>1591</v>
      </c>
      <c r="AM65" s="559" t="s">
        <v>1591</v>
      </c>
      <c r="AN65" s="559" t="s">
        <v>1591</v>
      </c>
      <c r="AP65" s="456" t="s">
        <v>1590</v>
      </c>
      <c r="AQ65" s="456" t="s">
        <v>1590</v>
      </c>
      <c r="AS65" s="456" t="s">
        <v>1222</v>
      </c>
      <c r="AT65" s="456" t="s">
        <v>1222</v>
      </c>
      <c r="AU65" s="456" t="s">
        <v>1222</v>
      </c>
      <c r="AV65" s="456" t="s">
        <v>1222</v>
      </c>
    </row>
    <row r="66" spans="2:48" s="252" customFormat="1" ht="26.4" hidden="1">
      <c r="B66" s="1218" t="s">
        <v>2450</v>
      </c>
      <c r="C66" s="248" t="s">
        <v>134</v>
      </c>
      <c r="D66" s="248" t="s">
        <v>134</v>
      </c>
      <c r="E66" s="312"/>
      <c r="F66" s="233" t="s">
        <v>937</v>
      </c>
      <c r="G66" s="242" t="s">
        <v>266</v>
      </c>
      <c r="H66" s="243">
        <v>1</v>
      </c>
      <c r="I66" s="243" t="s">
        <v>200</v>
      </c>
      <c r="J66" s="492" t="s">
        <v>266</v>
      </c>
      <c r="K66" s="312"/>
      <c r="L66" s="236" t="s">
        <v>134</v>
      </c>
      <c r="M66" s="253"/>
      <c r="N66" s="314"/>
      <c r="O66" s="233"/>
      <c r="P66" s="314"/>
      <c r="Q66" s="254" t="s">
        <v>134</v>
      </c>
      <c r="R66" s="253" t="s">
        <v>134</v>
      </c>
      <c r="S66" s="255"/>
      <c r="T66" s="253"/>
      <c r="U66" s="237"/>
      <c r="V66" s="261"/>
      <c r="W66" s="314"/>
      <c r="X66" s="254"/>
      <c r="Y66" s="256"/>
      <c r="Z66" s="253"/>
      <c r="AA66" s="255"/>
      <c r="AB66" s="256"/>
      <c r="AC66" s="253"/>
      <c r="AD66" s="312"/>
      <c r="AE66" s="242" t="str">
        <f t="shared" si="1"/>
        <v>0x00 ~ 0xFF (0~127.5%)
Calculated by reference</v>
      </c>
      <c r="AF66" s="312"/>
      <c r="AG66" s="245">
        <v>0</v>
      </c>
      <c r="AH66" s="246">
        <v>0.5</v>
      </c>
      <c r="AI66" s="318" t="s">
        <v>750</v>
      </c>
      <c r="AJ66" s="319" t="s">
        <v>751</v>
      </c>
      <c r="AK66" s="334">
        <f t="shared" si="2"/>
        <v>0</v>
      </c>
      <c r="AL66" s="336">
        <f t="shared" si="3"/>
        <v>127.5</v>
      </c>
      <c r="AM66" s="246" t="s">
        <v>757</v>
      </c>
      <c r="AN66" s="242" t="s">
        <v>759</v>
      </c>
      <c r="AO66" s="312"/>
      <c r="AP66" s="482" t="s">
        <v>855</v>
      </c>
      <c r="AQ66" s="594" t="s">
        <v>1462</v>
      </c>
      <c r="AR66" s="929"/>
      <c r="AS66" s="594" t="s">
        <v>1743</v>
      </c>
      <c r="AT66" s="594" t="s">
        <v>1410</v>
      </c>
      <c r="AU66" s="594" t="s">
        <v>2449</v>
      </c>
      <c r="AV66" s="930" t="s">
        <v>1246</v>
      </c>
    </row>
    <row r="67" spans="2:48" s="252" customFormat="1" ht="26.4" hidden="1">
      <c r="B67" s="1139" t="s">
        <v>2440</v>
      </c>
      <c r="C67" s="1143" t="s">
        <v>134</v>
      </c>
      <c r="D67" s="1143" t="s">
        <v>134</v>
      </c>
      <c r="E67" s="1144"/>
      <c r="F67" s="1145" t="s">
        <v>938</v>
      </c>
      <c r="G67" s="598" t="s">
        <v>267</v>
      </c>
      <c r="H67" s="599">
        <v>1</v>
      </c>
      <c r="I67" s="599" t="s">
        <v>200</v>
      </c>
      <c r="J67" s="1146" t="s">
        <v>267</v>
      </c>
      <c r="K67" s="1144"/>
      <c r="L67" s="1147" t="s">
        <v>134</v>
      </c>
      <c r="M67" s="1148"/>
      <c r="N67" s="1149"/>
      <c r="O67" s="1145"/>
      <c r="P67" s="1149"/>
      <c r="Q67" s="1150" t="s">
        <v>134</v>
      </c>
      <c r="R67" s="1148" t="s">
        <v>134</v>
      </c>
      <c r="S67" s="1150"/>
      <c r="T67" s="1148"/>
      <c r="U67" s="1147"/>
      <c r="V67" s="1151"/>
      <c r="W67" s="1149"/>
      <c r="X67" s="1150"/>
      <c r="Y67" s="1152"/>
      <c r="Z67" s="1148"/>
      <c r="AA67" s="1150"/>
      <c r="AB67" s="1152"/>
      <c r="AC67" s="1148"/>
      <c r="AD67" s="1144"/>
      <c r="AE67" s="598" t="str">
        <f t="shared" si="1"/>
        <v>0x00 ~ 0xFF (0~127.5%)
Calculated by reference</v>
      </c>
      <c r="AF67" s="1138"/>
      <c r="AG67" s="1155">
        <v>0</v>
      </c>
      <c r="AH67" s="1156">
        <v>0.5</v>
      </c>
      <c r="AI67" s="1157" t="s">
        <v>750</v>
      </c>
      <c r="AJ67" s="1158" t="s">
        <v>751</v>
      </c>
      <c r="AK67" s="1159">
        <f t="shared" si="2"/>
        <v>0</v>
      </c>
      <c r="AL67" s="1160">
        <f t="shared" si="3"/>
        <v>127.5</v>
      </c>
      <c r="AM67" s="1156" t="s">
        <v>757</v>
      </c>
      <c r="AN67" s="598" t="s">
        <v>759</v>
      </c>
      <c r="AO67" s="1138"/>
      <c r="AP67" s="1153" t="s">
        <v>855</v>
      </c>
      <c r="AQ67" s="1153" t="s">
        <v>1463</v>
      </c>
      <c r="AR67" s="1131"/>
      <c r="AS67" s="1153" t="s">
        <v>1744</v>
      </c>
      <c r="AT67" s="1153" t="s">
        <v>1410</v>
      </c>
      <c r="AU67" s="1153" t="s">
        <v>1420</v>
      </c>
      <c r="AV67" s="1154" t="s">
        <v>1246</v>
      </c>
    </row>
    <row r="68" spans="2:48" s="252" customFormat="1" ht="26.4" hidden="1">
      <c r="B68" s="1218" t="s">
        <v>2450</v>
      </c>
      <c r="C68" s="248" t="s">
        <v>134</v>
      </c>
      <c r="D68" s="502"/>
      <c r="E68" s="312"/>
      <c r="F68" s="233" t="s">
        <v>939</v>
      </c>
      <c r="G68" s="242" t="s">
        <v>940</v>
      </c>
      <c r="H68" s="243">
        <v>1</v>
      </c>
      <c r="I68" s="243" t="s">
        <v>200</v>
      </c>
      <c r="J68" s="492" t="s">
        <v>268</v>
      </c>
      <c r="K68" s="312"/>
      <c r="L68" s="236" t="s">
        <v>134</v>
      </c>
      <c r="M68" s="253"/>
      <c r="N68" s="314"/>
      <c r="O68" s="233"/>
      <c r="P68" s="314"/>
      <c r="Q68" s="254" t="s">
        <v>134</v>
      </c>
      <c r="R68" s="253" t="s">
        <v>134</v>
      </c>
      <c r="S68" s="255"/>
      <c r="T68" s="253"/>
      <c r="U68" s="237"/>
      <c r="V68" s="261"/>
      <c r="W68" s="314"/>
      <c r="X68" s="254"/>
      <c r="Y68" s="256"/>
      <c r="Z68" s="253"/>
      <c r="AA68" s="255"/>
      <c r="AB68" s="256"/>
      <c r="AC68" s="253"/>
      <c r="AD68" s="312"/>
      <c r="AE68" s="1276" t="str">
        <f t="shared" si="1"/>
        <v>0x00 ~ 0xFF (0~127.5kPa)
Calculated by reference</v>
      </c>
      <c r="AF68" s="312"/>
      <c r="AG68" s="245">
        <v>0</v>
      </c>
      <c r="AH68" s="246">
        <v>0.5</v>
      </c>
      <c r="AI68" s="318" t="s">
        <v>750</v>
      </c>
      <c r="AJ68" s="1267" t="s">
        <v>2509</v>
      </c>
      <c r="AK68" s="334">
        <f t="shared" si="2"/>
        <v>0</v>
      </c>
      <c r="AL68" s="1272">
        <f t="shared" si="3"/>
        <v>127.5</v>
      </c>
      <c r="AM68" s="246" t="s">
        <v>760</v>
      </c>
      <c r="AN68" s="242" t="s">
        <v>759</v>
      </c>
      <c r="AO68" s="312"/>
      <c r="AP68" s="482" t="s">
        <v>855</v>
      </c>
      <c r="AQ68" s="594" t="s">
        <v>1464</v>
      </c>
      <c r="AR68" s="929"/>
      <c r="AS68" s="594" t="s">
        <v>1412</v>
      </c>
      <c r="AT68" s="594" t="s">
        <v>1413</v>
      </c>
      <c r="AU68" s="1140" t="s">
        <v>2424</v>
      </c>
      <c r="AV68" s="930" t="s">
        <v>1246</v>
      </c>
    </row>
    <row r="69" spans="2:48" s="252" customFormat="1" ht="26.4" hidden="1">
      <c r="B69" s="810"/>
      <c r="C69" s="502" t="s">
        <v>1714</v>
      </c>
      <c r="D69" s="248" t="s">
        <v>134</v>
      </c>
      <c r="E69" s="312"/>
      <c r="F69" s="233" t="s">
        <v>941</v>
      </c>
      <c r="G69" s="242" t="s">
        <v>269</v>
      </c>
      <c r="H69" s="243">
        <v>1</v>
      </c>
      <c r="I69" s="243" t="s">
        <v>200</v>
      </c>
      <c r="J69" s="244" t="s">
        <v>269</v>
      </c>
      <c r="K69" s="312"/>
      <c r="L69" s="236" t="s">
        <v>134</v>
      </c>
      <c r="M69" s="253"/>
      <c r="N69" s="314"/>
      <c r="O69" s="233"/>
      <c r="P69" s="314"/>
      <c r="Q69" s="254" t="s">
        <v>134</v>
      </c>
      <c r="R69" s="253" t="s">
        <v>134</v>
      </c>
      <c r="S69" s="255"/>
      <c r="T69" s="253"/>
      <c r="U69" s="237"/>
      <c r="V69" s="261"/>
      <c r="W69" s="314"/>
      <c r="X69" s="254"/>
      <c r="Y69" s="256"/>
      <c r="Z69" s="253"/>
      <c r="AA69" s="255"/>
      <c r="AB69" s="256"/>
      <c r="AC69" s="253"/>
      <c r="AD69" s="312"/>
      <c r="AE69" s="242" t="str">
        <f t="shared" si="1"/>
        <v>0x00 ~ 0x78 (-40~80deg C)
Calculated by reference</v>
      </c>
      <c r="AF69" s="312"/>
      <c r="AG69" s="245">
        <v>-40</v>
      </c>
      <c r="AH69" s="246">
        <v>1</v>
      </c>
      <c r="AI69" s="318" t="s">
        <v>750</v>
      </c>
      <c r="AJ69" s="319" t="s">
        <v>761</v>
      </c>
      <c r="AK69" s="334">
        <f t="shared" si="2"/>
        <v>-40</v>
      </c>
      <c r="AL69" s="336">
        <f t="shared" si="3"/>
        <v>80</v>
      </c>
      <c r="AM69" s="1228" t="s">
        <v>2446</v>
      </c>
      <c r="AN69" s="242" t="s">
        <v>759</v>
      </c>
      <c r="AO69" s="312"/>
      <c r="AP69" s="482" t="s">
        <v>855</v>
      </c>
      <c r="AQ69" s="482" t="s">
        <v>211</v>
      </c>
      <c r="AS69" s="504" t="s">
        <v>1406</v>
      </c>
      <c r="AT69" s="504" t="s">
        <v>1406</v>
      </c>
      <c r="AU69" s="504" t="s">
        <v>1406</v>
      </c>
      <c r="AV69" s="504" t="s">
        <v>1406</v>
      </c>
    </row>
    <row r="70" spans="2:48" s="252" customFormat="1" ht="26.4" hidden="1">
      <c r="B70" s="1218" t="s">
        <v>2450</v>
      </c>
      <c r="C70" s="248" t="s">
        <v>134</v>
      </c>
      <c r="D70" s="248" t="s">
        <v>134</v>
      </c>
      <c r="E70" s="312"/>
      <c r="F70" s="233" t="s">
        <v>942</v>
      </c>
      <c r="G70" s="242" t="s">
        <v>943</v>
      </c>
      <c r="H70" s="243">
        <v>1</v>
      </c>
      <c r="I70" s="243" t="s">
        <v>200</v>
      </c>
      <c r="J70" s="492" t="s">
        <v>270</v>
      </c>
      <c r="K70" s="312"/>
      <c r="L70" s="236" t="s">
        <v>134</v>
      </c>
      <c r="M70" s="253"/>
      <c r="N70" s="314"/>
      <c r="O70" s="233"/>
      <c r="P70" s="314"/>
      <c r="Q70" s="254" t="s">
        <v>134</v>
      </c>
      <c r="R70" s="253" t="s">
        <v>134</v>
      </c>
      <c r="S70" s="255"/>
      <c r="T70" s="253"/>
      <c r="U70" s="237"/>
      <c r="V70" s="261"/>
      <c r="W70" s="314"/>
      <c r="X70" s="254"/>
      <c r="Y70" s="256"/>
      <c r="Z70" s="253"/>
      <c r="AA70" s="255"/>
      <c r="AB70" s="256"/>
      <c r="AC70" s="253"/>
      <c r="AD70" s="312"/>
      <c r="AE70" s="1276" t="str">
        <f t="shared" si="1"/>
        <v>0x00 ~ 0xFF (-40~215deg C)
Calculated by reference</v>
      </c>
      <c r="AF70" s="312"/>
      <c r="AG70" s="245">
        <v>-40</v>
      </c>
      <c r="AH70" s="246">
        <v>1</v>
      </c>
      <c r="AI70" s="318" t="s">
        <v>750</v>
      </c>
      <c r="AJ70" s="1267" t="s">
        <v>2509</v>
      </c>
      <c r="AK70" s="334">
        <f t="shared" si="2"/>
        <v>-40</v>
      </c>
      <c r="AL70" s="1272">
        <f t="shared" si="3"/>
        <v>215</v>
      </c>
      <c r="AM70" s="1228" t="s">
        <v>2446</v>
      </c>
      <c r="AN70" s="242" t="s">
        <v>759</v>
      </c>
      <c r="AO70" s="312"/>
      <c r="AP70" s="482" t="s">
        <v>855</v>
      </c>
      <c r="AQ70" s="594" t="s">
        <v>1416</v>
      </c>
      <c r="AR70" s="929"/>
      <c r="AS70" s="594" t="s">
        <v>1417</v>
      </c>
      <c r="AT70" s="594" t="s">
        <v>1418</v>
      </c>
      <c r="AU70" s="594" t="s">
        <v>2396</v>
      </c>
      <c r="AV70" s="594" t="s">
        <v>1745</v>
      </c>
    </row>
    <row r="71" spans="2:48" s="252" customFormat="1" ht="26.4" hidden="1">
      <c r="B71" s="1218" t="s">
        <v>2450</v>
      </c>
      <c r="C71" s="248" t="s">
        <v>134</v>
      </c>
      <c r="D71" s="248" t="s">
        <v>134</v>
      </c>
      <c r="E71" s="312"/>
      <c r="F71" s="233" t="s">
        <v>944</v>
      </c>
      <c r="G71" s="242" t="s">
        <v>945</v>
      </c>
      <c r="H71" s="243">
        <v>1</v>
      </c>
      <c r="I71" s="243" t="s">
        <v>200</v>
      </c>
      <c r="J71" s="492" t="s">
        <v>271</v>
      </c>
      <c r="K71" s="312"/>
      <c r="L71" s="236" t="s">
        <v>134</v>
      </c>
      <c r="M71" s="253"/>
      <c r="N71" s="314"/>
      <c r="O71" s="233"/>
      <c r="P71" s="314"/>
      <c r="Q71" s="254" t="s">
        <v>134</v>
      </c>
      <c r="R71" s="253" t="s">
        <v>134</v>
      </c>
      <c r="S71" s="255"/>
      <c r="T71" s="253"/>
      <c r="U71" s="237"/>
      <c r="V71" s="261"/>
      <c r="W71" s="314"/>
      <c r="X71" s="254"/>
      <c r="Y71" s="256"/>
      <c r="Z71" s="253"/>
      <c r="AA71" s="255"/>
      <c r="AB71" s="256"/>
      <c r="AC71" s="253"/>
      <c r="AD71" s="312"/>
      <c r="AE71" s="1276" t="str">
        <f t="shared" si="1"/>
        <v>0x00 ~ 0xFF (-40~215deg C)
Calculated by reference</v>
      </c>
      <c r="AF71" s="312"/>
      <c r="AG71" s="245">
        <v>-40</v>
      </c>
      <c r="AH71" s="246">
        <v>1</v>
      </c>
      <c r="AI71" s="318" t="s">
        <v>750</v>
      </c>
      <c r="AJ71" s="1267" t="s">
        <v>2509</v>
      </c>
      <c r="AK71" s="334">
        <f t="shared" ref="AK71:AK74" si="4">HEX2DEC(AI71)*AH71+AG71</f>
        <v>-40</v>
      </c>
      <c r="AL71" s="1272">
        <f t="shared" ref="AL71:AL74" si="5">HEX2DEC(AJ71)*AH71+AG71</f>
        <v>215</v>
      </c>
      <c r="AM71" s="1228" t="s">
        <v>2446</v>
      </c>
      <c r="AN71" s="242" t="s">
        <v>759</v>
      </c>
      <c r="AO71" s="312"/>
      <c r="AP71" s="482" t="s">
        <v>855</v>
      </c>
      <c r="AQ71" s="594" t="s">
        <v>214</v>
      </c>
      <c r="AR71" s="929"/>
      <c r="AS71" s="594" t="s">
        <v>1424</v>
      </c>
      <c r="AT71" s="594" t="s">
        <v>1425</v>
      </c>
      <c r="AU71" s="594" t="s">
        <v>2397</v>
      </c>
      <c r="AV71" s="594" t="s">
        <v>1745</v>
      </c>
    </row>
    <row r="72" spans="2:48" s="252" customFormat="1" ht="26.4" hidden="1">
      <c r="B72" s="1218" t="s">
        <v>2450</v>
      </c>
      <c r="C72" s="248" t="s">
        <v>134</v>
      </c>
      <c r="D72" s="248" t="s">
        <v>134</v>
      </c>
      <c r="E72" s="312"/>
      <c r="F72" s="233" t="s">
        <v>946</v>
      </c>
      <c r="G72" s="242" t="s">
        <v>947</v>
      </c>
      <c r="H72" s="243">
        <v>1</v>
      </c>
      <c r="I72" s="243" t="s">
        <v>200</v>
      </c>
      <c r="J72" s="492" t="s">
        <v>272</v>
      </c>
      <c r="K72" s="312"/>
      <c r="L72" s="236" t="s">
        <v>134</v>
      </c>
      <c r="M72" s="253"/>
      <c r="N72" s="314"/>
      <c r="O72" s="233"/>
      <c r="P72" s="314"/>
      <c r="Q72" s="254" t="s">
        <v>134</v>
      </c>
      <c r="R72" s="253" t="s">
        <v>134</v>
      </c>
      <c r="S72" s="255"/>
      <c r="T72" s="253"/>
      <c r="U72" s="237"/>
      <c r="V72" s="261"/>
      <c r="W72" s="314"/>
      <c r="X72" s="254"/>
      <c r="Y72" s="256"/>
      <c r="Z72" s="253"/>
      <c r="AA72" s="255"/>
      <c r="AB72" s="256"/>
      <c r="AC72" s="253"/>
      <c r="AD72" s="312"/>
      <c r="AE72" s="1276" t="str">
        <f t="shared" si="1"/>
        <v>0x00 ~ 0xFF (-40~215deg C)
Calculated by reference</v>
      </c>
      <c r="AF72" s="312"/>
      <c r="AG72" s="245">
        <v>-40</v>
      </c>
      <c r="AH72" s="246">
        <v>1</v>
      </c>
      <c r="AI72" s="318" t="s">
        <v>750</v>
      </c>
      <c r="AJ72" s="1267" t="s">
        <v>2509</v>
      </c>
      <c r="AK72" s="334">
        <f t="shared" si="4"/>
        <v>-40</v>
      </c>
      <c r="AL72" s="1272">
        <f t="shared" si="5"/>
        <v>215</v>
      </c>
      <c r="AM72" s="1228" t="s">
        <v>2446</v>
      </c>
      <c r="AN72" s="242" t="s">
        <v>759</v>
      </c>
      <c r="AO72" s="312"/>
      <c r="AP72" s="482" t="s">
        <v>855</v>
      </c>
      <c r="AQ72" s="594" t="s">
        <v>1465</v>
      </c>
      <c r="AR72" s="929"/>
      <c r="AS72" s="594" t="s">
        <v>1427</v>
      </c>
      <c r="AT72" s="594" t="s">
        <v>1428</v>
      </c>
      <c r="AU72" s="594" t="s">
        <v>2398</v>
      </c>
      <c r="AV72" s="594" t="s">
        <v>1745</v>
      </c>
    </row>
    <row r="73" spans="2:48" s="252" customFormat="1" ht="26.4" hidden="1">
      <c r="B73" s="1218" t="s">
        <v>2450</v>
      </c>
      <c r="C73" s="248" t="s">
        <v>134</v>
      </c>
      <c r="D73" s="248" t="s">
        <v>134</v>
      </c>
      <c r="E73" s="312"/>
      <c r="F73" s="233" t="s">
        <v>948</v>
      </c>
      <c r="G73" s="242" t="s">
        <v>949</v>
      </c>
      <c r="H73" s="243">
        <v>1</v>
      </c>
      <c r="I73" s="243" t="s">
        <v>200</v>
      </c>
      <c r="J73" s="492" t="s">
        <v>273</v>
      </c>
      <c r="K73" s="312"/>
      <c r="L73" s="236" t="s">
        <v>134</v>
      </c>
      <c r="M73" s="253"/>
      <c r="N73" s="314"/>
      <c r="O73" s="233"/>
      <c r="P73" s="314"/>
      <c r="Q73" s="254" t="s">
        <v>134</v>
      </c>
      <c r="R73" s="253" t="s">
        <v>134</v>
      </c>
      <c r="S73" s="255"/>
      <c r="T73" s="253"/>
      <c r="U73" s="237"/>
      <c r="V73" s="261"/>
      <c r="W73" s="314"/>
      <c r="X73" s="254"/>
      <c r="Y73" s="256"/>
      <c r="Z73" s="253"/>
      <c r="AA73" s="255"/>
      <c r="AB73" s="256"/>
      <c r="AC73" s="253"/>
      <c r="AD73" s="312"/>
      <c r="AE73" s="1276" t="str">
        <f t="shared" si="1"/>
        <v>0x00 ~ 0xFF (-40~215deg C)
Calculated by reference</v>
      </c>
      <c r="AF73" s="312"/>
      <c r="AG73" s="245">
        <v>-40</v>
      </c>
      <c r="AH73" s="246">
        <v>1</v>
      </c>
      <c r="AI73" s="318" t="s">
        <v>750</v>
      </c>
      <c r="AJ73" s="1267" t="s">
        <v>2509</v>
      </c>
      <c r="AK73" s="334">
        <f t="shared" si="4"/>
        <v>-40</v>
      </c>
      <c r="AL73" s="1272">
        <f t="shared" si="5"/>
        <v>215</v>
      </c>
      <c r="AM73" s="1228" t="s">
        <v>2446</v>
      </c>
      <c r="AN73" s="242" t="s">
        <v>759</v>
      </c>
      <c r="AO73" s="312"/>
      <c r="AP73" s="482" t="s">
        <v>855</v>
      </c>
      <c r="AQ73" s="594" t="s">
        <v>218</v>
      </c>
      <c r="AR73" s="929"/>
      <c r="AS73" s="594" t="s">
        <v>1765</v>
      </c>
      <c r="AT73" s="594" t="s">
        <v>1431</v>
      </c>
      <c r="AU73" s="594" t="s">
        <v>2425</v>
      </c>
      <c r="AV73" s="594" t="s">
        <v>1745</v>
      </c>
    </row>
    <row r="74" spans="2:48" s="252" customFormat="1" ht="26.4" hidden="1">
      <c r="B74" s="1218" t="s">
        <v>2450</v>
      </c>
      <c r="C74" s="248" t="s">
        <v>134</v>
      </c>
      <c r="D74" s="248" t="s">
        <v>134</v>
      </c>
      <c r="E74" s="312"/>
      <c r="F74" s="233" t="s">
        <v>950</v>
      </c>
      <c r="G74" s="242" t="s">
        <v>951</v>
      </c>
      <c r="H74" s="243">
        <v>1</v>
      </c>
      <c r="I74" s="243" t="s">
        <v>200</v>
      </c>
      <c r="J74" s="492" t="s">
        <v>274</v>
      </c>
      <c r="K74" s="312"/>
      <c r="L74" s="236" t="s">
        <v>134</v>
      </c>
      <c r="M74" s="253"/>
      <c r="N74" s="314"/>
      <c r="O74" s="233"/>
      <c r="P74" s="314"/>
      <c r="Q74" s="254" t="s">
        <v>134</v>
      </c>
      <c r="R74" s="253" t="s">
        <v>134</v>
      </c>
      <c r="S74" s="255"/>
      <c r="T74" s="253"/>
      <c r="U74" s="237"/>
      <c r="V74" s="261"/>
      <c r="W74" s="314"/>
      <c r="X74" s="254"/>
      <c r="Y74" s="256"/>
      <c r="Z74" s="253"/>
      <c r="AA74" s="255"/>
      <c r="AB74" s="256"/>
      <c r="AC74" s="253"/>
      <c r="AD74" s="312"/>
      <c r="AE74" s="1276" t="str">
        <f t="shared" si="1"/>
        <v>0x00 ~ 0xFF (-40~215deg C)
Calculated by reference</v>
      </c>
      <c r="AF74" s="312"/>
      <c r="AG74" s="245">
        <v>-40</v>
      </c>
      <c r="AH74" s="246">
        <v>1</v>
      </c>
      <c r="AI74" s="318" t="s">
        <v>750</v>
      </c>
      <c r="AJ74" s="1267" t="s">
        <v>2509</v>
      </c>
      <c r="AK74" s="334">
        <f t="shared" si="4"/>
        <v>-40</v>
      </c>
      <c r="AL74" s="1272">
        <f t="shared" si="5"/>
        <v>215</v>
      </c>
      <c r="AM74" s="1228" t="s">
        <v>2446</v>
      </c>
      <c r="AN74" s="242" t="s">
        <v>759</v>
      </c>
      <c r="AO74" s="312"/>
      <c r="AP74" s="482" t="s">
        <v>855</v>
      </c>
      <c r="AQ74" s="594" t="s">
        <v>220</v>
      </c>
      <c r="AR74" s="929"/>
      <c r="AS74" s="594" t="s">
        <v>1766</v>
      </c>
      <c r="AT74" s="594" t="s">
        <v>1434</v>
      </c>
      <c r="AU74" s="594" t="s">
        <v>2426</v>
      </c>
      <c r="AV74" s="594" t="s">
        <v>1745</v>
      </c>
    </row>
    <row r="75" spans="2:48" s="252" customFormat="1" ht="39.6" hidden="1">
      <c r="B75" s="810"/>
      <c r="C75" s="502" t="s">
        <v>1714</v>
      </c>
      <c r="D75" s="248" t="s">
        <v>882</v>
      </c>
      <c r="E75" s="312"/>
      <c r="F75" s="233" t="s">
        <v>952</v>
      </c>
      <c r="G75" s="242" t="s">
        <v>953</v>
      </c>
      <c r="H75" s="243">
        <v>1</v>
      </c>
      <c r="I75" s="243" t="s">
        <v>200</v>
      </c>
      <c r="J75" s="244" t="s">
        <v>275</v>
      </c>
      <c r="K75" s="312"/>
      <c r="L75" s="236" t="s">
        <v>134</v>
      </c>
      <c r="M75" s="253"/>
      <c r="N75" s="314"/>
      <c r="O75" s="233"/>
      <c r="P75" s="314"/>
      <c r="Q75" s="254" t="s">
        <v>134</v>
      </c>
      <c r="R75" s="253" t="s">
        <v>134</v>
      </c>
      <c r="S75" s="255"/>
      <c r="T75" s="253"/>
      <c r="U75" s="237"/>
      <c r="V75" s="261"/>
      <c r="W75" s="314"/>
      <c r="X75" s="254"/>
      <c r="Y75" s="256"/>
      <c r="Z75" s="253"/>
      <c r="AA75" s="255"/>
      <c r="AB75" s="256"/>
      <c r="AC75" s="253"/>
      <c r="AD75" s="312"/>
      <c r="AE75" s="242" t="str">
        <f t="shared" si="1"/>
        <v>0x00 ~ 0xA0 (-40~120deg C)
0xFF: Not equipped
Calculated by reference</v>
      </c>
      <c r="AF75" s="312"/>
      <c r="AG75" s="245">
        <v>-40</v>
      </c>
      <c r="AH75" s="246">
        <v>1</v>
      </c>
      <c r="AI75" s="318" t="s">
        <v>750</v>
      </c>
      <c r="AJ75" s="319" t="s">
        <v>762</v>
      </c>
      <c r="AK75" s="334">
        <f t="shared" si="2"/>
        <v>-40</v>
      </c>
      <c r="AL75" s="336">
        <f t="shared" si="3"/>
        <v>120</v>
      </c>
      <c r="AM75" s="1228" t="s">
        <v>2445</v>
      </c>
      <c r="AN75" s="242" t="s">
        <v>763</v>
      </c>
      <c r="AO75" s="312"/>
      <c r="AP75" s="482" t="s">
        <v>855</v>
      </c>
      <c r="AQ75" s="482" t="s">
        <v>222</v>
      </c>
      <c r="AS75" s="504" t="s">
        <v>1406</v>
      </c>
      <c r="AT75" s="504" t="s">
        <v>1406</v>
      </c>
      <c r="AU75" s="504" t="s">
        <v>1406</v>
      </c>
      <c r="AV75" s="504" t="s">
        <v>1406</v>
      </c>
    </row>
    <row r="76" spans="2:48" s="252" customFormat="1" ht="39.6" hidden="1">
      <c r="B76" s="810"/>
      <c r="C76" s="502" t="s">
        <v>1714</v>
      </c>
      <c r="D76" s="248" t="s">
        <v>882</v>
      </c>
      <c r="E76" s="312"/>
      <c r="F76" s="233" t="s">
        <v>954</v>
      </c>
      <c r="G76" s="242" t="s">
        <v>955</v>
      </c>
      <c r="H76" s="243">
        <v>1</v>
      </c>
      <c r="I76" s="243" t="s">
        <v>200</v>
      </c>
      <c r="J76" s="244" t="s">
        <v>276</v>
      </c>
      <c r="K76" s="312"/>
      <c r="L76" s="236" t="s">
        <v>134</v>
      </c>
      <c r="M76" s="253"/>
      <c r="N76" s="314"/>
      <c r="O76" s="233"/>
      <c r="P76" s="314"/>
      <c r="Q76" s="254" t="s">
        <v>134</v>
      </c>
      <c r="R76" s="253" t="s">
        <v>134</v>
      </c>
      <c r="S76" s="255"/>
      <c r="T76" s="253"/>
      <c r="U76" s="237"/>
      <c r="V76" s="261"/>
      <c r="W76" s="314"/>
      <c r="X76" s="254"/>
      <c r="Y76" s="256"/>
      <c r="Z76" s="253"/>
      <c r="AA76" s="255"/>
      <c r="AB76" s="256"/>
      <c r="AC76" s="253"/>
      <c r="AD76" s="312"/>
      <c r="AE76" s="242" t="str">
        <f t="shared" si="1"/>
        <v>0x00 ~ 0xA0 (-40~120deg C)
0xFF: Not equipped
Calculated by reference</v>
      </c>
      <c r="AF76" s="312"/>
      <c r="AG76" s="245">
        <v>-40</v>
      </c>
      <c r="AH76" s="246">
        <v>1</v>
      </c>
      <c r="AI76" s="318" t="s">
        <v>750</v>
      </c>
      <c r="AJ76" s="319" t="s">
        <v>762</v>
      </c>
      <c r="AK76" s="334">
        <f t="shared" si="2"/>
        <v>-40</v>
      </c>
      <c r="AL76" s="336">
        <f t="shared" si="3"/>
        <v>120</v>
      </c>
      <c r="AM76" s="1228" t="s">
        <v>2445</v>
      </c>
      <c r="AN76" s="242" t="s">
        <v>763</v>
      </c>
      <c r="AO76" s="312"/>
      <c r="AP76" s="482" t="s">
        <v>855</v>
      </c>
      <c r="AQ76" s="482" t="s">
        <v>224</v>
      </c>
      <c r="AS76" s="504" t="s">
        <v>1406</v>
      </c>
      <c r="AT76" s="504" t="s">
        <v>1406</v>
      </c>
      <c r="AU76" s="504" t="s">
        <v>1406</v>
      </c>
      <c r="AV76" s="504" t="s">
        <v>1406</v>
      </c>
    </row>
    <row r="77" spans="2:48" s="252" customFormat="1" ht="39.6" hidden="1">
      <c r="B77" s="810"/>
      <c r="C77" s="502" t="s">
        <v>1714</v>
      </c>
      <c r="D77" s="248" t="s">
        <v>882</v>
      </c>
      <c r="E77" s="312"/>
      <c r="F77" s="233" t="s">
        <v>956</v>
      </c>
      <c r="G77" s="242" t="s">
        <v>957</v>
      </c>
      <c r="H77" s="243">
        <v>1</v>
      </c>
      <c r="I77" s="243" t="s">
        <v>200</v>
      </c>
      <c r="J77" s="244" t="s">
        <v>277</v>
      </c>
      <c r="K77" s="312"/>
      <c r="L77" s="236" t="s">
        <v>134</v>
      </c>
      <c r="M77" s="253"/>
      <c r="N77" s="314"/>
      <c r="O77" s="233"/>
      <c r="P77" s="314"/>
      <c r="Q77" s="254" t="s">
        <v>134</v>
      </c>
      <c r="R77" s="253" t="s">
        <v>134</v>
      </c>
      <c r="S77" s="255"/>
      <c r="T77" s="253"/>
      <c r="U77" s="237"/>
      <c r="V77" s="261"/>
      <c r="W77" s="314"/>
      <c r="X77" s="254"/>
      <c r="Y77" s="256"/>
      <c r="Z77" s="253"/>
      <c r="AA77" s="255"/>
      <c r="AB77" s="256"/>
      <c r="AC77" s="253"/>
      <c r="AD77" s="312"/>
      <c r="AE77" s="242" t="str">
        <f t="shared" si="1"/>
        <v>0x00 ~ 0xA0 (-40~120deg C)
0xFF: Not equipped
Calculated by reference</v>
      </c>
      <c r="AF77" s="312"/>
      <c r="AG77" s="245">
        <v>-40</v>
      </c>
      <c r="AH77" s="246">
        <v>1</v>
      </c>
      <c r="AI77" s="318" t="s">
        <v>750</v>
      </c>
      <c r="AJ77" s="319" t="s">
        <v>762</v>
      </c>
      <c r="AK77" s="334">
        <f t="shared" si="2"/>
        <v>-40</v>
      </c>
      <c r="AL77" s="336">
        <f t="shared" si="3"/>
        <v>120</v>
      </c>
      <c r="AM77" s="1228" t="s">
        <v>2445</v>
      </c>
      <c r="AN77" s="242" t="s">
        <v>763</v>
      </c>
      <c r="AO77" s="312"/>
      <c r="AP77" s="482" t="s">
        <v>855</v>
      </c>
      <c r="AQ77" s="482" t="s">
        <v>226</v>
      </c>
      <c r="AS77" s="504" t="s">
        <v>1406</v>
      </c>
      <c r="AT77" s="504" t="s">
        <v>1406</v>
      </c>
      <c r="AU77" s="504" t="s">
        <v>1406</v>
      </c>
      <c r="AV77" s="504" t="s">
        <v>1406</v>
      </c>
    </row>
    <row r="78" spans="2:48" s="252" customFormat="1" ht="52.8" hidden="1">
      <c r="B78" s="1218" t="s">
        <v>2450</v>
      </c>
      <c r="C78" s="289" t="s">
        <v>134</v>
      </c>
      <c r="D78" s="289" t="s">
        <v>134</v>
      </c>
      <c r="E78" s="312"/>
      <c r="F78" s="1225" t="s">
        <v>958</v>
      </c>
      <c r="G78" s="1614" t="s">
        <v>278</v>
      </c>
      <c r="H78" s="1630">
        <v>1</v>
      </c>
      <c r="I78" s="690" t="s">
        <v>1700</v>
      </c>
      <c r="J78" s="494" t="s">
        <v>280</v>
      </c>
      <c r="K78" s="312"/>
      <c r="L78" s="271" t="s">
        <v>134</v>
      </c>
      <c r="M78" s="272"/>
      <c r="N78" s="314"/>
      <c r="O78" s="277"/>
      <c r="P78" s="314"/>
      <c r="Q78" s="280" t="s">
        <v>134</v>
      </c>
      <c r="R78" s="272" t="s">
        <v>134</v>
      </c>
      <c r="S78" s="281"/>
      <c r="T78" s="272"/>
      <c r="U78" s="282"/>
      <c r="V78" s="283"/>
      <c r="W78" s="314"/>
      <c r="X78" s="280"/>
      <c r="Y78" s="284"/>
      <c r="Z78" s="272"/>
      <c r="AA78" s="281"/>
      <c r="AB78" s="284"/>
      <c r="AC78" s="272"/>
      <c r="AD78" s="312"/>
      <c r="AE78" s="285" t="str">
        <f t="shared" si="1"/>
        <v>0x0 ~ 0x1 (0~1 -)
0x0: Coolant none
0x1: Coolant detected
Calculated by reference</v>
      </c>
      <c r="AF78" s="312"/>
      <c r="AG78" s="1258">
        <v>0</v>
      </c>
      <c r="AH78" s="1259">
        <v>1</v>
      </c>
      <c r="AI78" s="320" t="s">
        <v>764</v>
      </c>
      <c r="AJ78" s="321" t="s">
        <v>281</v>
      </c>
      <c r="AK78" s="337">
        <f t="shared" si="2"/>
        <v>0</v>
      </c>
      <c r="AL78" s="1273">
        <f t="shared" si="3"/>
        <v>1</v>
      </c>
      <c r="AM78" s="1259" t="s">
        <v>2516</v>
      </c>
      <c r="AN78" s="285" t="s">
        <v>765</v>
      </c>
      <c r="AO78" s="312"/>
      <c r="AP78" s="310" t="s">
        <v>855</v>
      </c>
      <c r="AQ78" s="931" t="s">
        <v>228</v>
      </c>
      <c r="AR78" s="929"/>
      <c r="AS78" s="913" t="s">
        <v>1437</v>
      </c>
      <c r="AT78" s="913" t="s">
        <v>1438</v>
      </c>
      <c r="AU78" s="913" t="s">
        <v>1439</v>
      </c>
      <c r="AV78" s="932" t="s">
        <v>1246</v>
      </c>
    </row>
    <row r="79" spans="2:48" s="252" customFormat="1" ht="52.8" hidden="1">
      <c r="B79" s="1218" t="s">
        <v>2450</v>
      </c>
      <c r="C79" s="299" t="s">
        <v>134</v>
      </c>
      <c r="D79" s="299" t="s">
        <v>134</v>
      </c>
      <c r="E79" s="312"/>
      <c r="F79" s="1226" t="s">
        <v>2442</v>
      </c>
      <c r="G79" s="1614"/>
      <c r="H79" s="1630"/>
      <c r="I79" s="691" t="s">
        <v>1701</v>
      </c>
      <c r="J79" s="495" t="s">
        <v>283</v>
      </c>
      <c r="K79" s="312"/>
      <c r="L79" s="884" t="s">
        <v>2065</v>
      </c>
      <c r="M79" s="274"/>
      <c r="N79" s="314"/>
      <c r="O79" s="278"/>
      <c r="P79" s="314"/>
      <c r="Q79" s="886" t="s">
        <v>134</v>
      </c>
      <c r="R79" s="887" t="s">
        <v>134</v>
      </c>
      <c r="S79" s="291"/>
      <c r="T79" s="274"/>
      <c r="U79" s="292"/>
      <c r="V79" s="293"/>
      <c r="W79" s="314"/>
      <c r="X79" s="290"/>
      <c r="Y79" s="294"/>
      <c r="Z79" s="274"/>
      <c r="AA79" s="291"/>
      <c r="AB79" s="294"/>
      <c r="AC79" s="274"/>
      <c r="AD79" s="312"/>
      <c r="AE79" s="295" t="str">
        <f t="shared" si="1"/>
        <v>0x0 ~ 0x1 (0~1 -)
0x0: Coolant none
0x1: Coolant detected
Calculated by reference</v>
      </c>
      <c r="AF79" s="312"/>
      <c r="AG79" s="1260">
        <v>0</v>
      </c>
      <c r="AH79" s="1261">
        <v>1</v>
      </c>
      <c r="AI79" s="322" t="s">
        <v>764</v>
      </c>
      <c r="AJ79" s="323" t="s">
        <v>281</v>
      </c>
      <c r="AK79" s="339">
        <f t="shared" si="2"/>
        <v>0</v>
      </c>
      <c r="AL79" s="1274">
        <f t="shared" si="3"/>
        <v>1</v>
      </c>
      <c r="AM79" s="1261" t="s">
        <v>2516</v>
      </c>
      <c r="AN79" s="295" t="s">
        <v>765</v>
      </c>
      <c r="AO79" s="312"/>
      <c r="AP79" s="486" t="s">
        <v>855</v>
      </c>
      <c r="AQ79" s="623" t="s">
        <v>1751</v>
      </c>
      <c r="AR79" s="929"/>
      <c r="AS79" s="623" t="s">
        <v>1492</v>
      </c>
      <c r="AT79" s="623" t="s">
        <v>1493</v>
      </c>
      <c r="AU79" s="623" t="s">
        <v>1494</v>
      </c>
      <c r="AV79" s="933" t="s">
        <v>1246</v>
      </c>
    </row>
    <row r="80" spans="2:48" s="252" customFormat="1" ht="52.8" hidden="1">
      <c r="B80" s="1218" t="s">
        <v>2450</v>
      </c>
      <c r="C80" s="299" t="s">
        <v>134</v>
      </c>
      <c r="D80" s="299" t="s">
        <v>134</v>
      </c>
      <c r="E80" s="312"/>
      <c r="F80" s="1226" t="s">
        <v>2442</v>
      </c>
      <c r="G80" s="1614"/>
      <c r="H80" s="1630"/>
      <c r="I80" s="691" t="s">
        <v>1704</v>
      </c>
      <c r="J80" s="495" t="s">
        <v>285</v>
      </c>
      <c r="K80" s="312"/>
      <c r="L80" s="884" t="s">
        <v>134</v>
      </c>
      <c r="M80" s="274"/>
      <c r="N80" s="314"/>
      <c r="O80" s="278"/>
      <c r="P80" s="314"/>
      <c r="Q80" s="886" t="s">
        <v>134</v>
      </c>
      <c r="R80" s="887" t="s">
        <v>134</v>
      </c>
      <c r="S80" s="291"/>
      <c r="T80" s="274"/>
      <c r="U80" s="292"/>
      <c r="V80" s="293"/>
      <c r="W80" s="314"/>
      <c r="X80" s="290"/>
      <c r="Y80" s="294"/>
      <c r="Z80" s="274"/>
      <c r="AA80" s="291"/>
      <c r="AB80" s="294"/>
      <c r="AC80" s="274"/>
      <c r="AD80" s="312"/>
      <c r="AE80" s="295" t="str">
        <f t="shared" si="1"/>
        <v>0x0 ~ 0x1 (0~1 -)
0x0: Coolant none
0x1: Coolant detected
Calculated by reference</v>
      </c>
      <c r="AF80" s="312"/>
      <c r="AG80" s="1260">
        <v>0</v>
      </c>
      <c r="AH80" s="1261">
        <v>1</v>
      </c>
      <c r="AI80" s="322" t="s">
        <v>764</v>
      </c>
      <c r="AJ80" s="323" t="s">
        <v>281</v>
      </c>
      <c r="AK80" s="339">
        <f t="shared" si="2"/>
        <v>0</v>
      </c>
      <c r="AL80" s="1274">
        <f t="shared" si="3"/>
        <v>1</v>
      </c>
      <c r="AM80" s="1261" t="s">
        <v>2516</v>
      </c>
      <c r="AN80" s="295" t="s">
        <v>765</v>
      </c>
      <c r="AO80" s="312"/>
      <c r="AP80" s="486" t="s">
        <v>855</v>
      </c>
      <c r="AQ80" s="934" t="s">
        <v>1440</v>
      </c>
      <c r="AR80" s="929"/>
      <c r="AS80" s="623" t="s">
        <v>1441</v>
      </c>
      <c r="AT80" s="623" t="s">
        <v>1442</v>
      </c>
      <c r="AU80" s="623" t="s">
        <v>1443</v>
      </c>
      <c r="AV80" s="933" t="s">
        <v>1246</v>
      </c>
    </row>
    <row r="81" spans="2:48" s="252" customFormat="1" ht="66" hidden="1">
      <c r="B81" s="1218" t="s">
        <v>2450</v>
      </c>
      <c r="C81" s="689" t="s">
        <v>1698</v>
      </c>
      <c r="D81" s="309" t="s">
        <v>882</v>
      </c>
      <c r="E81" s="312"/>
      <c r="F81" s="1227" t="s">
        <v>2442</v>
      </c>
      <c r="G81" s="1614"/>
      <c r="H81" s="1630"/>
      <c r="I81" s="692" t="s">
        <v>1705</v>
      </c>
      <c r="J81" s="496" t="s">
        <v>286</v>
      </c>
      <c r="K81" s="312"/>
      <c r="L81" s="885" t="s">
        <v>134</v>
      </c>
      <c r="M81" s="276"/>
      <c r="N81" s="314"/>
      <c r="O81" s="279"/>
      <c r="P81" s="314"/>
      <c r="Q81" s="888" t="s">
        <v>134</v>
      </c>
      <c r="R81" s="889" t="s">
        <v>134</v>
      </c>
      <c r="S81" s="301"/>
      <c r="T81" s="276"/>
      <c r="U81" s="302"/>
      <c r="V81" s="303"/>
      <c r="W81" s="314"/>
      <c r="X81" s="300"/>
      <c r="Y81" s="304"/>
      <c r="Z81" s="276"/>
      <c r="AA81" s="301"/>
      <c r="AB81" s="304"/>
      <c r="AC81" s="276"/>
      <c r="AD81" s="312"/>
      <c r="AE81" s="305" t="str">
        <f t="shared" si="1"/>
        <v>0x0 ~ 0x3 (0~3 -)
0x0: Coolant none
0x1: Coolant detected
0x3: Not equipped
Calculated by reference</v>
      </c>
      <c r="AF81" s="312"/>
      <c r="AG81" s="1262">
        <v>0</v>
      </c>
      <c r="AH81" s="1263">
        <v>1</v>
      </c>
      <c r="AI81" s="324" t="s">
        <v>764</v>
      </c>
      <c r="AJ81" s="325" t="s">
        <v>287</v>
      </c>
      <c r="AK81" s="341">
        <f t="shared" si="2"/>
        <v>0</v>
      </c>
      <c r="AL81" s="1275">
        <f t="shared" si="3"/>
        <v>3</v>
      </c>
      <c r="AM81" s="1263" t="s">
        <v>2516</v>
      </c>
      <c r="AN81" s="305" t="s">
        <v>766</v>
      </c>
      <c r="AO81" s="312"/>
      <c r="AP81" s="487" t="s">
        <v>855</v>
      </c>
      <c r="AQ81" s="487" t="s">
        <v>1466</v>
      </c>
      <c r="AS81" s="500" t="s">
        <v>1499</v>
      </c>
      <c r="AT81" s="500" t="s">
        <v>1499</v>
      </c>
      <c r="AU81" s="500" t="s">
        <v>1499</v>
      </c>
      <c r="AV81" s="500" t="s">
        <v>1499</v>
      </c>
    </row>
    <row r="82" spans="2:48" s="252" customFormat="1" ht="26.4" hidden="1">
      <c r="B82" s="1218" t="s">
        <v>2450</v>
      </c>
      <c r="C82" s="248" t="s">
        <v>134</v>
      </c>
      <c r="D82" s="248" t="s">
        <v>134</v>
      </c>
      <c r="E82" s="312"/>
      <c r="F82" s="233" t="s">
        <v>959</v>
      </c>
      <c r="G82" s="242" t="s">
        <v>288</v>
      </c>
      <c r="H82" s="243">
        <v>1</v>
      </c>
      <c r="I82" s="243" t="s">
        <v>200</v>
      </c>
      <c r="J82" s="492" t="s">
        <v>960</v>
      </c>
      <c r="K82" s="312"/>
      <c r="L82" s="236" t="s">
        <v>134</v>
      </c>
      <c r="M82" s="253"/>
      <c r="N82" s="314"/>
      <c r="O82" s="233"/>
      <c r="P82" s="314"/>
      <c r="Q82" s="254" t="s">
        <v>134</v>
      </c>
      <c r="R82" s="253" t="s">
        <v>134</v>
      </c>
      <c r="S82" s="255"/>
      <c r="T82" s="253"/>
      <c r="U82" s="237"/>
      <c r="V82" s="261"/>
      <c r="W82" s="314"/>
      <c r="X82" s="254"/>
      <c r="Y82" s="256"/>
      <c r="Z82" s="253"/>
      <c r="AA82" s="255"/>
      <c r="AB82" s="256"/>
      <c r="AC82" s="253"/>
      <c r="AD82" s="312"/>
      <c r="AE82" s="1276" t="str">
        <f t="shared" si="1"/>
        <v>0x00 ~ 0xFF (-40~215deg C)
Calculated by reference</v>
      </c>
      <c r="AF82" s="312"/>
      <c r="AG82" s="245">
        <v>-40</v>
      </c>
      <c r="AH82" s="246">
        <v>1</v>
      </c>
      <c r="AI82" s="318" t="s">
        <v>750</v>
      </c>
      <c r="AJ82" s="1267" t="s">
        <v>2509</v>
      </c>
      <c r="AK82" s="334">
        <f t="shared" si="2"/>
        <v>-40</v>
      </c>
      <c r="AL82" s="1272">
        <f t="shared" si="3"/>
        <v>215</v>
      </c>
      <c r="AM82" s="1228" t="s">
        <v>2446</v>
      </c>
      <c r="AN82" s="242" t="s">
        <v>768</v>
      </c>
      <c r="AO82" s="312"/>
      <c r="AP82" s="482" t="s">
        <v>855</v>
      </c>
      <c r="AQ82" s="594" t="s">
        <v>1706</v>
      </c>
      <c r="AR82" s="929"/>
      <c r="AS82" s="594" t="s">
        <v>1746</v>
      </c>
      <c r="AT82" s="930" t="s">
        <v>1246</v>
      </c>
      <c r="AU82" s="938" t="s">
        <v>2383</v>
      </c>
      <c r="AV82" s="594" t="s">
        <v>1748</v>
      </c>
    </row>
    <row r="83" spans="2:48" s="252" customFormat="1" ht="26.4" hidden="1">
      <c r="B83" s="1218" t="s">
        <v>2450</v>
      </c>
      <c r="C83" s="248" t="s">
        <v>134</v>
      </c>
      <c r="D83" s="248" t="s">
        <v>134</v>
      </c>
      <c r="E83" s="312"/>
      <c r="F83" s="233" t="s">
        <v>961</v>
      </c>
      <c r="G83" s="242" t="s">
        <v>289</v>
      </c>
      <c r="H83" s="243">
        <v>1</v>
      </c>
      <c r="I83" s="243" t="s">
        <v>200</v>
      </c>
      <c r="J83" s="492" t="s">
        <v>962</v>
      </c>
      <c r="K83" s="312"/>
      <c r="L83" s="236" t="s">
        <v>134</v>
      </c>
      <c r="M83" s="253"/>
      <c r="N83" s="314"/>
      <c r="O83" s="233"/>
      <c r="P83" s="314"/>
      <c r="Q83" s="254" t="s">
        <v>134</v>
      </c>
      <c r="R83" s="253" t="s">
        <v>134</v>
      </c>
      <c r="S83" s="255"/>
      <c r="T83" s="253"/>
      <c r="U83" s="237"/>
      <c r="V83" s="261"/>
      <c r="W83" s="314"/>
      <c r="X83" s="254"/>
      <c r="Y83" s="256"/>
      <c r="Z83" s="253"/>
      <c r="AA83" s="255"/>
      <c r="AB83" s="256"/>
      <c r="AC83" s="253"/>
      <c r="AD83" s="312"/>
      <c r="AE83" s="1276" t="str">
        <f t="shared" si="1"/>
        <v>0x00 ~ 0xFF (-40~215deg C)
Calculated by reference</v>
      </c>
      <c r="AF83" s="312"/>
      <c r="AG83" s="245">
        <v>-40</v>
      </c>
      <c r="AH83" s="246">
        <v>1</v>
      </c>
      <c r="AI83" s="318" t="s">
        <v>750</v>
      </c>
      <c r="AJ83" s="1267" t="s">
        <v>2509</v>
      </c>
      <c r="AK83" s="334">
        <f t="shared" ref="AK83" si="6">HEX2DEC(AI83)*AH83+AG83</f>
        <v>-40</v>
      </c>
      <c r="AL83" s="1272">
        <f t="shared" ref="AL83" si="7">HEX2DEC(AJ83)*AH83+AG83</f>
        <v>215</v>
      </c>
      <c r="AM83" s="1228" t="s">
        <v>2446</v>
      </c>
      <c r="AN83" s="242" t="s">
        <v>768</v>
      </c>
      <c r="AO83" s="312"/>
      <c r="AP83" s="482" t="s">
        <v>855</v>
      </c>
      <c r="AQ83" s="594" t="s">
        <v>1707</v>
      </c>
      <c r="AR83" s="929"/>
      <c r="AS83" s="594" t="s">
        <v>1749</v>
      </c>
      <c r="AT83" s="930" t="s">
        <v>1246</v>
      </c>
      <c r="AU83" s="938" t="s">
        <v>2384</v>
      </c>
      <c r="AV83" s="594" t="s">
        <v>1748</v>
      </c>
    </row>
    <row r="84" spans="2:48" s="252" customFormat="1" ht="26.4" hidden="1">
      <c r="B84" s="810"/>
      <c r="C84" s="248" t="s">
        <v>898</v>
      </c>
      <c r="D84" s="502"/>
      <c r="E84" s="312"/>
      <c r="F84" s="233" t="s">
        <v>963</v>
      </c>
      <c r="G84" s="242" t="s">
        <v>290</v>
      </c>
      <c r="H84" s="243">
        <v>1</v>
      </c>
      <c r="I84" s="243" t="s">
        <v>200</v>
      </c>
      <c r="J84" s="492" t="s">
        <v>964</v>
      </c>
      <c r="K84" s="312"/>
      <c r="L84" s="236" t="s">
        <v>134</v>
      </c>
      <c r="M84" s="253"/>
      <c r="N84" s="314"/>
      <c r="O84" s="233"/>
      <c r="P84" s="314"/>
      <c r="Q84" s="254" t="s">
        <v>134</v>
      </c>
      <c r="R84" s="253" t="s">
        <v>134</v>
      </c>
      <c r="S84" s="255"/>
      <c r="T84" s="253"/>
      <c r="U84" s="237"/>
      <c r="V84" s="261"/>
      <c r="W84" s="314"/>
      <c r="X84" s="254"/>
      <c r="Y84" s="256"/>
      <c r="Z84" s="253"/>
      <c r="AA84" s="255"/>
      <c r="AB84" s="256"/>
      <c r="AC84" s="253"/>
      <c r="AD84" s="312"/>
      <c r="AE84" s="242" t="str">
        <f t="shared" si="1"/>
        <v>0x00 ~ 0x8C (-40~100deg C)
Calculated by reference</v>
      </c>
      <c r="AF84" s="312"/>
      <c r="AG84" s="245">
        <v>-40</v>
      </c>
      <c r="AH84" s="246">
        <v>1</v>
      </c>
      <c r="AI84" s="318" t="s">
        <v>750</v>
      </c>
      <c r="AJ84" s="319" t="s">
        <v>767</v>
      </c>
      <c r="AK84" s="334">
        <f t="shared" si="2"/>
        <v>-40</v>
      </c>
      <c r="AL84" s="336">
        <f t="shared" si="3"/>
        <v>100</v>
      </c>
      <c r="AM84" s="1228" t="s">
        <v>2445</v>
      </c>
      <c r="AN84" s="242" t="s">
        <v>768</v>
      </c>
      <c r="AO84" s="312"/>
      <c r="AP84" s="482" t="s">
        <v>855</v>
      </c>
      <c r="AQ84" s="594" t="s">
        <v>1708</v>
      </c>
      <c r="AR84" s="929"/>
      <c r="AS84" s="594" t="s">
        <v>1754</v>
      </c>
      <c r="AT84" s="930" t="s">
        <v>1246</v>
      </c>
      <c r="AU84" s="930" t="s">
        <v>1246</v>
      </c>
      <c r="AV84" s="594" t="s">
        <v>1755</v>
      </c>
    </row>
    <row r="85" spans="2:48" s="252" customFormat="1" ht="79.2" hidden="1">
      <c r="B85" s="810"/>
      <c r="C85" s="248" t="s">
        <v>898</v>
      </c>
      <c r="D85" s="502"/>
      <c r="E85" s="312"/>
      <c r="F85" s="233" t="s">
        <v>965</v>
      </c>
      <c r="G85" s="242" t="s">
        <v>291</v>
      </c>
      <c r="H85" s="243">
        <v>1</v>
      </c>
      <c r="I85" s="243" t="s">
        <v>200</v>
      </c>
      <c r="J85" s="492" t="s">
        <v>291</v>
      </c>
      <c r="K85" s="312"/>
      <c r="L85" s="236" t="s">
        <v>134</v>
      </c>
      <c r="M85" s="253"/>
      <c r="N85" s="314"/>
      <c r="O85" s="233"/>
      <c r="P85" s="314"/>
      <c r="Q85" s="254" t="s">
        <v>134</v>
      </c>
      <c r="R85" s="253" t="s">
        <v>134</v>
      </c>
      <c r="S85" s="255"/>
      <c r="T85" s="253"/>
      <c r="U85" s="237"/>
      <c r="V85" s="261"/>
      <c r="W85" s="314"/>
      <c r="X85" s="254"/>
      <c r="Y85" s="256"/>
      <c r="Z85" s="253"/>
      <c r="AA85" s="255"/>
      <c r="AB85" s="256"/>
      <c r="AC85" s="253"/>
      <c r="AD85" s="312"/>
      <c r="AE85" s="242" t="str">
        <f t="shared" si="1"/>
        <v>0x0: ERR_SG
0x1: UNLOCKED
0x2: DRIVING
0x3: LOCKED
0x4: ERR_OL
0x5: NO_DEVICE</v>
      </c>
      <c r="AF85" s="312"/>
      <c r="AG85" s="245"/>
      <c r="AH85" s="246"/>
      <c r="AI85" s="318" t="s">
        <v>764</v>
      </c>
      <c r="AJ85" s="319" t="s">
        <v>292</v>
      </c>
      <c r="AK85" s="334">
        <f t="shared" si="2"/>
        <v>0</v>
      </c>
      <c r="AL85" s="336">
        <f t="shared" si="3"/>
        <v>0</v>
      </c>
      <c r="AM85" s="246"/>
      <c r="AN85" s="242" t="s">
        <v>769</v>
      </c>
      <c r="AO85" s="312"/>
      <c r="AP85" s="482" t="s">
        <v>966</v>
      </c>
      <c r="AQ85" s="482" t="s">
        <v>1467</v>
      </c>
      <c r="AS85" s="482"/>
      <c r="AT85" s="482"/>
      <c r="AU85" s="482"/>
      <c r="AV85" s="482"/>
    </row>
    <row r="86" spans="2:48" s="252" customFormat="1" ht="118.8" hidden="1">
      <c r="B86" s="1218" t="s">
        <v>2450</v>
      </c>
      <c r="C86" s="248" t="s">
        <v>134</v>
      </c>
      <c r="D86" s="248" t="s">
        <v>134</v>
      </c>
      <c r="E86" s="312"/>
      <c r="F86" s="1217" t="s">
        <v>967</v>
      </c>
      <c r="G86" s="242" t="s">
        <v>968</v>
      </c>
      <c r="H86" s="243">
        <v>1</v>
      </c>
      <c r="I86" s="243" t="s">
        <v>200</v>
      </c>
      <c r="J86" s="492" t="s">
        <v>293</v>
      </c>
      <c r="K86" s="312"/>
      <c r="L86" s="236" t="s">
        <v>134</v>
      </c>
      <c r="M86" s="253"/>
      <c r="N86" s="314"/>
      <c r="O86" s="233"/>
      <c r="P86" s="314"/>
      <c r="Q86" s="254" t="s">
        <v>134</v>
      </c>
      <c r="R86" s="253" t="s">
        <v>134</v>
      </c>
      <c r="S86" s="255"/>
      <c r="T86" s="253"/>
      <c r="U86" s="237"/>
      <c r="V86" s="261"/>
      <c r="W86" s="314"/>
      <c r="X86" s="254"/>
      <c r="Y86" s="256"/>
      <c r="Z86" s="253"/>
      <c r="AA86" s="255"/>
      <c r="AB86" s="256"/>
      <c r="AC86" s="253"/>
      <c r="AD86" s="312"/>
      <c r="AE86" s="587" t="str">
        <f>IF(AM86&lt;&gt;"",
       "0x" &amp; AI86 &amp;" ~ 0x" &amp; AJ86 &amp; " (" &amp; AK86 &amp;"~" &amp; AL86 &amp; AM86 &amp; ")","")&amp;IF(AN86&lt;&gt;"",IF(AM86&lt;&gt;"",CHAR(10)&amp;AN86,AN86),
       "")</f>
        <v>0x0 ~ 0x5 (0~5 -)
0x0: OUT (Plug disconnected)
0x1: IN (Plug connected)"
0x2: DETECTION_DISABLED (Circuit for plug connect/disconnect detection is disabled)
0x3: UN (S3 Plug switch press)
0x4: VOOR (Voltage out of range)
0x5: INI (Initialization)</v>
      </c>
      <c r="AF86" s="312"/>
      <c r="AG86" s="1264">
        <v>0</v>
      </c>
      <c r="AH86" s="1265">
        <v>1</v>
      </c>
      <c r="AI86" s="318" t="s">
        <v>764</v>
      </c>
      <c r="AJ86" s="1120" t="s">
        <v>2400</v>
      </c>
      <c r="AK86" s="334">
        <f t="shared" si="2"/>
        <v>0</v>
      </c>
      <c r="AL86" s="1272">
        <f t="shared" si="3"/>
        <v>5</v>
      </c>
      <c r="AM86" s="1265" t="s">
        <v>2516</v>
      </c>
      <c r="AN86" s="587" t="s">
        <v>2428</v>
      </c>
      <c r="AO86" s="312"/>
      <c r="AP86" s="482" t="s">
        <v>969</v>
      </c>
      <c r="AQ86" s="594" t="s">
        <v>1468</v>
      </c>
      <c r="AR86" s="929"/>
      <c r="AS86" s="930" t="s">
        <v>1866</v>
      </c>
      <c r="AT86" s="594" t="s">
        <v>1872</v>
      </c>
      <c r="AU86" s="594" t="s">
        <v>2385</v>
      </c>
      <c r="AV86" s="594" t="s">
        <v>1873</v>
      </c>
    </row>
    <row r="87" spans="2:48" s="252" customFormat="1" ht="79.2">
      <c r="B87" s="1142" t="s">
        <v>2357</v>
      </c>
      <c r="C87" s="248" t="s">
        <v>134</v>
      </c>
      <c r="D87" s="248" t="s">
        <v>134</v>
      </c>
      <c r="E87" s="312"/>
      <c r="F87" s="233" t="s">
        <v>970</v>
      </c>
      <c r="G87" s="242" t="s">
        <v>2389</v>
      </c>
      <c r="H87" s="243">
        <v>1</v>
      </c>
      <c r="I87" s="243" t="s">
        <v>200</v>
      </c>
      <c r="J87" s="492" t="s">
        <v>294</v>
      </c>
      <c r="K87" s="312"/>
      <c r="L87" s="236" t="s">
        <v>134</v>
      </c>
      <c r="M87" s="253"/>
      <c r="N87" s="314"/>
      <c r="O87" s="233"/>
      <c r="P87" s="314"/>
      <c r="Q87" s="254" t="s">
        <v>134</v>
      </c>
      <c r="R87" s="253" t="s">
        <v>134</v>
      </c>
      <c r="S87" s="255"/>
      <c r="T87" s="253"/>
      <c r="U87" s="237"/>
      <c r="V87" s="261"/>
      <c r="W87" s="314"/>
      <c r="X87" s="254"/>
      <c r="Y87" s="256"/>
      <c r="Z87" s="253"/>
      <c r="AA87" s="255"/>
      <c r="AB87" s="256"/>
      <c r="AC87" s="253"/>
      <c r="AD87" s="312"/>
      <c r="AE87" s="242" t="str">
        <f t="shared" ref="AE87:AE113" si="8">IF(AM87&lt;&gt;"",
       "0x" &amp; AI87 &amp;" ~ 0x" &amp; AJ87 &amp; " (" &amp; AK87 &amp;"~" &amp; AL87 &amp; AM87 &amp; ")","")&amp;IF(AN87&lt;&gt;"",IF(AM87&lt;&gt;"",CHAR(10)&amp;AN87,AN87),
       "")</f>
        <v>0x0: 63A
0x1: 32A
0x2: 20A
0x3: Non-standard
0x4: No detect (CCS Type1 or CHAdeMO)
Calculated by reference</v>
      </c>
      <c r="AF87" s="312"/>
      <c r="AG87" s="245"/>
      <c r="AH87" s="246"/>
      <c r="AI87" s="318" t="s">
        <v>764</v>
      </c>
      <c r="AJ87" s="319" t="s">
        <v>295</v>
      </c>
      <c r="AK87" s="334">
        <f t="shared" ref="AK87:AK113" si="9">HEX2DEC(AI87)*AH87+AG87</f>
        <v>0</v>
      </c>
      <c r="AL87" s="336">
        <f t="shared" si="3"/>
        <v>0</v>
      </c>
      <c r="AM87" s="246"/>
      <c r="AN87" s="242" t="s">
        <v>770</v>
      </c>
      <c r="AO87" s="312"/>
      <c r="AP87" s="482" t="s">
        <v>855</v>
      </c>
      <c r="AQ87" s="594" t="s">
        <v>1709</v>
      </c>
      <c r="AR87" s="929"/>
      <c r="AS87" s="594" t="s">
        <v>1758</v>
      </c>
      <c r="AT87" s="930" t="s">
        <v>1246</v>
      </c>
      <c r="AU87" s="1297" t="s">
        <v>2525</v>
      </c>
      <c r="AV87" s="1298" t="s">
        <v>2526</v>
      </c>
    </row>
    <row r="88" spans="2:48" hidden="1">
      <c r="B88" s="813" t="s">
        <v>2052</v>
      </c>
      <c r="C88" s="456" t="s">
        <v>1337</v>
      </c>
      <c r="D88" s="456" t="s">
        <v>1337</v>
      </c>
      <c r="F88" s="265" t="s">
        <v>1209</v>
      </c>
      <c r="G88" s="264" t="s">
        <v>1190</v>
      </c>
      <c r="H88" s="456" t="s">
        <v>1590</v>
      </c>
      <c r="I88" s="456" t="s">
        <v>1590</v>
      </c>
      <c r="J88" s="559" t="s">
        <v>1590</v>
      </c>
      <c r="K88" s="313"/>
      <c r="L88" s="560" t="s">
        <v>1590</v>
      </c>
      <c r="M88" s="560" t="s">
        <v>1590</v>
      </c>
      <c r="N88" s="176"/>
      <c r="O88" s="561" t="s">
        <v>1590</v>
      </c>
      <c r="P88" s="176"/>
      <c r="Q88" s="562" t="s">
        <v>1590</v>
      </c>
      <c r="R88" s="562" t="s">
        <v>1590</v>
      </c>
      <c r="S88" s="563" t="s">
        <v>1590</v>
      </c>
      <c r="T88" s="562" t="s">
        <v>1590</v>
      </c>
      <c r="U88" s="563" t="s">
        <v>1590</v>
      </c>
      <c r="V88" s="562" t="s">
        <v>1590</v>
      </c>
      <c r="W88" s="360"/>
      <c r="X88" s="562" t="s">
        <v>1590</v>
      </c>
      <c r="Y88" s="562" t="s">
        <v>1590</v>
      </c>
      <c r="Z88" s="562" t="s">
        <v>1590</v>
      </c>
      <c r="AA88" s="562" t="s">
        <v>1590</v>
      </c>
      <c r="AB88" s="562" t="s">
        <v>1590</v>
      </c>
      <c r="AC88" s="562" t="s">
        <v>1590</v>
      </c>
      <c r="AD88" s="235"/>
      <c r="AE88" s="456" t="s">
        <v>1590</v>
      </c>
      <c r="AG88" s="559" t="s">
        <v>1591</v>
      </c>
      <c r="AH88" s="559" t="s">
        <v>1591</v>
      </c>
      <c r="AI88" s="559" t="s">
        <v>1591</v>
      </c>
      <c r="AJ88" s="559" t="s">
        <v>1591</v>
      </c>
      <c r="AK88" s="559" t="s">
        <v>1591</v>
      </c>
      <c r="AL88" s="559" t="s">
        <v>1591</v>
      </c>
      <c r="AM88" s="559" t="s">
        <v>1591</v>
      </c>
      <c r="AN88" s="559" t="s">
        <v>1591</v>
      </c>
      <c r="AP88" s="456" t="s">
        <v>1590</v>
      </c>
      <c r="AQ88" s="456" t="s">
        <v>1590</v>
      </c>
      <c r="AS88" s="456" t="s">
        <v>1222</v>
      </c>
      <c r="AT88" s="456" t="s">
        <v>1222</v>
      </c>
      <c r="AU88" s="456" t="s">
        <v>1222</v>
      </c>
      <c r="AV88" s="456" t="s">
        <v>1222</v>
      </c>
    </row>
    <row r="89" spans="2:48" s="252" customFormat="1" ht="39.6" hidden="1">
      <c r="B89" s="1218" t="s">
        <v>2450</v>
      </c>
      <c r="C89" s="289" t="s">
        <v>134</v>
      </c>
      <c r="D89" s="289" t="s">
        <v>134</v>
      </c>
      <c r="E89" s="312"/>
      <c r="F89" s="1225" t="s">
        <v>971</v>
      </c>
      <c r="G89" s="1614" t="s">
        <v>296</v>
      </c>
      <c r="H89" s="1630">
        <v>1</v>
      </c>
      <c r="I89" s="690" t="s">
        <v>1710</v>
      </c>
      <c r="J89" s="494" t="s">
        <v>297</v>
      </c>
      <c r="K89" s="312"/>
      <c r="L89" s="271" t="s">
        <v>134</v>
      </c>
      <c r="M89" s="272"/>
      <c r="N89" s="314"/>
      <c r="O89" s="277"/>
      <c r="P89" s="314"/>
      <c r="Q89" s="280" t="s">
        <v>134</v>
      </c>
      <c r="R89" s="272" t="s">
        <v>134</v>
      </c>
      <c r="S89" s="281"/>
      <c r="T89" s="272"/>
      <c r="U89" s="282"/>
      <c r="V89" s="283"/>
      <c r="W89" s="314"/>
      <c r="X89" s="280"/>
      <c r="Y89" s="284"/>
      <c r="Z89" s="272"/>
      <c r="AA89" s="281"/>
      <c r="AB89" s="284"/>
      <c r="AC89" s="272"/>
      <c r="AD89" s="312"/>
      <c r="AE89" s="285" t="str">
        <f t="shared" si="8"/>
        <v>0x0 ~ 0x1 (0~1 -)
0x0: OFF
0x1: ON</v>
      </c>
      <c r="AF89" s="312"/>
      <c r="AG89" s="1258">
        <v>0</v>
      </c>
      <c r="AH89" s="1259">
        <v>1</v>
      </c>
      <c r="AI89" s="320" t="s">
        <v>764</v>
      </c>
      <c r="AJ89" s="321" t="s">
        <v>281</v>
      </c>
      <c r="AK89" s="337">
        <f t="shared" si="9"/>
        <v>0</v>
      </c>
      <c r="AL89" s="1273">
        <f t="shared" si="3"/>
        <v>1</v>
      </c>
      <c r="AM89" s="1259" t="s">
        <v>2516</v>
      </c>
      <c r="AN89" s="285" t="s">
        <v>771</v>
      </c>
      <c r="AO89" s="312"/>
      <c r="AP89" s="310" t="s">
        <v>855</v>
      </c>
      <c r="AQ89" s="913" t="s">
        <v>298</v>
      </c>
      <c r="AR89" s="929"/>
      <c r="AS89" s="913" t="s">
        <v>1767</v>
      </c>
      <c r="AT89" s="913" t="s">
        <v>1469</v>
      </c>
      <c r="AU89" s="913" t="s">
        <v>1768</v>
      </c>
      <c r="AV89" s="932" t="s">
        <v>1246</v>
      </c>
    </row>
    <row r="90" spans="2:48" s="252" customFormat="1" ht="39.6" hidden="1">
      <c r="B90" s="1218" t="s">
        <v>2450</v>
      </c>
      <c r="C90" s="309" t="s">
        <v>134</v>
      </c>
      <c r="D90" s="309" t="s">
        <v>134</v>
      </c>
      <c r="E90" s="312"/>
      <c r="F90" s="1227" t="s">
        <v>2443</v>
      </c>
      <c r="G90" s="1614"/>
      <c r="H90" s="1630"/>
      <c r="I90" s="692" t="s">
        <v>1711</v>
      </c>
      <c r="J90" s="497" t="s">
        <v>300</v>
      </c>
      <c r="K90" s="312"/>
      <c r="L90" s="275" t="s">
        <v>134</v>
      </c>
      <c r="M90" s="276"/>
      <c r="N90" s="314"/>
      <c r="O90" s="279"/>
      <c r="P90" s="314"/>
      <c r="Q90" s="300" t="s">
        <v>134</v>
      </c>
      <c r="R90" s="276" t="s">
        <v>134</v>
      </c>
      <c r="S90" s="301"/>
      <c r="T90" s="276"/>
      <c r="U90" s="302"/>
      <c r="V90" s="303"/>
      <c r="W90" s="314"/>
      <c r="X90" s="300"/>
      <c r="Y90" s="304"/>
      <c r="Z90" s="276"/>
      <c r="AA90" s="301"/>
      <c r="AB90" s="304"/>
      <c r="AC90" s="276"/>
      <c r="AD90" s="312"/>
      <c r="AE90" s="305" t="str">
        <f t="shared" si="8"/>
        <v>0x0 ~ 0x1 (0~1 -)
0x0: OFF
0x1: ON</v>
      </c>
      <c r="AF90" s="312"/>
      <c r="AG90" s="1262">
        <v>0</v>
      </c>
      <c r="AH90" s="1263">
        <v>1</v>
      </c>
      <c r="AI90" s="324" t="s">
        <v>764</v>
      </c>
      <c r="AJ90" s="325" t="s">
        <v>281</v>
      </c>
      <c r="AK90" s="341">
        <f t="shared" si="9"/>
        <v>0</v>
      </c>
      <c r="AL90" s="1275">
        <f t="shared" ref="AL90:AL113" si="10">HEX2DEC(AJ90)*AH90+AG90</f>
        <v>1</v>
      </c>
      <c r="AM90" s="1263" t="s">
        <v>2516</v>
      </c>
      <c r="AN90" s="305" t="s">
        <v>771</v>
      </c>
      <c r="AO90" s="312"/>
      <c r="AP90" s="487" t="s">
        <v>855</v>
      </c>
      <c r="AQ90" s="935" t="s">
        <v>301</v>
      </c>
      <c r="AR90" s="929"/>
      <c r="AS90" s="935" t="s">
        <v>1470</v>
      </c>
      <c r="AT90" s="935" t="s">
        <v>1471</v>
      </c>
      <c r="AU90" s="935" t="s">
        <v>1770</v>
      </c>
      <c r="AV90" s="935" t="s">
        <v>1769</v>
      </c>
    </row>
    <row r="91" spans="2:48" s="252" customFormat="1" ht="39.6" hidden="1">
      <c r="B91" s="1218" t="s">
        <v>2450</v>
      </c>
      <c r="C91" s="289" t="s">
        <v>973</v>
      </c>
      <c r="D91" s="289" t="s">
        <v>134</v>
      </c>
      <c r="E91" s="312"/>
      <c r="F91" s="1225" t="s">
        <v>972</v>
      </c>
      <c r="G91" s="1614" t="s">
        <v>302</v>
      </c>
      <c r="H91" s="1630">
        <v>1</v>
      </c>
      <c r="I91" s="690" t="s">
        <v>1710</v>
      </c>
      <c r="J91" s="498" t="s">
        <v>303</v>
      </c>
      <c r="K91" s="312"/>
      <c r="L91" s="271" t="s">
        <v>134</v>
      </c>
      <c r="M91" s="272"/>
      <c r="N91" s="314"/>
      <c r="O91" s="277"/>
      <c r="P91" s="314"/>
      <c r="Q91" s="280" t="s">
        <v>134</v>
      </c>
      <c r="R91" s="272" t="s">
        <v>134</v>
      </c>
      <c r="S91" s="281"/>
      <c r="T91" s="272"/>
      <c r="U91" s="282"/>
      <c r="V91" s="283"/>
      <c r="W91" s="314"/>
      <c r="X91" s="280"/>
      <c r="Y91" s="284"/>
      <c r="Z91" s="272"/>
      <c r="AA91" s="281"/>
      <c r="AB91" s="284"/>
      <c r="AC91" s="272"/>
      <c r="AD91" s="312"/>
      <c r="AE91" s="285" t="str">
        <f t="shared" si="8"/>
        <v>0x0 ~ 0x1 (0~1 -)
0x0: OFF
0x1: ON</v>
      </c>
      <c r="AF91" s="312"/>
      <c r="AG91" s="1258">
        <v>0</v>
      </c>
      <c r="AH91" s="1259">
        <v>1</v>
      </c>
      <c r="AI91" s="320" t="s">
        <v>764</v>
      </c>
      <c r="AJ91" s="321" t="s">
        <v>281</v>
      </c>
      <c r="AK91" s="337">
        <f t="shared" si="9"/>
        <v>0</v>
      </c>
      <c r="AL91" s="1273">
        <f t="shared" si="10"/>
        <v>1</v>
      </c>
      <c r="AM91" s="1259" t="s">
        <v>2516</v>
      </c>
      <c r="AN91" s="285" t="s">
        <v>771</v>
      </c>
      <c r="AO91" s="312"/>
      <c r="AP91" s="310" t="s">
        <v>855</v>
      </c>
      <c r="AQ91" s="913" t="s">
        <v>1472</v>
      </c>
      <c r="AR91" s="929"/>
      <c r="AS91" s="913" t="s">
        <v>1473</v>
      </c>
      <c r="AT91" s="913" t="s">
        <v>1474</v>
      </c>
      <c r="AU91" s="913" t="s">
        <v>1475</v>
      </c>
      <c r="AV91" s="932" t="s">
        <v>1246</v>
      </c>
    </row>
    <row r="92" spans="2:48" s="252" customFormat="1" ht="39.6" hidden="1">
      <c r="B92" s="1218" t="s">
        <v>2450</v>
      </c>
      <c r="C92" s="309" t="s">
        <v>973</v>
      </c>
      <c r="D92" s="309" t="s">
        <v>134</v>
      </c>
      <c r="E92" s="312"/>
      <c r="F92" s="1227" t="s">
        <v>972</v>
      </c>
      <c r="G92" s="1614"/>
      <c r="H92" s="1630"/>
      <c r="I92" s="692" t="s">
        <v>1711</v>
      </c>
      <c r="J92" s="497" t="s">
        <v>304</v>
      </c>
      <c r="K92" s="312"/>
      <c r="L92" s="275" t="s">
        <v>134</v>
      </c>
      <c r="M92" s="276"/>
      <c r="N92" s="314"/>
      <c r="O92" s="279"/>
      <c r="P92" s="314"/>
      <c r="Q92" s="300" t="s">
        <v>134</v>
      </c>
      <c r="R92" s="276" t="s">
        <v>134</v>
      </c>
      <c r="S92" s="301"/>
      <c r="T92" s="276"/>
      <c r="U92" s="302"/>
      <c r="V92" s="303"/>
      <c r="W92" s="314"/>
      <c r="X92" s="300"/>
      <c r="Y92" s="304"/>
      <c r="Z92" s="276"/>
      <c r="AA92" s="301"/>
      <c r="AB92" s="304"/>
      <c r="AC92" s="276"/>
      <c r="AD92" s="312"/>
      <c r="AE92" s="305" t="str">
        <f t="shared" si="8"/>
        <v>0x0 ~ 0x1 (0~1 -)
0x0: OFF
0x1: ON</v>
      </c>
      <c r="AF92" s="312"/>
      <c r="AG92" s="1262">
        <v>0</v>
      </c>
      <c r="AH92" s="1263">
        <v>1</v>
      </c>
      <c r="AI92" s="324" t="s">
        <v>764</v>
      </c>
      <c r="AJ92" s="325" t="s">
        <v>281</v>
      </c>
      <c r="AK92" s="341">
        <f t="shared" si="9"/>
        <v>0</v>
      </c>
      <c r="AL92" s="1275">
        <f t="shared" si="10"/>
        <v>1</v>
      </c>
      <c r="AM92" s="1263" t="s">
        <v>2516</v>
      </c>
      <c r="AN92" s="305" t="s">
        <v>771</v>
      </c>
      <c r="AO92" s="312"/>
      <c r="AP92" s="487" t="s">
        <v>855</v>
      </c>
      <c r="AQ92" s="935" t="s">
        <v>305</v>
      </c>
      <c r="AR92" s="929"/>
      <c r="AS92" s="935" t="s">
        <v>1476</v>
      </c>
      <c r="AT92" s="935" t="s">
        <v>1477</v>
      </c>
      <c r="AU92" s="935" t="s">
        <v>1478</v>
      </c>
      <c r="AV92" s="936" t="s">
        <v>1246</v>
      </c>
    </row>
    <row r="93" spans="2:48" s="252" customFormat="1" ht="132">
      <c r="B93" s="1142" t="s">
        <v>2357</v>
      </c>
      <c r="C93" s="248" t="s">
        <v>973</v>
      </c>
      <c r="D93" s="248" t="s">
        <v>134</v>
      </c>
      <c r="E93" s="312"/>
      <c r="F93" s="233" t="s">
        <v>974</v>
      </c>
      <c r="G93" s="242" t="s">
        <v>975</v>
      </c>
      <c r="H93" s="243">
        <v>1</v>
      </c>
      <c r="I93" s="243" t="s">
        <v>200</v>
      </c>
      <c r="J93" s="493" t="s">
        <v>975</v>
      </c>
      <c r="K93" s="312"/>
      <c r="L93" s="236" t="s">
        <v>134</v>
      </c>
      <c r="M93" s="253"/>
      <c r="N93" s="314"/>
      <c r="O93" s="233"/>
      <c r="P93" s="314"/>
      <c r="Q93" s="254" t="s">
        <v>134</v>
      </c>
      <c r="R93" s="253" t="s">
        <v>134</v>
      </c>
      <c r="S93" s="255"/>
      <c r="T93" s="253"/>
      <c r="U93" s="237"/>
      <c r="V93" s="261"/>
      <c r="W93" s="314"/>
      <c r="X93" s="254"/>
      <c r="Y93" s="256"/>
      <c r="Z93" s="253"/>
      <c r="AA93" s="255"/>
      <c r="AB93" s="256"/>
      <c r="AC93" s="253"/>
      <c r="AD93" s="312"/>
      <c r="AE93" s="242" t="str">
        <f t="shared" si="8"/>
        <v xml:space="preserve">0x0: UNPLUGGED
0x1: PLUGGED
0x2: DETECTION_DISABLED
0x4: ERROR
0x5: INI
</v>
      </c>
      <c r="AF93" s="312"/>
      <c r="AG93" s="245"/>
      <c r="AH93" s="246"/>
      <c r="AI93" s="318" t="s">
        <v>764</v>
      </c>
      <c r="AJ93" s="1769" t="s">
        <v>292</v>
      </c>
      <c r="AK93" s="334">
        <f t="shared" si="9"/>
        <v>0</v>
      </c>
      <c r="AL93" s="336">
        <f t="shared" si="10"/>
        <v>0</v>
      </c>
      <c r="AM93" s="246"/>
      <c r="AN93" s="1768" t="s">
        <v>2561</v>
      </c>
      <c r="AO93" s="312"/>
      <c r="AP93" s="482" t="s">
        <v>855</v>
      </c>
      <c r="AQ93" s="594" t="s">
        <v>306</v>
      </c>
      <c r="AR93" s="929"/>
      <c r="AS93" s="594" t="s">
        <v>1479</v>
      </c>
      <c r="AT93" s="594" t="s">
        <v>1480</v>
      </c>
      <c r="AU93" s="1297" t="s">
        <v>2527</v>
      </c>
      <c r="AV93" s="1767" t="s">
        <v>2562</v>
      </c>
    </row>
    <row r="94" spans="2:48" s="252" customFormat="1" ht="39.6" hidden="1">
      <c r="B94" s="1218" t="s">
        <v>2450</v>
      </c>
      <c r="C94" s="248" t="s">
        <v>134</v>
      </c>
      <c r="D94" s="248" t="s">
        <v>134</v>
      </c>
      <c r="E94" s="312"/>
      <c r="F94" s="233" t="s">
        <v>976</v>
      </c>
      <c r="G94" s="242" t="s">
        <v>977</v>
      </c>
      <c r="H94" s="243">
        <v>1</v>
      </c>
      <c r="I94" s="243" t="s">
        <v>200</v>
      </c>
      <c r="J94" s="493" t="s">
        <v>307</v>
      </c>
      <c r="K94" s="312"/>
      <c r="L94" s="236" t="s">
        <v>134</v>
      </c>
      <c r="M94" s="253"/>
      <c r="N94" s="314"/>
      <c r="O94" s="233"/>
      <c r="P94" s="314"/>
      <c r="Q94" s="254" t="s">
        <v>134</v>
      </c>
      <c r="R94" s="253" t="s">
        <v>134</v>
      </c>
      <c r="S94" s="255"/>
      <c r="T94" s="253"/>
      <c r="U94" s="237"/>
      <c r="V94" s="261"/>
      <c r="W94" s="314"/>
      <c r="X94" s="254"/>
      <c r="Y94" s="256"/>
      <c r="Z94" s="253"/>
      <c r="AA94" s="255"/>
      <c r="AB94" s="256"/>
      <c r="AC94" s="253"/>
      <c r="AD94" s="312"/>
      <c r="AE94" s="242" t="str">
        <f t="shared" si="8"/>
        <v>0x0 ~ 0x1 (0~1-)
0x0: OFF
0x1: ON</v>
      </c>
      <c r="AF94" s="312"/>
      <c r="AG94" s="1264">
        <v>0</v>
      </c>
      <c r="AH94" s="1265">
        <v>1</v>
      </c>
      <c r="AI94" s="318" t="s">
        <v>764</v>
      </c>
      <c r="AJ94" s="319" t="s">
        <v>281</v>
      </c>
      <c r="AK94" s="334">
        <f t="shared" si="9"/>
        <v>0</v>
      </c>
      <c r="AL94" s="1272">
        <f t="shared" si="10"/>
        <v>1</v>
      </c>
      <c r="AM94" s="1265" t="s">
        <v>1666</v>
      </c>
      <c r="AN94" s="242" t="s">
        <v>771</v>
      </c>
      <c r="AO94" s="312"/>
      <c r="AP94" s="482" t="s">
        <v>855</v>
      </c>
      <c r="AQ94" s="594" t="s">
        <v>308</v>
      </c>
      <c r="AR94" s="929"/>
      <c r="AS94" s="594" t="s">
        <v>1481</v>
      </c>
      <c r="AT94" s="594" t="s">
        <v>1482</v>
      </c>
      <c r="AU94" s="594" t="s">
        <v>1483</v>
      </c>
      <c r="AV94" s="594" t="s">
        <v>1771</v>
      </c>
    </row>
    <row r="95" spans="2:48" s="252" customFormat="1" ht="39.6" hidden="1">
      <c r="B95" s="1218" t="s">
        <v>2450</v>
      </c>
      <c r="C95" s="248" t="s">
        <v>134</v>
      </c>
      <c r="D95" s="502"/>
      <c r="E95" s="312"/>
      <c r="F95" s="233" t="s">
        <v>978</v>
      </c>
      <c r="G95" s="242" t="s">
        <v>979</v>
      </c>
      <c r="H95" s="243">
        <v>1</v>
      </c>
      <c r="I95" s="243" t="s">
        <v>200</v>
      </c>
      <c r="J95" s="493" t="s">
        <v>309</v>
      </c>
      <c r="K95" s="312"/>
      <c r="L95" s="236" t="s">
        <v>134</v>
      </c>
      <c r="M95" s="253"/>
      <c r="N95" s="314"/>
      <c r="O95" s="233"/>
      <c r="P95" s="314"/>
      <c r="Q95" s="254" t="s">
        <v>134</v>
      </c>
      <c r="R95" s="253" t="s">
        <v>134</v>
      </c>
      <c r="S95" s="255"/>
      <c r="T95" s="253"/>
      <c r="U95" s="237"/>
      <c r="V95" s="261"/>
      <c r="W95" s="314"/>
      <c r="X95" s="254"/>
      <c r="Y95" s="256"/>
      <c r="Z95" s="253"/>
      <c r="AA95" s="255"/>
      <c r="AB95" s="256"/>
      <c r="AC95" s="253"/>
      <c r="AD95" s="312"/>
      <c r="AE95" s="242" t="str">
        <f t="shared" si="8"/>
        <v>0x0 ~ 0x1 (0~1-)
0x0: OFF
0x1: ON</v>
      </c>
      <c r="AF95" s="312"/>
      <c r="AG95" s="1264">
        <v>0</v>
      </c>
      <c r="AH95" s="1265">
        <v>1</v>
      </c>
      <c r="AI95" s="318" t="s">
        <v>764</v>
      </c>
      <c r="AJ95" s="319" t="s">
        <v>281</v>
      </c>
      <c r="AK95" s="334">
        <f t="shared" ref="AK95:AK96" si="11">HEX2DEC(AI95)*AH95+AG95</f>
        <v>0</v>
      </c>
      <c r="AL95" s="1272">
        <f t="shared" ref="AL95:AL96" si="12">HEX2DEC(AJ95)*AH95+AG95</f>
        <v>1</v>
      </c>
      <c r="AM95" s="1265" t="s">
        <v>1666</v>
      </c>
      <c r="AN95" s="242" t="s">
        <v>771</v>
      </c>
      <c r="AO95" s="312"/>
      <c r="AP95" s="482" t="s">
        <v>855</v>
      </c>
      <c r="AQ95" s="594" t="s">
        <v>310</v>
      </c>
      <c r="AR95" s="929"/>
      <c r="AS95" s="594" t="s">
        <v>1485</v>
      </c>
      <c r="AT95" s="594" t="s">
        <v>1486</v>
      </c>
      <c r="AU95" s="594" t="s">
        <v>1487</v>
      </c>
      <c r="AV95" s="594" t="s">
        <v>1772</v>
      </c>
    </row>
    <row r="96" spans="2:48" s="252" customFormat="1" ht="39.6" hidden="1">
      <c r="B96" s="1218" t="s">
        <v>2450</v>
      </c>
      <c r="C96" s="248" t="s">
        <v>134</v>
      </c>
      <c r="D96" s="248" t="s">
        <v>134</v>
      </c>
      <c r="E96" s="312"/>
      <c r="F96" s="233" t="s">
        <v>980</v>
      </c>
      <c r="G96" s="242" t="s">
        <v>981</v>
      </c>
      <c r="H96" s="243">
        <v>1</v>
      </c>
      <c r="I96" s="243" t="s">
        <v>200</v>
      </c>
      <c r="J96" s="493" t="s">
        <v>311</v>
      </c>
      <c r="K96" s="312"/>
      <c r="L96" s="236" t="s">
        <v>134</v>
      </c>
      <c r="M96" s="253"/>
      <c r="N96" s="314"/>
      <c r="O96" s="233"/>
      <c r="P96" s="314"/>
      <c r="Q96" s="254" t="s">
        <v>134</v>
      </c>
      <c r="R96" s="253" t="s">
        <v>134</v>
      </c>
      <c r="S96" s="255"/>
      <c r="T96" s="253"/>
      <c r="U96" s="237"/>
      <c r="V96" s="261"/>
      <c r="W96" s="314"/>
      <c r="X96" s="254"/>
      <c r="Y96" s="256"/>
      <c r="Z96" s="253"/>
      <c r="AA96" s="255"/>
      <c r="AB96" s="256"/>
      <c r="AC96" s="253"/>
      <c r="AD96" s="312"/>
      <c r="AE96" s="242" t="str">
        <f t="shared" si="8"/>
        <v>0x0 ~ 0x1 (0~1-)
0x0: OFF
0x1: ON</v>
      </c>
      <c r="AF96" s="312"/>
      <c r="AG96" s="1264">
        <v>0</v>
      </c>
      <c r="AH96" s="1265">
        <v>1</v>
      </c>
      <c r="AI96" s="318" t="s">
        <v>764</v>
      </c>
      <c r="AJ96" s="319" t="s">
        <v>281</v>
      </c>
      <c r="AK96" s="334">
        <f t="shared" si="11"/>
        <v>0</v>
      </c>
      <c r="AL96" s="1272">
        <f t="shared" si="12"/>
        <v>1</v>
      </c>
      <c r="AM96" s="1265" t="s">
        <v>1666</v>
      </c>
      <c r="AN96" s="242" t="s">
        <v>771</v>
      </c>
      <c r="AO96" s="312"/>
      <c r="AP96" s="482" t="s">
        <v>855</v>
      </c>
      <c r="AQ96" s="594" t="s">
        <v>312</v>
      </c>
      <c r="AR96" s="929"/>
      <c r="AS96" s="594" t="s">
        <v>1773</v>
      </c>
      <c r="AT96" s="594" t="s">
        <v>1488</v>
      </c>
      <c r="AU96" s="938" t="s">
        <v>2399</v>
      </c>
      <c r="AV96" s="594" t="s">
        <v>1771</v>
      </c>
    </row>
    <row r="97" spans="2:48" s="252" customFormat="1" ht="26.4" hidden="1">
      <c r="B97" s="810"/>
      <c r="C97" s="502" t="s">
        <v>1714</v>
      </c>
      <c r="D97" s="248" t="s">
        <v>134</v>
      </c>
      <c r="E97" s="312"/>
      <c r="F97" s="233" t="s">
        <v>982</v>
      </c>
      <c r="G97" s="242" t="s">
        <v>983</v>
      </c>
      <c r="H97" s="243">
        <v>1</v>
      </c>
      <c r="I97" s="243" t="s">
        <v>200</v>
      </c>
      <c r="J97" s="242" t="s">
        <v>313</v>
      </c>
      <c r="K97" s="312"/>
      <c r="L97" s="236" t="s">
        <v>134</v>
      </c>
      <c r="M97" s="253"/>
      <c r="N97" s="314"/>
      <c r="O97" s="233"/>
      <c r="P97" s="314"/>
      <c r="Q97" s="254" t="s">
        <v>134</v>
      </c>
      <c r="R97" s="253" t="s">
        <v>134</v>
      </c>
      <c r="S97" s="255"/>
      <c r="T97" s="253"/>
      <c r="U97" s="237"/>
      <c r="V97" s="261"/>
      <c r="W97" s="314"/>
      <c r="X97" s="254"/>
      <c r="Y97" s="256"/>
      <c r="Z97" s="253"/>
      <c r="AA97" s="255"/>
      <c r="AB97" s="256"/>
      <c r="AC97" s="253"/>
      <c r="AD97" s="312"/>
      <c r="AE97" s="242" t="str">
        <f t="shared" si="8"/>
        <v>0x0: OFF
0x1: ON</v>
      </c>
      <c r="AF97" s="312"/>
      <c r="AG97" s="245"/>
      <c r="AH97" s="246"/>
      <c r="AI97" s="318" t="s">
        <v>764</v>
      </c>
      <c r="AJ97" s="319" t="s">
        <v>281</v>
      </c>
      <c r="AK97" s="334">
        <f t="shared" si="9"/>
        <v>0</v>
      </c>
      <c r="AL97" s="336">
        <f t="shared" si="10"/>
        <v>0</v>
      </c>
      <c r="AM97" s="246"/>
      <c r="AN97" s="242" t="s">
        <v>771</v>
      </c>
      <c r="AO97" s="312"/>
      <c r="AP97" s="482" t="s">
        <v>855</v>
      </c>
      <c r="AQ97" s="482" t="s">
        <v>314</v>
      </c>
      <c r="AS97" s="504" t="s">
        <v>1406</v>
      </c>
      <c r="AT97" s="504" t="s">
        <v>1406</v>
      </c>
      <c r="AU97" s="504" t="s">
        <v>1406</v>
      </c>
      <c r="AV97" s="504" t="s">
        <v>1406</v>
      </c>
    </row>
    <row r="98" spans="2:48" s="252" customFormat="1" ht="26.4" hidden="1">
      <c r="B98" s="810"/>
      <c r="C98" s="503" t="s">
        <v>1714</v>
      </c>
      <c r="D98" s="289" t="s">
        <v>134</v>
      </c>
      <c r="E98" s="312"/>
      <c r="F98" s="1631" t="s">
        <v>984</v>
      </c>
      <c r="G98" s="1614" t="s">
        <v>315</v>
      </c>
      <c r="H98" s="1630">
        <v>1</v>
      </c>
      <c r="I98" s="690" t="s">
        <v>1700</v>
      </c>
      <c r="J98" s="285" t="s">
        <v>316</v>
      </c>
      <c r="K98" s="312"/>
      <c r="L98" s="271" t="s">
        <v>134</v>
      </c>
      <c r="M98" s="272"/>
      <c r="N98" s="314"/>
      <c r="O98" s="277"/>
      <c r="P98" s="314"/>
      <c r="Q98" s="280" t="s">
        <v>134</v>
      </c>
      <c r="R98" s="272" t="s">
        <v>134</v>
      </c>
      <c r="S98" s="281"/>
      <c r="T98" s="272"/>
      <c r="U98" s="282"/>
      <c r="V98" s="283"/>
      <c r="W98" s="314"/>
      <c r="X98" s="280"/>
      <c r="Y98" s="284"/>
      <c r="Z98" s="272"/>
      <c r="AA98" s="281"/>
      <c r="AB98" s="284"/>
      <c r="AC98" s="272"/>
      <c r="AD98" s="312"/>
      <c r="AE98" s="285" t="str">
        <f t="shared" si="8"/>
        <v>0x0: OFF
0x1: ON</v>
      </c>
      <c r="AF98" s="312"/>
      <c r="AG98" s="286"/>
      <c r="AH98" s="287"/>
      <c r="AI98" s="320" t="s">
        <v>764</v>
      </c>
      <c r="AJ98" s="321" t="s">
        <v>281</v>
      </c>
      <c r="AK98" s="337">
        <f t="shared" si="9"/>
        <v>0</v>
      </c>
      <c r="AL98" s="338">
        <f t="shared" si="10"/>
        <v>0</v>
      </c>
      <c r="AM98" s="287"/>
      <c r="AN98" s="285" t="s">
        <v>771</v>
      </c>
      <c r="AO98" s="312"/>
      <c r="AP98" s="310" t="s">
        <v>855</v>
      </c>
      <c r="AQ98" s="310" t="s">
        <v>317</v>
      </c>
      <c r="AS98" s="505" t="s">
        <v>1406</v>
      </c>
      <c r="AT98" s="505" t="s">
        <v>1406</v>
      </c>
      <c r="AU98" s="505" t="s">
        <v>1406</v>
      </c>
      <c r="AV98" s="505" t="s">
        <v>1406</v>
      </c>
    </row>
    <row r="99" spans="2:48" s="252" customFormat="1" ht="39.6" hidden="1">
      <c r="B99" s="810"/>
      <c r="C99" s="457" t="s">
        <v>1714</v>
      </c>
      <c r="D99" s="309" t="s">
        <v>882</v>
      </c>
      <c r="E99" s="312"/>
      <c r="F99" s="1631"/>
      <c r="G99" s="1614"/>
      <c r="H99" s="1630"/>
      <c r="I99" s="692" t="s">
        <v>1701</v>
      </c>
      <c r="J99" s="305" t="s">
        <v>318</v>
      </c>
      <c r="K99" s="312"/>
      <c r="L99" s="275" t="s">
        <v>134</v>
      </c>
      <c r="M99" s="276"/>
      <c r="N99" s="314"/>
      <c r="O99" s="279"/>
      <c r="P99" s="314"/>
      <c r="Q99" s="300" t="s">
        <v>134</v>
      </c>
      <c r="R99" s="276" t="s">
        <v>134</v>
      </c>
      <c r="S99" s="301"/>
      <c r="T99" s="276"/>
      <c r="U99" s="302"/>
      <c r="V99" s="303"/>
      <c r="W99" s="314"/>
      <c r="X99" s="300"/>
      <c r="Y99" s="304"/>
      <c r="Z99" s="276"/>
      <c r="AA99" s="301"/>
      <c r="AB99" s="304"/>
      <c r="AC99" s="276"/>
      <c r="AD99" s="312"/>
      <c r="AE99" s="305" t="str">
        <f t="shared" si="8"/>
        <v>0x0: OFF
0x1: ON
0x3: Not equipped</v>
      </c>
      <c r="AF99" s="312"/>
      <c r="AG99" s="306"/>
      <c r="AH99" s="307"/>
      <c r="AI99" s="324" t="s">
        <v>764</v>
      </c>
      <c r="AJ99" s="325" t="s">
        <v>287</v>
      </c>
      <c r="AK99" s="341">
        <f t="shared" si="9"/>
        <v>0</v>
      </c>
      <c r="AL99" s="342">
        <f t="shared" si="10"/>
        <v>0</v>
      </c>
      <c r="AM99" s="307"/>
      <c r="AN99" s="305" t="s">
        <v>772</v>
      </c>
      <c r="AO99" s="312"/>
      <c r="AP99" s="487" t="s">
        <v>855</v>
      </c>
      <c r="AQ99" s="487" t="s">
        <v>319</v>
      </c>
      <c r="AS99" s="500" t="s">
        <v>1406</v>
      </c>
      <c r="AT99" s="500" t="s">
        <v>1406</v>
      </c>
      <c r="AU99" s="500" t="s">
        <v>1406</v>
      </c>
      <c r="AV99" s="500" t="s">
        <v>1406</v>
      </c>
    </row>
    <row r="100" spans="2:48" s="252" customFormat="1" ht="26.4" hidden="1">
      <c r="B100" s="810"/>
      <c r="C100" s="503" t="s">
        <v>1714</v>
      </c>
      <c r="D100" s="289" t="s">
        <v>134</v>
      </c>
      <c r="E100" s="312"/>
      <c r="F100" s="1631" t="s">
        <v>985</v>
      </c>
      <c r="G100" s="1614" t="s">
        <v>320</v>
      </c>
      <c r="H100" s="1630">
        <v>1</v>
      </c>
      <c r="I100" s="690" t="s">
        <v>1700</v>
      </c>
      <c r="J100" s="285" t="s">
        <v>321</v>
      </c>
      <c r="K100" s="312"/>
      <c r="L100" s="271" t="s">
        <v>134</v>
      </c>
      <c r="M100" s="272"/>
      <c r="N100" s="314"/>
      <c r="O100" s="277"/>
      <c r="P100" s="314"/>
      <c r="Q100" s="280" t="s">
        <v>134</v>
      </c>
      <c r="R100" s="272" t="s">
        <v>134</v>
      </c>
      <c r="S100" s="281"/>
      <c r="T100" s="272"/>
      <c r="U100" s="282"/>
      <c r="V100" s="283"/>
      <c r="W100" s="314"/>
      <c r="X100" s="280"/>
      <c r="Y100" s="284"/>
      <c r="Z100" s="272"/>
      <c r="AA100" s="281"/>
      <c r="AB100" s="284"/>
      <c r="AC100" s="272"/>
      <c r="AD100" s="312"/>
      <c r="AE100" s="285" t="str">
        <f t="shared" si="8"/>
        <v>0x0: Error
0x1: Normal</v>
      </c>
      <c r="AF100" s="312"/>
      <c r="AG100" s="286"/>
      <c r="AH100" s="287"/>
      <c r="AI100" s="320" t="s">
        <v>764</v>
      </c>
      <c r="AJ100" s="321" t="s">
        <v>281</v>
      </c>
      <c r="AK100" s="337">
        <f t="shared" si="9"/>
        <v>0</v>
      </c>
      <c r="AL100" s="338">
        <f t="shared" si="10"/>
        <v>0</v>
      </c>
      <c r="AM100" s="287"/>
      <c r="AN100" s="285" t="s">
        <v>773</v>
      </c>
      <c r="AO100" s="312"/>
      <c r="AP100" s="310" t="s">
        <v>855</v>
      </c>
      <c r="AQ100" s="310" t="s">
        <v>322</v>
      </c>
      <c r="AS100" s="505" t="s">
        <v>1406</v>
      </c>
      <c r="AT100" s="505" t="s">
        <v>1406</v>
      </c>
      <c r="AU100" s="505" t="s">
        <v>1406</v>
      </c>
      <c r="AV100" s="505" t="s">
        <v>1406</v>
      </c>
    </row>
    <row r="101" spans="2:48" s="252" customFormat="1" ht="39.6" hidden="1">
      <c r="B101" s="810"/>
      <c r="C101" s="457" t="s">
        <v>1714</v>
      </c>
      <c r="D101" s="309" t="s">
        <v>882</v>
      </c>
      <c r="E101" s="312"/>
      <c r="F101" s="1631"/>
      <c r="G101" s="1614"/>
      <c r="H101" s="1630"/>
      <c r="I101" s="692" t="s">
        <v>1701</v>
      </c>
      <c r="J101" s="305" t="s">
        <v>323</v>
      </c>
      <c r="K101" s="312"/>
      <c r="L101" s="275" t="s">
        <v>134</v>
      </c>
      <c r="M101" s="276"/>
      <c r="N101" s="314"/>
      <c r="O101" s="279"/>
      <c r="P101" s="314"/>
      <c r="Q101" s="300" t="s">
        <v>134</v>
      </c>
      <c r="R101" s="276" t="s">
        <v>134</v>
      </c>
      <c r="S101" s="301"/>
      <c r="T101" s="276"/>
      <c r="U101" s="302"/>
      <c r="V101" s="303"/>
      <c r="W101" s="314"/>
      <c r="X101" s="300"/>
      <c r="Y101" s="304"/>
      <c r="Z101" s="276"/>
      <c r="AA101" s="301"/>
      <c r="AB101" s="304"/>
      <c r="AC101" s="276"/>
      <c r="AD101" s="312"/>
      <c r="AE101" s="305" t="str">
        <f t="shared" si="8"/>
        <v>0x0: Error
0x1: Normal
0x3: Not equipped</v>
      </c>
      <c r="AF101" s="312"/>
      <c r="AG101" s="306"/>
      <c r="AH101" s="307"/>
      <c r="AI101" s="324" t="s">
        <v>764</v>
      </c>
      <c r="AJ101" s="325" t="s">
        <v>287</v>
      </c>
      <c r="AK101" s="341">
        <f t="shared" si="9"/>
        <v>0</v>
      </c>
      <c r="AL101" s="342">
        <f t="shared" si="10"/>
        <v>0</v>
      </c>
      <c r="AM101" s="307"/>
      <c r="AN101" s="305" t="s">
        <v>774</v>
      </c>
      <c r="AO101" s="312"/>
      <c r="AP101" s="487" t="s">
        <v>855</v>
      </c>
      <c r="AQ101" s="487" t="s">
        <v>324</v>
      </c>
      <c r="AS101" s="500" t="s">
        <v>1406</v>
      </c>
      <c r="AT101" s="500" t="s">
        <v>1406</v>
      </c>
      <c r="AU101" s="500" t="s">
        <v>1406</v>
      </c>
      <c r="AV101" s="500" t="s">
        <v>1406</v>
      </c>
    </row>
    <row r="102" spans="2:48" s="252" customFormat="1" ht="26.4" hidden="1">
      <c r="B102" s="810"/>
      <c r="C102" s="248" t="s">
        <v>898</v>
      </c>
      <c r="D102" s="502"/>
      <c r="E102" s="312"/>
      <c r="F102" s="233" t="s">
        <v>986</v>
      </c>
      <c r="G102" s="242" t="s">
        <v>987</v>
      </c>
      <c r="H102" s="243">
        <v>1</v>
      </c>
      <c r="I102" s="243" t="s">
        <v>200</v>
      </c>
      <c r="J102" s="493" t="s">
        <v>987</v>
      </c>
      <c r="K102" s="312"/>
      <c r="L102" s="236" t="s">
        <v>134</v>
      </c>
      <c r="M102" s="253"/>
      <c r="N102" s="314"/>
      <c r="O102" s="233"/>
      <c r="P102" s="314"/>
      <c r="Q102" s="254" t="s">
        <v>134</v>
      </c>
      <c r="R102" s="253" t="s">
        <v>134</v>
      </c>
      <c r="S102" s="255"/>
      <c r="T102" s="253"/>
      <c r="U102" s="237"/>
      <c r="V102" s="261"/>
      <c r="W102" s="314"/>
      <c r="X102" s="254"/>
      <c r="Y102" s="256"/>
      <c r="Z102" s="253"/>
      <c r="AA102" s="255"/>
      <c r="AB102" s="256"/>
      <c r="AC102" s="253"/>
      <c r="AD102" s="312"/>
      <c r="AE102" s="242" t="str">
        <f t="shared" si="8"/>
        <v>0x0: OFF
0x1: ON</v>
      </c>
      <c r="AF102" s="312"/>
      <c r="AG102" s="245"/>
      <c r="AH102" s="246"/>
      <c r="AI102" s="318" t="s">
        <v>764</v>
      </c>
      <c r="AJ102" s="319" t="s">
        <v>281</v>
      </c>
      <c r="AK102" s="334">
        <f t="shared" si="9"/>
        <v>0</v>
      </c>
      <c r="AL102" s="336">
        <f t="shared" si="10"/>
        <v>0</v>
      </c>
      <c r="AM102" s="246"/>
      <c r="AN102" s="242" t="s">
        <v>771</v>
      </c>
      <c r="AO102" s="312"/>
      <c r="AP102" s="482" t="s">
        <v>855</v>
      </c>
      <c r="AQ102" s="594" t="s">
        <v>325</v>
      </c>
      <c r="AR102" s="929"/>
      <c r="AS102" s="930" t="s">
        <v>1246</v>
      </c>
      <c r="AT102" s="594"/>
      <c r="AU102" s="930" t="s">
        <v>1246</v>
      </c>
      <c r="AV102" s="594" t="s">
        <v>1755</v>
      </c>
    </row>
    <row r="103" spans="2:48" hidden="1">
      <c r="B103" s="813" t="s">
        <v>2052</v>
      </c>
      <c r="C103" s="456" t="s">
        <v>1337</v>
      </c>
      <c r="D103" s="456" t="s">
        <v>1337</v>
      </c>
      <c r="F103" s="265" t="s">
        <v>1209</v>
      </c>
      <c r="G103" s="264" t="s">
        <v>1191</v>
      </c>
      <c r="H103" s="456" t="s">
        <v>1590</v>
      </c>
      <c r="I103" s="456" t="s">
        <v>1590</v>
      </c>
      <c r="J103" s="559" t="s">
        <v>1590</v>
      </c>
      <c r="K103" s="313"/>
      <c r="L103" s="560" t="s">
        <v>1590</v>
      </c>
      <c r="M103" s="560" t="s">
        <v>1590</v>
      </c>
      <c r="N103" s="176"/>
      <c r="O103" s="561" t="s">
        <v>1590</v>
      </c>
      <c r="P103" s="176"/>
      <c r="Q103" s="562" t="s">
        <v>1590</v>
      </c>
      <c r="R103" s="562" t="s">
        <v>1590</v>
      </c>
      <c r="S103" s="563" t="s">
        <v>1590</v>
      </c>
      <c r="T103" s="562" t="s">
        <v>1590</v>
      </c>
      <c r="U103" s="563" t="s">
        <v>1590</v>
      </c>
      <c r="V103" s="562" t="s">
        <v>1590</v>
      </c>
      <c r="W103" s="360"/>
      <c r="X103" s="562" t="s">
        <v>1590</v>
      </c>
      <c r="Y103" s="562" t="s">
        <v>1590</v>
      </c>
      <c r="Z103" s="562" t="s">
        <v>1590</v>
      </c>
      <c r="AA103" s="562" t="s">
        <v>1590</v>
      </c>
      <c r="AB103" s="562" t="s">
        <v>1590</v>
      </c>
      <c r="AC103" s="562" t="s">
        <v>1590</v>
      </c>
      <c r="AD103" s="235"/>
      <c r="AE103" s="456" t="s">
        <v>1590</v>
      </c>
      <c r="AG103" s="559" t="s">
        <v>1591</v>
      </c>
      <c r="AH103" s="559" t="s">
        <v>1591</v>
      </c>
      <c r="AI103" s="559" t="s">
        <v>1591</v>
      </c>
      <c r="AJ103" s="559" t="s">
        <v>1591</v>
      </c>
      <c r="AK103" s="559" t="s">
        <v>1591</v>
      </c>
      <c r="AL103" s="559" t="s">
        <v>1591</v>
      </c>
      <c r="AM103" s="559" t="s">
        <v>1591</v>
      </c>
      <c r="AN103" s="559" t="s">
        <v>1591</v>
      </c>
      <c r="AP103" s="456" t="s">
        <v>1590</v>
      </c>
      <c r="AQ103" s="456" t="s">
        <v>1590</v>
      </c>
      <c r="AS103" s="456" t="s">
        <v>1222</v>
      </c>
      <c r="AT103" s="456" t="s">
        <v>1222</v>
      </c>
      <c r="AU103" s="456" t="s">
        <v>1222</v>
      </c>
      <c r="AV103" s="456" t="s">
        <v>1222</v>
      </c>
    </row>
    <row r="104" spans="2:48" s="252" customFormat="1" ht="79.2">
      <c r="B104" s="1045" t="s">
        <v>2357</v>
      </c>
      <c r="C104" s="248" t="s">
        <v>134</v>
      </c>
      <c r="D104" s="502"/>
      <c r="E104" s="312"/>
      <c r="F104" s="233" t="s">
        <v>988</v>
      </c>
      <c r="G104" s="242" t="s">
        <v>2346</v>
      </c>
      <c r="H104" s="243">
        <v>1</v>
      </c>
      <c r="I104" s="243" t="s">
        <v>200</v>
      </c>
      <c r="J104" s="587" t="s">
        <v>1782</v>
      </c>
      <c r="K104" s="312"/>
      <c r="L104" s="236" t="s">
        <v>134</v>
      </c>
      <c r="M104" s="253"/>
      <c r="N104" s="314"/>
      <c r="O104" s="233"/>
      <c r="P104" s="314"/>
      <c r="Q104" s="254" t="s">
        <v>134</v>
      </c>
      <c r="R104" s="253" t="s">
        <v>134</v>
      </c>
      <c r="S104" s="255"/>
      <c r="T104" s="253"/>
      <c r="U104" s="237"/>
      <c r="V104" s="261"/>
      <c r="W104" s="314"/>
      <c r="X104" s="254"/>
      <c r="Y104" s="256"/>
      <c r="Z104" s="253"/>
      <c r="AA104" s="255"/>
      <c r="AB104" s="256"/>
      <c r="AC104" s="253"/>
      <c r="AD104" s="312"/>
      <c r="AE104" s="242" t="str">
        <f t="shared" si="8"/>
        <v>0x00 ~ 0xFF (0~12750rpm)
Calculated by reference</v>
      </c>
      <c r="AF104" s="312"/>
      <c r="AG104" s="245">
        <v>0</v>
      </c>
      <c r="AH104" s="246">
        <v>50</v>
      </c>
      <c r="AI104" s="318" t="s">
        <v>750</v>
      </c>
      <c r="AJ104" s="1301" t="s">
        <v>751</v>
      </c>
      <c r="AK104" s="334">
        <f t="shared" si="9"/>
        <v>0</v>
      </c>
      <c r="AL104" s="1302">
        <f t="shared" si="10"/>
        <v>12750</v>
      </c>
      <c r="AM104" s="246" t="s">
        <v>775</v>
      </c>
      <c r="AN104" s="242" t="s">
        <v>759</v>
      </c>
      <c r="AO104" s="312"/>
      <c r="AP104" s="482" t="s">
        <v>855</v>
      </c>
      <c r="AQ104" s="594" t="s">
        <v>1774</v>
      </c>
      <c r="AR104" s="929"/>
      <c r="AS104" s="594" t="s">
        <v>1775</v>
      </c>
      <c r="AT104" s="594" t="s">
        <v>1446</v>
      </c>
      <c r="AU104" s="1297" t="s">
        <v>2528</v>
      </c>
      <c r="AV104" s="1300" t="s">
        <v>2529</v>
      </c>
    </row>
    <row r="105" spans="2:48" s="252" customFormat="1" ht="79.2">
      <c r="B105" s="1045" t="s">
        <v>2357</v>
      </c>
      <c r="C105" s="248" t="s">
        <v>134</v>
      </c>
      <c r="D105" s="248" t="s">
        <v>134</v>
      </c>
      <c r="E105" s="312"/>
      <c r="F105" s="233" t="s">
        <v>989</v>
      </c>
      <c r="G105" s="242" t="s">
        <v>2354</v>
      </c>
      <c r="H105" s="243">
        <v>1</v>
      </c>
      <c r="I105" s="243" t="s">
        <v>200</v>
      </c>
      <c r="J105" s="587" t="s">
        <v>1783</v>
      </c>
      <c r="K105" s="312"/>
      <c r="L105" s="236" t="s">
        <v>134</v>
      </c>
      <c r="M105" s="253"/>
      <c r="N105" s="314"/>
      <c r="O105" s="233"/>
      <c r="P105" s="314"/>
      <c r="Q105" s="254" t="s">
        <v>134</v>
      </c>
      <c r="R105" s="253" t="s">
        <v>134</v>
      </c>
      <c r="S105" s="255"/>
      <c r="T105" s="253"/>
      <c r="U105" s="237"/>
      <c r="V105" s="261"/>
      <c r="W105" s="314"/>
      <c r="X105" s="254"/>
      <c r="Y105" s="256"/>
      <c r="Z105" s="253"/>
      <c r="AA105" s="255"/>
      <c r="AB105" s="256"/>
      <c r="AC105" s="253"/>
      <c r="AD105" s="312"/>
      <c r="AE105" s="242" t="str">
        <f t="shared" si="8"/>
        <v>0x00 ~ 0xFF (0~12750rpm)
Calculated by reference</v>
      </c>
      <c r="AF105" s="312"/>
      <c r="AG105" s="245">
        <v>0</v>
      </c>
      <c r="AH105" s="246">
        <v>50</v>
      </c>
      <c r="AI105" s="318" t="s">
        <v>750</v>
      </c>
      <c r="AJ105" s="1301" t="s">
        <v>751</v>
      </c>
      <c r="AK105" s="334">
        <f t="shared" si="9"/>
        <v>0</v>
      </c>
      <c r="AL105" s="1302">
        <f t="shared" si="10"/>
        <v>12750</v>
      </c>
      <c r="AM105" s="246" t="s">
        <v>775</v>
      </c>
      <c r="AN105" s="242" t="s">
        <v>759</v>
      </c>
      <c r="AO105" s="312"/>
      <c r="AP105" s="482" t="s">
        <v>855</v>
      </c>
      <c r="AQ105" s="594" t="s">
        <v>370</v>
      </c>
      <c r="AR105" s="929"/>
      <c r="AS105" s="594" t="s">
        <v>1776</v>
      </c>
      <c r="AT105" s="594" t="s">
        <v>1449</v>
      </c>
      <c r="AU105" s="1297" t="s">
        <v>2530</v>
      </c>
      <c r="AV105" s="1300" t="s">
        <v>2531</v>
      </c>
    </row>
    <row r="106" spans="2:48" s="252" customFormat="1" ht="26.4" hidden="1">
      <c r="B106" s="1045"/>
      <c r="C106" s="502" t="s">
        <v>1714</v>
      </c>
      <c r="D106" s="248" t="s">
        <v>134</v>
      </c>
      <c r="E106" s="312"/>
      <c r="F106" s="233" t="s">
        <v>990</v>
      </c>
      <c r="G106" s="242" t="s">
        <v>327</v>
      </c>
      <c r="H106" s="243">
        <v>1</v>
      </c>
      <c r="I106" s="243" t="s">
        <v>200</v>
      </c>
      <c r="J106" s="587" t="s">
        <v>1784</v>
      </c>
      <c r="K106" s="312"/>
      <c r="L106" s="236" t="s">
        <v>134</v>
      </c>
      <c r="M106" s="253"/>
      <c r="N106" s="314"/>
      <c r="O106" s="233"/>
      <c r="P106" s="314"/>
      <c r="Q106" s="254" t="s">
        <v>134</v>
      </c>
      <c r="R106" s="253" t="s">
        <v>134</v>
      </c>
      <c r="S106" s="255"/>
      <c r="T106" s="253"/>
      <c r="U106" s="237"/>
      <c r="V106" s="261"/>
      <c r="W106" s="314"/>
      <c r="X106" s="254"/>
      <c r="Y106" s="256"/>
      <c r="Z106" s="253"/>
      <c r="AA106" s="255"/>
      <c r="AB106" s="256"/>
      <c r="AC106" s="253"/>
      <c r="AD106" s="312"/>
      <c r="AE106" s="242" t="str">
        <f t="shared" si="8"/>
        <v>0x00 ~ 0xFA (0~12500rpm)
Calculated by reference</v>
      </c>
      <c r="AF106" s="312"/>
      <c r="AG106" s="245">
        <v>0</v>
      </c>
      <c r="AH106" s="246">
        <v>50</v>
      </c>
      <c r="AI106" s="318" t="s">
        <v>750</v>
      </c>
      <c r="AJ106" s="319" t="s">
        <v>753</v>
      </c>
      <c r="AK106" s="334">
        <f t="shared" si="9"/>
        <v>0</v>
      </c>
      <c r="AL106" s="336">
        <f t="shared" si="10"/>
        <v>12500</v>
      </c>
      <c r="AM106" s="246" t="s">
        <v>775</v>
      </c>
      <c r="AN106" s="242" t="s">
        <v>759</v>
      </c>
      <c r="AO106" s="312"/>
      <c r="AP106" s="482" t="s">
        <v>855</v>
      </c>
      <c r="AQ106" s="594" t="s">
        <v>372</v>
      </c>
      <c r="AR106" s="929"/>
      <c r="AS106" s="504" t="s">
        <v>1406</v>
      </c>
      <c r="AT106" s="504" t="s">
        <v>1406</v>
      </c>
      <c r="AU106" s="504" t="s">
        <v>1406</v>
      </c>
      <c r="AV106" s="504" t="s">
        <v>1406</v>
      </c>
    </row>
    <row r="107" spans="2:48" s="252" customFormat="1" ht="79.2">
      <c r="B107" s="1045" t="s">
        <v>2357</v>
      </c>
      <c r="C107" s="248" t="s">
        <v>134</v>
      </c>
      <c r="D107" s="248" t="s">
        <v>134</v>
      </c>
      <c r="E107" s="312"/>
      <c r="F107" s="233" t="s">
        <v>991</v>
      </c>
      <c r="G107" s="242" t="s">
        <v>2355</v>
      </c>
      <c r="H107" s="243">
        <v>1</v>
      </c>
      <c r="I107" s="243" t="s">
        <v>200</v>
      </c>
      <c r="J107" s="587" t="s">
        <v>1785</v>
      </c>
      <c r="K107" s="312"/>
      <c r="L107" s="236" t="s">
        <v>134</v>
      </c>
      <c r="M107" s="253"/>
      <c r="N107" s="314"/>
      <c r="O107" s="233"/>
      <c r="P107" s="314"/>
      <c r="Q107" s="254" t="s">
        <v>134</v>
      </c>
      <c r="R107" s="253" t="s">
        <v>134</v>
      </c>
      <c r="S107" s="255"/>
      <c r="T107" s="253"/>
      <c r="U107" s="237"/>
      <c r="V107" s="261"/>
      <c r="W107" s="314"/>
      <c r="X107" s="254"/>
      <c r="Y107" s="256"/>
      <c r="Z107" s="253"/>
      <c r="AA107" s="255"/>
      <c r="AB107" s="256"/>
      <c r="AC107" s="253"/>
      <c r="AD107" s="312"/>
      <c r="AE107" s="242" t="str">
        <f t="shared" si="8"/>
        <v>0x00 ~ 0xFF (0~12750rpm)
Calculated by reference</v>
      </c>
      <c r="AF107" s="312"/>
      <c r="AG107" s="245">
        <v>0</v>
      </c>
      <c r="AH107" s="246">
        <v>50</v>
      </c>
      <c r="AI107" s="318" t="s">
        <v>750</v>
      </c>
      <c r="AJ107" s="1301" t="s">
        <v>751</v>
      </c>
      <c r="AK107" s="334">
        <f t="shared" si="9"/>
        <v>0</v>
      </c>
      <c r="AL107" s="1302">
        <f t="shared" si="10"/>
        <v>12750</v>
      </c>
      <c r="AM107" s="246" t="s">
        <v>775</v>
      </c>
      <c r="AN107" s="242" t="s">
        <v>759</v>
      </c>
      <c r="AO107" s="312"/>
      <c r="AP107" s="482" t="s">
        <v>855</v>
      </c>
      <c r="AQ107" s="594" t="s">
        <v>374</v>
      </c>
      <c r="AR107" s="929"/>
      <c r="AS107" s="594" t="s">
        <v>1777</v>
      </c>
      <c r="AT107" s="594" t="s">
        <v>1453</v>
      </c>
      <c r="AU107" s="1297" t="s">
        <v>2532</v>
      </c>
      <c r="AV107" s="1300" t="s">
        <v>2531</v>
      </c>
    </row>
    <row r="108" spans="2:48" s="252" customFormat="1" ht="79.2">
      <c r="B108" s="1045" t="s">
        <v>2357</v>
      </c>
      <c r="C108" s="248" t="s">
        <v>134</v>
      </c>
      <c r="D108" s="248" t="s">
        <v>134</v>
      </c>
      <c r="E108" s="312"/>
      <c r="F108" s="233" t="s">
        <v>992</v>
      </c>
      <c r="G108" s="242" t="s">
        <v>2356</v>
      </c>
      <c r="H108" s="243">
        <v>1</v>
      </c>
      <c r="I108" s="243" t="s">
        <v>200</v>
      </c>
      <c r="J108" s="587" t="s">
        <v>1786</v>
      </c>
      <c r="K108" s="312"/>
      <c r="L108" s="236" t="s">
        <v>134</v>
      </c>
      <c r="M108" s="253"/>
      <c r="N108" s="314"/>
      <c r="O108" s="233"/>
      <c r="P108" s="314"/>
      <c r="Q108" s="254" t="s">
        <v>134</v>
      </c>
      <c r="R108" s="253" t="s">
        <v>134</v>
      </c>
      <c r="S108" s="255"/>
      <c r="T108" s="253"/>
      <c r="U108" s="237"/>
      <c r="V108" s="261"/>
      <c r="W108" s="314"/>
      <c r="X108" s="254"/>
      <c r="Y108" s="256"/>
      <c r="Z108" s="253"/>
      <c r="AA108" s="255"/>
      <c r="AB108" s="256"/>
      <c r="AC108" s="253"/>
      <c r="AD108" s="312"/>
      <c r="AE108" s="242" t="str">
        <f t="shared" si="8"/>
        <v>0x00 ~ 0xFF (0~12750rpm)
Calculated by reference</v>
      </c>
      <c r="AF108" s="312"/>
      <c r="AG108" s="245">
        <v>0</v>
      </c>
      <c r="AH108" s="246">
        <v>50</v>
      </c>
      <c r="AI108" s="318" t="s">
        <v>750</v>
      </c>
      <c r="AJ108" s="1301" t="s">
        <v>751</v>
      </c>
      <c r="AK108" s="334">
        <f t="shared" si="9"/>
        <v>0</v>
      </c>
      <c r="AL108" s="1302">
        <f t="shared" si="10"/>
        <v>12750</v>
      </c>
      <c r="AM108" s="246" t="s">
        <v>775</v>
      </c>
      <c r="AN108" s="242" t="s">
        <v>759</v>
      </c>
      <c r="AO108" s="312"/>
      <c r="AP108" s="482" t="s">
        <v>855</v>
      </c>
      <c r="AQ108" s="594" t="s">
        <v>375</v>
      </c>
      <c r="AR108" s="929"/>
      <c r="AS108" s="594" t="s">
        <v>1778</v>
      </c>
      <c r="AT108" s="594" t="s">
        <v>1457</v>
      </c>
      <c r="AU108" s="1297" t="s">
        <v>2533</v>
      </c>
      <c r="AV108" s="1300" t="s">
        <v>2531</v>
      </c>
    </row>
    <row r="109" spans="2:48" s="252" customFormat="1" ht="39.6" hidden="1">
      <c r="B109" s="810"/>
      <c r="C109" s="502" t="s">
        <v>1714</v>
      </c>
      <c r="D109" s="248" t="s">
        <v>882</v>
      </c>
      <c r="E109" s="312"/>
      <c r="F109" s="233" t="s">
        <v>993</v>
      </c>
      <c r="G109" s="242" t="s">
        <v>330</v>
      </c>
      <c r="H109" s="243">
        <v>1</v>
      </c>
      <c r="I109" s="243" t="s">
        <v>200</v>
      </c>
      <c r="J109" s="587" t="s">
        <v>1785</v>
      </c>
      <c r="K109" s="312"/>
      <c r="L109" s="236" t="s">
        <v>134</v>
      </c>
      <c r="M109" s="253"/>
      <c r="N109" s="314"/>
      <c r="O109" s="233"/>
      <c r="P109" s="314"/>
      <c r="Q109" s="254" t="s">
        <v>134</v>
      </c>
      <c r="R109" s="253" t="s">
        <v>134</v>
      </c>
      <c r="S109" s="255"/>
      <c r="T109" s="253"/>
      <c r="U109" s="237"/>
      <c r="V109" s="261"/>
      <c r="W109" s="314"/>
      <c r="X109" s="254"/>
      <c r="Y109" s="256"/>
      <c r="Z109" s="253"/>
      <c r="AA109" s="255"/>
      <c r="AB109" s="256"/>
      <c r="AC109" s="253"/>
      <c r="AD109" s="312"/>
      <c r="AE109" s="242" t="str">
        <f t="shared" si="8"/>
        <v>0x00 ~ 0xFA (0~12500rpm)
0xFF: Not equipped
Calculated by reference</v>
      </c>
      <c r="AF109" s="312"/>
      <c r="AG109" s="245">
        <v>0</v>
      </c>
      <c r="AH109" s="246">
        <v>50</v>
      </c>
      <c r="AI109" s="318" t="s">
        <v>750</v>
      </c>
      <c r="AJ109" s="319" t="s">
        <v>753</v>
      </c>
      <c r="AK109" s="334">
        <f t="shared" si="9"/>
        <v>0</v>
      </c>
      <c r="AL109" s="336">
        <f t="shared" si="10"/>
        <v>12500</v>
      </c>
      <c r="AM109" s="246" t="s">
        <v>775</v>
      </c>
      <c r="AN109" s="242" t="s">
        <v>763</v>
      </c>
      <c r="AO109" s="312"/>
      <c r="AP109" s="482" t="s">
        <v>855</v>
      </c>
      <c r="AQ109" s="594" t="s">
        <v>377</v>
      </c>
      <c r="AR109" s="929"/>
      <c r="AS109" s="504" t="s">
        <v>1406</v>
      </c>
      <c r="AT109" s="504" t="s">
        <v>1406</v>
      </c>
      <c r="AU109" s="504" t="s">
        <v>1406</v>
      </c>
      <c r="AV109" s="504" t="s">
        <v>1406</v>
      </c>
    </row>
    <row r="110" spans="2:48" s="252" customFormat="1" ht="39.6" hidden="1">
      <c r="B110" s="810"/>
      <c r="C110" s="502" t="s">
        <v>1714</v>
      </c>
      <c r="D110" s="248" t="s">
        <v>882</v>
      </c>
      <c r="E110" s="312"/>
      <c r="F110" s="233" t="s">
        <v>994</v>
      </c>
      <c r="G110" s="242" t="s">
        <v>331</v>
      </c>
      <c r="H110" s="243">
        <v>1</v>
      </c>
      <c r="I110" s="243" t="s">
        <v>200</v>
      </c>
      <c r="J110" s="587" t="s">
        <v>1786</v>
      </c>
      <c r="K110" s="312"/>
      <c r="L110" s="236" t="s">
        <v>134</v>
      </c>
      <c r="M110" s="253"/>
      <c r="N110" s="314"/>
      <c r="O110" s="233"/>
      <c r="P110" s="314"/>
      <c r="Q110" s="254" t="s">
        <v>134</v>
      </c>
      <c r="R110" s="253" t="s">
        <v>134</v>
      </c>
      <c r="S110" s="255"/>
      <c r="T110" s="253"/>
      <c r="U110" s="237"/>
      <c r="V110" s="261"/>
      <c r="W110" s="314"/>
      <c r="X110" s="254"/>
      <c r="Y110" s="256"/>
      <c r="Z110" s="253"/>
      <c r="AA110" s="255"/>
      <c r="AB110" s="256"/>
      <c r="AC110" s="253"/>
      <c r="AD110" s="312"/>
      <c r="AE110" s="242" t="str">
        <f t="shared" si="8"/>
        <v>0x00 ~ 0xFA (0~12500rpm)
0xFF: Not equipped
Calculated by reference</v>
      </c>
      <c r="AF110" s="312"/>
      <c r="AG110" s="245">
        <v>0</v>
      </c>
      <c r="AH110" s="246">
        <v>50</v>
      </c>
      <c r="AI110" s="318" t="s">
        <v>750</v>
      </c>
      <c r="AJ110" s="319" t="s">
        <v>753</v>
      </c>
      <c r="AK110" s="334">
        <f t="shared" si="9"/>
        <v>0</v>
      </c>
      <c r="AL110" s="336">
        <f t="shared" si="10"/>
        <v>12500</v>
      </c>
      <c r="AM110" s="246" t="s">
        <v>775</v>
      </c>
      <c r="AN110" s="242" t="s">
        <v>763</v>
      </c>
      <c r="AO110" s="312"/>
      <c r="AP110" s="482" t="s">
        <v>855</v>
      </c>
      <c r="AQ110" s="594" t="s">
        <v>380</v>
      </c>
      <c r="AR110" s="929"/>
      <c r="AS110" s="504" t="s">
        <v>1406</v>
      </c>
      <c r="AT110" s="504" t="s">
        <v>1406</v>
      </c>
      <c r="AU110" s="504" t="s">
        <v>1406</v>
      </c>
      <c r="AV110" s="504" t="s">
        <v>1406</v>
      </c>
    </row>
    <row r="111" spans="2:48" s="252" customFormat="1" ht="52.8" hidden="1">
      <c r="B111" s="1218" t="s">
        <v>2450</v>
      </c>
      <c r="C111" s="248" t="s">
        <v>134</v>
      </c>
      <c r="D111" s="502"/>
      <c r="E111" s="312"/>
      <c r="F111" s="233" t="s">
        <v>995</v>
      </c>
      <c r="G111" s="242" t="s">
        <v>332</v>
      </c>
      <c r="H111" s="243">
        <v>1</v>
      </c>
      <c r="I111" s="243" t="s">
        <v>200</v>
      </c>
      <c r="J111" s="938" t="s">
        <v>332</v>
      </c>
      <c r="K111" s="312"/>
      <c r="L111" s="236" t="s">
        <v>134</v>
      </c>
      <c r="M111" s="253"/>
      <c r="N111" s="314"/>
      <c r="O111" s="233"/>
      <c r="P111" s="314"/>
      <c r="Q111" s="254" t="s">
        <v>134</v>
      </c>
      <c r="R111" s="253" t="s">
        <v>134</v>
      </c>
      <c r="S111" s="255"/>
      <c r="T111" s="253"/>
      <c r="U111" s="237"/>
      <c r="V111" s="261"/>
      <c r="W111" s="314"/>
      <c r="X111" s="254"/>
      <c r="Y111" s="256"/>
      <c r="Z111" s="253"/>
      <c r="AA111" s="255"/>
      <c r="AB111" s="256"/>
      <c r="AC111" s="253"/>
      <c r="AD111" s="312"/>
      <c r="AE111" s="242" t="str">
        <f t="shared" si="8"/>
        <v>0x0 ~ 0x1 (0~1-)
0x0: No crash detect
0x1: Crash detect
Calculated by reference</v>
      </c>
      <c r="AF111" s="312"/>
      <c r="AG111" s="1264">
        <v>0</v>
      </c>
      <c r="AH111" s="1265">
        <v>1</v>
      </c>
      <c r="AI111" s="318" t="s">
        <v>764</v>
      </c>
      <c r="AJ111" s="319" t="s">
        <v>281</v>
      </c>
      <c r="AK111" s="334">
        <f t="shared" ref="AK111" si="13">HEX2DEC(AI111)*AH111+AG111</f>
        <v>0</v>
      </c>
      <c r="AL111" s="1272">
        <f t="shared" ref="AL111" si="14">HEX2DEC(AJ111)*AH111+AG111</f>
        <v>1</v>
      </c>
      <c r="AM111" s="1265" t="s">
        <v>1666</v>
      </c>
      <c r="AN111" s="242" t="s">
        <v>776</v>
      </c>
      <c r="AO111" s="312"/>
      <c r="AP111" s="482" t="s">
        <v>855</v>
      </c>
      <c r="AQ111" s="594" t="s">
        <v>333</v>
      </c>
      <c r="AR111" s="929"/>
      <c r="AS111" s="594" t="s">
        <v>1458</v>
      </c>
      <c r="AT111" s="594" t="s">
        <v>1459</v>
      </c>
      <c r="AU111" s="594" t="s">
        <v>2427</v>
      </c>
      <c r="AV111" s="930" t="s">
        <v>1779</v>
      </c>
    </row>
    <row r="112" spans="2:48" s="252" customFormat="1" ht="118.8">
      <c r="B112" s="810" t="s">
        <v>2050</v>
      </c>
      <c r="C112" s="248" t="s">
        <v>134</v>
      </c>
      <c r="D112" s="248" t="s">
        <v>134</v>
      </c>
      <c r="E112" s="312"/>
      <c r="F112" s="233" t="s">
        <v>996</v>
      </c>
      <c r="G112" s="242" t="s">
        <v>997</v>
      </c>
      <c r="H112" s="243">
        <v>1</v>
      </c>
      <c r="I112" s="243" t="s">
        <v>200</v>
      </c>
      <c r="J112" s="492" t="s">
        <v>334</v>
      </c>
      <c r="K112" s="312"/>
      <c r="L112" s="236" t="s">
        <v>134</v>
      </c>
      <c r="M112" s="253"/>
      <c r="N112" s="314"/>
      <c r="O112" s="233"/>
      <c r="P112" s="314"/>
      <c r="Q112" s="254" t="s">
        <v>134</v>
      </c>
      <c r="R112" s="253" t="s">
        <v>134</v>
      </c>
      <c r="S112" s="255"/>
      <c r="T112" s="253"/>
      <c r="U112" s="237"/>
      <c r="V112" s="261"/>
      <c r="W112" s="314"/>
      <c r="X112" s="254"/>
      <c r="Y112" s="256"/>
      <c r="Z112" s="253"/>
      <c r="AA112" s="255"/>
      <c r="AB112" s="256"/>
      <c r="AC112" s="253"/>
      <c r="AD112" s="312"/>
      <c r="AE112" s="242" t="str">
        <f t="shared" si="8"/>
        <v>0x0: STATE A
0x1: STATE B
0x2: STATE C
0x3: STATE D
0x4: STATE E
0x5: STATE F
Calculated based on the standard “IEC 61851-1”</v>
      </c>
      <c r="AF112" s="312"/>
      <c r="AG112" s="245"/>
      <c r="AH112" s="246"/>
      <c r="AI112" s="318" t="s">
        <v>764</v>
      </c>
      <c r="AJ112" s="319" t="s">
        <v>292</v>
      </c>
      <c r="AK112" s="334">
        <f t="shared" si="9"/>
        <v>0</v>
      </c>
      <c r="AL112" s="336">
        <f t="shared" si="10"/>
        <v>0</v>
      </c>
      <c r="AM112" s="246"/>
      <c r="AN112" s="242" t="s">
        <v>1787</v>
      </c>
      <c r="AO112" s="312"/>
      <c r="AP112" s="482" t="s">
        <v>855</v>
      </c>
      <c r="AQ112" s="594" t="s">
        <v>335</v>
      </c>
      <c r="AR112" s="929"/>
      <c r="AS112" s="1300" t="s">
        <v>2522</v>
      </c>
      <c r="AT112" s="1297" t="s">
        <v>2534</v>
      </c>
      <c r="AU112" s="1297" t="s">
        <v>2535</v>
      </c>
      <c r="AV112" s="1299" t="s">
        <v>2536</v>
      </c>
    </row>
    <row r="113" spans="2:48" s="252" customFormat="1" ht="264">
      <c r="B113" s="810" t="s">
        <v>2050</v>
      </c>
      <c r="C113" s="248" t="s">
        <v>134</v>
      </c>
      <c r="D113" s="248" t="s">
        <v>134</v>
      </c>
      <c r="E113" s="312"/>
      <c r="F113" s="233" t="s">
        <v>998</v>
      </c>
      <c r="G113" s="242" t="s">
        <v>999</v>
      </c>
      <c r="H113" s="243">
        <v>1</v>
      </c>
      <c r="I113" s="243" t="s">
        <v>200</v>
      </c>
      <c r="J113" s="492" t="s">
        <v>336</v>
      </c>
      <c r="K113" s="312"/>
      <c r="L113" s="236" t="s">
        <v>134</v>
      </c>
      <c r="M113" s="253"/>
      <c r="N113" s="314"/>
      <c r="O113" s="233"/>
      <c r="P113" s="314"/>
      <c r="Q113" s="254" t="s">
        <v>134</v>
      </c>
      <c r="R113" s="253" t="s">
        <v>134</v>
      </c>
      <c r="S113" s="255"/>
      <c r="T113" s="253"/>
      <c r="U113" s="237"/>
      <c r="V113" s="261"/>
      <c r="W113" s="314"/>
      <c r="X113" s="254"/>
      <c r="Y113" s="256"/>
      <c r="Z113" s="253"/>
      <c r="AA113" s="255"/>
      <c r="AB113" s="256"/>
      <c r="AC113" s="253"/>
      <c r="AD113" s="312"/>
      <c r="AE113" s="242" t="str">
        <f t="shared" si="8"/>
        <v>0x00 ~ 0xFA (0~125A)
0xFF: Not detect(via digital communication)
Calculated based on the standard “IEC 61851-1”</v>
      </c>
      <c r="AF113" s="312"/>
      <c r="AG113" s="245">
        <v>0</v>
      </c>
      <c r="AH113" s="246">
        <v>0.5</v>
      </c>
      <c r="AI113" s="318" t="s">
        <v>750</v>
      </c>
      <c r="AJ113" s="319" t="s">
        <v>753</v>
      </c>
      <c r="AK113" s="334">
        <f t="shared" si="9"/>
        <v>0</v>
      </c>
      <c r="AL113" s="336">
        <f t="shared" si="10"/>
        <v>125</v>
      </c>
      <c r="AM113" s="246" t="s">
        <v>777</v>
      </c>
      <c r="AN113" s="242" t="s">
        <v>778</v>
      </c>
      <c r="AO113" s="312"/>
      <c r="AP113" s="482" t="s">
        <v>855</v>
      </c>
      <c r="AQ113" s="594" t="s">
        <v>335</v>
      </c>
      <c r="AR113" s="929"/>
      <c r="AS113" s="1300" t="s">
        <v>2522</v>
      </c>
      <c r="AT113" s="1297" t="s">
        <v>2534</v>
      </c>
      <c r="AU113" s="1297" t="s">
        <v>2551</v>
      </c>
      <c r="AV113" s="1297" t="s">
        <v>2554</v>
      </c>
    </row>
    <row r="114" spans="2:48" hidden="1">
      <c r="B114" s="813" t="s">
        <v>2052</v>
      </c>
      <c r="C114" s="456" t="s">
        <v>1337</v>
      </c>
      <c r="D114" s="456" t="s">
        <v>1337</v>
      </c>
      <c r="F114" s="265" t="s">
        <v>1209</v>
      </c>
      <c r="G114" s="264" t="s">
        <v>1193</v>
      </c>
      <c r="H114" s="456" t="s">
        <v>1590</v>
      </c>
      <c r="I114" s="456" t="s">
        <v>1590</v>
      </c>
      <c r="J114" s="559" t="s">
        <v>1590</v>
      </c>
      <c r="K114" s="313"/>
      <c r="L114" s="560" t="s">
        <v>1590</v>
      </c>
      <c r="M114" s="560" t="s">
        <v>1590</v>
      </c>
      <c r="N114" s="176"/>
      <c r="O114" s="561" t="s">
        <v>1590</v>
      </c>
      <c r="P114" s="176"/>
      <c r="Q114" s="562" t="s">
        <v>1590</v>
      </c>
      <c r="R114" s="562" t="s">
        <v>1590</v>
      </c>
      <c r="S114" s="563" t="s">
        <v>1590</v>
      </c>
      <c r="T114" s="562" t="s">
        <v>1590</v>
      </c>
      <c r="U114" s="563" t="s">
        <v>1590</v>
      </c>
      <c r="V114" s="562" t="s">
        <v>1590</v>
      </c>
      <c r="W114" s="360"/>
      <c r="X114" s="562" t="s">
        <v>1590</v>
      </c>
      <c r="Y114" s="562" t="s">
        <v>1590</v>
      </c>
      <c r="Z114" s="562" t="s">
        <v>1590</v>
      </c>
      <c r="AA114" s="562" t="s">
        <v>1590</v>
      </c>
      <c r="AB114" s="562" t="s">
        <v>1590</v>
      </c>
      <c r="AC114" s="562" t="s">
        <v>1590</v>
      </c>
      <c r="AD114" s="235"/>
      <c r="AE114" s="456" t="s">
        <v>1590</v>
      </c>
      <c r="AG114" s="559" t="s">
        <v>1591</v>
      </c>
      <c r="AH114" s="559" t="s">
        <v>1591</v>
      </c>
      <c r="AI114" s="559" t="s">
        <v>1591</v>
      </c>
      <c r="AJ114" s="559" t="s">
        <v>1591</v>
      </c>
      <c r="AK114" s="559" t="s">
        <v>1591</v>
      </c>
      <c r="AL114" s="559" t="s">
        <v>1591</v>
      </c>
      <c r="AM114" s="559" t="s">
        <v>1591</v>
      </c>
      <c r="AN114" s="559" t="s">
        <v>1591</v>
      </c>
      <c r="AP114" s="456" t="s">
        <v>1590</v>
      </c>
      <c r="AQ114" s="456" t="s">
        <v>1590</v>
      </c>
      <c r="AS114" s="456" t="s">
        <v>1222</v>
      </c>
      <c r="AT114" s="456" t="s">
        <v>1222</v>
      </c>
      <c r="AU114" s="456" t="s">
        <v>1222</v>
      </c>
      <c r="AV114" s="456" t="s">
        <v>1222</v>
      </c>
    </row>
    <row r="115" spans="2:48" s="252" customFormat="1" ht="369.6">
      <c r="B115" s="810" t="s">
        <v>2050</v>
      </c>
      <c r="C115" s="248" t="s">
        <v>134</v>
      </c>
      <c r="D115" s="248" t="s">
        <v>134</v>
      </c>
      <c r="E115" s="312"/>
      <c r="F115" s="233" t="s">
        <v>1056</v>
      </c>
      <c r="G115" s="242" t="s">
        <v>1057</v>
      </c>
      <c r="H115" s="243" t="s">
        <v>281</v>
      </c>
      <c r="I115" s="243" t="s">
        <v>200</v>
      </c>
      <c r="J115" s="493" t="s">
        <v>1501</v>
      </c>
      <c r="K115" s="312"/>
      <c r="L115" s="236" t="s">
        <v>134</v>
      </c>
      <c r="M115" s="253"/>
      <c r="N115" s="314"/>
      <c r="O115" s="233"/>
      <c r="P115" s="314"/>
      <c r="Q115" s="254" t="s">
        <v>134</v>
      </c>
      <c r="R115" s="253" t="s">
        <v>134</v>
      </c>
      <c r="S115" s="255"/>
      <c r="T115" s="253"/>
      <c r="U115" s="237"/>
      <c r="V115" s="261"/>
      <c r="W115" s="314"/>
      <c r="X115" s="254"/>
      <c r="Y115" s="256"/>
      <c r="Z115" s="253"/>
      <c r="AA115" s="255"/>
      <c r="AB115" s="256"/>
      <c r="AC115" s="253"/>
      <c r="AD115" s="312"/>
      <c r="AE115" s="242" t="str">
        <f t="shared" ref="AE115:AE130" si="15">IF(AM115&lt;&gt;"",
       "0x" &amp; AI115 &amp;" ~ 0x" &amp; AJ115 &amp; " (" &amp; AK115 &amp;"~" &amp; AL115 &amp; AM115 &amp; ")","")&amp;IF(AN115&lt;&gt;"",IF(AM115&lt;&gt;"",CHAR(10)&amp;AN115,AN115),
       "")</f>
        <v xml:space="preserve">
0x00: (SLEEP)
0x10: WAKEUP
0x20: HVCONNECTION
0x30: QCHG NORM OUT (IG-ON)
0x31: QCHG NORM OUT (IG-OFF)
0x32: QCHG BATT PWR HEAT (IG-ON)
0x33: QCHG BATT PWR HEAT (IG-OFF)
0x34: QCHG FLOAT BATT HEAT (IG-ON)
0x35: QCHG FLOAT BATT HEAT (IG-OFF)
0x36: QCHG FLOAT KASO (IG-ON)
0x37: QCHG FLOAT KASO (IG-OFF)
0x40: NCHG NORM OUT (IG-ON)
0x41: NCHG NORM OUT (IG-OFF)
0x42: NCHG BATT PWR HEAT (IG-ON)
0x43: NCHG BATT PWR HEAT (IG-OFF)
0x44: NCHG FLOAT BATT HEAT (IG-ON)
0x45: NCHG FLOAT BATT HEAT (IG-OFF)
0x46: NCHG FLOAT KASO (IG-ON)
0x47: NCHG FLOAT KASO (IG-OFF)
0x50: V2L(IG-ON)
0x51: V2L(IG-OFF)
0x60: DRIVE(NORMAL)
0x61: DRIVE(LIMP)
0x70: STANDBY(IG-ON)
0x80: STANDBY(IG-OFF)
0x90: SHUTDOWN
</v>
      </c>
      <c r="AF115" s="312"/>
      <c r="AG115" s="245"/>
      <c r="AH115" s="246"/>
      <c r="AI115" s="326">
        <v>0</v>
      </c>
      <c r="AJ115" s="327">
        <v>90</v>
      </c>
      <c r="AK115" s="334">
        <f t="shared" ref="AK115:AK130" si="16">HEX2DEC(AI115)*AH115+AG115</f>
        <v>0</v>
      </c>
      <c r="AL115" s="336">
        <f t="shared" ref="AL115:AL129" si="17">HEX2DEC(AJ115)*AH115+AG115</f>
        <v>0</v>
      </c>
      <c r="AM115" s="246"/>
      <c r="AN115" s="242" t="s">
        <v>782</v>
      </c>
      <c r="AO115" s="312"/>
      <c r="AP115" s="482" t="s">
        <v>1058</v>
      </c>
      <c r="AQ115" s="594" t="s">
        <v>392</v>
      </c>
      <c r="AR115" s="929"/>
      <c r="AS115" s="930" t="s">
        <v>1866</v>
      </c>
      <c r="AT115" s="594" t="s">
        <v>2403</v>
      </c>
      <c r="AU115" s="1297" t="s">
        <v>2537</v>
      </c>
      <c r="AV115" s="930" t="s">
        <v>2404</v>
      </c>
    </row>
    <row r="116" spans="2:48" s="252" customFormat="1" ht="55.2" hidden="1">
      <c r="B116" s="1218" t="s">
        <v>2450</v>
      </c>
      <c r="C116" s="248" t="s">
        <v>134</v>
      </c>
      <c r="D116" s="502"/>
      <c r="E116" s="312"/>
      <c r="F116" s="233" t="s">
        <v>1059</v>
      </c>
      <c r="G116" s="242" t="s">
        <v>393</v>
      </c>
      <c r="H116" s="243" t="s">
        <v>281</v>
      </c>
      <c r="I116" s="243" t="s">
        <v>200</v>
      </c>
      <c r="J116" s="493" t="s">
        <v>1060</v>
      </c>
      <c r="K116" s="312"/>
      <c r="L116" s="236" t="s">
        <v>134</v>
      </c>
      <c r="M116" s="253"/>
      <c r="N116" s="314"/>
      <c r="O116" s="233"/>
      <c r="P116" s="314"/>
      <c r="Q116" s="254" t="s">
        <v>134</v>
      </c>
      <c r="R116" s="253" t="s">
        <v>134</v>
      </c>
      <c r="S116" s="255"/>
      <c r="T116" s="253"/>
      <c r="U116" s="237"/>
      <c r="V116" s="261"/>
      <c r="W116" s="314"/>
      <c r="X116" s="254"/>
      <c r="Y116" s="256"/>
      <c r="Z116" s="253"/>
      <c r="AA116" s="255"/>
      <c r="AB116" s="256"/>
      <c r="AC116" s="253"/>
      <c r="AD116" s="312"/>
      <c r="AE116" s="242" t="str">
        <f t="shared" si="15"/>
        <v>0x0 ~ 0x1 (0~1-)
0x0: Not installed
0x1: Installed</v>
      </c>
      <c r="AF116" s="312"/>
      <c r="AG116" s="1264">
        <v>0</v>
      </c>
      <c r="AH116" s="1265">
        <v>1</v>
      </c>
      <c r="AI116" s="318" t="s">
        <v>764</v>
      </c>
      <c r="AJ116" s="319" t="s">
        <v>281</v>
      </c>
      <c r="AK116" s="334">
        <f t="shared" si="16"/>
        <v>0</v>
      </c>
      <c r="AL116" s="1272">
        <f t="shared" si="17"/>
        <v>1</v>
      </c>
      <c r="AM116" s="1265" t="s">
        <v>1666</v>
      </c>
      <c r="AN116" s="242" t="s">
        <v>783</v>
      </c>
      <c r="AO116" s="312"/>
      <c r="AP116" s="482" t="s">
        <v>1061</v>
      </c>
      <c r="AQ116" s="594" t="s">
        <v>733</v>
      </c>
      <c r="AR116" s="929"/>
      <c r="AS116" s="930" t="s">
        <v>1866</v>
      </c>
      <c r="AT116" s="594" t="s">
        <v>1874</v>
      </c>
      <c r="AU116" s="594" t="s">
        <v>1875</v>
      </c>
      <c r="AV116" s="930" t="s">
        <v>1866</v>
      </c>
    </row>
    <row r="117" spans="2:48" s="252" customFormat="1" ht="79.2">
      <c r="B117" s="810" t="s">
        <v>2050</v>
      </c>
      <c r="C117" s="248" t="s">
        <v>134</v>
      </c>
      <c r="D117" s="248" t="s">
        <v>134</v>
      </c>
      <c r="E117" s="312"/>
      <c r="F117" s="233" t="s">
        <v>1062</v>
      </c>
      <c r="G117" s="242" t="s">
        <v>1063</v>
      </c>
      <c r="H117" s="243" t="s">
        <v>279</v>
      </c>
      <c r="I117" s="243" t="s">
        <v>200</v>
      </c>
      <c r="J117" s="493" t="s">
        <v>394</v>
      </c>
      <c r="K117" s="312"/>
      <c r="L117" s="236" t="s">
        <v>134</v>
      </c>
      <c r="M117" s="253"/>
      <c r="N117" s="314"/>
      <c r="O117" s="233"/>
      <c r="P117" s="314"/>
      <c r="Q117" s="254" t="s">
        <v>134</v>
      </c>
      <c r="R117" s="253" t="s">
        <v>134</v>
      </c>
      <c r="S117" s="255"/>
      <c r="T117" s="253"/>
      <c r="U117" s="237"/>
      <c r="V117" s="261"/>
      <c r="W117" s="314"/>
      <c r="X117" s="254"/>
      <c r="Y117" s="256"/>
      <c r="Z117" s="253"/>
      <c r="AA117" s="255"/>
      <c r="AB117" s="256"/>
      <c r="AC117" s="253"/>
      <c r="AD117" s="312"/>
      <c r="AE117" s="242" t="str">
        <f t="shared" si="15"/>
        <v>0x0 ~ 0xFAFF (-250~251.9921875km/h)
0xFEFF: Error</v>
      </c>
      <c r="AF117" s="312"/>
      <c r="AG117" s="245">
        <v>-250</v>
      </c>
      <c r="AH117" s="246">
        <f>1/128</f>
        <v>7.8125E-3</v>
      </c>
      <c r="AI117" s="326">
        <v>0</v>
      </c>
      <c r="AJ117" s="327" t="s">
        <v>784</v>
      </c>
      <c r="AK117" s="334">
        <f t="shared" si="16"/>
        <v>-250</v>
      </c>
      <c r="AL117" s="336">
        <f t="shared" si="17"/>
        <v>251.9921875</v>
      </c>
      <c r="AM117" s="246" t="s">
        <v>785</v>
      </c>
      <c r="AN117" s="242" t="s">
        <v>786</v>
      </c>
      <c r="AO117" s="312"/>
      <c r="AP117" s="482" t="s">
        <v>1058</v>
      </c>
      <c r="AQ117" s="594" t="s">
        <v>395</v>
      </c>
      <c r="AR117" s="929"/>
      <c r="AS117" s="930" t="s">
        <v>1222</v>
      </c>
      <c r="AT117" s="594" t="s">
        <v>2403</v>
      </c>
      <c r="AU117" s="1297" t="s">
        <v>2538</v>
      </c>
      <c r="AV117" s="930" t="s">
        <v>2405</v>
      </c>
    </row>
    <row r="118" spans="2:48" s="252" customFormat="1" ht="79.2">
      <c r="B118" s="810" t="s">
        <v>2050</v>
      </c>
      <c r="C118" s="248" t="s">
        <v>134</v>
      </c>
      <c r="D118" s="248" t="s">
        <v>134</v>
      </c>
      <c r="E118" s="312"/>
      <c r="F118" s="233" t="s">
        <v>1064</v>
      </c>
      <c r="G118" s="242" t="s">
        <v>396</v>
      </c>
      <c r="H118" s="243" t="s">
        <v>281</v>
      </c>
      <c r="I118" s="243" t="s">
        <v>200</v>
      </c>
      <c r="J118" s="493" t="s">
        <v>396</v>
      </c>
      <c r="K118" s="312"/>
      <c r="L118" s="236" t="s">
        <v>134</v>
      </c>
      <c r="M118" s="253"/>
      <c r="N118" s="314"/>
      <c r="O118" s="233"/>
      <c r="P118" s="314"/>
      <c r="Q118" s="254" t="s">
        <v>134</v>
      </c>
      <c r="R118" s="253" t="s">
        <v>134</v>
      </c>
      <c r="S118" s="255"/>
      <c r="T118" s="253"/>
      <c r="U118" s="237"/>
      <c r="V118" s="261"/>
      <c r="W118" s="314"/>
      <c r="X118" s="254"/>
      <c r="Y118" s="256"/>
      <c r="Z118" s="253"/>
      <c r="AA118" s="255"/>
      <c r="AB118" s="256"/>
      <c r="AC118" s="253"/>
      <c r="AD118" s="312"/>
      <c r="AE118" s="242" t="str">
        <f t="shared" si="15"/>
        <v>0x0: OFF
0x1: Maybe_ON
0x2: ON</v>
      </c>
      <c r="AF118" s="312"/>
      <c r="AG118" s="245"/>
      <c r="AH118" s="246"/>
      <c r="AI118" s="326">
        <v>0</v>
      </c>
      <c r="AJ118" s="327">
        <v>2</v>
      </c>
      <c r="AK118" s="334">
        <f t="shared" si="16"/>
        <v>0</v>
      </c>
      <c r="AL118" s="336">
        <f t="shared" si="17"/>
        <v>0</v>
      </c>
      <c r="AM118" s="246"/>
      <c r="AN118" s="242" t="s">
        <v>787</v>
      </c>
      <c r="AO118" s="312"/>
      <c r="AP118" s="482" t="s">
        <v>1058</v>
      </c>
      <c r="AQ118" s="594" t="s">
        <v>1491</v>
      </c>
      <c r="AR118" s="929"/>
      <c r="AS118" s="930" t="s">
        <v>1500</v>
      </c>
      <c r="AT118" s="594" t="s">
        <v>2403</v>
      </c>
      <c r="AU118" s="1297" t="s">
        <v>2539</v>
      </c>
      <c r="AV118" s="930" t="s">
        <v>2405</v>
      </c>
    </row>
    <row r="119" spans="2:48" s="252" customFormat="1" ht="52.8" hidden="1">
      <c r="B119" s="1218" t="s">
        <v>2454</v>
      </c>
      <c r="C119" s="248" t="s">
        <v>134</v>
      </c>
      <c r="D119" s="248" t="s">
        <v>134</v>
      </c>
      <c r="E119" s="312"/>
      <c r="F119" s="233" t="s">
        <v>1065</v>
      </c>
      <c r="G119" s="242" t="s">
        <v>397</v>
      </c>
      <c r="H119" s="243" t="s">
        <v>281</v>
      </c>
      <c r="I119" s="243" t="s">
        <v>200</v>
      </c>
      <c r="J119" s="493" t="s">
        <v>397</v>
      </c>
      <c r="K119" s="312"/>
      <c r="L119" s="236" t="s">
        <v>134</v>
      </c>
      <c r="M119" s="253"/>
      <c r="N119" s="314"/>
      <c r="O119" s="233"/>
      <c r="P119" s="314"/>
      <c r="Q119" s="254" t="s">
        <v>134</v>
      </c>
      <c r="R119" s="253" t="s">
        <v>134</v>
      </c>
      <c r="S119" s="255"/>
      <c r="T119" s="253"/>
      <c r="U119" s="237"/>
      <c r="V119" s="261"/>
      <c r="W119" s="314"/>
      <c r="X119" s="254"/>
      <c r="Y119" s="256"/>
      <c r="Z119" s="253"/>
      <c r="AA119" s="255"/>
      <c r="AB119" s="256"/>
      <c r="AC119" s="253"/>
      <c r="AD119" s="312"/>
      <c r="AE119" s="242" t="str">
        <f t="shared" si="15"/>
        <v>0x0 ~ 0xFF (0~255-)
0x0: OFF
0x1: ON
0x2: APS Fail</v>
      </c>
      <c r="AF119" s="312"/>
      <c r="AG119" s="1264">
        <v>0</v>
      </c>
      <c r="AH119" s="1265">
        <v>1</v>
      </c>
      <c r="AI119" s="326">
        <v>0</v>
      </c>
      <c r="AJ119" s="1268" t="s">
        <v>2509</v>
      </c>
      <c r="AK119" s="334">
        <f t="shared" si="16"/>
        <v>0</v>
      </c>
      <c r="AL119" s="1272">
        <f t="shared" si="17"/>
        <v>255</v>
      </c>
      <c r="AM119" s="1265" t="s">
        <v>1666</v>
      </c>
      <c r="AN119" s="242" t="s">
        <v>788</v>
      </c>
      <c r="AO119" s="312"/>
      <c r="AP119" s="482" t="s">
        <v>1058</v>
      </c>
      <c r="AQ119" s="594" t="s">
        <v>398</v>
      </c>
      <c r="AR119" s="929"/>
      <c r="AS119" s="930" t="s">
        <v>1866</v>
      </c>
      <c r="AT119" s="594" t="s">
        <v>1928</v>
      </c>
      <c r="AU119" s="594" t="s">
        <v>1929</v>
      </c>
      <c r="AV119" s="594" t="s">
        <v>1930</v>
      </c>
    </row>
    <row r="120" spans="2:48" s="252" customFormat="1" ht="79.2" hidden="1">
      <c r="B120" s="1218" t="s">
        <v>2450</v>
      </c>
      <c r="C120" s="248" t="s">
        <v>134</v>
      </c>
      <c r="D120" s="248" t="s">
        <v>134</v>
      </c>
      <c r="E120" s="312"/>
      <c r="F120" s="233" t="s">
        <v>1066</v>
      </c>
      <c r="G120" s="242" t="s">
        <v>399</v>
      </c>
      <c r="H120" s="243" t="s">
        <v>281</v>
      </c>
      <c r="I120" s="243"/>
      <c r="J120" s="493" t="s">
        <v>399</v>
      </c>
      <c r="K120" s="312"/>
      <c r="L120" s="236" t="s">
        <v>134</v>
      </c>
      <c r="M120" s="253"/>
      <c r="N120" s="314"/>
      <c r="O120" s="233"/>
      <c r="P120" s="314"/>
      <c r="Q120" s="254" t="s">
        <v>134</v>
      </c>
      <c r="R120" s="253" t="s">
        <v>134</v>
      </c>
      <c r="S120" s="255"/>
      <c r="T120" s="253"/>
      <c r="U120" s="237"/>
      <c r="V120" s="261"/>
      <c r="W120" s="314"/>
      <c r="X120" s="254"/>
      <c r="Y120" s="256"/>
      <c r="Z120" s="253"/>
      <c r="AA120" s="255"/>
      <c r="AB120" s="256"/>
      <c r="AC120" s="253"/>
      <c r="AD120" s="312"/>
      <c r="AE120" s="242" t="str">
        <f t="shared" si="15"/>
        <v>0x0 ~ 0xFF (0~255-)
0x0: Parking
0x1: Reverse
0x2: Neutral
0x3: Drive
0x4: Unknown</v>
      </c>
      <c r="AF120" s="312"/>
      <c r="AG120" s="1264">
        <v>0</v>
      </c>
      <c r="AH120" s="1265">
        <v>1</v>
      </c>
      <c r="AI120" s="326">
        <v>0</v>
      </c>
      <c r="AJ120" s="1268" t="s">
        <v>2509</v>
      </c>
      <c r="AK120" s="334">
        <f t="shared" si="16"/>
        <v>0</v>
      </c>
      <c r="AL120" s="1272">
        <f t="shared" si="17"/>
        <v>255</v>
      </c>
      <c r="AM120" s="1265" t="s">
        <v>1666</v>
      </c>
      <c r="AN120" s="242" t="s">
        <v>789</v>
      </c>
      <c r="AO120" s="312"/>
      <c r="AP120" s="482" t="s">
        <v>1067</v>
      </c>
      <c r="AQ120" s="594" t="s">
        <v>400</v>
      </c>
      <c r="AR120" s="929"/>
      <c r="AS120" s="930" t="s">
        <v>1866</v>
      </c>
      <c r="AT120" s="594" t="s">
        <v>1876</v>
      </c>
      <c r="AU120" s="594" t="s">
        <v>1877</v>
      </c>
      <c r="AV120" s="930" t="s">
        <v>1866</v>
      </c>
    </row>
    <row r="121" spans="2:48" s="252" customFormat="1" ht="79.2" hidden="1">
      <c r="B121" s="1218" t="s">
        <v>2450</v>
      </c>
      <c r="C121" s="248" t="s">
        <v>134</v>
      </c>
      <c r="D121" s="248" t="s">
        <v>134</v>
      </c>
      <c r="E121" s="312"/>
      <c r="F121" s="233" t="s">
        <v>1068</v>
      </c>
      <c r="G121" s="242" t="s">
        <v>401</v>
      </c>
      <c r="H121" s="243" t="s">
        <v>281</v>
      </c>
      <c r="I121" s="243"/>
      <c r="J121" s="493" t="s">
        <v>1069</v>
      </c>
      <c r="K121" s="312"/>
      <c r="L121" s="236" t="s">
        <v>134</v>
      </c>
      <c r="M121" s="253"/>
      <c r="N121" s="314"/>
      <c r="O121" s="233"/>
      <c r="P121" s="314"/>
      <c r="Q121" s="254" t="s">
        <v>134</v>
      </c>
      <c r="R121" s="253" t="s">
        <v>134</v>
      </c>
      <c r="S121" s="255"/>
      <c r="T121" s="253"/>
      <c r="U121" s="237"/>
      <c r="V121" s="261"/>
      <c r="W121" s="314"/>
      <c r="X121" s="254"/>
      <c r="Y121" s="256"/>
      <c r="Z121" s="253"/>
      <c r="AA121" s="255"/>
      <c r="AB121" s="256"/>
      <c r="AC121" s="253"/>
      <c r="AD121" s="312"/>
      <c r="AE121" s="242" t="str">
        <f t="shared" si="15"/>
        <v>0x0 ~ 0xFF (0~255-)
0x0: Parking
0x1: Reverse
0x2: Neutral
0x3: Drive</v>
      </c>
      <c r="AF121" s="312"/>
      <c r="AG121" s="1264">
        <v>0</v>
      </c>
      <c r="AH121" s="1265">
        <v>1</v>
      </c>
      <c r="AI121" s="326">
        <v>0</v>
      </c>
      <c r="AJ121" s="1268" t="s">
        <v>2509</v>
      </c>
      <c r="AK121" s="334">
        <f t="shared" ref="AK121" si="18">HEX2DEC(AI121)*AH121+AG121</f>
        <v>0</v>
      </c>
      <c r="AL121" s="1272">
        <f t="shared" ref="AL121" si="19">HEX2DEC(AJ121)*AH121+AG121</f>
        <v>255</v>
      </c>
      <c r="AM121" s="1265" t="s">
        <v>1666</v>
      </c>
      <c r="AN121" s="242" t="s">
        <v>790</v>
      </c>
      <c r="AO121" s="312"/>
      <c r="AP121" s="482" t="s">
        <v>1067</v>
      </c>
      <c r="AQ121" s="594" t="s">
        <v>402</v>
      </c>
      <c r="AR121" s="929"/>
      <c r="AS121" s="930" t="s">
        <v>1866</v>
      </c>
      <c r="AT121" s="594" t="s">
        <v>1876</v>
      </c>
      <c r="AU121" s="594" t="s">
        <v>1878</v>
      </c>
      <c r="AV121" s="930" t="s">
        <v>1866</v>
      </c>
    </row>
    <row r="122" spans="2:48" s="252" customFormat="1" ht="39.6" hidden="1">
      <c r="B122" s="1218" t="s">
        <v>2450</v>
      </c>
      <c r="C122" s="248" t="s">
        <v>134</v>
      </c>
      <c r="D122" s="248" t="s">
        <v>134</v>
      </c>
      <c r="E122" s="312"/>
      <c r="F122" s="233" t="s">
        <v>1070</v>
      </c>
      <c r="G122" s="242" t="s">
        <v>403</v>
      </c>
      <c r="H122" s="243" t="s">
        <v>281</v>
      </c>
      <c r="I122" s="243"/>
      <c r="J122" s="493" t="s">
        <v>403</v>
      </c>
      <c r="K122" s="312"/>
      <c r="L122" s="236" t="s">
        <v>134</v>
      </c>
      <c r="M122" s="253"/>
      <c r="N122" s="314"/>
      <c r="O122" s="233"/>
      <c r="P122" s="314"/>
      <c r="Q122" s="254" t="s">
        <v>134</v>
      </c>
      <c r="R122" s="253" t="s">
        <v>134</v>
      </c>
      <c r="S122" s="255"/>
      <c r="T122" s="253"/>
      <c r="U122" s="237"/>
      <c r="V122" s="261"/>
      <c r="W122" s="314"/>
      <c r="X122" s="254"/>
      <c r="Y122" s="256"/>
      <c r="Z122" s="253"/>
      <c r="AA122" s="255"/>
      <c r="AB122" s="256"/>
      <c r="AC122" s="253"/>
      <c r="AD122" s="312"/>
      <c r="AE122" s="242" t="str">
        <f t="shared" si="15"/>
        <v>0x0 ~ 0x1 (0~1-)
0x0: No request
0x1: Request</v>
      </c>
      <c r="AF122" s="312"/>
      <c r="AG122" s="1264">
        <v>0</v>
      </c>
      <c r="AH122" s="1265">
        <v>1</v>
      </c>
      <c r="AI122" s="326">
        <v>0</v>
      </c>
      <c r="AJ122" s="327">
        <v>1</v>
      </c>
      <c r="AK122" s="334">
        <f t="shared" si="16"/>
        <v>0</v>
      </c>
      <c r="AL122" s="1272">
        <f t="shared" si="17"/>
        <v>1</v>
      </c>
      <c r="AM122" s="1265" t="s">
        <v>1666</v>
      </c>
      <c r="AN122" s="242" t="s">
        <v>791</v>
      </c>
      <c r="AO122" s="312"/>
      <c r="AP122" s="482" t="s">
        <v>969</v>
      </c>
      <c r="AQ122" s="594" t="s">
        <v>1530</v>
      </c>
      <c r="AR122" s="929"/>
      <c r="AS122" s="930" t="s">
        <v>1866</v>
      </c>
      <c r="AT122" s="594" t="s">
        <v>1879</v>
      </c>
      <c r="AU122" s="594" t="s">
        <v>1880</v>
      </c>
      <c r="AV122" s="930" t="s">
        <v>1866</v>
      </c>
    </row>
    <row r="123" spans="2:48" s="252" customFormat="1" ht="105.6">
      <c r="B123" s="810" t="s">
        <v>2050</v>
      </c>
      <c r="C123" s="248" t="s">
        <v>134</v>
      </c>
      <c r="D123" s="248" t="s">
        <v>134</v>
      </c>
      <c r="E123" s="312"/>
      <c r="F123" s="233" t="s">
        <v>1071</v>
      </c>
      <c r="G123" s="242" t="s">
        <v>404</v>
      </c>
      <c r="H123" s="243" t="s">
        <v>281</v>
      </c>
      <c r="I123" s="243" t="s">
        <v>200</v>
      </c>
      <c r="J123" s="493" t="s">
        <v>404</v>
      </c>
      <c r="K123" s="312"/>
      <c r="L123" s="236" t="s">
        <v>134</v>
      </c>
      <c r="M123" s="253"/>
      <c r="N123" s="314"/>
      <c r="O123" s="233"/>
      <c r="P123" s="314"/>
      <c r="Q123" s="254" t="s">
        <v>134</v>
      </c>
      <c r="R123" s="253" t="s">
        <v>134</v>
      </c>
      <c r="S123" s="255"/>
      <c r="T123" s="253"/>
      <c r="U123" s="237"/>
      <c r="V123" s="261"/>
      <c r="W123" s="314"/>
      <c r="X123" s="254"/>
      <c r="Y123" s="256"/>
      <c r="Z123" s="253"/>
      <c r="AA123" s="255"/>
      <c r="AB123" s="256"/>
      <c r="AC123" s="253"/>
      <c r="AD123" s="312"/>
      <c r="AE123" s="242" t="str">
        <f t="shared" si="15"/>
        <v>0x0: Self-Heating
0x1: Heating
0x2: Cooling(EAC)
0x3: Cooling(RAD+EAC)</v>
      </c>
      <c r="AF123" s="312"/>
      <c r="AG123" s="245"/>
      <c r="AH123" s="246"/>
      <c r="AI123" s="326">
        <v>0</v>
      </c>
      <c r="AJ123" s="327">
        <v>3</v>
      </c>
      <c r="AK123" s="334">
        <f t="shared" si="16"/>
        <v>0</v>
      </c>
      <c r="AL123" s="336">
        <f t="shared" si="17"/>
        <v>0</v>
      </c>
      <c r="AM123" s="246"/>
      <c r="AN123" s="242" t="s">
        <v>792</v>
      </c>
      <c r="AO123" s="312"/>
      <c r="AP123" s="482" t="s">
        <v>1072</v>
      </c>
      <c r="AQ123" s="594" t="s">
        <v>405</v>
      </c>
      <c r="AR123" s="929"/>
      <c r="AS123" s="930" t="s">
        <v>1246</v>
      </c>
      <c r="AT123" s="594" t="s">
        <v>1788</v>
      </c>
      <c r="AU123" s="1297" t="s">
        <v>2540</v>
      </c>
      <c r="AV123" s="1297" t="s">
        <v>2541</v>
      </c>
    </row>
    <row r="124" spans="2:48" s="252" customFormat="1" ht="105.6">
      <c r="B124" s="810" t="s">
        <v>2050</v>
      </c>
      <c r="C124" s="248" t="s">
        <v>134</v>
      </c>
      <c r="D124" s="502"/>
      <c r="E124" s="312"/>
      <c r="F124" s="233" t="s">
        <v>1073</v>
      </c>
      <c r="G124" s="242" t="s">
        <v>406</v>
      </c>
      <c r="H124" s="243" t="s">
        <v>281</v>
      </c>
      <c r="I124" s="243" t="s">
        <v>200</v>
      </c>
      <c r="J124" s="493" t="s">
        <v>406</v>
      </c>
      <c r="K124" s="312"/>
      <c r="L124" s="236" t="s">
        <v>134</v>
      </c>
      <c r="M124" s="253"/>
      <c r="N124" s="314"/>
      <c r="O124" s="233"/>
      <c r="P124" s="314"/>
      <c r="Q124" s="254" t="s">
        <v>134</v>
      </c>
      <c r="R124" s="253" t="s">
        <v>134</v>
      </c>
      <c r="S124" s="255"/>
      <c r="T124" s="253"/>
      <c r="U124" s="237"/>
      <c r="V124" s="261"/>
      <c r="W124" s="314"/>
      <c r="X124" s="254"/>
      <c r="Y124" s="256"/>
      <c r="Z124" s="253"/>
      <c r="AA124" s="255"/>
      <c r="AB124" s="256"/>
      <c r="AC124" s="253"/>
      <c r="AD124" s="312"/>
      <c r="AE124" s="242" t="str">
        <f t="shared" si="15"/>
        <v>0x0: (Sleep)
0x1: Initial
0x2: Unlocked
0x3: Locking
0x4: Unlocking
0x5: Locked
0x6: Error_Unlocking
0x7: Error_Stop</v>
      </c>
      <c r="AF124" s="312"/>
      <c r="AG124" s="245"/>
      <c r="AH124" s="246"/>
      <c r="AI124" s="326">
        <v>0</v>
      </c>
      <c r="AJ124" s="327">
        <v>7</v>
      </c>
      <c r="AK124" s="334">
        <f t="shared" si="16"/>
        <v>0</v>
      </c>
      <c r="AL124" s="336">
        <f t="shared" si="17"/>
        <v>0</v>
      </c>
      <c r="AM124" s="246"/>
      <c r="AN124" s="242" t="s">
        <v>793</v>
      </c>
      <c r="AO124" s="312"/>
      <c r="AP124" s="482" t="s">
        <v>1058</v>
      </c>
      <c r="AQ124" s="594" t="s">
        <v>1505</v>
      </c>
      <c r="AR124" s="929"/>
      <c r="AS124" s="930" t="s">
        <v>1246</v>
      </c>
      <c r="AT124" s="594" t="s">
        <v>2406</v>
      </c>
      <c r="AU124" s="1297" t="s">
        <v>2542</v>
      </c>
      <c r="AV124" s="930" t="s">
        <v>2407</v>
      </c>
    </row>
    <row r="125" spans="2:48" s="252" customFormat="1" ht="79.2">
      <c r="B125" s="810" t="s">
        <v>2050</v>
      </c>
      <c r="C125" s="248" t="s">
        <v>134</v>
      </c>
      <c r="D125" s="248" t="s">
        <v>134</v>
      </c>
      <c r="E125" s="312"/>
      <c r="F125" s="233" t="s">
        <v>1074</v>
      </c>
      <c r="G125" s="242" t="s">
        <v>407</v>
      </c>
      <c r="H125" s="243" t="s">
        <v>279</v>
      </c>
      <c r="I125" s="243" t="s">
        <v>200</v>
      </c>
      <c r="J125" s="493" t="s">
        <v>407</v>
      </c>
      <c r="K125" s="312"/>
      <c r="L125" s="236" t="s">
        <v>134</v>
      </c>
      <c r="M125" s="253"/>
      <c r="N125" s="314"/>
      <c r="O125" s="233"/>
      <c r="P125" s="314"/>
      <c r="Q125" s="254" t="s">
        <v>134</v>
      </c>
      <c r="R125" s="253" t="s">
        <v>134</v>
      </c>
      <c r="S125" s="255"/>
      <c r="T125" s="253"/>
      <c r="U125" s="237"/>
      <c r="V125" s="261"/>
      <c r="W125" s="314"/>
      <c r="X125" s="254"/>
      <c r="Y125" s="256"/>
      <c r="Z125" s="253"/>
      <c r="AA125" s="255"/>
      <c r="AB125" s="256"/>
      <c r="AC125" s="253"/>
      <c r="AD125" s="312"/>
      <c r="AE125" s="242" t="str">
        <f t="shared" si="15"/>
        <v>0x0 ~ 0x1388 (0~500kW)</v>
      </c>
      <c r="AF125" s="312"/>
      <c r="AG125" s="245">
        <v>0</v>
      </c>
      <c r="AH125" s="246">
        <v>0.1</v>
      </c>
      <c r="AI125" s="326">
        <v>0</v>
      </c>
      <c r="AJ125" s="327">
        <v>1388</v>
      </c>
      <c r="AK125" s="334">
        <f t="shared" si="16"/>
        <v>0</v>
      </c>
      <c r="AL125" s="336">
        <f t="shared" si="17"/>
        <v>500</v>
      </c>
      <c r="AM125" s="246" t="s">
        <v>794</v>
      </c>
      <c r="AN125" s="242"/>
      <c r="AO125" s="312"/>
      <c r="AP125" s="482" t="s">
        <v>1058</v>
      </c>
      <c r="AQ125" s="594" t="s">
        <v>408</v>
      </c>
      <c r="AR125" s="929"/>
      <c r="AS125" s="594" t="s">
        <v>1246</v>
      </c>
      <c r="AT125" s="594" t="s">
        <v>2406</v>
      </c>
      <c r="AU125" s="1297" t="s">
        <v>2543</v>
      </c>
      <c r="AV125" s="930" t="s">
        <v>2407</v>
      </c>
    </row>
    <row r="126" spans="2:48" s="252" customFormat="1" ht="52.8" hidden="1">
      <c r="B126" s="1218" t="s">
        <v>2450</v>
      </c>
      <c r="C126" s="248" t="s">
        <v>134</v>
      </c>
      <c r="D126" s="248" t="s">
        <v>134</v>
      </c>
      <c r="E126" s="312"/>
      <c r="F126" s="233" t="s">
        <v>1075</v>
      </c>
      <c r="G126" s="242" t="s">
        <v>1076</v>
      </c>
      <c r="H126" s="243" t="s">
        <v>281</v>
      </c>
      <c r="I126" s="243" t="s">
        <v>200</v>
      </c>
      <c r="J126" s="493" t="s">
        <v>409</v>
      </c>
      <c r="K126" s="312"/>
      <c r="L126" s="236" t="s">
        <v>134</v>
      </c>
      <c r="M126" s="253"/>
      <c r="N126" s="314"/>
      <c r="O126" s="233"/>
      <c r="P126" s="314"/>
      <c r="Q126" s="254" t="s">
        <v>134</v>
      </c>
      <c r="R126" s="253" t="s">
        <v>134</v>
      </c>
      <c r="S126" s="255"/>
      <c r="T126" s="253"/>
      <c r="U126" s="237"/>
      <c r="V126" s="261"/>
      <c r="W126" s="314"/>
      <c r="X126" s="254"/>
      <c r="Y126" s="256"/>
      <c r="Z126" s="253"/>
      <c r="AA126" s="255"/>
      <c r="AB126" s="256"/>
      <c r="AC126" s="253"/>
      <c r="AD126" s="312"/>
      <c r="AE126" s="242" t="str">
        <f t="shared" si="15"/>
        <v>0x0 ~ 0x1 (0~1-)
0x0: No request
0x1: Stop request</v>
      </c>
      <c r="AF126" s="312"/>
      <c r="AG126" s="1264">
        <v>0</v>
      </c>
      <c r="AH126" s="1265">
        <v>1</v>
      </c>
      <c r="AI126" s="326">
        <v>0</v>
      </c>
      <c r="AJ126" s="327">
        <v>1</v>
      </c>
      <c r="AK126" s="334">
        <f t="shared" ref="AK126:AK128" si="20">HEX2DEC(AI126)*AH126+AG126</f>
        <v>0</v>
      </c>
      <c r="AL126" s="1272">
        <f t="shared" ref="AL126:AL128" si="21">HEX2DEC(AJ126)*AH126+AG126</f>
        <v>1</v>
      </c>
      <c r="AM126" s="1265" t="s">
        <v>1666</v>
      </c>
      <c r="AN126" s="242" t="s">
        <v>795</v>
      </c>
      <c r="AO126" s="312"/>
      <c r="AP126" s="482" t="s">
        <v>1077</v>
      </c>
      <c r="AQ126" s="594" t="s">
        <v>410</v>
      </c>
      <c r="AR126" s="929"/>
      <c r="AS126" s="930" t="s">
        <v>1866</v>
      </c>
      <c r="AT126" s="594" t="s">
        <v>1881</v>
      </c>
      <c r="AU126" s="594" t="s">
        <v>1882</v>
      </c>
      <c r="AV126" s="930" t="s">
        <v>1866</v>
      </c>
    </row>
    <row r="127" spans="2:48" s="252" customFormat="1" ht="52.8" hidden="1">
      <c r="B127" s="1218" t="s">
        <v>2450</v>
      </c>
      <c r="C127" s="248" t="s">
        <v>134</v>
      </c>
      <c r="D127" s="248" t="s">
        <v>134</v>
      </c>
      <c r="E127" s="312"/>
      <c r="F127" s="233" t="s">
        <v>1078</v>
      </c>
      <c r="G127" s="242" t="s">
        <v>411</v>
      </c>
      <c r="H127" s="243" t="s">
        <v>281</v>
      </c>
      <c r="I127" s="243" t="s">
        <v>200</v>
      </c>
      <c r="J127" s="493" t="s">
        <v>1079</v>
      </c>
      <c r="K127" s="312"/>
      <c r="L127" s="236" t="s">
        <v>134</v>
      </c>
      <c r="M127" s="253"/>
      <c r="N127" s="314"/>
      <c r="O127" s="233"/>
      <c r="P127" s="314"/>
      <c r="Q127" s="254" t="s">
        <v>134</v>
      </c>
      <c r="R127" s="253" t="s">
        <v>134</v>
      </c>
      <c r="S127" s="255"/>
      <c r="T127" s="253"/>
      <c r="U127" s="237"/>
      <c r="V127" s="261"/>
      <c r="W127" s="314"/>
      <c r="X127" s="254"/>
      <c r="Y127" s="256"/>
      <c r="Z127" s="253"/>
      <c r="AA127" s="255"/>
      <c r="AB127" s="256"/>
      <c r="AC127" s="253"/>
      <c r="AD127" s="312"/>
      <c r="AE127" s="242" t="str">
        <f t="shared" si="15"/>
        <v>0x0 ~ 0x1 (0~1-)
0x0: No request
0x1: Stop request</v>
      </c>
      <c r="AF127" s="312"/>
      <c r="AG127" s="1264">
        <v>0</v>
      </c>
      <c r="AH127" s="1265">
        <v>1</v>
      </c>
      <c r="AI127" s="326">
        <v>0</v>
      </c>
      <c r="AJ127" s="327">
        <v>1</v>
      </c>
      <c r="AK127" s="334">
        <f t="shared" si="20"/>
        <v>0</v>
      </c>
      <c r="AL127" s="1272">
        <f t="shared" si="21"/>
        <v>1</v>
      </c>
      <c r="AM127" s="1265" t="s">
        <v>1666</v>
      </c>
      <c r="AN127" s="242" t="s">
        <v>795</v>
      </c>
      <c r="AO127" s="312"/>
      <c r="AP127" s="482" t="s">
        <v>1077</v>
      </c>
      <c r="AQ127" s="594" t="s">
        <v>412</v>
      </c>
      <c r="AR127" s="929"/>
      <c r="AS127" s="930" t="s">
        <v>1866</v>
      </c>
      <c r="AT127" s="594" t="s">
        <v>1883</v>
      </c>
      <c r="AU127" s="594" t="s">
        <v>1884</v>
      </c>
      <c r="AV127" s="930" t="s">
        <v>1866</v>
      </c>
    </row>
    <row r="128" spans="2:48" s="252" customFormat="1" ht="52.8" hidden="1">
      <c r="B128" s="1218" t="s">
        <v>2450</v>
      </c>
      <c r="C128" s="248" t="s">
        <v>134</v>
      </c>
      <c r="D128" s="248" t="s">
        <v>134</v>
      </c>
      <c r="E128" s="312"/>
      <c r="F128" s="233" t="s">
        <v>1080</v>
      </c>
      <c r="G128" s="242" t="s">
        <v>413</v>
      </c>
      <c r="H128" s="243" t="s">
        <v>281</v>
      </c>
      <c r="I128" s="243" t="s">
        <v>200</v>
      </c>
      <c r="J128" s="493" t="s">
        <v>413</v>
      </c>
      <c r="K128" s="312"/>
      <c r="L128" s="236" t="s">
        <v>134</v>
      </c>
      <c r="M128" s="253"/>
      <c r="N128" s="314"/>
      <c r="O128" s="233"/>
      <c r="P128" s="314"/>
      <c r="Q128" s="254" t="s">
        <v>134</v>
      </c>
      <c r="R128" s="253" t="s">
        <v>134</v>
      </c>
      <c r="S128" s="255"/>
      <c r="T128" s="253"/>
      <c r="U128" s="237"/>
      <c r="V128" s="261"/>
      <c r="W128" s="314"/>
      <c r="X128" s="254"/>
      <c r="Y128" s="256"/>
      <c r="Z128" s="253"/>
      <c r="AA128" s="255"/>
      <c r="AB128" s="256"/>
      <c r="AC128" s="253"/>
      <c r="AD128" s="312"/>
      <c r="AE128" s="242" t="str">
        <f t="shared" si="15"/>
        <v>0x0 ~ 0x1 (0~1-)
0x0: No request
0x1: Stop request</v>
      </c>
      <c r="AF128" s="312"/>
      <c r="AG128" s="1264">
        <v>0</v>
      </c>
      <c r="AH128" s="1265">
        <v>1</v>
      </c>
      <c r="AI128" s="326">
        <v>0</v>
      </c>
      <c r="AJ128" s="327">
        <v>1</v>
      </c>
      <c r="AK128" s="334">
        <f t="shared" si="20"/>
        <v>0</v>
      </c>
      <c r="AL128" s="1272">
        <f t="shared" si="21"/>
        <v>1</v>
      </c>
      <c r="AM128" s="1265" t="s">
        <v>1666</v>
      </c>
      <c r="AN128" s="242" t="s">
        <v>795</v>
      </c>
      <c r="AO128" s="312"/>
      <c r="AP128" s="482" t="s">
        <v>1077</v>
      </c>
      <c r="AQ128" s="594" t="s">
        <v>414</v>
      </c>
      <c r="AR128" s="929"/>
      <c r="AS128" s="930" t="s">
        <v>1866</v>
      </c>
      <c r="AT128" s="594" t="s">
        <v>1885</v>
      </c>
      <c r="AU128" s="594" t="s">
        <v>1886</v>
      </c>
      <c r="AV128" s="930" t="s">
        <v>1866</v>
      </c>
    </row>
    <row r="129" spans="2:48" s="252" customFormat="1" ht="105.6">
      <c r="B129" s="810" t="s">
        <v>2050</v>
      </c>
      <c r="C129" s="248" t="s">
        <v>134</v>
      </c>
      <c r="D129" s="248" t="s">
        <v>134</v>
      </c>
      <c r="E129" s="312"/>
      <c r="F129" s="233" t="s">
        <v>1081</v>
      </c>
      <c r="G129" s="242" t="s">
        <v>415</v>
      </c>
      <c r="H129" s="243" t="s">
        <v>281</v>
      </c>
      <c r="I129" s="243" t="s">
        <v>200</v>
      </c>
      <c r="J129" s="493" t="s">
        <v>415</v>
      </c>
      <c r="K129" s="312"/>
      <c r="L129" s="236" t="s">
        <v>134</v>
      </c>
      <c r="M129" s="253"/>
      <c r="N129" s="314"/>
      <c r="O129" s="233"/>
      <c r="P129" s="314"/>
      <c r="Q129" s="254" t="s">
        <v>134</v>
      </c>
      <c r="R129" s="253" t="s">
        <v>134</v>
      </c>
      <c r="S129" s="255"/>
      <c r="T129" s="253"/>
      <c r="U129" s="237"/>
      <c r="V129" s="261"/>
      <c r="W129" s="314"/>
      <c r="X129" s="254"/>
      <c r="Y129" s="256"/>
      <c r="Z129" s="253"/>
      <c r="AA129" s="255"/>
      <c r="AB129" s="256"/>
      <c r="AC129" s="253"/>
      <c r="AD129" s="312"/>
      <c r="AE129" s="242" t="str">
        <f>IF(AM129&lt;&gt;"",
       "0x" &amp; AI129 &amp;" ~ 0x" &amp; AJ129 &amp; " (" &amp; AK129 &amp;"~" &amp; AL129 &amp; AM129 &amp; ")","")&amp;IF(AN129&lt;&gt;"",IF(AM129&lt;&gt;"",CHAR(10)&amp;AN129,AN129),
       "")</f>
        <v>0x0: (SLEEP)
0x1: Bus-Sleep Mode
0x2: Repeat Message State (Network Mode)
0x3: Normal Operation State  (Network Mode)
0x4: Ready Sleep State  (Network Mode)
0x5: Prepare Bus-Sleep Mode</v>
      </c>
      <c r="AF129" s="312"/>
      <c r="AG129" s="245"/>
      <c r="AH129" s="246"/>
      <c r="AI129" s="326">
        <v>0</v>
      </c>
      <c r="AJ129" s="327">
        <v>5</v>
      </c>
      <c r="AK129" s="334">
        <f t="shared" si="16"/>
        <v>0</v>
      </c>
      <c r="AL129" s="336">
        <f t="shared" si="17"/>
        <v>0</v>
      </c>
      <c r="AM129" s="246"/>
      <c r="AN129" s="250" t="s">
        <v>796</v>
      </c>
      <c r="AO129" s="312"/>
      <c r="AP129" s="482" t="s">
        <v>1082</v>
      </c>
      <c r="AQ129" s="594" t="s">
        <v>416</v>
      </c>
      <c r="AR129" s="929"/>
      <c r="AS129" s="594" t="s">
        <v>1248</v>
      </c>
      <c r="AT129" s="594" t="s">
        <v>1248</v>
      </c>
      <c r="AU129" s="594" t="s">
        <v>2414</v>
      </c>
      <c r="AV129" s="1297" t="s">
        <v>2544</v>
      </c>
    </row>
    <row r="130" spans="2:48" s="252" customFormat="1" ht="105.6">
      <c r="B130" s="810" t="s">
        <v>2050</v>
      </c>
      <c r="C130" s="248" t="s">
        <v>134</v>
      </c>
      <c r="D130" s="248" t="s">
        <v>134</v>
      </c>
      <c r="E130" s="312"/>
      <c r="F130" s="233" t="s">
        <v>1083</v>
      </c>
      <c r="G130" s="242" t="s">
        <v>1084</v>
      </c>
      <c r="H130" s="243" t="s">
        <v>281</v>
      </c>
      <c r="I130" s="243" t="s">
        <v>200</v>
      </c>
      <c r="J130" s="493" t="s">
        <v>417</v>
      </c>
      <c r="K130" s="312"/>
      <c r="L130" s="236" t="s">
        <v>134</v>
      </c>
      <c r="M130" s="253"/>
      <c r="N130" s="314"/>
      <c r="O130" s="233"/>
      <c r="P130" s="314"/>
      <c r="Q130" s="254" t="s">
        <v>134</v>
      </c>
      <c r="R130" s="253" t="s">
        <v>134</v>
      </c>
      <c r="S130" s="255"/>
      <c r="T130" s="253"/>
      <c r="U130" s="237"/>
      <c r="V130" s="261"/>
      <c r="W130" s="314"/>
      <c r="X130" s="254"/>
      <c r="Y130" s="256"/>
      <c r="Z130" s="253"/>
      <c r="AA130" s="255"/>
      <c r="AB130" s="256"/>
      <c r="AC130" s="253"/>
      <c r="AD130" s="312"/>
      <c r="AE130" s="242" t="str">
        <f t="shared" si="15"/>
        <v>0x0: (SLEEP)
0x1: Bus-Sleep Mode
0x2: Repeat Message State (Network Mode)
0x3: Normal Operation State  (Network Mode)
0x4: Ready Sleep State  (Network Mode)
0x5: Prepare Bus-Sleep Mode</v>
      </c>
      <c r="AF130" s="312"/>
      <c r="AG130" s="245"/>
      <c r="AH130" s="246"/>
      <c r="AI130" s="326">
        <v>0</v>
      </c>
      <c r="AJ130" s="327">
        <v>5</v>
      </c>
      <c r="AK130" s="334">
        <f t="shared" si="16"/>
        <v>0</v>
      </c>
      <c r="AL130" s="336">
        <f t="shared" ref="AL130:AL152" si="22">HEX2DEC(AJ130)*AH130+AG130</f>
        <v>0</v>
      </c>
      <c r="AM130" s="246"/>
      <c r="AN130" s="250" t="s">
        <v>796</v>
      </c>
      <c r="AO130" s="312"/>
      <c r="AP130" s="482" t="s">
        <v>1085</v>
      </c>
      <c r="AQ130" s="594" t="s">
        <v>416</v>
      </c>
      <c r="AR130" s="929"/>
      <c r="AS130" s="594" t="s">
        <v>1248</v>
      </c>
      <c r="AT130" s="594" t="s">
        <v>1248</v>
      </c>
      <c r="AU130" s="594" t="s">
        <v>2415</v>
      </c>
      <c r="AV130" s="1297" t="s">
        <v>2544</v>
      </c>
    </row>
    <row r="131" spans="2:48" hidden="1">
      <c r="B131" s="813" t="s">
        <v>2052</v>
      </c>
      <c r="C131" s="456" t="s">
        <v>1337</v>
      </c>
      <c r="D131" s="456" t="s">
        <v>1337</v>
      </c>
      <c r="F131" s="265" t="s">
        <v>1210</v>
      </c>
      <c r="G131" s="264" t="s">
        <v>1194</v>
      </c>
      <c r="H131" s="456" t="s">
        <v>1590</v>
      </c>
      <c r="I131" s="456" t="s">
        <v>1590</v>
      </c>
      <c r="J131" s="559" t="s">
        <v>1590</v>
      </c>
      <c r="K131" s="313"/>
      <c r="L131" s="560" t="s">
        <v>1590</v>
      </c>
      <c r="M131" s="560" t="s">
        <v>1590</v>
      </c>
      <c r="N131" s="176"/>
      <c r="O131" s="561" t="s">
        <v>1590</v>
      </c>
      <c r="P131" s="176"/>
      <c r="Q131" s="562" t="s">
        <v>1590</v>
      </c>
      <c r="R131" s="562" t="s">
        <v>1590</v>
      </c>
      <c r="S131" s="563" t="s">
        <v>1590</v>
      </c>
      <c r="T131" s="562" t="s">
        <v>1590</v>
      </c>
      <c r="U131" s="563" t="s">
        <v>1590</v>
      </c>
      <c r="V131" s="562" t="s">
        <v>1590</v>
      </c>
      <c r="W131" s="360"/>
      <c r="X131" s="562" t="s">
        <v>1590</v>
      </c>
      <c r="Y131" s="562" t="s">
        <v>1590</v>
      </c>
      <c r="Z131" s="562" t="s">
        <v>1590</v>
      </c>
      <c r="AA131" s="562" t="s">
        <v>1590</v>
      </c>
      <c r="AB131" s="562" t="s">
        <v>1590</v>
      </c>
      <c r="AC131" s="562" t="s">
        <v>1590</v>
      </c>
      <c r="AD131" s="235"/>
      <c r="AE131" s="456" t="s">
        <v>1590</v>
      </c>
      <c r="AG131" s="559" t="s">
        <v>1591</v>
      </c>
      <c r="AH131" s="559" t="s">
        <v>1591</v>
      </c>
      <c r="AI131" s="559" t="s">
        <v>1591</v>
      </c>
      <c r="AJ131" s="559" t="s">
        <v>1591</v>
      </c>
      <c r="AK131" s="559" t="s">
        <v>1591</v>
      </c>
      <c r="AL131" s="559" t="s">
        <v>1591</v>
      </c>
      <c r="AM131" s="559" t="s">
        <v>1591</v>
      </c>
      <c r="AN131" s="559" t="s">
        <v>1591</v>
      </c>
      <c r="AP131" s="456" t="s">
        <v>1590</v>
      </c>
      <c r="AQ131" s="456" t="s">
        <v>1590</v>
      </c>
      <c r="AS131" s="456" t="s">
        <v>1222</v>
      </c>
      <c r="AT131" s="456" t="s">
        <v>1222</v>
      </c>
      <c r="AU131" s="456" t="s">
        <v>1222</v>
      </c>
      <c r="AV131" s="456" t="s">
        <v>1222</v>
      </c>
    </row>
    <row r="132" spans="2:48" s="252" customFormat="1" ht="39.6" hidden="1">
      <c r="B132" s="1218" t="s">
        <v>2454</v>
      </c>
      <c r="C132" s="248" t="s">
        <v>134</v>
      </c>
      <c r="D132" s="248" t="s">
        <v>134</v>
      </c>
      <c r="E132" s="312"/>
      <c r="F132" s="233" t="s">
        <v>1086</v>
      </c>
      <c r="G132" s="242" t="s">
        <v>418</v>
      </c>
      <c r="H132" s="243" t="s">
        <v>281</v>
      </c>
      <c r="I132" s="243" t="s">
        <v>200</v>
      </c>
      <c r="J132" s="493" t="s">
        <v>418</v>
      </c>
      <c r="K132" s="312"/>
      <c r="L132" s="236" t="s">
        <v>134</v>
      </c>
      <c r="M132" s="253"/>
      <c r="N132" s="314"/>
      <c r="O132" s="233"/>
      <c r="P132" s="314"/>
      <c r="Q132" s="254" t="s">
        <v>134</v>
      </c>
      <c r="R132" s="253" t="s">
        <v>134</v>
      </c>
      <c r="S132" s="255"/>
      <c r="T132" s="253"/>
      <c r="U132" s="237"/>
      <c r="V132" s="261"/>
      <c r="W132" s="314"/>
      <c r="X132" s="254"/>
      <c r="Y132" s="256"/>
      <c r="Z132" s="253"/>
      <c r="AA132" s="255"/>
      <c r="AB132" s="256"/>
      <c r="AC132" s="253"/>
      <c r="AD132" s="312"/>
      <c r="AE132" s="242" t="str">
        <f>IF(AM132&lt;&gt;"",
       "0x" &amp; AI132 &amp;" ~ 0x" &amp; AJ132 &amp; " (" &amp; AK132 &amp;"~" &amp; AL132 &amp; AM132 &amp; ")","")&amp;IF(AN132&lt;&gt;"",IF(AM132&lt;&gt;"",CHAR(10)&amp;AN132,AN132),
       "")</f>
        <v>0x0 ~ 0x1 (0~1-)
0x0: System not ready 
0x1: System ready</v>
      </c>
      <c r="AF132" s="312"/>
      <c r="AG132" s="1264">
        <v>0</v>
      </c>
      <c r="AH132" s="1265">
        <v>1</v>
      </c>
      <c r="AI132" s="326">
        <v>0</v>
      </c>
      <c r="AJ132" s="327">
        <v>1</v>
      </c>
      <c r="AK132" s="334">
        <f>HEX2DEC(AI132)*AH132+AG132</f>
        <v>0</v>
      </c>
      <c r="AL132" s="336">
        <f t="shared" si="22"/>
        <v>1</v>
      </c>
      <c r="AM132" s="1265" t="s">
        <v>1666</v>
      </c>
      <c r="AN132" s="242" t="s">
        <v>797</v>
      </c>
      <c r="AO132" s="312"/>
      <c r="AP132" s="482" t="s">
        <v>1087</v>
      </c>
      <c r="AQ132" s="594" t="s">
        <v>1507</v>
      </c>
      <c r="AR132" s="929"/>
      <c r="AS132" s="930" t="s">
        <v>1866</v>
      </c>
      <c r="AT132" s="594" t="s">
        <v>1931</v>
      </c>
      <c r="AU132" s="594" t="s">
        <v>1932</v>
      </c>
      <c r="AV132" s="930" t="s">
        <v>1866</v>
      </c>
    </row>
    <row r="133" spans="2:48" s="252" customFormat="1" ht="52.8" hidden="1">
      <c r="B133" s="1218" t="s">
        <v>2454</v>
      </c>
      <c r="C133" s="248" t="s">
        <v>134</v>
      </c>
      <c r="D133" s="248" t="s">
        <v>134</v>
      </c>
      <c r="E133" s="312"/>
      <c r="F133" s="233" t="s">
        <v>1088</v>
      </c>
      <c r="G133" s="242" t="s">
        <v>419</v>
      </c>
      <c r="H133" s="243" t="s">
        <v>281</v>
      </c>
      <c r="I133" s="243" t="s">
        <v>200</v>
      </c>
      <c r="J133" s="493" t="s">
        <v>419</v>
      </c>
      <c r="K133" s="312"/>
      <c r="L133" s="236" t="s">
        <v>134</v>
      </c>
      <c r="M133" s="253"/>
      <c r="N133" s="314"/>
      <c r="O133" s="233"/>
      <c r="P133" s="314"/>
      <c r="Q133" s="254" t="s">
        <v>134</v>
      </c>
      <c r="R133" s="253" t="s">
        <v>134</v>
      </c>
      <c r="S133" s="255"/>
      <c r="T133" s="253"/>
      <c r="U133" s="237"/>
      <c r="V133" s="261"/>
      <c r="W133" s="314"/>
      <c r="X133" s="254"/>
      <c r="Y133" s="256"/>
      <c r="Z133" s="253"/>
      <c r="AA133" s="255"/>
      <c r="AB133" s="256"/>
      <c r="AC133" s="253"/>
      <c r="AD133" s="312"/>
      <c r="AE133" s="242" t="str">
        <f>IF(AM133&lt;&gt;"",
       "0x" &amp; AI133 &amp;" ~ 0x" &amp; AJ133 &amp; " (" &amp; AK133 &amp;"~" &amp; AL133 &amp; AM133 &amp; ")","")&amp;IF(AN133&lt;&gt;"",IF(AM133&lt;&gt;"",CHAR(10)&amp;AN133,AN133),
       "")</f>
        <v>0x0 ~ 0xFF (0~255-)
0x0: Stop 
0x1: Run
0x2: Active Discharge</v>
      </c>
      <c r="AF133" s="312"/>
      <c r="AG133" s="1264">
        <v>0</v>
      </c>
      <c r="AH133" s="1265">
        <v>1</v>
      </c>
      <c r="AI133" s="326">
        <v>0</v>
      </c>
      <c r="AJ133" s="1268" t="s">
        <v>2509</v>
      </c>
      <c r="AK133" s="334">
        <f>HEX2DEC(AI133)*AH133+AG133</f>
        <v>0</v>
      </c>
      <c r="AL133" s="1272">
        <f t="shared" si="22"/>
        <v>255</v>
      </c>
      <c r="AM133" s="1265" t="s">
        <v>1666</v>
      </c>
      <c r="AN133" s="242" t="s">
        <v>798</v>
      </c>
      <c r="AO133" s="312"/>
      <c r="AP133" s="482" t="s">
        <v>1087</v>
      </c>
      <c r="AQ133" s="594" t="s">
        <v>1495</v>
      </c>
      <c r="AR133" s="929"/>
      <c r="AS133" s="930" t="s">
        <v>1866</v>
      </c>
      <c r="AT133" s="594" t="s">
        <v>1931</v>
      </c>
      <c r="AU133" s="594" t="s">
        <v>1933</v>
      </c>
      <c r="AV133" s="930" t="s">
        <v>1866</v>
      </c>
    </row>
    <row r="134" spans="2:48" s="252" customFormat="1" ht="26.4" hidden="1">
      <c r="B134" s="1218" t="s">
        <v>2454</v>
      </c>
      <c r="C134" s="248" t="s">
        <v>134</v>
      </c>
      <c r="D134" s="248" t="s">
        <v>134</v>
      </c>
      <c r="E134" s="312"/>
      <c r="F134" s="233" t="s">
        <v>1089</v>
      </c>
      <c r="G134" s="242" t="s">
        <v>420</v>
      </c>
      <c r="H134" s="243" t="s">
        <v>279</v>
      </c>
      <c r="I134" s="243" t="s">
        <v>200</v>
      </c>
      <c r="J134" s="493" t="s">
        <v>420</v>
      </c>
      <c r="K134" s="312"/>
      <c r="L134" s="236" t="s">
        <v>134</v>
      </c>
      <c r="M134" s="253"/>
      <c r="N134" s="314"/>
      <c r="O134" s="233"/>
      <c r="P134" s="314"/>
      <c r="Q134" s="254" t="s">
        <v>134</v>
      </c>
      <c r="R134" s="253" t="s">
        <v>134</v>
      </c>
      <c r="S134" s="255"/>
      <c r="T134" s="253"/>
      <c r="U134" s="237"/>
      <c r="V134" s="261"/>
      <c r="W134" s="314"/>
      <c r="X134" s="254"/>
      <c r="Y134" s="256"/>
      <c r="Z134" s="253"/>
      <c r="AA134" s="255"/>
      <c r="AB134" s="256"/>
      <c r="AC134" s="253"/>
      <c r="AD134" s="312"/>
      <c r="AE134" s="1276" t="str">
        <f>IF(AM134&lt;&gt;"",
       "0x" &amp; AI134 &amp;" ~ 0x" &amp; AJ134 &amp; " (" &amp; AK134 &amp;"~" &amp; AL134 &amp; AM134 &amp; ")","")&amp;IF(AN134&lt;&gt;"",IF(AM134&lt;&gt;"",CHAR(10)&amp;AN134,AN134),
       "")</f>
        <v>0x0 ~ 0xFFFF (-3200~3353.5Nm)
0xFFFF: SNA</v>
      </c>
      <c r="AF134" s="312"/>
      <c r="AG134" s="245">
        <v>-3200</v>
      </c>
      <c r="AH134" s="246">
        <v>0.1</v>
      </c>
      <c r="AI134" s="326">
        <v>0</v>
      </c>
      <c r="AJ134" s="1268" t="s">
        <v>2510</v>
      </c>
      <c r="AK134" s="334">
        <f>HEX2DEC(AI134)*AH134+AG134</f>
        <v>-3200</v>
      </c>
      <c r="AL134" s="336">
        <f t="shared" si="22"/>
        <v>3353.5</v>
      </c>
      <c r="AM134" s="246" t="s">
        <v>799</v>
      </c>
      <c r="AN134" s="242" t="s">
        <v>800</v>
      </c>
      <c r="AO134" s="312"/>
      <c r="AP134" s="482" t="s">
        <v>1087</v>
      </c>
      <c r="AQ134" s="594" t="s">
        <v>421</v>
      </c>
      <c r="AR134" s="929"/>
      <c r="AS134" s="930" t="s">
        <v>1866</v>
      </c>
      <c r="AT134" s="594" t="s">
        <v>1931</v>
      </c>
      <c r="AU134" s="594" t="s">
        <v>1934</v>
      </c>
      <c r="AV134" s="930" t="s">
        <v>1935</v>
      </c>
    </row>
    <row r="135" spans="2:48" s="252" customFormat="1" ht="92.4" hidden="1">
      <c r="B135" s="1218" t="s">
        <v>2454</v>
      </c>
      <c r="C135" s="248" t="s">
        <v>134</v>
      </c>
      <c r="D135" s="248" t="s">
        <v>134</v>
      </c>
      <c r="E135" s="312"/>
      <c r="F135" s="233" t="s">
        <v>1090</v>
      </c>
      <c r="G135" s="242" t="s">
        <v>422</v>
      </c>
      <c r="H135" s="243" t="s">
        <v>281</v>
      </c>
      <c r="I135" s="243" t="s">
        <v>200</v>
      </c>
      <c r="J135" s="493" t="s">
        <v>422</v>
      </c>
      <c r="K135" s="312"/>
      <c r="L135" s="236" t="s">
        <v>134</v>
      </c>
      <c r="M135" s="253"/>
      <c r="N135" s="314"/>
      <c r="O135" s="233"/>
      <c r="P135" s="314"/>
      <c r="Q135" s="254" t="s">
        <v>134</v>
      </c>
      <c r="R135" s="253" t="s">
        <v>134</v>
      </c>
      <c r="S135" s="255"/>
      <c r="T135" s="253"/>
      <c r="U135" s="237"/>
      <c r="V135" s="261"/>
      <c r="W135" s="314"/>
      <c r="X135" s="254"/>
      <c r="Y135" s="256"/>
      <c r="Z135" s="253"/>
      <c r="AA135" s="255"/>
      <c r="AB135" s="256"/>
      <c r="AC135" s="253"/>
      <c r="AD135" s="312"/>
      <c r="AE135" s="242" t="str">
        <f>IF(AM135&lt;&gt;"",
       "0x" &amp; AI135 &amp;" ~ 0x" &amp; AJ135 &amp; " (" &amp; AK135 &amp;"~" &amp; AL135 &amp; AM135 &amp; ")","")&amp;IF(AN135&lt;&gt;"",IF(AM135&lt;&gt;"",CHAR(10)&amp;AN135,AN135),
       "")</f>
        <v>0x0 ~ 0xFF (0~255-)
0x0: IDLE (during ECU init)
0x1: ENGAGE
0x2: NDEF
0x3: DISENGAGE
0x4~0xE: NDEF
0xF: SNA</v>
      </c>
      <c r="AF135" s="312"/>
      <c r="AG135" s="1264">
        <v>0</v>
      </c>
      <c r="AH135" s="1265">
        <v>1</v>
      </c>
      <c r="AI135" s="326">
        <v>0</v>
      </c>
      <c r="AJ135" s="1268" t="s">
        <v>2509</v>
      </c>
      <c r="AK135" s="334">
        <f>HEX2DEC(AI135)*AH135+AG135</f>
        <v>0</v>
      </c>
      <c r="AL135" s="1272">
        <f t="shared" si="22"/>
        <v>255</v>
      </c>
      <c r="AM135" s="1265" t="s">
        <v>1666</v>
      </c>
      <c r="AN135" s="242" t="s">
        <v>2482</v>
      </c>
      <c r="AO135" s="312"/>
      <c r="AP135" s="482" t="s">
        <v>1087</v>
      </c>
      <c r="AQ135" s="594" t="s">
        <v>423</v>
      </c>
      <c r="AR135" s="929"/>
      <c r="AS135" s="930" t="s">
        <v>1866</v>
      </c>
      <c r="AT135" s="594" t="s">
        <v>1506</v>
      </c>
      <c r="AU135" s="594" t="s">
        <v>1936</v>
      </c>
      <c r="AV135" s="930" t="s">
        <v>1937</v>
      </c>
    </row>
    <row r="136" spans="2:48" s="252" customFormat="1" ht="39.6" hidden="1">
      <c r="B136" s="1218" t="s">
        <v>2454</v>
      </c>
      <c r="C136" s="248" t="s">
        <v>134</v>
      </c>
      <c r="D136" s="248" t="s">
        <v>134</v>
      </c>
      <c r="E136" s="312"/>
      <c r="F136" s="233" t="s">
        <v>1091</v>
      </c>
      <c r="G136" s="242" t="s">
        <v>424</v>
      </c>
      <c r="H136" s="243" t="s">
        <v>281</v>
      </c>
      <c r="I136" s="243" t="s">
        <v>200</v>
      </c>
      <c r="J136" s="493" t="s">
        <v>424</v>
      </c>
      <c r="K136" s="312"/>
      <c r="L136" s="236" t="s">
        <v>134</v>
      </c>
      <c r="M136" s="253"/>
      <c r="N136" s="314"/>
      <c r="O136" s="233"/>
      <c r="P136" s="314"/>
      <c r="Q136" s="254" t="s">
        <v>134</v>
      </c>
      <c r="R136" s="253" t="s">
        <v>134</v>
      </c>
      <c r="S136" s="255"/>
      <c r="T136" s="253"/>
      <c r="U136" s="237"/>
      <c r="V136" s="261"/>
      <c r="W136" s="314"/>
      <c r="X136" s="254"/>
      <c r="Y136" s="256"/>
      <c r="Z136" s="253"/>
      <c r="AA136" s="255"/>
      <c r="AB136" s="256"/>
      <c r="AC136" s="253"/>
      <c r="AD136" s="312"/>
      <c r="AE136" s="242" t="str">
        <f>IF(AM136&lt;&gt;"",
       "0x" &amp; AI136 &amp;" ~ 0x" &amp; AJ136 &amp; " (" &amp; AK136 &amp;"~" &amp; AL136 &amp; AM136 &amp; ")","")&amp;IF(AN136&lt;&gt;"",IF(AM136&lt;&gt;"",CHAR(10)&amp;AN136,AN136),
       "")</f>
        <v>0x0 ~ 0xFF (0~255-)
0x0: Driver Inside
0x1: Driver Outside</v>
      </c>
      <c r="AF136" s="312"/>
      <c r="AG136" s="1264">
        <v>0</v>
      </c>
      <c r="AH136" s="1265">
        <v>1</v>
      </c>
      <c r="AI136" s="326">
        <v>0</v>
      </c>
      <c r="AJ136" s="1268" t="s">
        <v>2509</v>
      </c>
      <c r="AK136" s="334">
        <f>HEX2DEC(AI136)*AH136+AG136</f>
        <v>0</v>
      </c>
      <c r="AL136" s="1272">
        <f t="shared" si="22"/>
        <v>255</v>
      </c>
      <c r="AM136" s="1265" t="s">
        <v>1666</v>
      </c>
      <c r="AN136" s="242" t="s">
        <v>801</v>
      </c>
      <c r="AO136" s="312"/>
      <c r="AP136" s="482" t="s">
        <v>1087</v>
      </c>
      <c r="AQ136" s="594" t="s">
        <v>425</v>
      </c>
      <c r="AR136" s="937"/>
      <c r="AS136" s="930" t="s">
        <v>1866</v>
      </c>
      <c r="AT136" s="594" t="s">
        <v>1506</v>
      </c>
      <c r="AU136" s="594" t="s">
        <v>1938</v>
      </c>
      <c r="AV136" s="930" t="s">
        <v>1866</v>
      </c>
    </row>
    <row r="137" spans="2:48" hidden="1">
      <c r="B137" s="813" t="s">
        <v>2052</v>
      </c>
      <c r="C137" s="456" t="s">
        <v>1337</v>
      </c>
      <c r="D137" s="456" t="s">
        <v>1337</v>
      </c>
      <c r="F137" s="265" t="s">
        <v>1210</v>
      </c>
      <c r="G137" s="264" t="s">
        <v>1195</v>
      </c>
      <c r="H137" s="456" t="s">
        <v>1590</v>
      </c>
      <c r="I137" s="456" t="s">
        <v>1590</v>
      </c>
      <c r="J137" s="559" t="s">
        <v>1590</v>
      </c>
      <c r="K137" s="313"/>
      <c r="L137" s="560" t="s">
        <v>1590</v>
      </c>
      <c r="M137" s="560" t="s">
        <v>1590</v>
      </c>
      <c r="N137" s="176"/>
      <c r="O137" s="561" t="s">
        <v>1590</v>
      </c>
      <c r="P137" s="176"/>
      <c r="Q137" s="562" t="s">
        <v>1590</v>
      </c>
      <c r="R137" s="562" t="s">
        <v>1590</v>
      </c>
      <c r="S137" s="563" t="s">
        <v>1590</v>
      </c>
      <c r="T137" s="562" t="s">
        <v>1590</v>
      </c>
      <c r="U137" s="563" t="s">
        <v>1590</v>
      </c>
      <c r="V137" s="562" t="s">
        <v>1590</v>
      </c>
      <c r="W137" s="360"/>
      <c r="X137" s="562" t="s">
        <v>1590</v>
      </c>
      <c r="Y137" s="562" t="s">
        <v>1590</v>
      </c>
      <c r="Z137" s="562" t="s">
        <v>1590</v>
      </c>
      <c r="AA137" s="562" t="s">
        <v>1590</v>
      </c>
      <c r="AB137" s="562" t="s">
        <v>1590</v>
      </c>
      <c r="AC137" s="562" t="s">
        <v>1590</v>
      </c>
      <c r="AD137" s="235"/>
      <c r="AE137" s="456" t="s">
        <v>1590</v>
      </c>
      <c r="AG137" s="559" t="s">
        <v>1591</v>
      </c>
      <c r="AH137" s="559" t="s">
        <v>1591</v>
      </c>
      <c r="AI137" s="559" t="s">
        <v>1591</v>
      </c>
      <c r="AJ137" s="559" t="s">
        <v>1591</v>
      </c>
      <c r="AK137" s="559" t="s">
        <v>1591</v>
      </c>
      <c r="AL137" s="559" t="s">
        <v>1591</v>
      </c>
      <c r="AM137" s="559" t="s">
        <v>1591</v>
      </c>
      <c r="AN137" s="559" t="s">
        <v>1591</v>
      </c>
      <c r="AP137" s="456" t="s">
        <v>1590</v>
      </c>
      <c r="AQ137" s="456" t="s">
        <v>1590</v>
      </c>
      <c r="AS137" s="456" t="s">
        <v>1222</v>
      </c>
      <c r="AT137" s="456" t="s">
        <v>1222</v>
      </c>
      <c r="AU137" s="456" t="s">
        <v>1222</v>
      </c>
      <c r="AV137" s="456" t="s">
        <v>1222</v>
      </c>
    </row>
    <row r="138" spans="2:48" s="252" customFormat="1" ht="118.8" hidden="1">
      <c r="B138" s="1218" t="s">
        <v>2454</v>
      </c>
      <c r="C138" s="248" t="s">
        <v>134</v>
      </c>
      <c r="D138" s="248" t="s">
        <v>134</v>
      </c>
      <c r="E138" s="312"/>
      <c r="F138" s="233" t="s">
        <v>1092</v>
      </c>
      <c r="G138" s="242" t="s">
        <v>426</v>
      </c>
      <c r="H138" s="243" t="s">
        <v>281</v>
      </c>
      <c r="I138" s="243" t="s">
        <v>200</v>
      </c>
      <c r="J138" s="493" t="s">
        <v>426</v>
      </c>
      <c r="K138" s="312"/>
      <c r="L138" s="236" t="s">
        <v>134</v>
      </c>
      <c r="M138" s="253"/>
      <c r="N138" s="314"/>
      <c r="O138" s="233"/>
      <c r="P138" s="314"/>
      <c r="Q138" s="254" t="s">
        <v>134</v>
      </c>
      <c r="R138" s="253" t="s">
        <v>134</v>
      </c>
      <c r="S138" s="255"/>
      <c r="T138" s="253"/>
      <c r="U138" s="237"/>
      <c r="V138" s="261"/>
      <c r="W138" s="314"/>
      <c r="X138" s="254"/>
      <c r="Y138" s="256"/>
      <c r="Z138" s="253"/>
      <c r="AA138" s="255"/>
      <c r="AB138" s="256"/>
      <c r="AC138" s="253"/>
      <c r="AD138" s="312"/>
      <c r="AE138" s="242" t="str">
        <f>IF(AM138&lt;&gt;"",
       "0x" &amp; AI138 &amp;" ~ 0x" &amp; AJ138 &amp; " (" &amp; AK138 &amp;"~" &amp; AL138 &amp; AM138 &amp; ")","")&amp;IF(AN138&lt;&gt;"",IF(AM138&lt;&gt;"",CHAR(10)&amp;AN138,AN138),
       "")</f>
        <v>0x0 ~ 0xFF (0~255-)
0x0: Initial
0x1: STARTUP Req
0x2: Not_Used
0x3: DRIVE_Req
0x4: CHG Req
0x5: Not_Used
0x6: SHUTDOWN Req
0x7~8: Not_Used</v>
      </c>
      <c r="AF138" s="312"/>
      <c r="AG138" s="1264">
        <v>0</v>
      </c>
      <c r="AH138" s="1265">
        <v>1</v>
      </c>
      <c r="AI138" s="326">
        <v>0</v>
      </c>
      <c r="AJ138" s="1268" t="s">
        <v>2509</v>
      </c>
      <c r="AK138" s="334">
        <f>HEX2DEC(AI138)*AH138+AG138</f>
        <v>0</v>
      </c>
      <c r="AL138" s="1272">
        <f t="shared" si="22"/>
        <v>255</v>
      </c>
      <c r="AM138" s="1265" t="s">
        <v>1666</v>
      </c>
      <c r="AN138" s="242" t="s">
        <v>2483</v>
      </c>
      <c r="AO138" s="312"/>
      <c r="AP138" s="482" t="s">
        <v>1087</v>
      </c>
      <c r="AQ138" s="594" t="s">
        <v>427</v>
      </c>
      <c r="AR138" s="937"/>
      <c r="AS138" s="930" t="s">
        <v>1866</v>
      </c>
      <c r="AT138" s="594" t="s">
        <v>1939</v>
      </c>
      <c r="AU138" s="594" t="s">
        <v>1940</v>
      </c>
      <c r="AV138" s="930" t="s">
        <v>1866</v>
      </c>
    </row>
    <row r="139" spans="2:48" s="252" customFormat="1" ht="52.8" hidden="1">
      <c r="B139" s="1218" t="s">
        <v>2454</v>
      </c>
      <c r="C139" s="248" t="s">
        <v>134</v>
      </c>
      <c r="D139" s="248" t="s">
        <v>134</v>
      </c>
      <c r="E139" s="312"/>
      <c r="F139" s="233" t="s">
        <v>1093</v>
      </c>
      <c r="G139" s="242" t="s">
        <v>428</v>
      </c>
      <c r="H139" s="243" t="s">
        <v>281</v>
      </c>
      <c r="I139" s="243" t="s">
        <v>200</v>
      </c>
      <c r="J139" s="493" t="s">
        <v>1094</v>
      </c>
      <c r="K139" s="312"/>
      <c r="L139" s="236" t="s">
        <v>134</v>
      </c>
      <c r="M139" s="253"/>
      <c r="N139" s="314"/>
      <c r="O139" s="233"/>
      <c r="P139" s="314"/>
      <c r="Q139" s="254" t="s">
        <v>134</v>
      </c>
      <c r="R139" s="253" t="s">
        <v>134</v>
      </c>
      <c r="S139" s="255"/>
      <c r="T139" s="253"/>
      <c r="U139" s="237"/>
      <c r="V139" s="261"/>
      <c r="W139" s="314"/>
      <c r="X139" s="254"/>
      <c r="Y139" s="256"/>
      <c r="Z139" s="253"/>
      <c r="AA139" s="255"/>
      <c r="AB139" s="256"/>
      <c r="AC139" s="253"/>
      <c r="AD139" s="312"/>
      <c r="AE139" s="242" t="str">
        <f>IF(AM139&lt;&gt;"",
       "0x" &amp; AI139 &amp;" ~ 0x" &amp; AJ139 &amp; " (" &amp; AK139 &amp;"~" &amp; AL139 &amp; AM139 &amp; ")","")&amp;IF(AN139&lt;&gt;"",IF(AM139&lt;&gt;"",CHAR(10)&amp;AN139,AN139),
       "")</f>
        <v>0x0 ~ 0xFF (0~255-)
0x0: Disconnect Req
0x1: Connect Req
0x2: Emergency Cut Req</v>
      </c>
      <c r="AF139" s="312"/>
      <c r="AG139" s="1264">
        <v>0</v>
      </c>
      <c r="AH139" s="1265">
        <v>1</v>
      </c>
      <c r="AI139" s="326">
        <v>0</v>
      </c>
      <c r="AJ139" s="1268" t="s">
        <v>2509</v>
      </c>
      <c r="AK139" s="334">
        <f>HEX2DEC(AI139)*AH139+AG139</f>
        <v>0</v>
      </c>
      <c r="AL139" s="1272">
        <f t="shared" si="22"/>
        <v>255</v>
      </c>
      <c r="AM139" s="1265" t="s">
        <v>1666</v>
      </c>
      <c r="AN139" s="242" t="s">
        <v>802</v>
      </c>
      <c r="AO139" s="312"/>
      <c r="AP139" s="482" t="s">
        <v>1087</v>
      </c>
      <c r="AQ139" s="594" t="s">
        <v>429</v>
      </c>
      <c r="AR139" s="937"/>
      <c r="AS139" s="930" t="s">
        <v>1866</v>
      </c>
      <c r="AT139" s="594" t="s">
        <v>1939</v>
      </c>
      <c r="AU139" s="594" t="s">
        <v>1941</v>
      </c>
      <c r="AV139" s="930" t="s">
        <v>1866</v>
      </c>
    </row>
    <row r="140" spans="2:48" s="252" customFormat="1" ht="39.6" hidden="1">
      <c r="B140" s="1218" t="s">
        <v>2454</v>
      </c>
      <c r="C140" s="248" t="s">
        <v>134</v>
      </c>
      <c r="D140" s="248" t="s">
        <v>134</v>
      </c>
      <c r="E140" s="312"/>
      <c r="F140" s="233" t="s">
        <v>1095</v>
      </c>
      <c r="G140" s="242" t="s">
        <v>430</v>
      </c>
      <c r="H140" s="243" t="s">
        <v>281</v>
      </c>
      <c r="I140" s="243" t="s">
        <v>200</v>
      </c>
      <c r="J140" s="493" t="s">
        <v>1096</v>
      </c>
      <c r="K140" s="312"/>
      <c r="L140" s="236" t="s">
        <v>134</v>
      </c>
      <c r="M140" s="253"/>
      <c r="N140" s="314"/>
      <c r="O140" s="233"/>
      <c r="P140" s="314"/>
      <c r="Q140" s="254" t="s">
        <v>134</v>
      </c>
      <c r="R140" s="253" t="s">
        <v>134</v>
      </c>
      <c r="S140" s="255"/>
      <c r="T140" s="253"/>
      <c r="U140" s="237"/>
      <c r="V140" s="261"/>
      <c r="W140" s="314"/>
      <c r="X140" s="254"/>
      <c r="Y140" s="256"/>
      <c r="Z140" s="253"/>
      <c r="AA140" s="255"/>
      <c r="AB140" s="256"/>
      <c r="AC140" s="253"/>
      <c r="AD140" s="312"/>
      <c r="AE140" s="242" t="str">
        <f>IF(AM140&lt;&gt;"",
       "0x" &amp; AI140 &amp;" ~ 0x" &amp; AJ140 &amp; " (" &amp; AK140 &amp;"~" &amp; AL140 &amp; AM140 &amp; ")","")&amp;IF(AN140&lt;&gt;"",IF(AM140&lt;&gt;"",CHAR(10)&amp;AN140,AN140),
       "")</f>
        <v>0x0 ~ 0xFF (0~255-)
0x0: Disconnect Req
0x1: Connect Req</v>
      </c>
      <c r="AF140" s="312"/>
      <c r="AG140" s="1264">
        <v>0</v>
      </c>
      <c r="AH140" s="1265">
        <v>1</v>
      </c>
      <c r="AI140" s="326">
        <v>0</v>
      </c>
      <c r="AJ140" s="1268" t="s">
        <v>2509</v>
      </c>
      <c r="AK140" s="334">
        <f>HEX2DEC(AI140)*AH140+AG140</f>
        <v>0</v>
      </c>
      <c r="AL140" s="1272">
        <f t="shared" si="22"/>
        <v>255</v>
      </c>
      <c r="AM140" s="1265" t="s">
        <v>1666</v>
      </c>
      <c r="AN140" s="242" t="s">
        <v>803</v>
      </c>
      <c r="AO140" s="312"/>
      <c r="AP140" s="482" t="s">
        <v>1087</v>
      </c>
      <c r="AQ140" s="594" t="s">
        <v>1508</v>
      </c>
      <c r="AR140" s="937"/>
      <c r="AS140" s="930" t="s">
        <v>1866</v>
      </c>
      <c r="AT140" s="594" t="s">
        <v>1942</v>
      </c>
      <c r="AU140" s="594" t="s">
        <v>1943</v>
      </c>
      <c r="AV140" s="930" t="s">
        <v>1866</v>
      </c>
    </row>
    <row r="141" spans="2:48" s="252" customFormat="1" ht="39.6" hidden="1">
      <c r="B141" s="1218" t="s">
        <v>2454</v>
      </c>
      <c r="C141" s="248" t="s">
        <v>134</v>
      </c>
      <c r="D141" s="248" t="s">
        <v>134</v>
      </c>
      <c r="E141" s="312"/>
      <c r="F141" s="233" t="s">
        <v>1097</v>
      </c>
      <c r="G141" s="242" t="s">
        <v>431</v>
      </c>
      <c r="H141" s="243" t="s">
        <v>281</v>
      </c>
      <c r="I141" s="243" t="s">
        <v>200</v>
      </c>
      <c r="J141" s="493" t="s">
        <v>1513</v>
      </c>
      <c r="K141" s="312"/>
      <c r="L141" s="236" t="s">
        <v>134</v>
      </c>
      <c r="M141" s="253"/>
      <c r="N141" s="314"/>
      <c r="O141" s="233"/>
      <c r="P141" s="314"/>
      <c r="Q141" s="254" t="s">
        <v>134</v>
      </c>
      <c r="R141" s="253" t="s">
        <v>134</v>
      </c>
      <c r="S141" s="255"/>
      <c r="T141" s="253"/>
      <c r="U141" s="237"/>
      <c r="V141" s="261"/>
      <c r="W141" s="314"/>
      <c r="X141" s="254"/>
      <c r="Y141" s="256"/>
      <c r="Z141" s="253"/>
      <c r="AA141" s="255"/>
      <c r="AB141" s="256"/>
      <c r="AC141" s="253"/>
      <c r="AD141" s="312"/>
      <c r="AE141" s="242" t="str">
        <f>IF(AM141&lt;&gt;"",
       "0x" &amp; AI141 &amp;" ~ 0x" &amp; AJ141 &amp; " (" &amp; AK141 &amp;"~" &amp; AL141 &amp; AM141 &amp; ")","")&amp;IF(AN141&lt;&gt;"",IF(AM141&lt;&gt;"",CHAR(10)&amp;AN141,AN141),
       "")</f>
        <v>0x0 ~ 0xFF (0~255-)
0x0: Disconnect Req
0x1: Connect Req</v>
      </c>
      <c r="AF141" s="312"/>
      <c r="AG141" s="1264">
        <v>0</v>
      </c>
      <c r="AH141" s="1265">
        <v>1</v>
      </c>
      <c r="AI141" s="326">
        <v>0</v>
      </c>
      <c r="AJ141" s="1268" t="s">
        <v>2509</v>
      </c>
      <c r="AK141" s="334">
        <f>HEX2DEC(AI141)*AH141+AG141</f>
        <v>0</v>
      </c>
      <c r="AL141" s="1272">
        <f t="shared" si="22"/>
        <v>255</v>
      </c>
      <c r="AM141" s="1265" t="s">
        <v>1666</v>
      </c>
      <c r="AN141" s="242" t="s">
        <v>803</v>
      </c>
      <c r="AO141" s="312"/>
      <c r="AP141" s="482" t="s">
        <v>1087</v>
      </c>
      <c r="AQ141" s="594" t="s">
        <v>432</v>
      </c>
      <c r="AR141" s="937"/>
      <c r="AS141" s="930" t="s">
        <v>1866</v>
      </c>
      <c r="AT141" s="594" t="s">
        <v>1944</v>
      </c>
      <c r="AU141" s="594" t="s">
        <v>1945</v>
      </c>
      <c r="AV141" s="930" t="s">
        <v>1866</v>
      </c>
    </row>
    <row r="142" spans="2:48" hidden="1">
      <c r="B142" s="813" t="s">
        <v>2052</v>
      </c>
      <c r="C142" s="456" t="s">
        <v>1337</v>
      </c>
      <c r="D142" s="456" t="s">
        <v>1337</v>
      </c>
      <c r="F142" s="265" t="s">
        <v>1209</v>
      </c>
      <c r="G142" s="264" t="s">
        <v>1196</v>
      </c>
      <c r="H142" s="456" t="s">
        <v>1590</v>
      </c>
      <c r="I142" s="456" t="s">
        <v>1590</v>
      </c>
      <c r="J142" s="559" t="s">
        <v>1590</v>
      </c>
      <c r="K142" s="313"/>
      <c r="L142" s="560" t="s">
        <v>1590</v>
      </c>
      <c r="M142" s="560" t="s">
        <v>1590</v>
      </c>
      <c r="N142" s="176"/>
      <c r="O142" s="561" t="s">
        <v>1590</v>
      </c>
      <c r="P142" s="176"/>
      <c r="Q142" s="562" t="s">
        <v>1590</v>
      </c>
      <c r="R142" s="562" t="s">
        <v>1590</v>
      </c>
      <c r="S142" s="563" t="s">
        <v>1590</v>
      </c>
      <c r="T142" s="562" t="s">
        <v>1590</v>
      </c>
      <c r="U142" s="563" t="s">
        <v>1590</v>
      </c>
      <c r="V142" s="562" t="s">
        <v>1590</v>
      </c>
      <c r="W142" s="360"/>
      <c r="X142" s="562" t="s">
        <v>1590</v>
      </c>
      <c r="Y142" s="562" t="s">
        <v>1590</v>
      </c>
      <c r="Z142" s="562" t="s">
        <v>1590</v>
      </c>
      <c r="AA142" s="562" t="s">
        <v>1590</v>
      </c>
      <c r="AB142" s="562" t="s">
        <v>1590</v>
      </c>
      <c r="AC142" s="562" t="s">
        <v>1590</v>
      </c>
      <c r="AD142" s="235"/>
      <c r="AE142" s="456" t="s">
        <v>1590</v>
      </c>
      <c r="AG142" s="559" t="s">
        <v>1591</v>
      </c>
      <c r="AH142" s="559" t="s">
        <v>1591</v>
      </c>
      <c r="AI142" s="559" t="s">
        <v>1591</v>
      </c>
      <c r="AJ142" s="559" t="s">
        <v>1591</v>
      </c>
      <c r="AK142" s="559" t="s">
        <v>1591</v>
      </c>
      <c r="AL142" s="559" t="s">
        <v>1591</v>
      </c>
      <c r="AM142" s="559" t="s">
        <v>1591</v>
      </c>
      <c r="AN142" s="559" t="s">
        <v>1591</v>
      </c>
      <c r="AP142" s="456" t="s">
        <v>1590</v>
      </c>
      <c r="AQ142" s="456" t="s">
        <v>1590</v>
      </c>
      <c r="AS142" s="456" t="s">
        <v>1222</v>
      </c>
      <c r="AT142" s="456" t="s">
        <v>1222</v>
      </c>
      <c r="AU142" s="456" t="s">
        <v>1222</v>
      </c>
      <c r="AV142" s="456" t="s">
        <v>1222</v>
      </c>
    </row>
    <row r="143" spans="2:48" s="252" customFormat="1" ht="92.4" hidden="1">
      <c r="B143" s="1218" t="s">
        <v>2454</v>
      </c>
      <c r="C143" s="248" t="s">
        <v>134</v>
      </c>
      <c r="D143" s="248" t="s">
        <v>134</v>
      </c>
      <c r="E143" s="312"/>
      <c r="F143" s="233" t="s">
        <v>1098</v>
      </c>
      <c r="G143" s="242" t="s">
        <v>433</v>
      </c>
      <c r="H143" s="243" t="s">
        <v>281</v>
      </c>
      <c r="I143" s="243" t="s">
        <v>200</v>
      </c>
      <c r="J143" s="493" t="s">
        <v>433</v>
      </c>
      <c r="K143" s="312"/>
      <c r="L143" s="236" t="s">
        <v>134</v>
      </c>
      <c r="M143" s="253"/>
      <c r="N143" s="314"/>
      <c r="O143" s="233"/>
      <c r="P143" s="314"/>
      <c r="Q143" s="254" t="s">
        <v>134</v>
      </c>
      <c r="R143" s="253" t="s">
        <v>134</v>
      </c>
      <c r="S143" s="255"/>
      <c r="T143" s="253"/>
      <c r="U143" s="237"/>
      <c r="V143" s="261"/>
      <c r="W143" s="314"/>
      <c r="X143" s="254"/>
      <c r="Y143" s="256"/>
      <c r="Z143" s="253"/>
      <c r="AA143" s="255"/>
      <c r="AB143" s="256"/>
      <c r="AC143" s="253"/>
      <c r="AD143" s="312"/>
      <c r="AE143" s="242" t="str">
        <f>IF(AM143&lt;&gt;"",
       "0x" &amp; AI143 &amp;" ~ 0x" &amp; AJ143 &amp; " (" &amp; AK143 &amp;"~" &amp; AL143 &amp; AM143 &amp; ")","")&amp;IF(AN143&lt;&gt;"",IF(AM143&lt;&gt;"",CHAR(10)&amp;AN143,AN143),
       "")</f>
        <v>0x0 ~ 0xFF (0~255-)
0x0: Standby 
0x1: Buck
0x2: Boost
0x3: unused
0x4: Precharge 
0x5: TestPls</v>
      </c>
      <c r="AF143" s="312"/>
      <c r="AG143" s="1264">
        <v>0</v>
      </c>
      <c r="AH143" s="1265">
        <v>1</v>
      </c>
      <c r="AI143" s="326">
        <v>0</v>
      </c>
      <c r="AJ143" s="1268" t="s">
        <v>2509</v>
      </c>
      <c r="AK143" s="334">
        <f>HEX2DEC(AI143)*AH143+AG143</f>
        <v>0</v>
      </c>
      <c r="AL143" s="1272">
        <f t="shared" si="22"/>
        <v>255</v>
      </c>
      <c r="AM143" s="1265" t="s">
        <v>1666</v>
      </c>
      <c r="AN143" s="242" t="s">
        <v>804</v>
      </c>
      <c r="AO143" s="312"/>
      <c r="AP143" s="482" t="s">
        <v>1087</v>
      </c>
      <c r="AQ143" s="594" t="s">
        <v>1525</v>
      </c>
      <c r="AR143" s="937"/>
      <c r="AS143" s="930" t="s">
        <v>1866</v>
      </c>
      <c r="AT143" s="594" t="s">
        <v>1946</v>
      </c>
      <c r="AU143" s="594" t="s">
        <v>1947</v>
      </c>
      <c r="AV143" s="930" t="s">
        <v>1866</v>
      </c>
    </row>
    <row r="144" spans="2:48" s="252" customFormat="1" ht="39.6" hidden="1">
      <c r="B144" s="1218" t="s">
        <v>2454</v>
      </c>
      <c r="C144" s="248" t="s">
        <v>134</v>
      </c>
      <c r="D144" s="248" t="s">
        <v>134</v>
      </c>
      <c r="E144" s="312"/>
      <c r="F144" s="233" t="s">
        <v>1099</v>
      </c>
      <c r="G144" s="242" t="s">
        <v>434</v>
      </c>
      <c r="H144" s="243" t="s">
        <v>279</v>
      </c>
      <c r="I144" s="243" t="s">
        <v>200</v>
      </c>
      <c r="J144" s="493" t="s">
        <v>434</v>
      </c>
      <c r="K144" s="312"/>
      <c r="L144" s="236" t="s">
        <v>134</v>
      </c>
      <c r="M144" s="253"/>
      <c r="N144" s="314"/>
      <c r="O144" s="233"/>
      <c r="P144" s="314"/>
      <c r="Q144" s="254" t="s">
        <v>134</v>
      </c>
      <c r="R144" s="253" t="s">
        <v>134</v>
      </c>
      <c r="S144" s="255"/>
      <c r="T144" s="253"/>
      <c r="U144" s="237"/>
      <c r="V144" s="261"/>
      <c r="W144" s="314"/>
      <c r="X144" s="254"/>
      <c r="Y144" s="256"/>
      <c r="Z144" s="253"/>
      <c r="AA144" s="255"/>
      <c r="AB144" s="256"/>
      <c r="AC144" s="253"/>
      <c r="AD144" s="312"/>
      <c r="AE144" s="1276" t="str">
        <f>IF(AM144&lt;&gt;"",
       "0x" &amp; AI144 &amp;" ~ 0x" &amp; AJ144 &amp; " (" &amp; AK144 &amp;"~" &amp; AL144 &amp; AM144 &amp; ")","")&amp;IF(AN144&lt;&gt;"",IF(AM144&lt;&gt;"",CHAR(10)&amp;AN144,AN144),
       "")</f>
        <v>0x0 ~ 0x03FF (0~127.875V)
0x1FE: Init
0x1FF: Error</v>
      </c>
      <c r="AF144" s="312"/>
      <c r="AG144" s="1264">
        <v>0</v>
      </c>
      <c r="AH144" s="1265">
        <v>0.125</v>
      </c>
      <c r="AI144" s="326">
        <v>0</v>
      </c>
      <c r="AJ144" s="1269" t="s">
        <v>2511</v>
      </c>
      <c r="AK144" s="334">
        <f>HEX2DEC(AI144)*AH144+AG144</f>
        <v>0</v>
      </c>
      <c r="AL144" s="1272">
        <f t="shared" si="22"/>
        <v>127.875</v>
      </c>
      <c r="AM144" s="246" t="s">
        <v>752</v>
      </c>
      <c r="AN144" s="242" t="s">
        <v>805</v>
      </c>
      <c r="AO144" s="312"/>
      <c r="AP144" s="482" t="s">
        <v>1087</v>
      </c>
      <c r="AQ144" s="594" t="s">
        <v>1510</v>
      </c>
      <c r="AR144" s="937"/>
      <c r="AS144" s="930" t="s">
        <v>1866</v>
      </c>
      <c r="AT144" s="594" t="s">
        <v>1946</v>
      </c>
      <c r="AU144" s="594" t="s">
        <v>1948</v>
      </c>
      <c r="AV144" s="930" t="s">
        <v>1866</v>
      </c>
    </row>
    <row r="145" spans="2:48" s="252" customFormat="1" ht="39.6" hidden="1">
      <c r="B145" s="1218" t="s">
        <v>2454</v>
      </c>
      <c r="C145" s="248" t="s">
        <v>134</v>
      </c>
      <c r="D145" s="248" t="s">
        <v>134</v>
      </c>
      <c r="E145" s="312"/>
      <c r="F145" s="233" t="s">
        <v>1100</v>
      </c>
      <c r="G145" s="242" t="s">
        <v>435</v>
      </c>
      <c r="H145" s="243" t="s">
        <v>279</v>
      </c>
      <c r="I145" s="243" t="s">
        <v>200</v>
      </c>
      <c r="J145" s="493" t="s">
        <v>435</v>
      </c>
      <c r="K145" s="312"/>
      <c r="L145" s="236" t="s">
        <v>134</v>
      </c>
      <c r="M145" s="253"/>
      <c r="N145" s="314"/>
      <c r="O145" s="233"/>
      <c r="P145" s="314"/>
      <c r="Q145" s="254" t="s">
        <v>134</v>
      </c>
      <c r="R145" s="253" t="s">
        <v>134</v>
      </c>
      <c r="S145" s="255"/>
      <c r="T145" s="253"/>
      <c r="U145" s="237"/>
      <c r="V145" s="261"/>
      <c r="W145" s="314"/>
      <c r="X145" s="254"/>
      <c r="Y145" s="256"/>
      <c r="Z145" s="253"/>
      <c r="AA145" s="255"/>
      <c r="AB145" s="256"/>
      <c r="AC145" s="253"/>
      <c r="AD145" s="312"/>
      <c r="AE145" s="1276" t="str">
        <f>IF(AM145&lt;&gt;"",
       "0x" &amp; AI145 &amp;" ~ 0x" &amp; AJ145 &amp; " (" &amp; AK145 &amp;"~" &amp; AL145 &amp; AM145 &amp; ")","")&amp;IF(AN145&lt;&gt;"",IF(AM145&lt;&gt;"",CHAR(10)&amp;AN145,AN145),
       "")</f>
        <v>0x0 ~ 0x43FF (-64~1023.9375A)
0x7FE: Init
0x7FF: Error</v>
      </c>
      <c r="AF145" s="312"/>
      <c r="AG145" s="245">
        <v>-64</v>
      </c>
      <c r="AH145" s="246">
        <v>6.25E-2</v>
      </c>
      <c r="AI145" s="326">
        <v>0</v>
      </c>
      <c r="AJ145" s="1268" t="s">
        <v>2512</v>
      </c>
      <c r="AK145" s="334">
        <f>HEX2DEC(AI145)*AH145+AG145</f>
        <v>-64</v>
      </c>
      <c r="AL145" s="1272">
        <f t="shared" si="22"/>
        <v>1023.9375</v>
      </c>
      <c r="AM145" s="246" t="s">
        <v>777</v>
      </c>
      <c r="AN145" s="242" t="s">
        <v>806</v>
      </c>
      <c r="AO145" s="312"/>
      <c r="AP145" s="482" t="s">
        <v>1087</v>
      </c>
      <c r="AQ145" s="594" t="s">
        <v>1511</v>
      </c>
      <c r="AR145" s="937"/>
      <c r="AS145" s="930" t="s">
        <v>1866</v>
      </c>
      <c r="AT145" s="594" t="s">
        <v>1946</v>
      </c>
      <c r="AU145" s="594" t="s">
        <v>1949</v>
      </c>
      <c r="AV145" s="930" t="s">
        <v>1866</v>
      </c>
    </row>
    <row r="146" spans="2:48" s="252" customFormat="1" ht="39.6" hidden="1">
      <c r="B146" s="1218" t="s">
        <v>2454</v>
      </c>
      <c r="C146" s="248" t="s">
        <v>134</v>
      </c>
      <c r="D146" s="248" t="s">
        <v>134</v>
      </c>
      <c r="E146" s="312"/>
      <c r="F146" s="233" t="s">
        <v>1101</v>
      </c>
      <c r="G146" s="242" t="s">
        <v>1102</v>
      </c>
      <c r="H146" s="243" t="s">
        <v>279</v>
      </c>
      <c r="I146" s="243" t="s">
        <v>200</v>
      </c>
      <c r="J146" s="493" t="s">
        <v>436</v>
      </c>
      <c r="K146" s="312"/>
      <c r="L146" s="236" t="s">
        <v>134</v>
      </c>
      <c r="M146" s="253"/>
      <c r="N146" s="314"/>
      <c r="O146" s="233"/>
      <c r="P146" s="314"/>
      <c r="Q146" s="254" t="s">
        <v>134</v>
      </c>
      <c r="R146" s="253" t="s">
        <v>134</v>
      </c>
      <c r="S146" s="255"/>
      <c r="T146" s="253"/>
      <c r="U146" s="237"/>
      <c r="V146" s="261"/>
      <c r="W146" s="314"/>
      <c r="X146" s="254"/>
      <c r="Y146" s="256"/>
      <c r="Z146" s="253"/>
      <c r="AA146" s="255"/>
      <c r="AB146" s="256"/>
      <c r="AC146" s="253"/>
      <c r="AD146" s="312"/>
      <c r="AE146" s="1276" t="str">
        <f>IF(AM146&lt;&gt;"",
       "0x" &amp; AI146 &amp;" ~ 0x" &amp; AJ146 &amp; " (" &amp; AK146 &amp;"~" &amp; AL146 &amp; AM146 &amp; ")","")&amp;IF(AN146&lt;&gt;"",IF(AM146&lt;&gt;"",CHAR(10)&amp;AN146,AN146),
       "")</f>
        <v>0x0 ~ 0xFFFF (0~16383.75V)
0xFFE: Init
0xFFF: Error</v>
      </c>
      <c r="AF146" s="312"/>
      <c r="AG146" s="245">
        <v>0</v>
      </c>
      <c r="AH146" s="246">
        <v>0.25</v>
      </c>
      <c r="AI146" s="326">
        <v>0</v>
      </c>
      <c r="AJ146" s="1268" t="s">
        <v>2510</v>
      </c>
      <c r="AK146" s="334">
        <f>HEX2DEC(AI146)*AH146+AG146</f>
        <v>0</v>
      </c>
      <c r="AL146" s="1272">
        <f t="shared" si="22"/>
        <v>16383.75</v>
      </c>
      <c r="AM146" s="246" t="s">
        <v>752</v>
      </c>
      <c r="AN146" s="242" t="s">
        <v>807</v>
      </c>
      <c r="AO146" s="312"/>
      <c r="AP146" s="482" t="s">
        <v>1087</v>
      </c>
      <c r="AQ146" s="594" t="s">
        <v>1509</v>
      </c>
      <c r="AR146" s="937"/>
      <c r="AS146" s="930" t="s">
        <v>1866</v>
      </c>
      <c r="AT146" s="594" t="s">
        <v>1939</v>
      </c>
      <c r="AU146" s="594" t="s">
        <v>1950</v>
      </c>
      <c r="AV146" s="930" t="s">
        <v>1866</v>
      </c>
    </row>
    <row r="147" spans="2:48" hidden="1">
      <c r="B147" s="813" t="s">
        <v>2052</v>
      </c>
      <c r="C147" s="456" t="s">
        <v>1337</v>
      </c>
      <c r="D147" s="456" t="s">
        <v>1337</v>
      </c>
      <c r="F147" s="265" t="s">
        <v>1209</v>
      </c>
      <c r="G147" s="264" t="s">
        <v>1197</v>
      </c>
      <c r="H147" s="456" t="s">
        <v>1590</v>
      </c>
      <c r="I147" s="456" t="s">
        <v>1590</v>
      </c>
      <c r="J147" s="559" t="s">
        <v>1590</v>
      </c>
      <c r="K147" s="313"/>
      <c r="L147" s="560" t="s">
        <v>1590</v>
      </c>
      <c r="M147" s="560" t="s">
        <v>1590</v>
      </c>
      <c r="N147" s="176"/>
      <c r="O147" s="561" t="s">
        <v>1590</v>
      </c>
      <c r="P147" s="176"/>
      <c r="Q147" s="562" t="s">
        <v>1590</v>
      </c>
      <c r="R147" s="562" t="s">
        <v>1590</v>
      </c>
      <c r="S147" s="563" t="s">
        <v>1590</v>
      </c>
      <c r="T147" s="562" t="s">
        <v>1590</v>
      </c>
      <c r="U147" s="563" t="s">
        <v>1590</v>
      </c>
      <c r="V147" s="562" t="s">
        <v>1590</v>
      </c>
      <c r="W147" s="360"/>
      <c r="X147" s="562" t="s">
        <v>1590</v>
      </c>
      <c r="Y147" s="562" t="s">
        <v>1590</v>
      </c>
      <c r="Z147" s="562" t="s">
        <v>1590</v>
      </c>
      <c r="AA147" s="562" t="s">
        <v>1590</v>
      </c>
      <c r="AB147" s="562" t="s">
        <v>1590</v>
      </c>
      <c r="AC147" s="562" t="s">
        <v>1590</v>
      </c>
      <c r="AD147" s="235"/>
      <c r="AE147" s="456" t="s">
        <v>1590</v>
      </c>
      <c r="AG147" s="559" t="s">
        <v>1591</v>
      </c>
      <c r="AH147" s="559" t="s">
        <v>1591</v>
      </c>
      <c r="AI147" s="559" t="s">
        <v>1591</v>
      </c>
      <c r="AJ147" s="559" t="s">
        <v>1591</v>
      </c>
      <c r="AK147" s="559" t="s">
        <v>1591</v>
      </c>
      <c r="AL147" s="559" t="s">
        <v>1591</v>
      </c>
      <c r="AM147" s="559" t="s">
        <v>1591</v>
      </c>
      <c r="AN147" s="559" t="s">
        <v>1591</v>
      </c>
      <c r="AP147" s="456" t="s">
        <v>1590</v>
      </c>
      <c r="AQ147" s="456" t="s">
        <v>1590</v>
      </c>
      <c r="AS147" s="456" t="s">
        <v>1222</v>
      </c>
      <c r="AT147" s="456" t="s">
        <v>1222</v>
      </c>
      <c r="AU147" s="456" t="s">
        <v>1222</v>
      </c>
      <c r="AV147" s="456" t="s">
        <v>1222</v>
      </c>
    </row>
    <row r="148" spans="2:48" s="252" customFormat="1" ht="67.2" hidden="1">
      <c r="B148" s="1218" t="s">
        <v>2454</v>
      </c>
      <c r="C148" s="289" t="s">
        <v>134</v>
      </c>
      <c r="D148" s="289" t="s">
        <v>134</v>
      </c>
      <c r="E148" s="312"/>
      <c r="F148" s="1225" t="s">
        <v>1103</v>
      </c>
      <c r="G148" s="1614" t="s">
        <v>437</v>
      </c>
      <c r="H148" s="266" t="s">
        <v>281</v>
      </c>
      <c r="I148" s="266" t="s">
        <v>200</v>
      </c>
      <c r="J148" s="498" t="s">
        <v>438</v>
      </c>
      <c r="K148" s="312"/>
      <c r="L148" s="271" t="s">
        <v>134</v>
      </c>
      <c r="M148" s="272"/>
      <c r="N148" s="314"/>
      <c r="O148" s="277"/>
      <c r="P148" s="314"/>
      <c r="Q148" s="280" t="s">
        <v>134</v>
      </c>
      <c r="R148" s="272" t="s">
        <v>134</v>
      </c>
      <c r="S148" s="281"/>
      <c r="T148" s="272"/>
      <c r="U148" s="282"/>
      <c r="V148" s="283"/>
      <c r="W148" s="314"/>
      <c r="X148" s="280"/>
      <c r="Y148" s="284"/>
      <c r="Z148" s="272"/>
      <c r="AA148" s="281"/>
      <c r="AB148" s="284"/>
      <c r="AC148" s="272"/>
      <c r="AD148" s="312"/>
      <c r="AE148" s="1255" t="str">
        <f t="shared" ref="AE148:AE173" si="23">IF(AM148&lt;&gt;"",
       "0x" &amp; AI148 &amp;" ~ 0x" &amp; AJ148 &amp; " (" &amp; AK148 &amp;"~" &amp; AL148 &amp; AM148 &amp; ")","")&amp;IF(AN148&lt;&gt;"",IF(AM148&lt;&gt;"",CHAR(10)&amp;AN148,AN148),
       "")</f>
        <v>0x0 ~ 0xFF (0~255 -)
0x0: Output Disable
0x1: Output Enable
0x3: Not equipped</v>
      </c>
      <c r="AF148" s="312"/>
      <c r="AG148" s="1258">
        <v>0</v>
      </c>
      <c r="AH148" s="1259">
        <v>1</v>
      </c>
      <c r="AI148" s="328">
        <v>0</v>
      </c>
      <c r="AJ148" s="1253" t="s">
        <v>2509</v>
      </c>
      <c r="AK148" s="337">
        <f t="shared" ref="AK148:AK179" si="24">HEX2DEC(AI148)*AH148+AG148</f>
        <v>0</v>
      </c>
      <c r="AL148" s="1273">
        <f t="shared" si="22"/>
        <v>255</v>
      </c>
      <c r="AM148" s="1259" t="s">
        <v>2516</v>
      </c>
      <c r="AN148" s="285" t="s">
        <v>808</v>
      </c>
      <c r="AO148" s="312"/>
      <c r="AP148" s="310" t="s">
        <v>1104</v>
      </c>
      <c r="AQ148" s="913" t="s">
        <v>734</v>
      </c>
      <c r="AR148" s="929"/>
      <c r="AS148" s="913" t="s">
        <v>1246</v>
      </c>
      <c r="AT148" s="913" t="s">
        <v>1874</v>
      </c>
      <c r="AU148" s="913" t="s">
        <v>1951</v>
      </c>
      <c r="AV148" s="932" t="s">
        <v>1952</v>
      </c>
    </row>
    <row r="149" spans="2:48" s="252" customFormat="1" ht="52.8" hidden="1">
      <c r="B149" s="1218" t="s">
        <v>2454</v>
      </c>
      <c r="C149" s="684" t="s">
        <v>1712</v>
      </c>
      <c r="D149" s="299" t="s">
        <v>134</v>
      </c>
      <c r="E149" s="312"/>
      <c r="F149" s="1226" t="s">
        <v>1103</v>
      </c>
      <c r="G149" s="1614"/>
      <c r="H149" s="268" t="s">
        <v>299</v>
      </c>
      <c r="I149" s="268" t="s">
        <v>200</v>
      </c>
      <c r="J149" s="499" t="s">
        <v>439</v>
      </c>
      <c r="K149" s="312"/>
      <c r="L149" s="273" t="s">
        <v>134</v>
      </c>
      <c r="M149" s="274"/>
      <c r="N149" s="314"/>
      <c r="O149" s="278"/>
      <c r="P149" s="314"/>
      <c r="Q149" s="290" t="s">
        <v>134</v>
      </c>
      <c r="R149" s="274" t="s">
        <v>134</v>
      </c>
      <c r="S149" s="291"/>
      <c r="T149" s="274"/>
      <c r="U149" s="292"/>
      <c r="V149" s="293"/>
      <c r="W149" s="314"/>
      <c r="X149" s="290"/>
      <c r="Y149" s="294"/>
      <c r="Z149" s="274"/>
      <c r="AA149" s="291"/>
      <c r="AB149" s="294"/>
      <c r="AC149" s="274"/>
      <c r="AD149" s="312"/>
      <c r="AE149" s="1256" t="str">
        <f t="shared" si="23"/>
        <v>0x0 ~ 0xFF (0~255 -)
0x0: Output Disable
0x1: Output Enable
0x3: Not equipped</v>
      </c>
      <c r="AF149" s="312"/>
      <c r="AG149" s="1260">
        <v>0</v>
      </c>
      <c r="AH149" s="1261">
        <v>1</v>
      </c>
      <c r="AI149" s="330">
        <v>0</v>
      </c>
      <c r="AJ149" s="1270" t="s">
        <v>2509</v>
      </c>
      <c r="AK149" s="339">
        <f t="shared" si="24"/>
        <v>0</v>
      </c>
      <c r="AL149" s="340">
        <f t="shared" si="22"/>
        <v>255</v>
      </c>
      <c r="AM149" s="1261" t="s">
        <v>2516</v>
      </c>
      <c r="AN149" s="295" t="s">
        <v>808</v>
      </c>
      <c r="AO149" s="312"/>
      <c r="AP149" s="486" t="s">
        <v>1105</v>
      </c>
      <c r="AQ149" s="486" t="s">
        <v>440</v>
      </c>
      <c r="AS149" s="501" t="s">
        <v>1406</v>
      </c>
      <c r="AT149" s="501" t="s">
        <v>1406</v>
      </c>
      <c r="AU149" s="501" t="s">
        <v>1406</v>
      </c>
      <c r="AV149" s="501" t="s">
        <v>1406</v>
      </c>
    </row>
    <row r="150" spans="2:48" s="252" customFormat="1" ht="52.8" hidden="1">
      <c r="B150" s="1218" t="s">
        <v>2454</v>
      </c>
      <c r="C150" s="684" t="s">
        <v>1712</v>
      </c>
      <c r="D150" s="299" t="s">
        <v>134</v>
      </c>
      <c r="E150" s="312"/>
      <c r="F150" s="1226" t="s">
        <v>1103</v>
      </c>
      <c r="G150" s="1614"/>
      <c r="H150" s="268" t="s">
        <v>287</v>
      </c>
      <c r="I150" s="268" t="s">
        <v>200</v>
      </c>
      <c r="J150" s="499" t="s">
        <v>441</v>
      </c>
      <c r="K150" s="312"/>
      <c r="L150" s="273" t="s">
        <v>134</v>
      </c>
      <c r="M150" s="274"/>
      <c r="N150" s="314"/>
      <c r="O150" s="278"/>
      <c r="P150" s="314"/>
      <c r="Q150" s="290" t="s">
        <v>134</v>
      </c>
      <c r="R150" s="274" t="s">
        <v>134</v>
      </c>
      <c r="S150" s="291"/>
      <c r="T150" s="274"/>
      <c r="U150" s="292"/>
      <c r="V150" s="293"/>
      <c r="W150" s="314"/>
      <c r="X150" s="290"/>
      <c r="Y150" s="294"/>
      <c r="Z150" s="274"/>
      <c r="AA150" s="291"/>
      <c r="AB150" s="294"/>
      <c r="AC150" s="274"/>
      <c r="AD150" s="312"/>
      <c r="AE150" s="1256" t="str">
        <f t="shared" si="23"/>
        <v>0x0 ~ 0xFF (0~255 -)
0x0: Output Disable
0x1: Output Enable
0x3: Not equipped</v>
      </c>
      <c r="AF150" s="312"/>
      <c r="AG150" s="1260">
        <v>0</v>
      </c>
      <c r="AH150" s="1261">
        <v>1</v>
      </c>
      <c r="AI150" s="330">
        <v>0</v>
      </c>
      <c r="AJ150" s="1270" t="s">
        <v>2509</v>
      </c>
      <c r="AK150" s="339">
        <f t="shared" si="24"/>
        <v>0</v>
      </c>
      <c r="AL150" s="340">
        <f t="shared" si="22"/>
        <v>255</v>
      </c>
      <c r="AM150" s="1261" t="s">
        <v>2516</v>
      </c>
      <c r="AN150" s="295" t="s">
        <v>808</v>
      </c>
      <c r="AO150" s="312"/>
      <c r="AP150" s="486" t="s">
        <v>1105</v>
      </c>
      <c r="AQ150" s="486" t="s">
        <v>440</v>
      </c>
      <c r="AS150" s="501" t="s">
        <v>1406</v>
      </c>
      <c r="AT150" s="501" t="s">
        <v>1406</v>
      </c>
      <c r="AU150" s="501" t="s">
        <v>1406</v>
      </c>
      <c r="AV150" s="501" t="s">
        <v>1406</v>
      </c>
    </row>
    <row r="151" spans="2:48" s="252" customFormat="1" ht="52.8" hidden="1">
      <c r="B151" s="1218" t="s">
        <v>2454</v>
      </c>
      <c r="C151" s="684" t="s">
        <v>1712</v>
      </c>
      <c r="D151" s="299" t="s">
        <v>134</v>
      </c>
      <c r="E151" s="312"/>
      <c r="F151" s="1226" t="s">
        <v>1103</v>
      </c>
      <c r="G151" s="1614"/>
      <c r="H151" s="268" t="s">
        <v>295</v>
      </c>
      <c r="I151" s="268" t="s">
        <v>200</v>
      </c>
      <c r="J151" s="499" t="s">
        <v>442</v>
      </c>
      <c r="K151" s="312"/>
      <c r="L151" s="273" t="s">
        <v>134</v>
      </c>
      <c r="M151" s="274"/>
      <c r="N151" s="314"/>
      <c r="O151" s="278"/>
      <c r="P151" s="314"/>
      <c r="Q151" s="290" t="s">
        <v>134</v>
      </c>
      <c r="R151" s="274" t="s">
        <v>134</v>
      </c>
      <c r="S151" s="291"/>
      <c r="T151" s="274"/>
      <c r="U151" s="292"/>
      <c r="V151" s="293"/>
      <c r="W151" s="314"/>
      <c r="X151" s="290"/>
      <c r="Y151" s="294"/>
      <c r="Z151" s="274"/>
      <c r="AA151" s="291"/>
      <c r="AB151" s="294"/>
      <c r="AC151" s="274"/>
      <c r="AD151" s="312"/>
      <c r="AE151" s="1256" t="str">
        <f t="shared" si="23"/>
        <v>0x0 ~ 0xFF (0~255 -)
0x0: Output Disable
0x1: Output Enable
0x3: Not equipped</v>
      </c>
      <c r="AF151" s="312"/>
      <c r="AG151" s="1260">
        <v>0</v>
      </c>
      <c r="AH151" s="1261">
        <v>1</v>
      </c>
      <c r="AI151" s="330">
        <v>0</v>
      </c>
      <c r="AJ151" s="1270" t="s">
        <v>2509</v>
      </c>
      <c r="AK151" s="339">
        <f t="shared" si="24"/>
        <v>0</v>
      </c>
      <c r="AL151" s="340">
        <f t="shared" si="22"/>
        <v>255</v>
      </c>
      <c r="AM151" s="1261" t="s">
        <v>2516</v>
      </c>
      <c r="AN151" s="295" t="s">
        <v>808</v>
      </c>
      <c r="AO151" s="312"/>
      <c r="AP151" s="486" t="s">
        <v>1105</v>
      </c>
      <c r="AQ151" s="486" t="s">
        <v>440</v>
      </c>
      <c r="AS151" s="501" t="s">
        <v>1406</v>
      </c>
      <c r="AT151" s="501" t="s">
        <v>1406</v>
      </c>
      <c r="AU151" s="501" t="s">
        <v>1406</v>
      </c>
      <c r="AV151" s="501" t="s">
        <v>1406</v>
      </c>
    </row>
    <row r="152" spans="2:48" s="252" customFormat="1" ht="52.8" hidden="1">
      <c r="B152" s="1218" t="s">
        <v>2454</v>
      </c>
      <c r="C152" s="689" t="s">
        <v>1712</v>
      </c>
      <c r="D152" s="309" t="s">
        <v>134</v>
      </c>
      <c r="E152" s="312"/>
      <c r="F152" s="1227" t="s">
        <v>1103</v>
      </c>
      <c r="G152" s="1614"/>
      <c r="H152" s="270" t="s">
        <v>292</v>
      </c>
      <c r="I152" s="270" t="s">
        <v>200</v>
      </c>
      <c r="J152" s="497" t="s">
        <v>443</v>
      </c>
      <c r="K152" s="312"/>
      <c r="L152" s="275" t="s">
        <v>134</v>
      </c>
      <c r="M152" s="276"/>
      <c r="N152" s="314"/>
      <c r="O152" s="279"/>
      <c r="P152" s="314"/>
      <c r="Q152" s="300" t="s">
        <v>134</v>
      </c>
      <c r="R152" s="276" t="s">
        <v>134</v>
      </c>
      <c r="S152" s="301"/>
      <c r="T152" s="276"/>
      <c r="U152" s="302"/>
      <c r="V152" s="303"/>
      <c r="W152" s="314"/>
      <c r="X152" s="300"/>
      <c r="Y152" s="304"/>
      <c r="Z152" s="276"/>
      <c r="AA152" s="301"/>
      <c r="AB152" s="304"/>
      <c r="AC152" s="276"/>
      <c r="AD152" s="312"/>
      <c r="AE152" s="1257" t="str">
        <f t="shared" si="23"/>
        <v>0x0 ~ 0xFF (0~255 -)
0x0: Output Disable
0x1: Output Enable
0x3: Not equipped</v>
      </c>
      <c r="AF152" s="312"/>
      <c r="AG152" s="1262">
        <v>0</v>
      </c>
      <c r="AH152" s="1263">
        <v>1</v>
      </c>
      <c r="AI152" s="332">
        <v>0</v>
      </c>
      <c r="AJ152" s="1271" t="s">
        <v>2509</v>
      </c>
      <c r="AK152" s="341">
        <f t="shared" si="24"/>
        <v>0</v>
      </c>
      <c r="AL152" s="342">
        <f t="shared" si="22"/>
        <v>255</v>
      </c>
      <c r="AM152" s="1263" t="s">
        <v>2516</v>
      </c>
      <c r="AN152" s="305" t="s">
        <v>808</v>
      </c>
      <c r="AO152" s="312"/>
      <c r="AP152" s="487" t="s">
        <v>1105</v>
      </c>
      <c r="AQ152" s="487" t="s">
        <v>440</v>
      </c>
      <c r="AS152" s="500" t="s">
        <v>1406</v>
      </c>
      <c r="AT152" s="500" t="s">
        <v>1406</v>
      </c>
      <c r="AU152" s="500" t="s">
        <v>1406</v>
      </c>
      <c r="AV152" s="500" t="s">
        <v>1406</v>
      </c>
    </row>
    <row r="153" spans="2:48" s="252" customFormat="1" ht="80.400000000000006" hidden="1">
      <c r="B153" s="1218" t="s">
        <v>2454</v>
      </c>
      <c r="C153" s="289" t="s">
        <v>134</v>
      </c>
      <c r="D153" s="289" t="s">
        <v>134</v>
      </c>
      <c r="E153" s="312"/>
      <c r="F153" s="1225" t="s">
        <v>1106</v>
      </c>
      <c r="G153" s="1614" t="s">
        <v>444</v>
      </c>
      <c r="H153" s="266" t="s">
        <v>281</v>
      </c>
      <c r="I153" s="266" t="s">
        <v>200</v>
      </c>
      <c r="J153" s="498" t="s">
        <v>445</v>
      </c>
      <c r="K153" s="312"/>
      <c r="L153" s="271" t="s">
        <v>134</v>
      </c>
      <c r="M153" s="272"/>
      <c r="N153" s="314"/>
      <c r="O153" s="277"/>
      <c r="P153" s="314"/>
      <c r="Q153" s="280" t="s">
        <v>134</v>
      </c>
      <c r="R153" s="272" t="s">
        <v>134</v>
      </c>
      <c r="S153" s="281"/>
      <c r="T153" s="272"/>
      <c r="U153" s="282"/>
      <c r="V153" s="283"/>
      <c r="W153" s="314"/>
      <c r="X153" s="280"/>
      <c r="Y153" s="284"/>
      <c r="Z153" s="272"/>
      <c r="AA153" s="281"/>
      <c r="AB153" s="284"/>
      <c r="AC153" s="272"/>
      <c r="AD153" s="312"/>
      <c r="AE153" s="285" t="str">
        <f t="shared" si="23"/>
        <v>0x0 ~ 0xFF (0~51V)
0xFF: Not equipped (LD is not supported)</v>
      </c>
      <c r="AF153" s="312"/>
      <c r="AG153" s="286">
        <v>0</v>
      </c>
      <c r="AH153" s="287">
        <v>0.2</v>
      </c>
      <c r="AI153" s="328">
        <v>0</v>
      </c>
      <c r="AJ153" s="1233" t="s">
        <v>751</v>
      </c>
      <c r="AK153" s="337">
        <f t="shared" si="24"/>
        <v>0</v>
      </c>
      <c r="AL153" s="338">
        <f t="shared" ref="AL153:AL178" si="25">HEX2DEC(AJ153)*AH153+AG153</f>
        <v>51</v>
      </c>
      <c r="AM153" s="287" t="s">
        <v>809</v>
      </c>
      <c r="AN153" s="1234" t="s">
        <v>2486</v>
      </c>
      <c r="AO153" s="312"/>
      <c r="AP153" s="310" t="s">
        <v>1104</v>
      </c>
      <c r="AQ153" s="310" t="s">
        <v>735</v>
      </c>
      <c r="AS153" s="913" t="s">
        <v>1246</v>
      </c>
      <c r="AT153" s="913" t="s">
        <v>1874</v>
      </c>
      <c r="AU153" s="913" t="s">
        <v>1953</v>
      </c>
      <c r="AV153" s="932" t="s">
        <v>1954</v>
      </c>
    </row>
    <row r="154" spans="2:48" s="252" customFormat="1" ht="26.4" hidden="1">
      <c r="B154" s="1218" t="s">
        <v>2454</v>
      </c>
      <c r="C154" s="684" t="s">
        <v>1712</v>
      </c>
      <c r="D154" s="299" t="s">
        <v>134</v>
      </c>
      <c r="E154" s="312"/>
      <c r="F154" s="1226" t="s">
        <v>1106</v>
      </c>
      <c r="G154" s="1615"/>
      <c r="H154" s="268" t="s">
        <v>299</v>
      </c>
      <c r="I154" s="268" t="s">
        <v>200</v>
      </c>
      <c r="J154" s="499" t="s">
        <v>446</v>
      </c>
      <c r="K154" s="312"/>
      <c r="L154" s="273" t="s">
        <v>134</v>
      </c>
      <c r="M154" s="274"/>
      <c r="N154" s="314"/>
      <c r="O154" s="278"/>
      <c r="P154" s="314"/>
      <c r="Q154" s="290" t="s">
        <v>134</v>
      </c>
      <c r="R154" s="274" t="s">
        <v>134</v>
      </c>
      <c r="S154" s="291"/>
      <c r="T154" s="274"/>
      <c r="U154" s="292"/>
      <c r="V154" s="293"/>
      <c r="W154" s="314"/>
      <c r="X154" s="290"/>
      <c r="Y154" s="294"/>
      <c r="Z154" s="274"/>
      <c r="AA154" s="291"/>
      <c r="AB154" s="294"/>
      <c r="AC154" s="274"/>
      <c r="AD154" s="312"/>
      <c r="AE154" s="295" t="str">
        <f t="shared" si="23"/>
        <v>0x0 ~ 0xFF (0~51V)
0xFF: Not equipped</v>
      </c>
      <c r="AF154" s="312"/>
      <c r="AG154" s="296">
        <v>0</v>
      </c>
      <c r="AH154" s="297">
        <v>0.2</v>
      </c>
      <c r="AI154" s="330">
        <v>0</v>
      </c>
      <c r="AJ154" s="1241" t="s">
        <v>751</v>
      </c>
      <c r="AK154" s="339">
        <f t="shared" si="24"/>
        <v>0</v>
      </c>
      <c r="AL154" s="340">
        <f t="shared" si="25"/>
        <v>51</v>
      </c>
      <c r="AM154" s="297" t="s">
        <v>809</v>
      </c>
      <c r="AN154" s="295" t="s">
        <v>754</v>
      </c>
      <c r="AO154" s="312"/>
      <c r="AP154" s="486" t="s">
        <v>1105</v>
      </c>
      <c r="AQ154" s="486" t="s">
        <v>440</v>
      </c>
      <c r="AS154" s="501" t="s">
        <v>1406</v>
      </c>
      <c r="AT154" s="501" t="s">
        <v>1406</v>
      </c>
      <c r="AU154" s="501" t="s">
        <v>1406</v>
      </c>
      <c r="AV154" s="501" t="s">
        <v>1406</v>
      </c>
    </row>
    <row r="155" spans="2:48" s="252" customFormat="1" ht="26.4" hidden="1">
      <c r="B155" s="1218" t="s">
        <v>2454</v>
      </c>
      <c r="C155" s="684" t="s">
        <v>1712</v>
      </c>
      <c r="D155" s="299" t="s">
        <v>134</v>
      </c>
      <c r="E155" s="312"/>
      <c r="F155" s="1226" t="s">
        <v>1106</v>
      </c>
      <c r="G155" s="1615"/>
      <c r="H155" s="268" t="s">
        <v>287</v>
      </c>
      <c r="I155" s="268" t="s">
        <v>200</v>
      </c>
      <c r="J155" s="499" t="s">
        <v>447</v>
      </c>
      <c r="K155" s="312"/>
      <c r="L155" s="273" t="s">
        <v>134</v>
      </c>
      <c r="M155" s="274"/>
      <c r="N155" s="314"/>
      <c r="O155" s="278"/>
      <c r="P155" s="314"/>
      <c r="Q155" s="290" t="s">
        <v>134</v>
      </c>
      <c r="R155" s="274" t="s">
        <v>134</v>
      </c>
      <c r="S155" s="291"/>
      <c r="T155" s="274"/>
      <c r="U155" s="292"/>
      <c r="V155" s="293"/>
      <c r="W155" s="314"/>
      <c r="X155" s="290"/>
      <c r="Y155" s="294"/>
      <c r="Z155" s="274"/>
      <c r="AA155" s="291"/>
      <c r="AB155" s="294"/>
      <c r="AC155" s="274"/>
      <c r="AD155" s="312"/>
      <c r="AE155" s="295" t="str">
        <f t="shared" si="23"/>
        <v>0x0 ~ 0xFF (0~51V)
0xFF: Not equipped</v>
      </c>
      <c r="AF155" s="312"/>
      <c r="AG155" s="296">
        <v>0</v>
      </c>
      <c r="AH155" s="297">
        <v>0.2</v>
      </c>
      <c r="AI155" s="330">
        <v>0</v>
      </c>
      <c r="AJ155" s="1241" t="s">
        <v>751</v>
      </c>
      <c r="AK155" s="339">
        <f t="shared" si="24"/>
        <v>0</v>
      </c>
      <c r="AL155" s="340">
        <f t="shared" si="25"/>
        <v>51</v>
      </c>
      <c r="AM155" s="297" t="s">
        <v>809</v>
      </c>
      <c r="AN155" s="295" t="s">
        <v>754</v>
      </c>
      <c r="AO155" s="312"/>
      <c r="AP155" s="486" t="s">
        <v>1105</v>
      </c>
      <c r="AQ155" s="486" t="s">
        <v>440</v>
      </c>
      <c r="AS155" s="501" t="s">
        <v>1406</v>
      </c>
      <c r="AT155" s="501" t="s">
        <v>1406</v>
      </c>
      <c r="AU155" s="501" t="s">
        <v>1406</v>
      </c>
      <c r="AV155" s="501" t="s">
        <v>1406</v>
      </c>
    </row>
    <row r="156" spans="2:48" s="252" customFormat="1" ht="26.4" hidden="1">
      <c r="B156" s="1218" t="s">
        <v>2454</v>
      </c>
      <c r="C156" s="684" t="s">
        <v>1712</v>
      </c>
      <c r="D156" s="299" t="s">
        <v>134</v>
      </c>
      <c r="E156" s="312"/>
      <c r="F156" s="1226" t="s">
        <v>1106</v>
      </c>
      <c r="G156" s="1615"/>
      <c r="H156" s="268" t="s">
        <v>295</v>
      </c>
      <c r="I156" s="268" t="s">
        <v>200</v>
      </c>
      <c r="J156" s="499" t="s">
        <v>448</v>
      </c>
      <c r="K156" s="312"/>
      <c r="L156" s="273" t="s">
        <v>134</v>
      </c>
      <c r="M156" s="274"/>
      <c r="N156" s="314"/>
      <c r="O156" s="278"/>
      <c r="P156" s="314"/>
      <c r="Q156" s="290" t="s">
        <v>134</v>
      </c>
      <c r="R156" s="274" t="s">
        <v>134</v>
      </c>
      <c r="S156" s="291"/>
      <c r="T156" s="274"/>
      <c r="U156" s="292"/>
      <c r="V156" s="293"/>
      <c r="W156" s="314"/>
      <c r="X156" s="290"/>
      <c r="Y156" s="294"/>
      <c r="Z156" s="274"/>
      <c r="AA156" s="291"/>
      <c r="AB156" s="294"/>
      <c r="AC156" s="274"/>
      <c r="AD156" s="312"/>
      <c r="AE156" s="295" t="str">
        <f t="shared" si="23"/>
        <v>0x0 ~ 0xFF (0~51V)
0xFF: Not equipped</v>
      </c>
      <c r="AF156" s="312"/>
      <c r="AG156" s="296">
        <v>0</v>
      </c>
      <c r="AH156" s="297">
        <v>0.2</v>
      </c>
      <c r="AI156" s="330">
        <v>0</v>
      </c>
      <c r="AJ156" s="1241" t="s">
        <v>751</v>
      </c>
      <c r="AK156" s="339">
        <f t="shared" si="24"/>
        <v>0</v>
      </c>
      <c r="AL156" s="340">
        <f t="shared" si="25"/>
        <v>51</v>
      </c>
      <c r="AM156" s="297" t="s">
        <v>809</v>
      </c>
      <c r="AN156" s="295" t="s">
        <v>754</v>
      </c>
      <c r="AO156" s="312"/>
      <c r="AP156" s="486" t="s">
        <v>1105</v>
      </c>
      <c r="AQ156" s="486" t="s">
        <v>440</v>
      </c>
      <c r="AS156" s="501" t="s">
        <v>1406</v>
      </c>
      <c r="AT156" s="501" t="s">
        <v>1406</v>
      </c>
      <c r="AU156" s="501" t="s">
        <v>1406</v>
      </c>
      <c r="AV156" s="501" t="s">
        <v>1406</v>
      </c>
    </row>
    <row r="157" spans="2:48" s="252" customFormat="1" ht="26.4" hidden="1">
      <c r="B157" s="1218" t="s">
        <v>2454</v>
      </c>
      <c r="C157" s="689" t="s">
        <v>1712</v>
      </c>
      <c r="D157" s="309" t="s">
        <v>134</v>
      </c>
      <c r="E157" s="312"/>
      <c r="F157" s="1227" t="s">
        <v>1106</v>
      </c>
      <c r="G157" s="1615"/>
      <c r="H157" s="270" t="s">
        <v>292</v>
      </c>
      <c r="I157" s="270" t="s">
        <v>200</v>
      </c>
      <c r="J157" s="497" t="s">
        <v>449</v>
      </c>
      <c r="K157" s="312"/>
      <c r="L157" s="275" t="s">
        <v>134</v>
      </c>
      <c r="M157" s="276"/>
      <c r="N157" s="314"/>
      <c r="O157" s="279"/>
      <c r="P157" s="314"/>
      <c r="Q157" s="300" t="s">
        <v>134</v>
      </c>
      <c r="R157" s="276" t="s">
        <v>134</v>
      </c>
      <c r="S157" s="301"/>
      <c r="T157" s="276"/>
      <c r="U157" s="302"/>
      <c r="V157" s="303"/>
      <c r="W157" s="314"/>
      <c r="X157" s="300"/>
      <c r="Y157" s="304"/>
      <c r="Z157" s="276"/>
      <c r="AA157" s="301"/>
      <c r="AB157" s="304"/>
      <c r="AC157" s="276"/>
      <c r="AD157" s="312"/>
      <c r="AE157" s="305" t="str">
        <f t="shared" si="23"/>
        <v>0x0 ~ 0xFF (0~51V)
0xFF: Not equipped</v>
      </c>
      <c r="AF157" s="312"/>
      <c r="AG157" s="306">
        <v>0</v>
      </c>
      <c r="AH157" s="307">
        <v>0.2</v>
      </c>
      <c r="AI157" s="332">
        <v>0</v>
      </c>
      <c r="AJ157" s="1242" t="s">
        <v>751</v>
      </c>
      <c r="AK157" s="341">
        <f t="shared" si="24"/>
        <v>0</v>
      </c>
      <c r="AL157" s="342">
        <f t="shared" si="25"/>
        <v>51</v>
      </c>
      <c r="AM157" s="307" t="s">
        <v>809</v>
      </c>
      <c r="AN157" s="305" t="s">
        <v>754</v>
      </c>
      <c r="AO157" s="312"/>
      <c r="AP157" s="487" t="s">
        <v>1105</v>
      </c>
      <c r="AQ157" s="487" t="s">
        <v>440</v>
      </c>
      <c r="AS157" s="500" t="s">
        <v>1406</v>
      </c>
      <c r="AT157" s="500" t="s">
        <v>1406</v>
      </c>
      <c r="AU157" s="500" t="s">
        <v>1406</v>
      </c>
      <c r="AV157" s="500" t="s">
        <v>1406</v>
      </c>
    </row>
    <row r="158" spans="2:48" s="252" customFormat="1" ht="84" hidden="1">
      <c r="B158" s="1218" t="s">
        <v>2454</v>
      </c>
      <c r="C158" s="289" t="s">
        <v>134</v>
      </c>
      <c r="D158" s="289" t="s">
        <v>134</v>
      </c>
      <c r="E158" s="312"/>
      <c r="F158" s="1225" t="s">
        <v>1107</v>
      </c>
      <c r="G158" s="1614" t="s">
        <v>450</v>
      </c>
      <c r="H158" s="266">
        <v>1</v>
      </c>
      <c r="I158" s="266" t="s">
        <v>200</v>
      </c>
      <c r="J158" s="498" t="s">
        <v>451</v>
      </c>
      <c r="K158" s="312"/>
      <c r="L158" s="271" t="s">
        <v>134</v>
      </c>
      <c r="M158" s="272"/>
      <c r="N158" s="314"/>
      <c r="O158" s="277"/>
      <c r="P158" s="314"/>
      <c r="Q158" s="280" t="s">
        <v>134</v>
      </c>
      <c r="R158" s="272" t="s">
        <v>134</v>
      </c>
      <c r="S158" s="281"/>
      <c r="T158" s="272"/>
      <c r="U158" s="282"/>
      <c r="V158" s="283"/>
      <c r="W158" s="314"/>
      <c r="X158" s="280"/>
      <c r="Y158" s="284"/>
      <c r="Z158" s="272"/>
      <c r="AA158" s="281"/>
      <c r="AB158" s="284"/>
      <c r="AC158" s="272"/>
      <c r="AD158" s="312"/>
      <c r="AE158" s="1277" t="str">
        <f t="shared" si="23"/>
        <v>0x0 ~ 0xFF (-50~205deg C)
0xFF: Not equipped (LD is not supported)</v>
      </c>
      <c r="AF158" s="312"/>
      <c r="AG158" s="286">
        <v>-50</v>
      </c>
      <c r="AH158" s="287">
        <v>1</v>
      </c>
      <c r="AI158" s="328">
        <v>0</v>
      </c>
      <c r="AJ158" s="1253" t="s">
        <v>2509</v>
      </c>
      <c r="AK158" s="337">
        <f t="shared" si="24"/>
        <v>-50</v>
      </c>
      <c r="AL158" s="1273">
        <f t="shared" si="25"/>
        <v>205</v>
      </c>
      <c r="AM158" s="1229" t="s">
        <v>2445</v>
      </c>
      <c r="AN158" s="1234" t="s">
        <v>2486</v>
      </c>
      <c r="AO158" s="312"/>
      <c r="AP158" s="310" t="s">
        <v>1104</v>
      </c>
      <c r="AQ158" s="310" t="s">
        <v>1528</v>
      </c>
      <c r="AS158" s="913" t="s">
        <v>1246</v>
      </c>
      <c r="AT158" s="913" t="s">
        <v>1955</v>
      </c>
      <c r="AU158" s="1288" t="s">
        <v>2518</v>
      </c>
      <c r="AV158" s="932" t="s">
        <v>1956</v>
      </c>
    </row>
    <row r="159" spans="2:48" s="252" customFormat="1" ht="26.4" hidden="1">
      <c r="B159" s="1218" t="s">
        <v>2454</v>
      </c>
      <c r="C159" s="684" t="s">
        <v>1712</v>
      </c>
      <c r="D159" s="299" t="s">
        <v>134</v>
      </c>
      <c r="E159" s="312"/>
      <c r="F159" s="1226" t="s">
        <v>1107</v>
      </c>
      <c r="G159" s="1615"/>
      <c r="H159" s="268" t="s">
        <v>299</v>
      </c>
      <c r="I159" s="268" t="s">
        <v>200</v>
      </c>
      <c r="J159" s="499" t="s">
        <v>452</v>
      </c>
      <c r="K159" s="312"/>
      <c r="L159" s="273" t="s">
        <v>134</v>
      </c>
      <c r="M159" s="274"/>
      <c r="N159" s="314"/>
      <c r="O159" s="278"/>
      <c r="P159" s="314"/>
      <c r="Q159" s="290" t="s">
        <v>134</v>
      </c>
      <c r="R159" s="274" t="s">
        <v>134</v>
      </c>
      <c r="S159" s="291"/>
      <c r="T159" s="274"/>
      <c r="U159" s="292"/>
      <c r="V159" s="293"/>
      <c r="W159" s="314"/>
      <c r="X159" s="290"/>
      <c r="Y159" s="294"/>
      <c r="Z159" s="274"/>
      <c r="AA159" s="291"/>
      <c r="AB159" s="294"/>
      <c r="AC159" s="274"/>
      <c r="AD159" s="312"/>
      <c r="AE159" s="1278" t="str">
        <f t="shared" si="23"/>
        <v>0x0 ~ 0xFF (-50~205deg C)
0xFF: Not equipped</v>
      </c>
      <c r="AF159" s="312"/>
      <c r="AG159" s="296">
        <v>-50</v>
      </c>
      <c r="AH159" s="297">
        <v>1</v>
      </c>
      <c r="AI159" s="330">
        <v>0</v>
      </c>
      <c r="AJ159" s="1270" t="s">
        <v>2509</v>
      </c>
      <c r="AK159" s="339">
        <f t="shared" si="24"/>
        <v>-50</v>
      </c>
      <c r="AL159" s="1274">
        <f t="shared" si="25"/>
        <v>205</v>
      </c>
      <c r="AM159" s="1230" t="s">
        <v>2445</v>
      </c>
      <c r="AN159" s="295" t="s">
        <v>754</v>
      </c>
      <c r="AO159" s="312"/>
      <c r="AP159" s="486" t="s">
        <v>1105</v>
      </c>
      <c r="AQ159" s="486" t="s">
        <v>440</v>
      </c>
      <c r="AS159" s="501" t="s">
        <v>1406</v>
      </c>
      <c r="AT159" s="501" t="s">
        <v>1406</v>
      </c>
      <c r="AU159" s="501" t="s">
        <v>1406</v>
      </c>
      <c r="AV159" s="501" t="s">
        <v>1406</v>
      </c>
    </row>
    <row r="160" spans="2:48" s="252" customFormat="1" ht="26.4" hidden="1">
      <c r="B160" s="1218" t="s">
        <v>2454</v>
      </c>
      <c r="C160" s="684" t="s">
        <v>1712</v>
      </c>
      <c r="D160" s="299" t="s">
        <v>134</v>
      </c>
      <c r="E160" s="312"/>
      <c r="F160" s="1226" t="s">
        <v>1107</v>
      </c>
      <c r="G160" s="1615"/>
      <c r="H160" s="268" t="s">
        <v>287</v>
      </c>
      <c r="I160" s="268" t="s">
        <v>200</v>
      </c>
      <c r="J160" s="499" t="s">
        <v>453</v>
      </c>
      <c r="K160" s="312"/>
      <c r="L160" s="273" t="s">
        <v>134</v>
      </c>
      <c r="M160" s="274"/>
      <c r="N160" s="314"/>
      <c r="O160" s="278"/>
      <c r="P160" s="314"/>
      <c r="Q160" s="290" t="s">
        <v>134</v>
      </c>
      <c r="R160" s="274" t="s">
        <v>134</v>
      </c>
      <c r="S160" s="291"/>
      <c r="T160" s="274"/>
      <c r="U160" s="292"/>
      <c r="V160" s="293"/>
      <c r="W160" s="314"/>
      <c r="X160" s="290"/>
      <c r="Y160" s="294"/>
      <c r="Z160" s="274"/>
      <c r="AA160" s="291"/>
      <c r="AB160" s="294"/>
      <c r="AC160" s="274"/>
      <c r="AD160" s="312"/>
      <c r="AE160" s="1278" t="str">
        <f t="shared" si="23"/>
        <v>0x0 ~ 0xFF (-50~205deg C)
0xFF: Not equipped</v>
      </c>
      <c r="AF160" s="312"/>
      <c r="AG160" s="296">
        <v>-50</v>
      </c>
      <c r="AH160" s="297">
        <v>1</v>
      </c>
      <c r="AI160" s="330">
        <v>0</v>
      </c>
      <c r="AJ160" s="1270" t="s">
        <v>2509</v>
      </c>
      <c r="AK160" s="339">
        <f t="shared" si="24"/>
        <v>-50</v>
      </c>
      <c r="AL160" s="1274">
        <f t="shared" si="25"/>
        <v>205</v>
      </c>
      <c r="AM160" s="1230" t="s">
        <v>2445</v>
      </c>
      <c r="AN160" s="295" t="s">
        <v>754</v>
      </c>
      <c r="AO160" s="312"/>
      <c r="AP160" s="486" t="s">
        <v>1105</v>
      </c>
      <c r="AQ160" s="486" t="s">
        <v>440</v>
      </c>
      <c r="AS160" s="501" t="s">
        <v>1406</v>
      </c>
      <c r="AT160" s="501" t="s">
        <v>1406</v>
      </c>
      <c r="AU160" s="501" t="s">
        <v>1406</v>
      </c>
      <c r="AV160" s="501" t="s">
        <v>1406</v>
      </c>
    </row>
    <row r="161" spans="2:48" s="252" customFormat="1" ht="26.4" hidden="1">
      <c r="B161" s="1218" t="s">
        <v>2454</v>
      </c>
      <c r="C161" s="684" t="s">
        <v>1712</v>
      </c>
      <c r="D161" s="299" t="s">
        <v>134</v>
      </c>
      <c r="E161" s="312"/>
      <c r="F161" s="1226" t="s">
        <v>1107</v>
      </c>
      <c r="G161" s="1615"/>
      <c r="H161" s="268" t="s">
        <v>295</v>
      </c>
      <c r="I161" s="268" t="s">
        <v>200</v>
      </c>
      <c r="J161" s="499" t="s">
        <v>454</v>
      </c>
      <c r="K161" s="312"/>
      <c r="L161" s="273" t="s">
        <v>134</v>
      </c>
      <c r="M161" s="274"/>
      <c r="N161" s="314"/>
      <c r="O161" s="278"/>
      <c r="P161" s="314"/>
      <c r="Q161" s="290" t="s">
        <v>134</v>
      </c>
      <c r="R161" s="274" t="s">
        <v>134</v>
      </c>
      <c r="S161" s="291"/>
      <c r="T161" s="274"/>
      <c r="U161" s="292"/>
      <c r="V161" s="293"/>
      <c r="W161" s="314"/>
      <c r="X161" s="290"/>
      <c r="Y161" s="294"/>
      <c r="Z161" s="274"/>
      <c r="AA161" s="291"/>
      <c r="AB161" s="294"/>
      <c r="AC161" s="274"/>
      <c r="AD161" s="312"/>
      <c r="AE161" s="1278" t="str">
        <f t="shared" si="23"/>
        <v>0x0 ~ 0xFF (-50~205deg C)
0xFF: Not equipped</v>
      </c>
      <c r="AF161" s="312"/>
      <c r="AG161" s="296">
        <v>-50</v>
      </c>
      <c r="AH161" s="297">
        <v>1</v>
      </c>
      <c r="AI161" s="330">
        <v>0</v>
      </c>
      <c r="AJ161" s="1270" t="s">
        <v>2509</v>
      </c>
      <c r="AK161" s="339">
        <f t="shared" si="24"/>
        <v>-50</v>
      </c>
      <c r="AL161" s="1274">
        <f t="shared" si="25"/>
        <v>205</v>
      </c>
      <c r="AM161" s="1230" t="s">
        <v>2445</v>
      </c>
      <c r="AN161" s="295" t="s">
        <v>754</v>
      </c>
      <c r="AO161" s="312"/>
      <c r="AP161" s="486" t="s">
        <v>1105</v>
      </c>
      <c r="AQ161" s="486" t="s">
        <v>440</v>
      </c>
      <c r="AS161" s="501" t="s">
        <v>1406</v>
      </c>
      <c r="AT161" s="501" t="s">
        <v>1406</v>
      </c>
      <c r="AU161" s="501" t="s">
        <v>1406</v>
      </c>
      <c r="AV161" s="501" t="s">
        <v>1406</v>
      </c>
    </row>
    <row r="162" spans="2:48" s="252" customFormat="1" ht="26.4" hidden="1">
      <c r="B162" s="1218" t="s">
        <v>2454</v>
      </c>
      <c r="C162" s="689" t="s">
        <v>1712</v>
      </c>
      <c r="D162" s="309" t="s">
        <v>134</v>
      </c>
      <c r="E162" s="312"/>
      <c r="F162" s="1227" t="s">
        <v>1107</v>
      </c>
      <c r="G162" s="1615"/>
      <c r="H162" s="270" t="s">
        <v>292</v>
      </c>
      <c r="I162" s="270" t="s">
        <v>200</v>
      </c>
      <c r="J162" s="497" t="s">
        <v>455</v>
      </c>
      <c r="K162" s="312"/>
      <c r="L162" s="275" t="s">
        <v>134</v>
      </c>
      <c r="M162" s="276"/>
      <c r="N162" s="314"/>
      <c r="O162" s="279"/>
      <c r="P162" s="314"/>
      <c r="Q162" s="300" t="s">
        <v>134</v>
      </c>
      <c r="R162" s="276" t="s">
        <v>134</v>
      </c>
      <c r="S162" s="301"/>
      <c r="T162" s="276"/>
      <c r="U162" s="302"/>
      <c r="V162" s="303"/>
      <c r="W162" s="314"/>
      <c r="X162" s="300"/>
      <c r="Y162" s="304"/>
      <c r="Z162" s="276"/>
      <c r="AA162" s="301"/>
      <c r="AB162" s="304"/>
      <c r="AC162" s="276"/>
      <c r="AD162" s="312"/>
      <c r="AE162" s="1279" t="str">
        <f t="shared" si="23"/>
        <v>0x0 ~ 0xFF (-50~205deg C)
0xFF: Not equipped</v>
      </c>
      <c r="AF162" s="312"/>
      <c r="AG162" s="306">
        <v>-50</v>
      </c>
      <c r="AH162" s="307">
        <v>1</v>
      </c>
      <c r="AI162" s="332">
        <v>0</v>
      </c>
      <c r="AJ162" s="1271" t="s">
        <v>2509</v>
      </c>
      <c r="AK162" s="341">
        <f t="shared" si="24"/>
        <v>-50</v>
      </c>
      <c r="AL162" s="1275">
        <f t="shared" si="25"/>
        <v>205</v>
      </c>
      <c r="AM162" s="1231" t="s">
        <v>2445</v>
      </c>
      <c r="AN162" s="305" t="s">
        <v>754</v>
      </c>
      <c r="AO162" s="312"/>
      <c r="AP162" s="487" t="s">
        <v>1105</v>
      </c>
      <c r="AQ162" s="487" t="s">
        <v>440</v>
      </c>
      <c r="AS162" s="500" t="s">
        <v>1406</v>
      </c>
      <c r="AT162" s="500" t="s">
        <v>1406</v>
      </c>
      <c r="AU162" s="500" t="s">
        <v>1406</v>
      </c>
      <c r="AV162" s="500" t="s">
        <v>1406</v>
      </c>
    </row>
    <row r="163" spans="2:48" s="252" customFormat="1" ht="67.2" hidden="1">
      <c r="B163" s="1218" t="s">
        <v>2454</v>
      </c>
      <c r="C163" s="289" t="s">
        <v>134</v>
      </c>
      <c r="D163" s="289" t="s">
        <v>134</v>
      </c>
      <c r="E163" s="312"/>
      <c r="F163" s="1225" t="s">
        <v>1108</v>
      </c>
      <c r="G163" s="1614" t="s">
        <v>456</v>
      </c>
      <c r="H163" s="266">
        <v>1</v>
      </c>
      <c r="I163" s="266" t="s">
        <v>200</v>
      </c>
      <c r="J163" s="498" t="s">
        <v>457</v>
      </c>
      <c r="K163" s="312"/>
      <c r="L163" s="271" t="s">
        <v>134</v>
      </c>
      <c r="M163" s="272"/>
      <c r="N163" s="314"/>
      <c r="O163" s="277"/>
      <c r="P163" s="314"/>
      <c r="Q163" s="280" t="s">
        <v>134</v>
      </c>
      <c r="R163" s="272" t="s">
        <v>134</v>
      </c>
      <c r="S163" s="281"/>
      <c r="T163" s="272"/>
      <c r="U163" s="282"/>
      <c r="V163" s="283"/>
      <c r="W163" s="314"/>
      <c r="X163" s="280"/>
      <c r="Y163" s="284"/>
      <c r="Z163" s="272"/>
      <c r="AA163" s="281"/>
      <c r="AB163" s="284"/>
      <c r="AC163" s="272"/>
      <c r="AD163" s="312"/>
      <c r="AE163" s="1277" t="str">
        <f t="shared" si="23"/>
        <v>0x0 ~ 0xFF (0~51V)
0xFF: Not equipped (LD is not supported)</v>
      </c>
      <c r="AF163" s="312"/>
      <c r="AG163" s="286">
        <v>0</v>
      </c>
      <c r="AH163" s="287">
        <v>0.2</v>
      </c>
      <c r="AI163" s="328">
        <v>0</v>
      </c>
      <c r="AJ163" s="1253" t="s">
        <v>2509</v>
      </c>
      <c r="AK163" s="337">
        <f t="shared" si="24"/>
        <v>0</v>
      </c>
      <c r="AL163" s="1273">
        <f t="shared" si="25"/>
        <v>51</v>
      </c>
      <c r="AM163" s="287" t="s">
        <v>809</v>
      </c>
      <c r="AN163" s="1234" t="s">
        <v>2486</v>
      </c>
      <c r="AO163" s="312"/>
      <c r="AP163" s="310" t="s">
        <v>1104</v>
      </c>
      <c r="AQ163" s="310" t="s">
        <v>736</v>
      </c>
      <c r="AS163" s="913" t="s">
        <v>1866</v>
      </c>
      <c r="AT163" s="913" t="s">
        <v>1955</v>
      </c>
      <c r="AU163" s="913" t="s">
        <v>1957</v>
      </c>
      <c r="AV163" s="932" t="s">
        <v>2488</v>
      </c>
    </row>
    <row r="164" spans="2:48" s="252" customFormat="1" ht="26.4" hidden="1">
      <c r="B164" s="1218" t="s">
        <v>2454</v>
      </c>
      <c r="C164" s="684" t="s">
        <v>1712</v>
      </c>
      <c r="D164" s="299" t="s">
        <v>134</v>
      </c>
      <c r="E164" s="312"/>
      <c r="F164" s="1226" t="s">
        <v>1108</v>
      </c>
      <c r="G164" s="1615"/>
      <c r="H164" s="268" t="s">
        <v>299</v>
      </c>
      <c r="I164" s="268" t="s">
        <v>200</v>
      </c>
      <c r="J164" s="499" t="s">
        <v>458</v>
      </c>
      <c r="K164" s="312"/>
      <c r="L164" s="273" t="s">
        <v>134</v>
      </c>
      <c r="M164" s="274"/>
      <c r="N164" s="314"/>
      <c r="O164" s="278"/>
      <c r="P164" s="314"/>
      <c r="Q164" s="290" t="s">
        <v>134</v>
      </c>
      <c r="R164" s="274" t="s">
        <v>134</v>
      </c>
      <c r="S164" s="291"/>
      <c r="T164" s="274"/>
      <c r="U164" s="292"/>
      <c r="V164" s="293"/>
      <c r="W164" s="314"/>
      <c r="X164" s="290"/>
      <c r="Y164" s="294"/>
      <c r="Z164" s="274"/>
      <c r="AA164" s="291"/>
      <c r="AB164" s="294"/>
      <c r="AC164" s="274"/>
      <c r="AD164" s="312"/>
      <c r="AE164" s="1278" t="str">
        <f t="shared" si="23"/>
        <v>0x0 ~ 0xFF (0~51V)
0xFF: Not equipped</v>
      </c>
      <c r="AF164" s="312"/>
      <c r="AG164" s="296">
        <v>0</v>
      </c>
      <c r="AH164" s="297">
        <v>0.2</v>
      </c>
      <c r="AI164" s="330">
        <v>0</v>
      </c>
      <c r="AJ164" s="1270" t="s">
        <v>2509</v>
      </c>
      <c r="AK164" s="339">
        <f t="shared" si="24"/>
        <v>0</v>
      </c>
      <c r="AL164" s="1274">
        <f t="shared" si="25"/>
        <v>51</v>
      </c>
      <c r="AM164" s="297" t="s">
        <v>809</v>
      </c>
      <c r="AN164" s="295" t="s">
        <v>754</v>
      </c>
      <c r="AO164" s="312"/>
      <c r="AP164" s="486" t="s">
        <v>1105</v>
      </c>
      <c r="AQ164" s="486" t="s">
        <v>440</v>
      </c>
      <c r="AS164" s="501" t="s">
        <v>1406</v>
      </c>
      <c r="AT164" s="501" t="s">
        <v>1406</v>
      </c>
      <c r="AU164" s="501" t="s">
        <v>1406</v>
      </c>
      <c r="AV164" s="501" t="s">
        <v>1406</v>
      </c>
    </row>
    <row r="165" spans="2:48" s="252" customFormat="1" ht="26.4" hidden="1">
      <c r="B165" s="1218" t="s">
        <v>2454</v>
      </c>
      <c r="C165" s="684" t="s">
        <v>1712</v>
      </c>
      <c r="D165" s="299" t="s">
        <v>134</v>
      </c>
      <c r="E165" s="312"/>
      <c r="F165" s="1226" t="s">
        <v>1108</v>
      </c>
      <c r="G165" s="1615"/>
      <c r="H165" s="268" t="s">
        <v>287</v>
      </c>
      <c r="I165" s="268" t="s">
        <v>200</v>
      </c>
      <c r="J165" s="499" t="s">
        <v>459</v>
      </c>
      <c r="K165" s="312"/>
      <c r="L165" s="273" t="s">
        <v>134</v>
      </c>
      <c r="M165" s="274"/>
      <c r="N165" s="314"/>
      <c r="O165" s="278"/>
      <c r="P165" s="314"/>
      <c r="Q165" s="290" t="s">
        <v>134</v>
      </c>
      <c r="R165" s="274" t="s">
        <v>134</v>
      </c>
      <c r="S165" s="291"/>
      <c r="T165" s="274"/>
      <c r="U165" s="292"/>
      <c r="V165" s="293"/>
      <c r="W165" s="314"/>
      <c r="X165" s="290"/>
      <c r="Y165" s="294"/>
      <c r="Z165" s="274"/>
      <c r="AA165" s="291"/>
      <c r="AB165" s="294"/>
      <c r="AC165" s="274"/>
      <c r="AD165" s="312"/>
      <c r="AE165" s="1278" t="str">
        <f t="shared" si="23"/>
        <v>0x0 ~ 0xFF (0~51V)
0xFF: Not equipped</v>
      </c>
      <c r="AF165" s="312"/>
      <c r="AG165" s="296">
        <v>0</v>
      </c>
      <c r="AH165" s="297">
        <v>0.2</v>
      </c>
      <c r="AI165" s="330">
        <v>0</v>
      </c>
      <c r="AJ165" s="1270" t="s">
        <v>2509</v>
      </c>
      <c r="AK165" s="339">
        <f t="shared" si="24"/>
        <v>0</v>
      </c>
      <c r="AL165" s="1274">
        <f t="shared" si="25"/>
        <v>51</v>
      </c>
      <c r="AM165" s="297" t="s">
        <v>809</v>
      </c>
      <c r="AN165" s="295" t="s">
        <v>754</v>
      </c>
      <c r="AO165" s="312"/>
      <c r="AP165" s="486" t="s">
        <v>1105</v>
      </c>
      <c r="AQ165" s="486" t="s">
        <v>440</v>
      </c>
      <c r="AS165" s="501" t="s">
        <v>1406</v>
      </c>
      <c r="AT165" s="501" t="s">
        <v>1406</v>
      </c>
      <c r="AU165" s="501" t="s">
        <v>1406</v>
      </c>
      <c r="AV165" s="501" t="s">
        <v>1406</v>
      </c>
    </row>
    <row r="166" spans="2:48" s="252" customFormat="1" ht="26.4" hidden="1">
      <c r="B166" s="1218" t="s">
        <v>2454</v>
      </c>
      <c r="C166" s="684" t="s">
        <v>1712</v>
      </c>
      <c r="D166" s="299" t="s">
        <v>134</v>
      </c>
      <c r="E166" s="312"/>
      <c r="F166" s="1226" t="s">
        <v>1108</v>
      </c>
      <c r="G166" s="1615"/>
      <c r="H166" s="268" t="s">
        <v>295</v>
      </c>
      <c r="I166" s="268" t="s">
        <v>200</v>
      </c>
      <c r="J166" s="499" t="s">
        <v>460</v>
      </c>
      <c r="K166" s="312"/>
      <c r="L166" s="273" t="s">
        <v>134</v>
      </c>
      <c r="M166" s="274"/>
      <c r="N166" s="314"/>
      <c r="O166" s="278"/>
      <c r="P166" s="314"/>
      <c r="Q166" s="290" t="s">
        <v>134</v>
      </c>
      <c r="R166" s="274" t="s">
        <v>134</v>
      </c>
      <c r="S166" s="291"/>
      <c r="T166" s="274"/>
      <c r="U166" s="292"/>
      <c r="V166" s="293"/>
      <c r="W166" s="314"/>
      <c r="X166" s="290"/>
      <c r="Y166" s="294"/>
      <c r="Z166" s="274"/>
      <c r="AA166" s="291"/>
      <c r="AB166" s="294"/>
      <c r="AC166" s="274"/>
      <c r="AD166" s="312"/>
      <c r="AE166" s="1278" t="str">
        <f t="shared" si="23"/>
        <v>0x0 ~ 0xFF (0~51V)
0xFF: Not equipped</v>
      </c>
      <c r="AF166" s="312"/>
      <c r="AG166" s="296">
        <v>0</v>
      </c>
      <c r="AH166" s="297">
        <v>0.2</v>
      </c>
      <c r="AI166" s="330">
        <v>0</v>
      </c>
      <c r="AJ166" s="1270" t="s">
        <v>2509</v>
      </c>
      <c r="AK166" s="339">
        <f t="shared" si="24"/>
        <v>0</v>
      </c>
      <c r="AL166" s="1274">
        <f t="shared" si="25"/>
        <v>51</v>
      </c>
      <c r="AM166" s="297" t="s">
        <v>809</v>
      </c>
      <c r="AN166" s="295" t="s">
        <v>754</v>
      </c>
      <c r="AO166" s="312"/>
      <c r="AP166" s="486" t="s">
        <v>1105</v>
      </c>
      <c r="AQ166" s="486" t="s">
        <v>440</v>
      </c>
      <c r="AS166" s="501" t="s">
        <v>1406</v>
      </c>
      <c r="AT166" s="501" t="s">
        <v>1406</v>
      </c>
      <c r="AU166" s="501" t="s">
        <v>1406</v>
      </c>
      <c r="AV166" s="501" t="s">
        <v>1406</v>
      </c>
    </row>
    <row r="167" spans="2:48" s="252" customFormat="1" ht="26.4" hidden="1">
      <c r="B167" s="1218" t="s">
        <v>2454</v>
      </c>
      <c r="C167" s="689" t="s">
        <v>1712</v>
      </c>
      <c r="D167" s="309" t="s">
        <v>134</v>
      </c>
      <c r="E167" s="312"/>
      <c r="F167" s="1227" t="s">
        <v>1108</v>
      </c>
      <c r="G167" s="1615"/>
      <c r="H167" s="270" t="s">
        <v>292</v>
      </c>
      <c r="I167" s="270" t="s">
        <v>200</v>
      </c>
      <c r="J167" s="497" t="s">
        <v>461</v>
      </c>
      <c r="K167" s="312"/>
      <c r="L167" s="275" t="s">
        <v>134</v>
      </c>
      <c r="M167" s="276"/>
      <c r="N167" s="314"/>
      <c r="O167" s="279"/>
      <c r="P167" s="314"/>
      <c r="Q167" s="300" t="s">
        <v>134</v>
      </c>
      <c r="R167" s="276" t="s">
        <v>134</v>
      </c>
      <c r="S167" s="301"/>
      <c r="T167" s="276"/>
      <c r="U167" s="302"/>
      <c r="V167" s="303"/>
      <c r="W167" s="314"/>
      <c r="X167" s="300"/>
      <c r="Y167" s="304"/>
      <c r="Z167" s="276"/>
      <c r="AA167" s="301"/>
      <c r="AB167" s="304"/>
      <c r="AC167" s="276"/>
      <c r="AD167" s="312"/>
      <c r="AE167" s="1279" t="str">
        <f t="shared" si="23"/>
        <v>0x0 ~ 0xFF (0~51V)
0xFF: Not equipped</v>
      </c>
      <c r="AF167" s="312"/>
      <c r="AG167" s="306">
        <v>0</v>
      </c>
      <c r="AH167" s="307">
        <v>0.2</v>
      </c>
      <c r="AI167" s="332">
        <v>0</v>
      </c>
      <c r="AJ167" s="1271" t="s">
        <v>2509</v>
      </c>
      <c r="AK167" s="341">
        <f t="shared" si="24"/>
        <v>0</v>
      </c>
      <c r="AL167" s="1275">
        <f t="shared" si="25"/>
        <v>51</v>
      </c>
      <c r="AM167" s="307" t="s">
        <v>809</v>
      </c>
      <c r="AN167" s="305" t="s">
        <v>754</v>
      </c>
      <c r="AO167" s="312"/>
      <c r="AP167" s="487" t="s">
        <v>1105</v>
      </c>
      <c r="AQ167" s="487" t="s">
        <v>440</v>
      </c>
      <c r="AS167" s="500" t="s">
        <v>1406</v>
      </c>
      <c r="AT167" s="500" t="s">
        <v>1406</v>
      </c>
      <c r="AU167" s="500" t="s">
        <v>1406</v>
      </c>
      <c r="AV167" s="500" t="s">
        <v>1406</v>
      </c>
    </row>
    <row r="168" spans="2:48" s="252" customFormat="1" ht="67.2" hidden="1">
      <c r="B168" s="1218" t="s">
        <v>2454</v>
      </c>
      <c r="C168" s="289" t="s">
        <v>134</v>
      </c>
      <c r="D168" s="289" t="s">
        <v>134</v>
      </c>
      <c r="E168" s="312"/>
      <c r="F168" s="1225" t="s">
        <v>1109</v>
      </c>
      <c r="G168" s="1614" t="s">
        <v>462</v>
      </c>
      <c r="H168" s="266">
        <v>1</v>
      </c>
      <c r="I168" s="266" t="s">
        <v>200</v>
      </c>
      <c r="J168" s="498" t="s">
        <v>463</v>
      </c>
      <c r="K168" s="312"/>
      <c r="L168" s="271" t="s">
        <v>134</v>
      </c>
      <c r="M168" s="272"/>
      <c r="N168" s="314"/>
      <c r="O168" s="277"/>
      <c r="P168" s="314"/>
      <c r="Q168" s="280" t="s">
        <v>134</v>
      </c>
      <c r="R168" s="272" t="s">
        <v>134</v>
      </c>
      <c r="S168" s="281"/>
      <c r="T168" s="272"/>
      <c r="U168" s="282"/>
      <c r="V168" s="283"/>
      <c r="W168" s="314"/>
      <c r="X168" s="280"/>
      <c r="Y168" s="284"/>
      <c r="Z168" s="272"/>
      <c r="AA168" s="281"/>
      <c r="AB168" s="284"/>
      <c r="AC168" s="272"/>
      <c r="AD168" s="312"/>
      <c r="AE168" s="1277" t="str">
        <f t="shared" si="23"/>
        <v>0x0 ~ 0xFF (0~255A)
0xFF: Not equipped (LD is not supported)</v>
      </c>
      <c r="AF168" s="312"/>
      <c r="AG168" s="286">
        <v>0</v>
      </c>
      <c r="AH168" s="287">
        <v>1</v>
      </c>
      <c r="AI168" s="328">
        <v>0</v>
      </c>
      <c r="AJ168" s="1253" t="s">
        <v>2509</v>
      </c>
      <c r="AK168" s="337">
        <f t="shared" si="24"/>
        <v>0</v>
      </c>
      <c r="AL168" s="1273">
        <f t="shared" si="25"/>
        <v>255</v>
      </c>
      <c r="AM168" s="287" t="s">
        <v>810</v>
      </c>
      <c r="AN168" s="1234" t="s">
        <v>2486</v>
      </c>
      <c r="AO168" s="312"/>
      <c r="AP168" s="310" t="s">
        <v>1104</v>
      </c>
      <c r="AQ168" s="310" t="s">
        <v>737</v>
      </c>
      <c r="AS168" s="913" t="s">
        <v>1246</v>
      </c>
      <c r="AT168" s="913" t="s">
        <v>1955</v>
      </c>
      <c r="AU168" s="913" t="s">
        <v>1958</v>
      </c>
      <c r="AV168" s="932" t="s">
        <v>2487</v>
      </c>
    </row>
    <row r="169" spans="2:48" s="252" customFormat="1" ht="26.4" hidden="1">
      <c r="B169" s="1218" t="s">
        <v>2454</v>
      </c>
      <c r="C169" s="684" t="s">
        <v>1712</v>
      </c>
      <c r="D169" s="299" t="s">
        <v>134</v>
      </c>
      <c r="E169" s="312"/>
      <c r="F169" s="1226" t="s">
        <v>1109</v>
      </c>
      <c r="G169" s="1615"/>
      <c r="H169" s="268" t="s">
        <v>299</v>
      </c>
      <c r="I169" s="268" t="s">
        <v>200</v>
      </c>
      <c r="J169" s="499" t="s">
        <v>464</v>
      </c>
      <c r="K169" s="312"/>
      <c r="L169" s="273" t="s">
        <v>134</v>
      </c>
      <c r="M169" s="274"/>
      <c r="N169" s="314"/>
      <c r="O169" s="278"/>
      <c r="P169" s="314"/>
      <c r="Q169" s="290" t="s">
        <v>134</v>
      </c>
      <c r="R169" s="274" t="s">
        <v>134</v>
      </c>
      <c r="S169" s="291"/>
      <c r="T169" s="274"/>
      <c r="U169" s="292"/>
      <c r="V169" s="293"/>
      <c r="W169" s="314"/>
      <c r="X169" s="290"/>
      <c r="Y169" s="294"/>
      <c r="Z169" s="274"/>
      <c r="AA169" s="291"/>
      <c r="AB169" s="294"/>
      <c r="AC169" s="274"/>
      <c r="AD169" s="312"/>
      <c r="AE169" s="1278" t="str">
        <f t="shared" si="23"/>
        <v>0x0 ~ 0xFF (0~255A)
0xFF: Not equipped</v>
      </c>
      <c r="AF169" s="312"/>
      <c r="AG169" s="296">
        <v>0</v>
      </c>
      <c r="AH169" s="297">
        <v>1</v>
      </c>
      <c r="AI169" s="330">
        <v>0</v>
      </c>
      <c r="AJ169" s="1270" t="s">
        <v>2509</v>
      </c>
      <c r="AK169" s="339">
        <f t="shared" si="24"/>
        <v>0</v>
      </c>
      <c r="AL169" s="1274">
        <f t="shared" si="25"/>
        <v>255</v>
      </c>
      <c r="AM169" s="297" t="s">
        <v>810</v>
      </c>
      <c r="AN169" s="295" t="s">
        <v>754</v>
      </c>
      <c r="AO169" s="312"/>
      <c r="AP169" s="486" t="s">
        <v>1105</v>
      </c>
      <c r="AQ169" s="486" t="s">
        <v>440</v>
      </c>
      <c r="AS169" s="501" t="s">
        <v>1406</v>
      </c>
      <c r="AT169" s="501" t="s">
        <v>1406</v>
      </c>
      <c r="AU169" s="501" t="s">
        <v>1406</v>
      </c>
      <c r="AV169" s="501" t="s">
        <v>1406</v>
      </c>
    </row>
    <row r="170" spans="2:48" s="252" customFormat="1" ht="26.4" hidden="1">
      <c r="B170" s="1218" t="s">
        <v>2454</v>
      </c>
      <c r="C170" s="684" t="s">
        <v>1712</v>
      </c>
      <c r="D170" s="299" t="s">
        <v>134</v>
      </c>
      <c r="E170" s="312"/>
      <c r="F170" s="1226" t="s">
        <v>1109</v>
      </c>
      <c r="G170" s="1615"/>
      <c r="H170" s="268" t="s">
        <v>287</v>
      </c>
      <c r="I170" s="268" t="s">
        <v>200</v>
      </c>
      <c r="J170" s="499" t="s">
        <v>465</v>
      </c>
      <c r="K170" s="312"/>
      <c r="L170" s="273" t="s">
        <v>134</v>
      </c>
      <c r="M170" s="274"/>
      <c r="N170" s="314"/>
      <c r="O170" s="278"/>
      <c r="P170" s="314"/>
      <c r="Q170" s="290" t="s">
        <v>134</v>
      </c>
      <c r="R170" s="274" t="s">
        <v>134</v>
      </c>
      <c r="S170" s="291"/>
      <c r="T170" s="274"/>
      <c r="U170" s="292"/>
      <c r="V170" s="293"/>
      <c r="W170" s="314"/>
      <c r="X170" s="290"/>
      <c r="Y170" s="294"/>
      <c r="Z170" s="274"/>
      <c r="AA170" s="291"/>
      <c r="AB170" s="294"/>
      <c r="AC170" s="274"/>
      <c r="AD170" s="312"/>
      <c r="AE170" s="1278" t="str">
        <f t="shared" si="23"/>
        <v>0x0 ~ 0xFF (0~255A)
0xFF: Not equipped</v>
      </c>
      <c r="AF170" s="312"/>
      <c r="AG170" s="296">
        <v>0</v>
      </c>
      <c r="AH170" s="297">
        <v>1</v>
      </c>
      <c r="AI170" s="330">
        <v>0</v>
      </c>
      <c r="AJ170" s="1270" t="s">
        <v>2509</v>
      </c>
      <c r="AK170" s="339">
        <f t="shared" si="24"/>
        <v>0</v>
      </c>
      <c r="AL170" s="1274">
        <f t="shared" si="25"/>
        <v>255</v>
      </c>
      <c r="AM170" s="297" t="s">
        <v>810</v>
      </c>
      <c r="AN170" s="295" t="s">
        <v>754</v>
      </c>
      <c r="AO170" s="312"/>
      <c r="AP170" s="486" t="s">
        <v>1105</v>
      </c>
      <c r="AQ170" s="486" t="s">
        <v>440</v>
      </c>
      <c r="AS170" s="501" t="s">
        <v>1406</v>
      </c>
      <c r="AT170" s="501" t="s">
        <v>1406</v>
      </c>
      <c r="AU170" s="501" t="s">
        <v>1406</v>
      </c>
      <c r="AV170" s="501" t="s">
        <v>1406</v>
      </c>
    </row>
    <row r="171" spans="2:48" s="252" customFormat="1" ht="26.4" hidden="1">
      <c r="B171" s="1218" t="s">
        <v>2454</v>
      </c>
      <c r="C171" s="684" t="s">
        <v>1712</v>
      </c>
      <c r="D171" s="299" t="s">
        <v>134</v>
      </c>
      <c r="E171" s="312"/>
      <c r="F171" s="1226" t="s">
        <v>1109</v>
      </c>
      <c r="G171" s="1615"/>
      <c r="H171" s="268" t="s">
        <v>295</v>
      </c>
      <c r="I171" s="268" t="s">
        <v>200</v>
      </c>
      <c r="J171" s="499" t="s">
        <v>466</v>
      </c>
      <c r="K171" s="312"/>
      <c r="L171" s="273" t="s">
        <v>134</v>
      </c>
      <c r="M171" s="274"/>
      <c r="N171" s="314"/>
      <c r="O171" s="278"/>
      <c r="P171" s="314"/>
      <c r="Q171" s="290" t="s">
        <v>134</v>
      </c>
      <c r="R171" s="274" t="s">
        <v>134</v>
      </c>
      <c r="S171" s="291"/>
      <c r="T171" s="274"/>
      <c r="U171" s="292"/>
      <c r="V171" s="293"/>
      <c r="W171" s="314"/>
      <c r="X171" s="290"/>
      <c r="Y171" s="294"/>
      <c r="Z171" s="274"/>
      <c r="AA171" s="291"/>
      <c r="AB171" s="294"/>
      <c r="AC171" s="274"/>
      <c r="AD171" s="312"/>
      <c r="AE171" s="1278" t="str">
        <f t="shared" si="23"/>
        <v>0x0 ~ 0xFF (0~255A)
0xFF: Not equipped</v>
      </c>
      <c r="AF171" s="312"/>
      <c r="AG171" s="296">
        <v>0</v>
      </c>
      <c r="AH171" s="297">
        <v>1</v>
      </c>
      <c r="AI171" s="330">
        <v>0</v>
      </c>
      <c r="AJ171" s="1270" t="s">
        <v>2509</v>
      </c>
      <c r="AK171" s="339">
        <f t="shared" si="24"/>
        <v>0</v>
      </c>
      <c r="AL171" s="1274">
        <f t="shared" si="25"/>
        <v>255</v>
      </c>
      <c r="AM171" s="297" t="s">
        <v>810</v>
      </c>
      <c r="AN171" s="295" t="s">
        <v>754</v>
      </c>
      <c r="AO171" s="312"/>
      <c r="AP171" s="486" t="s">
        <v>1105</v>
      </c>
      <c r="AQ171" s="486" t="s">
        <v>440</v>
      </c>
      <c r="AS171" s="501" t="s">
        <v>1406</v>
      </c>
      <c r="AT171" s="501" t="s">
        <v>1406</v>
      </c>
      <c r="AU171" s="501" t="s">
        <v>1406</v>
      </c>
      <c r="AV171" s="501" t="s">
        <v>1406</v>
      </c>
    </row>
    <row r="172" spans="2:48" s="252" customFormat="1" ht="26.4" hidden="1">
      <c r="B172" s="1218" t="s">
        <v>2454</v>
      </c>
      <c r="C172" s="689" t="s">
        <v>1712</v>
      </c>
      <c r="D172" s="309" t="s">
        <v>134</v>
      </c>
      <c r="E172" s="312"/>
      <c r="F172" s="1227" t="s">
        <v>1109</v>
      </c>
      <c r="G172" s="1615"/>
      <c r="H172" s="270" t="s">
        <v>292</v>
      </c>
      <c r="I172" s="270" t="s">
        <v>200</v>
      </c>
      <c r="J172" s="497" t="s">
        <v>467</v>
      </c>
      <c r="K172" s="312"/>
      <c r="L172" s="275" t="s">
        <v>134</v>
      </c>
      <c r="M172" s="276"/>
      <c r="N172" s="314"/>
      <c r="O172" s="279"/>
      <c r="P172" s="314"/>
      <c r="Q172" s="300" t="s">
        <v>134</v>
      </c>
      <c r="R172" s="276" t="s">
        <v>134</v>
      </c>
      <c r="S172" s="301"/>
      <c r="T172" s="276"/>
      <c r="U172" s="302"/>
      <c r="V172" s="303"/>
      <c r="W172" s="314"/>
      <c r="X172" s="300"/>
      <c r="Y172" s="304"/>
      <c r="Z172" s="276"/>
      <c r="AA172" s="301"/>
      <c r="AB172" s="304"/>
      <c r="AC172" s="276"/>
      <c r="AD172" s="312"/>
      <c r="AE172" s="1279" t="str">
        <f t="shared" si="23"/>
        <v>0x0 ~ 0xFF (0~255A)
0xFF: Not equipped</v>
      </c>
      <c r="AF172" s="312"/>
      <c r="AG172" s="306">
        <v>0</v>
      </c>
      <c r="AH172" s="307">
        <v>1</v>
      </c>
      <c r="AI172" s="332">
        <v>0</v>
      </c>
      <c r="AJ172" s="1271" t="s">
        <v>2509</v>
      </c>
      <c r="AK172" s="341">
        <f t="shared" si="24"/>
        <v>0</v>
      </c>
      <c r="AL172" s="1275">
        <f t="shared" si="25"/>
        <v>255</v>
      </c>
      <c r="AM172" s="307" t="s">
        <v>810</v>
      </c>
      <c r="AN172" s="305" t="s">
        <v>754</v>
      </c>
      <c r="AO172" s="312"/>
      <c r="AP172" s="487" t="s">
        <v>1105</v>
      </c>
      <c r="AQ172" s="487" t="s">
        <v>440</v>
      </c>
      <c r="AS172" s="500" t="s">
        <v>1406</v>
      </c>
      <c r="AT172" s="500" t="s">
        <v>1406</v>
      </c>
      <c r="AU172" s="500" t="s">
        <v>1406</v>
      </c>
      <c r="AV172" s="500" t="s">
        <v>1406</v>
      </c>
    </row>
    <row r="173" spans="2:48" s="252" customFormat="1" ht="66" hidden="1">
      <c r="B173" s="1218" t="s">
        <v>2454</v>
      </c>
      <c r="C173" s="289" t="s">
        <v>134</v>
      </c>
      <c r="D173" s="289" t="s">
        <v>134</v>
      </c>
      <c r="E173" s="312"/>
      <c r="F173" s="1225" t="s">
        <v>1110</v>
      </c>
      <c r="G173" s="1614" t="s">
        <v>468</v>
      </c>
      <c r="H173" s="266">
        <v>1</v>
      </c>
      <c r="I173" s="266" t="s">
        <v>200</v>
      </c>
      <c r="J173" s="498" t="s">
        <v>469</v>
      </c>
      <c r="K173" s="312"/>
      <c r="L173" s="271" t="s">
        <v>134</v>
      </c>
      <c r="M173" s="272"/>
      <c r="N173" s="314"/>
      <c r="O173" s="277"/>
      <c r="P173" s="314"/>
      <c r="Q173" s="280" t="s">
        <v>134</v>
      </c>
      <c r="R173" s="272" t="s">
        <v>134</v>
      </c>
      <c r="S173" s="281"/>
      <c r="T173" s="272"/>
      <c r="U173" s="282"/>
      <c r="V173" s="283"/>
      <c r="W173" s="314"/>
      <c r="X173" s="280"/>
      <c r="Y173" s="284"/>
      <c r="Z173" s="272"/>
      <c r="AA173" s="281"/>
      <c r="AB173" s="284"/>
      <c r="AC173" s="272"/>
      <c r="AD173" s="312"/>
      <c r="AE173" s="1309" t="str">
        <f t="shared" si="23"/>
        <v>0x0 ~ 0x1 (0~1 -)
0x0: Normal
0x1: Error
0x3: Not equipped (LD is not supported)</v>
      </c>
      <c r="AF173" s="312"/>
      <c r="AG173" s="1258">
        <v>0</v>
      </c>
      <c r="AH173" s="1259">
        <v>1</v>
      </c>
      <c r="AI173" s="328">
        <v>0</v>
      </c>
      <c r="AJ173" s="1307">
        <v>1</v>
      </c>
      <c r="AK173" s="337">
        <f t="shared" si="24"/>
        <v>0</v>
      </c>
      <c r="AL173" s="1308">
        <f t="shared" si="25"/>
        <v>1</v>
      </c>
      <c r="AM173" s="1259" t="s">
        <v>2516</v>
      </c>
      <c r="AN173" s="1234" t="s">
        <v>2484</v>
      </c>
      <c r="AO173" s="312"/>
      <c r="AP173" s="310" t="s">
        <v>1104</v>
      </c>
      <c r="AQ173" s="310" t="s">
        <v>738</v>
      </c>
      <c r="AS173" s="913" t="s">
        <v>1866</v>
      </c>
      <c r="AT173" s="913" t="s">
        <v>1955</v>
      </c>
      <c r="AU173" s="913" t="s">
        <v>1959</v>
      </c>
      <c r="AV173" s="932" t="s">
        <v>2485</v>
      </c>
    </row>
    <row r="174" spans="2:48" s="252" customFormat="1" ht="52.8" hidden="1">
      <c r="B174" s="1218" t="s">
        <v>2454</v>
      </c>
      <c r="C174" s="684" t="s">
        <v>1712</v>
      </c>
      <c r="D174" s="299" t="s">
        <v>134</v>
      </c>
      <c r="E174" s="312"/>
      <c r="F174" s="1226" t="s">
        <v>2455</v>
      </c>
      <c r="G174" s="1615"/>
      <c r="H174" s="268" t="s">
        <v>299</v>
      </c>
      <c r="I174" s="268" t="s">
        <v>200</v>
      </c>
      <c r="J174" s="499" t="s">
        <v>470</v>
      </c>
      <c r="K174" s="312"/>
      <c r="L174" s="273" t="s">
        <v>134</v>
      </c>
      <c r="M174" s="274"/>
      <c r="N174" s="314"/>
      <c r="O174" s="278"/>
      <c r="P174" s="314"/>
      <c r="Q174" s="290" t="s">
        <v>134</v>
      </c>
      <c r="R174" s="274" t="s">
        <v>134</v>
      </c>
      <c r="S174" s="291"/>
      <c r="T174" s="274"/>
      <c r="U174" s="292"/>
      <c r="V174" s="293"/>
      <c r="W174" s="314"/>
      <c r="X174" s="290"/>
      <c r="Y174" s="294"/>
      <c r="Z174" s="274"/>
      <c r="AA174" s="291"/>
      <c r="AB174" s="294"/>
      <c r="AC174" s="274"/>
      <c r="AD174" s="312"/>
      <c r="AE174" s="295" t="str">
        <f t="shared" ref="AE174:AE239" si="26">IF(AM174&lt;&gt;"",
       "0x" &amp; AI174 &amp;" ~ 0x" &amp; AJ174 &amp; " (" &amp; AK174 &amp;"~" &amp; AL174 &amp; AM174 &amp; ")","")&amp;IF(AN174&lt;&gt;"",IF(AM174&lt;&gt;"",CHAR(10)&amp;AN174,AN174),
       "")</f>
        <v>0x0 ~ 0xFF (0~255 -)
0x0: Normal
0x1: Error
0x3: Not equipped</v>
      </c>
      <c r="AF174" s="312"/>
      <c r="AG174" s="1260">
        <v>0</v>
      </c>
      <c r="AH174" s="1261">
        <v>1</v>
      </c>
      <c r="AI174" s="330">
        <v>0</v>
      </c>
      <c r="AJ174" s="1270" t="s">
        <v>2509</v>
      </c>
      <c r="AK174" s="339">
        <f t="shared" si="24"/>
        <v>0</v>
      </c>
      <c r="AL174" s="1274">
        <f t="shared" si="25"/>
        <v>255</v>
      </c>
      <c r="AM174" s="1261" t="s">
        <v>2516</v>
      </c>
      <c r="AN174" s="295" t="s">
        <v>811</v>
      </c>
      <c r="AO174" s="312"/>
      <c r="AP174" s="486" t="s">
        <v>1105</v>
      </c>
      <c r="AQ174" s="486" t="s">
        <v>440</v>
      </c>
      <c r="AS174" s="501" t="s">
        <v>1406</v>
      </c>
      <c r="AT174" s="501" t="s">
        <v>1406</v>
      </c>
      <c r="AU174" s="501" t="s">
        <v>1406</v>
      </c>
      <c r="AV174" s="501" t="s">
        <v>1406</v>
      </c>
    </row>
    <row r="175" spans="2:48" s="252" customFormat="1" ht="52.8" hidden="1">
      <c r="B175" s="1218" t="s">
        <v>2454</v>
      </c>
      <c r="C175" s="684" t="s">
        <v>1712</v>
      </c>
      <c r="D175" s="299" t="s">
        <v>134</v>
      </c>
      <c r="E175" s="312"/>
      <c r="F175" s="1226" t="s">
        <v>2455</v>
      </c>
      <c r="G175" s="1615"/>
      <c r="H175" s="268" t="s">
        <v>287</v>
      </c>
      <c r="I175" s="268" t="s">
        <v>200</v>
      </c>
      <c r="J175" s="499" t="s">
        <v>471</v>
      </c>
      <c r="K175" s="312"/>
      <c r="L175" s="273" t="s">
        <v>134</v>
      </c>
      <c r="M175" s="274"/>
      <c r="N175" s="314"/>
      <c r="O175" s="278"/>
      <c r="P175" s="314"/>
      <c r="Q175" s="290" t="s">
        <v>134</v>
      </c>
      <c r="R175" s="274" t="s">
        <v>134</v>
      </c>
      <c r="S175" s="291"/>
      <c r="T175" s="274"/>
      <c r="U175" s="292"/>
      <c r="V175" s="293"/>
      <c r="W175" s="314"/>
      <c r="X175" s="290"/>
      <c r="Y175" s="294"/>
      <c r="Z175" s="274"/>
      <c r="AA175" s="291"/>
      <c r="AB175" s="294"/>
      <c r="AC175" s="274"/>
      <c r="AD175" s="312"/>
      <c r="AE175" s="295" t="str">
        <f t="shared" si="26"/>
        <v>0x0 ~ 0xFF (0~255 -)
0x0: Normal
0x1: Error
0x3: Not equipped</v>
      </c>
      <c r="AF175" s="312"/>
      <c r="AG175" s="1260">
        <v>0</v>
      </c>
      <c r="AH175" s="1261">
        <v>1</v>
      </c>
      <c r="AI175" s="330">
        <v>0</v>
      </c>
      <c r="AJ175" s="1270" t="s">
        <v>2509</v>
      </c>
      <c r="AK175" s="339">
        <f t="shared" si="24"/>
        <v>0</v>
      </c>
      <c r="AL175" s="1274">
        <f t="shared" si="25"/>
        <v>255</v>
      </c>
      <c r="AM175" s="1261" t="s">
        <v>2516</v>
      </c>
      <c r="AN175" s="295" t="s">
        <v>811</v>
      </c>
      <c r="AO175" s="312"/>
      <c r="AP175" s="486" t="s">
        <v>1105</v>
      </c>
      <c r="AQ175" s="486" t="s">
        <v>440</v>
      </c>
      <c r="AS175" s="501" t="s">
        <v>1406</v>
      </c>
      <c r="AT175" s="501" t="s">
        <v>1406</v>
      </c>
      <c r="AU175" s="501" t="s">
        <v>1406</v>
      </c>
      <c r="AV175" s="501" t="s">
        <v>1406</v>
      </c>
    </row>
    <row r="176" spans="2:48" s="252" customFormat="1" ht="52.8" hidden="1">
      <c r="B176" s="1218" t="s">
        <v>2454</v>
      </c>
      <c r="C176" s="684" t="s">
        <v>1712</v>
      </c>
      <c r="D176" s="299" t="s">
        <v>134</v>
      </c>
      <c r="E176" s="312"/>
      <c r="F176" s="1226" t="s">
        <v>2455</v>
      </c>
      <c r="G176" s="1615"/>
      <c r="H176" s="268" t="s">
        <v>295</v>
      </c>
      <c r="I176" s="268" t="s">
        <v>200</v>
      </c>
      <c r="J176" s="499" t="s">
        <v>472</v>
      </c>
      <c r="K176" s="312"/>
      <c r="L176" s="273" t="s">
        <v>134</v>
      </c>
      <c r="M176" s="274"/>
      <c r="N176" s="314"/>
      <c r="O176" s="278"/>
      <c r="P176" s="314"/>
      <c r="Q176" s="290" t="s">
        <v>134</v>
      </c>
      <c r="R176" s="274" t="s">
        <v>134</v>
      </c>
      <c r="S176" s="291"/>
      <c r="T176" s="274"/>
      <c r="U176" s="292"/>
      <c r="V176" s="293"/>
      <c r="W176" s="314"/>
      <c r="X176" s="290"/>
      <c r="Y176" s="294"/>
      <c r="Z176" s="274"/>
      <c r="AA176" s="291"/>
      <c r="AB176" s="294"/>
      <c r="AC176" s="274"/>
      <c r="AD176" s="312"/>
      <c r="AE176" s="295" t="str">
        <f t="shared" si="26"/>
        <v>0x0 ~ 0xFF (0~255 -)
0x0: Normal
0x1: Error
0x3: Not equipped</v>
      </c>
      <c r="AF176" s="312"/>
      <c r="AG176" s="1260">
        <v>0</v>
      </c>
      <c r="AH176" s="1261">
        <v>1</v>
      </c>
      <c r="AI176" s="330">
        <v>0</v>
      </c>
      <c r="AJ176" s="1270" t="s">
        <v>2509</v>
      </c>
      <c r="AK176" s="339">
        <f t="shared" si="24"/>
        <v>0</v>
      </c>
      <c r="AL176" s="1274">
        <f t="shared" si="25"/>
        <v>255</v>
      </c>
      <c r="AM176" s="1261" t="s">
        <v>2516</v>
      </c>
      <c r="AN176" s="295" t="s">
        <v>811</v>
      </c>
      <c r="AO176" s="312"/>
      <c r="AP176" s="486" t="s">
        <v>1105</v>
      </c>
      <c r="AQ176" s="486" t="s">
        <v>440</v>
      </c>
      <c r="AS176" s="501" t="s">
        <v>1406</v>
      </c>
      <c r="AT176" s="501" t="s">
        <v>1406</v>
      </c>
      <c r="AU176" s="501" t="s">
        <v>1406</v>
      </c>
      <c r="AV176" s="501" t="s">
        <v>1406</v>
      </c>
    </row>
    <row r="177" spans="2:48" s="252" customFormat="1" ht="52.8" hidden="1">
      <c r="B177" s="1218" t="s">
        <v>2454</v>
      </c>
      <c r="C177" s="689" t="s">
        <v>1712</v>
      </c>
      <c r="D177" s="309" t="s">
        <v>134</v>
      </c>
      <c r="E177" s="312"/>
      <c r="F177" s="1227" t="s">
        <v>2455</v>
      </c>
      <c r="G177" s="1615"/>
      <c r="H177" s="270" t="s">
        <v>292</v>
      </c>
      <c r="I177" s="270" t="s">
        <v>200</v>
      </c>
      <c r="J177" s="497" t="s">
        <v>473</v>
      </c>
      <c r="K177" s="312"/>
      <c r="L177" s="275" t="s">
        <v>134</v>
      </c>
      <c r="M177" s="276"/>
      <c r="N177" s="314"/>
      <c r="O177" s="279"/>
      <c r="P177" s="314"/>
      <c r="Q177" s="300" t="s">
        <v>134</v>
      </c>
      <c r="R177" s="276" t="s">
        <v>134</v>
      </c>
      <c r="S177" s="301"/>
      <c r="T177" s="276"/>
      <c r="U177" s="302"/>
      <c r="V177" s="303"/>
      <c r="W177" s="314"/>
      <c r="X177" s="300"/>
      <c r="Y177" s="304"/>
      <c r="Z177" s="276"/>
      <c r="AA177" s="301"/>
      <c r="AB177" s="304"/>
      <c r="AC177" s="276"/>
      <c r="AD177" s="312"/>
      <c r="AE177" s="305" t="str">
        <f t="shared" si="26"/>
        <v>0x0 ~ 0xFF (0~255 -)
0x0: Normal
0x1: Error
0x3: Not equipped</v>
      </c>
      <c r="AF177" s="312"/>
      <c r="AG177" s="1262">
        <v>0</v>
      </c>
      <c r="AH177" s="1263">
        <v>1</v>
      </c>
      <c r="AI177" s="332">
        <v>0</v>
      </c>
      <c r="AJ177" s="1271" t="s">
        <v>2509</v>
      </c>
      <c r="AK177" s="341">
        <f t="shared" si="24"/>
        <v>0</v>
      </c>
      <c r="AL177" s="1275">
        <f t="shared" si="25"/>
        <v>255</v>
      </c>
      <c r="AM177" s="1263" t="s">
        <v>2516</v>
      </c>
      <c r="AN177" s="305" t="s">
        <v>811</v>
      </c>
      <c r="AO177" s="312"/>
      <c r="AP177" s="487" t="s">
        <v>1105</v>
      </c>
      <c r="AQ177" s="487" t="s">
        <v>440</v>
      </c>
      <c r="AS177" s="500" t="s">
        <v>1406</v>
      </c>
      <c r="AT177" s="500" t="s">
        <v>1406</v>
      </c>
      <c r="AU177" s="500" t="s">
        <v>1406</v>
      </c>
      <c r="AV177" s="500" t="s">
        <v>1406</v>
      </c>
    </row>
    <row r="178" spans="2:48" s="252" customFormat="1" ht="66" hidden="1">
      <c r="B178" s="1218" t="s">
        <v>2454</v>
      </c>
      <c r="C178" s="289" t="s">
        <v>134</v>
      </c>
      <c r="D178" s="289" t="s">
        <v>134</v>
      </c>
      <c r="E178" s="312"/>
      <c r="F178" s="1225" t="s">
        <v>1111</v>
      </c>
      <c r="G178" s="1614" t="s">
        <v>474</v>
      </c>
      <c r="H178" s="266">
        <v>1</v>
      </c>
      <c r="I178" s="266" t="s">
        <v>200</v>
      </c>
      <c r="J178" s="498" t="s">
        <v>475</v>
      </c>
      <c r="K178" s="312"/>
      <c r="L178" s="271" t="s">
        <v>134</v>
      </c>
      <c r="M178" s="272"/>
      <c r="N178" s="314"/>
      <c r="O178" s="277"/>
      <c r="P178" s="314"/>
      <c r="Q178" s="280" t="s">
        <v>134</v>
      </c>
      <c r="R178" s="272" t="s">
        <v>134</v>
      </c>
      <c r="S178" s="281"/>
      <c r="T178" s="272"/>
      <c r="U178" s="282"/>
      <c r="V178" s="283"/>
      <c r="W178" s="314"/>
      <c r="X178" s="280"/>
      <c r="Y178" s="284"/>
      <c r="Z178" s="272"/>
      <c r="AA178" s="281"/>
      <c r="AB178" s="284"/>
      <c r="AC178" s="272"/>
      <c r="AD178" s="312"/>
      <c r="AE178" s="1309" t="str">
        <f t="shared" si="26"/>
        <v>0x0 ~ 0x1 (0~1 -)
0x0: Stop
0x1: Operating
0x3: Not equipped (LD is not supported)</v>
      </c>
      <c r="AF178" s="312"/>
      <c r="AG178" s="1258">
        <v>0</v>
      </c>
      <c r="AH178" s="1259">
        <v>1</v>
      </c>
      <c r="AI178" s="328">
        <v>0</v>
      </c>
      <c r="AJ178" s="1307">
        <v>1</v>
      </c>
      <c r="AK178" s="337">
        <f t="shared" si="24"/>
        <v>0</v>
      </c>
      <c r="AL178" s="1308">
        <f t="shared" si="25"/>
        <v>1</v>
      </c>
      <c r="AM178" s="1259" t="s">
        <v>2516</v>
      </c>
      <c r="AN178" s="1234" t="s">
        <v>2489</v>
      </c>
      <c r="AO178" s="312"/>
      <c r="AP178" s="310" t="s">
        <v>1104</v>
      </c>
      <c r="AQ178" s="310" t="s">
        <v>739</v>
      </c>
      <c r="AS178" s="913" t="s">
        <v>1246</v>
      </c>
      <c r="AT178" s="913" t="s">
        <v>1955</v>
      </c>
      <c r="AU178" s="913" t="s">
        <v>1960</v>
      </c>
      <c r="AV178" s="932" t="s">
        <v>1961</v>
      </c>
    </row>
    <row r="179" spans="2:48" s="252" customFormat="1" ht="52.8" hidden="1">
      <c r="B179" s="1218" t="s">
        <v>2454</v>
      </c>
      <c r="C179" s="684" t="s">
        <v>1712</v>
      </c>
      <c r="D179" s="299" t="s">
        <v>134</v>
      </c>
      <c r="E179" s="312"/>
      <c r="F179" s="1226" t="s">
        <v>2456</v>
      </c>
      <c r="G179" s="1615"/>
      <c r="H179" s="268" t="s">
        <v>299</v>
      </c>
      <c r="I179" s="268" t="s">
        <v>200</v>
      </c>
      <c r="J179" s="499" t="s">
        <v>476</v>
      </c>
      <c r="K179" s="312"/>
      <c r="L179" s="273" t="s">
        <v>134</v>
      </c>
      <c r="M179" s="274"/>
      <c r="N179" s="314"/>
      <c r="O179" s="278"/>
      <c r="P179" s="314"/>
      <c r="Q179" s="290" t="s">
        <v>134</v>
      </c>
      <c r="R179" s="274" t="s">
        <v>134</v>
      </c>
      <c r="S179" s="291"/>
      <c r="T179" s="274"/>
      <c r="U179" s="292"/>
      <c r="V179" s="293"/>
      <c r="W179" s="314"/>
      <c r="X179" s="290"/>
      <c r="Y179" s="294"/>
      <c r="Z179" s="274"/>
      <c r="AA179" s="291"/>
      <c r="AB179" s="294"/>
      <c r="AC179" s="274"/>
      <c r="AD179" s="312"/>
      <c r="AE179" s="295" t="str">
        <f t="shared" si="26"/>
        <v>0x0 ~ 0xFF (0~255 -)
0x0: Stop
0x1: Operating
0x3: Not equipped</v>
      </c>
      <c r="AF179" s="312"/>
      <c r="AG179" s="1260">
        <v>0</v>
      </c>
      <c r="AH179" s="1261">
        <v>1</v>
      </c>
      <c r="AI179" s="330">
        <v>0</v>
      </c>
      <c r="AJ179" s="1270" t="s">
        <v>2509</v>
      </c>
      <c r="AK179" s="339">
        <f t="shared" si="24"/>
        <v>0</v>
      </c>
      <c r="AL179" s="1274">
        <f t="shared" ref="AL179:AL244" si="27">HEX2DEC(AJ179)*AH179+AG179</f>
        <v>255</v>
      </c>
      <c r="AM179" s="1261" t="s">
        <v>2516</v>
      </c>
      <c r="AN179" s="295" t="s">
        <v>812</v>
      </c>
      <c r="AO179" s="312"/>
      <c r="AP179" s="486" t="s">
        <v>1105</v>
      </c>
      <c r="AQ179" s="486" t="s">
        <v>440</v>
      </c>
      <c r="AS179" s="501" t="s">
        <v>1406</v>
      </c>
      <c r="AT179" s="501" t="s">
        <v>1406</v>
      </c>
      <c r="AU179" s="501" t="s">
        <v>1406</v>
      </c>
      <c r="AV179" s="501" t="s">
        <v>1406</v>
      </c>
    </row>
    <row r="180" spans="2:48" s="252" customFormat="1" ht="52.8" hidden="1">
      <c r="B180" s="1218" t="s">
        <v>2454</v>
      </c>
      <c r="C180" s="684" t="s">
        <v>1712</v>
      </c>
      <c r="D180" s="299" t="s">
        <v>134</v>
      </c>
      <c r="E180" s="312"/>
      <c r="F180" s="1226" t="s">
        <v>2456</v>
      </c>
      <c r="G180" s="1615"/>
      <c r="H180" s="268" t="s">
        <v>287</v>
      </c>
      <c r="I180" s="268" t="s">
        <v>200</v>
      </c>
      <c r="J180" s="499" t="s">
        <v>477</v>
      </c>
      <c r="K180" s="312"/>
      <c r="L180" s="273" t="s">
        <v>134</v>
      </c>
      <c r="M180" s="274"/>
      <c r="N180" s="314"/>
      <c r="O180" s="278"/>
      <c r="P180" s="314"/>
      <c r="Q180" s="290" t="s">
        <v>134</v>
      </c>
      <c r="R180" s="274" t="s">
        <v>134</v>
      </c>
      <c r="S180" s="291"/>
      <c r="T180" s="274"/>
      <c r="U180" s="292"/>
      <c r="V180" s="293"/>
      <c r="W180" s="314"/>
      <c r="X180" s="290"/>
      <c r="Y180" s="294"/>
      <c r="Z180" s="274"/>
      <c r="AA180" s="291"/>
      <c r="AB180" s="294"/>
      <c r="AC180" s="274"/>
      <c r="AD180" s="312"/>
      <c r="AE180" s="295" t="str">
        <f t="shared" si="26"/>
        <v>0x0 ~ 0xFF (0~255 -)
0x0: Stop
0x1: Operating
0x3: Not equipped</v>
      </c>
      <c r="AF180" s="312"/>
      <c r="AG180" s="1260">
        <v>0</v>
      </c>
      <c r="AH180" s="1261">
        <v>1</v>
      </c>
      <c r="AI180" s="330">
        <v>0</v>
      </c>
      <c r="AJ180" s="1270" t="s">
        <v>2509</v>
      </c>
      <c r="AK180" s="339">
        <f t="shared" ref="AK180:AK211" si="28">HEX2DEC(AI180)*AH180+AG180</f>
        <v>0</v>
      </c>
      <c r="AL180" s="1274">
        <f t="shared" si="27"/>
        <v>255</v>
      </c>
      <c r="AM180" s="1261" t="s">
        <v>2516</v>
      </c>
      <c r="AN180" s="295" t="s">
        <v>812</v>
      </c>
      <c r="AO180" s="312"/>
      <c r="AP180" s="486" t="s">
        <v>1105</v>
      </c>
      <c r="AQ180" s="486" t="s">
        <v>440</v>
      </c>
      <c r="AS180" s="501" t="s">
        <v>1406</v>
      </c>
      <c r="AT180" s="501" t="s">
        <v>1406</v>
      </c>
      <c r="AU180" s="501" t="s">
        <v>1406</v>
      </c>
      <c r="AV180" s="501" t="s">
        <v>1406</v>
      </c>
    </row>
    <row r="181" spans="2:48" s="252" customFormat="1" ht="52.8" hidden="1">
      <c r="B181" s="1218" t="s">
        <v>2454</v>
      </c>
      <c r="C181" s="684" t="s">
        <v>1712</v>
      </c>
      <c r="D181" s="299" t="s">
        <v>134</v>
      </c>
      <c r="E181" s="312"/>
      <c r="F181" s="1226" t="s">
        <v>2456</v>
      </c>
      <c r="G181" s="1615"/>
      <c r="H181" s="268" t="s">
        <v>295</v>
      </c>
      <c r="I181" s="268" t="s">
        <v>200</v>
      </c>
      <c r="J181" s="499" t="s">
        <v>478</v>
      </c>
      <c r="K181" s="312"/>
      <c r="L181" s="273" t="s">
        <v>134</v>
      </c>
      <c r="M181" s="274"/>
      <c r="N181" s="314"/>
      <c r="O181" s="278"/>
      <c r="P181" s="314"/>
      <c r="Q181" s="290" t="s">
        <v>134</v>
      </c>
      <c r="R181" s="274" t="s">
        <v>134</v>
      </c>
      <c r="S181" s="291"/>
      <c r="T181" s="274"/>
      <c r="U181" s="292"/>
      <c r="V181" s="293"/>
      <c r="W181" s="314"/>
      <c r="X181" s="290"/>
      <c r="Y181" s="294"/>
      <c r="Z181" s="274"/>
      <c r="AA181" s="291"/>
      <c r="AB181" s="294"/>
      <c r="AC181" s="274"/>
      <c r="AD181" s="312"/>
      <c r="AE181" s="295" t="str">
        <f t="shared" si="26"/>
        <v>0x0 ~ 0xFF (0~255 -)
0x0: Stop
0x1: Operating
0x3: Not equipped</v>
      </c>
      <c r="AF181" s="312"/>
      <c r="AG181" s="1260">
        <v>0</v>
      </c>
      <c r="AH181" s="1261">
        <v>1</v>
      </c>
      <c r="AI181" s="330">
        <v>0</v>
      </c>
      <c r="AJ181" s="1270" t="s">
        <v>2509</v>
      </c>
      <c r="AK181" s="339">
        <f t="shared" si="28"/>
        <v>0</v>
      </c>
      <c r="AL181" s="1274">
        <f t="shared" si="27"/>
        <v>255</v>
      </c>
      <c r="AM181" s="1261" t="s">
        <v>2516</v>
      </c>
      <c r="AN181" s="295" t="s">
        <v>812</v>
      </c>
      <c r="AO181" s="312"/>
      <c r="AP181" s="486" t="s">
        <v>1105</v>
      </c>
      <c r="AQ181" s="486" t="s">
        <v>440</v>
      </c>
      <c r="AS181" s="501" t="s">
        <v>1406</v>
      </c>
      <c r="AT181" s="501" t="s">
        <v>1406</v>
      </c>
      <c r="AU181" s="501" t="s">
        <v>1406</v>
      </c>
      <c r="AV181" s="501" t="s">
        <v>1406</v>
      </c>
    </row>
    <row r="182" spans="2:48" s="252" customFormat="1" ht="52.8" hidden="1">
      <c r="B182" s="1218" t="s">
        <v>2454</v>
      </c>
      <c r="C182" s="689" t="s">
        <v>1712</v>
      </c>
      <c r="D182" s="309" t="s">
        <v>134</v>
      </c>
      <c r="E182" s="312"/>
      <c r="F182" s="1227" t="s">
        <v>2456</v>
      </c>
      <c r="G182" s="1615"/>
      <c r="H182" s="270" t="s">
        <v>292</v>
      </c>
      <c r="I182" s="270" t="s">
        <v>200</v>
      </c>
      <c r="J182" s="497" t="s">
        <v>479</v>
      </c>
      <c r="K182" s="312"/>
      <c r="L182" s="275" t="s">
        <v>134</v>
      </c>
      <c r="M182" s="276"/>
      <c r="N182" s="314"/>
      <c r="O182" s="279"/>
      <c r="P182" s="314"/>
      <c r="Q182" s="300" t="s">
        <v>134</v>
      </c>
      <c r="R182" s="276" t="s">
        <v>134</v>
      </c>
      <c r="S182" s="301"/>
      <c r="T182" s="276"/>
      <c r="U182" s="302"/>
      <c r="V182" s="303"/>
      <c r="W182" s="314"/>
      <c r="X182" s="300"/>
      <c r="Y182" s="304"/>
      <c r="Z182" s="276"/>
      <c r="AA182" s="301"/>
      <c r="AB182" s="304"/>
      <c r="AC182" s="276"/>
      <c r="AD182" s="312"/>
      <c r="AE182" s="305" t="str">
        <f t="shared" si="26"/>
        <v>0x0 ~ 0xFF (0~255 -)
0x0: Stop
0x1: Operating
0x3: Not equipped</v>
      </c>
      <c r="AF182" s="312"/>
      <c r="AG182" s="1262">
        <v>0</v>
      </c>
      <c r="AH182" s="1263">
        <v>1</v>
      </c>
      <c r="AI182" s="332">
        <v>0</v>
      </c>
      <c r="AJ182" s="1271" t="s">
        <v>2509</v>
      </c>
      <c r="AK182" s="341">
        <f t="shared" si="28"/>
        <v>0</v>
      </c>
      <c r="AL182" s="1275">
        <f t="shared" si="27"/>
        <v>255</v>
      </c>
      <c r="AM182" s="1263" t="s">
        <v>2516</v>
      </c>
      <c r="AN182" s="305" t="s">
        <v>812</v>
      </c>
      <c r="AO182" s="312"/>
      <c r="AP182" s="487" t="s">
        <v>1105</v>
      </c>
      <c r="AQ182" s="487" t="s">
        <v>440</v>
      </c>
      <c r="AS182" s="500" t="s">
        <v>1406</v>
      </c>
      <c r="AT182" s="500" t="s">
        <v>1406</v>
      </c>
      <c r="AU182" s="500" t="s">
        <v>1406</v>
      </c>
      <c r="AV182" s="500" t="s">
        <v>1406</v>
      </c>
    </row>
    <row r="183" spans="2:48" s="252" customFormat="1" ht="66" hidden="1">
      <c r="B183" s="1218" t="s">
        <v>2454</v>
      </c>
      <c r="C183" s="289" t="s">
        <v>134</v>
      </c>
      <c r="D183" s="289" t="s">
        <v>134</v>
      </c>
      <c r="E183" s="312"/>
      <c r="F183" s="1225" t="s">
        <v>1112</v>
      </c>
      <c r="G183" s="1614" t="s">
        <v>480</v>
      </c>
      <c r="H183" s="266">
        <v>1</v>
      </c>
      <c r="I183" s="266" t="s">
        <v>200</v>
      </c>
      <c r="J183" s="498" t="s">
        <v>481</v>
      </c>
      <c r="K183" s="312"/>
      <c r="L183" s="271" t="s">
        <v>134</v>
      </c>
      <c r="M183" s="272"/>
      <c r="N183" s="314"/>
      <c r="O183" s="277"/>
      <c r="P183" s="314"/>
      <c r="Q183" s="280" t="s">
        <v>134</v>
      </c>
      <c r="R183" s="272" t="s">
        <v>134</v>
      </c>
      <c r="S183" s="281"/>
      <c r="T183" s="272"/>
      <c r="U183" s="282"/>
      <c r="V183" s="283"/>
      <c r="W183" s="314"/>
      <c r="X183" s="280"/>
      <c r="Y183" s="284"/>
      <c r="Z183" s="272"/>
      <c r="AA183" s="281"/>
      <c r="AB183" s="284"/>
      <c r="AC183" s="272"/>
      <c r="AD183" s="312"/>
      <c r="AE183" s="1309" t="str">
        <f t="shared" si="26"/>
        <v>0x0 ~ 0x1 (0~1 -)
0x0: Normal
0x1: Limited
0x3: Not equipped (LD is not supported)</v>
      </c>
      <c r="AF183" s="312"/>
      <c r="AG183" s="1258">
        <v>0</v>
      </c>
      <c r="AH183" s="1259">
        <v>1</v>
      </c>
      <c r="AI183" s="328">
        <v>0</v>
      </c>
      <c r="AJ183" s="1307">
        <v>1</v>
      </c>
      <c r="AK183" s="337">
        <f t="shared" si="28"/>
        <v>0</v>
      </c>
      <c r="AL183" s="1308">
        <f t="shared" si="27"/>
        <v>1</v>
      </c>
      <c r="AM183" s="1259" t="s">
        <v>2516</v>
      </c>
      <c r="AN183" s="1234" t="s">
        <v>2490</v>
      </c>
      <c r="AO183" s="312"/>
      <c r="AP183" s="310" t="s">
        <v>1104</v>
      </c>
      <c r="AQ183" s="310" t="s">
        <v>740</v>
      </c>
      <c r="AS183" s="913" t="s">
        <v>1246</v>
      </c>
      <c r="AT183" s="913" t="s">
        <v>1955</v>
      </c>
      <c r="AU183" s="913" t="s">
        <v>1962</v>
      </c>
      <c r="AV183" s="932" t="s">
        <v>1963</v>
      </c>
    </row>
    <row r="184" spans="2:48" s="252" customFormat="1" ht="52.8" hidden="1">
      <c r="B184" s="1218" t="s">
        <v>2454</v>
      </c>
      <c r="C184" s="684" t="s">
        <v>1712</v>
      </c>
      <c r="D184" s="299" t="s">
        <v>134</v>
      </c>
      <c r="E184" s="312"/>
      <c r="F184" s="1226" t="s">
        <v>2457</v>
      </c>
      <c r="G184" s="1615"/>
      <c r="H184" s="268" t="s">
        <v>299</v>
      </c>
      <c r="I184" s="268" t="s">
        <v>200</v>
      </c>
      <c r="J184" s="499" t="s">
        <v>482</v>
      </c>
      <c r="K184" s="312"/>
      <c r="L184" s="273" t="s">
        <v>134</v>
      </c>
      <c r="M184" s="274"/>
      <c r="N184" s="314"/>
      <c r="O184" s="278"/>
      <c r="P184" s="314"/>
      <c r="Q184" s="290" t="s">
        <v>134</v>
      </c>
      <c r="R184" s="274" t="s">
        <v>134</v>
      </c>
      <c r="S184" s="291"/>
      <c r="T184" s="274"/>
      <c r="U184" s="292"/>
      <c r="V184" s="293"/>
      <c r="W184" s="314"/>
      <c r="X184" s="290"/>
      <c r="Y184" s="294"/>
      <c r="Z184" s="274"/>
      <c r="AA184" s="291"/>
      <c r="AB184" s="294"/>
      <c r="AC184" s="274"/>
      <c r="AD184" s="312"/>
      <c r="AE184" s="295" t="str">
        <f t="shared" si="26"/>
        <v>0x0 ~ 0xFF (0~255 -)
0x0: Normal
0x1: Limited
0x3: Not equipped</v>
      </c>
      <c r="AF184" s="312"/>
      <c r="AG184" s="1260">
        <v>0</v>
      </c>
      <c r="AH184" s="1261">
        <v>1</v>
      </c>
      <c r="AI184" s="330">
        <v>0</v>
      </c>
      <c r="AJ184" s="1270" t="s">
        <v>2509</v>
      </c>
      <c r="AK184" s="339">
        <f t="shared" si="28"/>
        <v>0</v>
      </c>
      <c r="AL184" s="1274">
        <f t="shared" si="27"/>
        <v>255</v>
      </c>
      <c r="AM184" s="1261" t="s">
        <v>2516</v>
      </c>
      <c r="AN184" s="295" t="s">
        <v>813</v>
      </c>
      <c r="AO184" s="312"/>
      <c r="AP184" s="486" t="s">
        <v>1105</v>
      </c>
      <c r="AQ184" s="486" t="s">
        <v>440</v>
      </c>
      <c r="AS184" s="501" t="s">
        <v>1406</v>
      </c>
      <c r="AT184" s="501" t="s">
        <v>1406</v>
      </c>
      <c r="AU184" s="501" t="s">
        <v>1406</v>
      </c>
      <c r="AV184" s="501" t="s">
        <v>1406</v>
      </c>
    </row>
    <row r="185" spans="2:48" s="252" customFormat="1" ht="52.8" hidden="1">
      <c r="B185" s="1218" t="s">
        <v>2454</v>
      </c>
      <c r="C185" s="684" t="s">
        <v>1712</v>
      </c>
      <c r="D185" s="299" t="s">
        <v>134</v>
      </c>
      <c r="E185" s="312"/>
      <c r="F185" s="1226" t="s">
        <v>2457</v>
      </c>
      <c r="G185" s="1615"/>
      <c r="H185" s="268" t="s">
        <v>287</v>
      </c>
      <c r="I185" s="268" t="s">
        <v>200</v>
      </c>
      <c r="J185" s="499" t="s">
        <v>483</v>
      </c>
      <c r="K185" s="312"/>
      <c r="L185" s="273" t="s">
        <v>134</v>
      </c>
      <c r="M185" s="274"/>
      <c r="N185" s="314"/>
      <c r="O185" s="278"/>
      <c r="P185" s="314"/>
      <c r="Q185" s="290" t="s">
        <v>134</v>
      </c>
      <c r="R185" s="274" t="s">
        <v>134</v>
      </c>
      <c r="S185" s="291"/>
      <c r="T185" s="274"/>
      <c r="U185" s="292"/>
      <c r="V185" s="293"/>
      <c r="W185" s="314"/>
      <c r="X185" s="290"/>
      <c r="Y185" s="294"/>
      <c r="Z185" s="274"/>
      <c r="AA185" s="291"/>
      <c r="AB185" s="294"/>
      <c r="AC185" s="274"/>
      <c r="AD185" s="312"/>
      <c r="AE185" s="295" t="str">
        <f t="shared" si="26"/>
        <v>0x0 ~ 0xFF (0~255 -)
0x0: Normal
0x1: Limited
0x3: Not equipped</v>
      </c>
      <c r="AF185" s="312"/>
      <c r="AG185" s="1260">
        <v>0</v>
      </c>
      <c r="AH185" s="1261">
        <v>1</v>
      </c>
      <c r="AI185" s="330">
        <v>0</v>
      </c>
      <c r="AJ185" s="1270" t="s">
        <v>2509</v>
      </c>
      <c r="AK185" s="339">
        <f t="shared" si="28"/>
        <v>0</v>
      </c>
      <c r="AL185" s="1274">
        <f t="shared" si="27"/>
        <v>255</v>
      </c>
      <c r="AM185" s="1261" t="s">
        <v>2516</v>
      </c>
      <c r="AN185" s="295" t="s">
        <v>813</v>
      </c>
      <c r="AO185" s="312"/>
      <c r="AP185" s="486" t="s">
        <v>1105</v>
      </c>
      <c r="AQ185" s="486" t="s">
        <v>440</v>
      </c>
      <c r="AS185" s="501" t="s">
        <v>1406</v>
      </c>
      <c r="AT185" s="501" t="s">
        <v>1406</v>
      </c>
      <c r="AU185" s="501" t="s">
        <v>1406</v>
      </c>
      <c r="AV185" s="501" t="s">
        <v>1406</v>
      </c>
    </row>
    <row r="186" spans="2:48" s="252" customFormat="1" ht="52.8" hidden="1">
      <c r="B186" s="1218" t="s">
        <v>2454</v>
      </c>
      <c r="C186" s="684" t="s">
        <v>1712</v>
      </c>
      <c r="D186" s="299" t="s">
        <v>134</v>
      </c>
      <c r="E186" s="312"/>
      <c r="F186" s="1226" t="s">
        <v>2457</v>
      </c>
      <c r="G186" s="1615"/>
      <c r="H186" s="268" t="s">
        <v>295</v>
      </c>
      <c r="I186" s="268" t="s">
        <v>200</v>
      </c>
      <c r="J186" s="499" t="s">
        <v>484</v>
      </c>
      <c r="K186" s="312"/>
      <c r="L186" s="273" t="s">
        <v>134</v>
      </c>
      <c r="M186" s="274"/>
      <c r="N186" s="314"/>
      <c r="O186" s="278"/>
      <c r="P186" s="314"/>
      <c r="Q186" s="290" t="s">
        <v>134</v>
      </c>
      <c r="R186" s="274" t="s">
        <v>134</v>
      </c>
      <c r="S186" s="291"/>
      <c r="T186" s="274"/>
      <c r="U186" s="292"/>
      <c r="V186" s="293"/>
      <c r="W186" s="314"/>
      <c r="X186" s="290"/>
      <c r="Y186" s="294"/>
      <c r="Z186" s="274"/>
      <c r="AA186" s="291"/>
      <c r="AB186" s="294"/>
      <c r="AC186" s="274"/>
      <c r="AD186" s="312"/>
      <c r="AE186" s="295" t="str">
        <f t="shared" si="26"/>
        <v>0x0 ~ 0xFF (0~255 -)
0x0: Normal
0x1: Limited
0x3: Not equipped</v>
      </c>
      <c r="AF186" s="312"/>
      <c r="AG186" s="1260">
        <v>0</v>
      </c>
      <c r="AH186" s="1261">
        <v>1</v>
      </c>
      <c r="AI186" s="330">
        <v>0</v>
      </c>
      <c r="AJ186" s="1270" t="s">
        <v>2509</v>
      </c>
      <c r="AK186" s="339">
        <f t="shared" si="28"/>
        <v>0</v>
      </c>
      <c r="AL186" s="1274">
        <f t="shared" si="27"/>
        <v>255</v>
      </c>
      <c r="AM186" s="1261" t="s">
        <v>2516</v>
      </c>
      <c r="AN186" s="295" t="s">
        <v>813</v>
      </c>
      <c r="AO186" s="312"/>
      <c r="AP186" s="486" t="s">
        <v>1105</v>
      </c>
      <c r="AQ186" s="486" t="s">
        <v>440</v>
      </c>
      <c r="AS186" s="501" t="s">
        <v>1406</v>
      </c>
      <c r="AT186" s="501" t="s">
        <v>1406</v>
      </c>
      <c r="AU186" s="501" t="s">
        <v>1406</v>
      </c>
      <c r="AV186" s="501" t="s">
        <v>1406</v>
      </c>
    </row>
    <row r="187" spans="2:48" s="252" customFormat="1" ht="52.8" hidden="1">
      <c r="B187" s="1218" t="s">
        <v>2454</v>
      </c>
      <c r="C187" s="689" t="s">
        <v>1712</v>
      </c>
      <c r="D187" s="309" t="s">
        <v>134</v>
      </c>
      <c r="E187" s="312"/>
      <c r="F187" s="1227" t="s">
        <v>2457</v>
      </c>
      <c r="G187" s="1615"/>
      <c r="H187" s="270" t="s">
        <v>292</v>
      </c>
      <c r="I187" s="270" t="s">
        <v>200</v>
      </c>
      <c r="J187" s="497" t="s">
        <v>485</v>
      </c>
      <c r="K187" s="312"/>
      <c r="L187" s="275" t="s">
        <v>134</v>
      </c>
      <c r="M187" s="276"/>
      <c r="N187" s="314"/>
      <c r="O187" s="279"/>
      <c r="P187" s="314"/>
      <c r="Q187" s="300" t="s">
        <v>134</v>
      </c>
      <c r="R187" s="276" t="s">
        <v>134</v>
      </c>
      <c r="S187" s="301"/>
      <c r="T187" s="276"/>
      <c r="U187" s="302"/>
      <c r="V187" s="303"/>
      <c r="W187" s="314"/>
      <c r="X187" s="300"/>
      <c r="Y187" s="304"/>
      <c r="Z187" s="276"/>
      <c r="AA187" s="301"/>
      <c r="AB187" s="304"/>
      <c r="AC187" s="276"/>
      <c r="AD187" s="312"/>
      <c r="AE187" s="305" t="str">
        <f t="shared" si="26"/>
        <v>0x0 ~ 0xFF (0~255 -)
0x0: Normal
0x1: Limited
0x3: Not equipped</v>
      </c>
      <c r="AF187" s="312"/>
      <c r="AG187" s="1262">
        <v>0</v>
      </c>
      <c r="AH187" s="1263">
        <v>1</v>
      </c>
      <c r="AI187" s="332">
        <v>0</v>
      </c>
      <c r="AJ187" s="1271" t="s">
        <v>2509</v>
      </c>
      <c r="AK187" s="341">
        <f t="shared" si="28"/>
        <v>0</v>
      </c>
      <c r="AL187" s="1275">
        <f t="shared" si="27"/>
        <v>255</v>
      </c>
      <c r="AM187" s="1263" t="s">
        <v>2516</v>
      </c>
      <c r="AN187" s="305" t="s">
        <v>813</v>
      </c>
      <c r="AO187" s="312"/>
      <c r="AP187" s="487" t="s">
        <v>1105</v>
      </c>
      <c r="AQ187" s="487" t="s">
        <v>440</v>
      </c>
      <c r="AS187" s="500" t="s">
        <v>1406</v>
      </c>
      <c r="AT187" s="500" t="s">
        <v>1406</v>
      </c>
      <c r="AU187" s="500" t="s">
        <v>1406</v>
      </c>
      <c r="AV187" s="500" t="s">
        <v>1406</v>
      </c>
    </row>
    <row r="188" spans="2:48" s="252" customFormat="1" ht="66" hidden="1">
      <c r="B188" s="1218" t="s">
        <v>2454</v>
      </c>
      <c r="C188" s="289" t="s">
        <v>134</v>
      </c>
      <c r="D188" s="289" t="s">
        <v>134</v>
      </c>
      <c r="E188" s="312"/>
      <c r="F188" s="1225" t="s">
        <v>1113</v>
      </c>
      <c r="G188" s="1614" t="s">
        <v>486</v>
      </c>
      <c r="H188" s="266">
        <v>1</v>
      </c>
      <c r="I188" s="266" t="s">
        <v>200</v>
      </c>
      <c r="J188" s="498" t="s">
        <v>487</v>
      </c>
      <c r="K188" s="312"/>
      <c r="L188" s="271" t="s">
        <v>134</v>
      </c>
      <c r="M188" s="272"/>
      <c r="N188" s="314"/>
      <c r="O188" s="277"/>
      <c r="P188" s="314"/>
      <c r="Q188" s="280" t="s">
        <v>134</v>
      </c>
      <c r="R188" s="272" t="s">
        <v>134</v>
      </c>
      <c r="S188" s="281"/>
      <c r="T188" s="272"/>
      <c r="U188" s="282"/>
      <c r="V188" s="283"/>
      <c r="W188" s="314"/>
      <c r="X188" s="280"/>
      <c r="Y188" s="284"/>
      <c r="Z188" s="272"/>
      <c r="AA188" s="281"/>
      <c r="AB188" s="284"/>
      <c r="AC188" s="272"/>
      <c r="AD188" s="312"/>
      <c r="AE188" s="1309" t="str">
        <f t="shared" si="26"/>
        <v>0x0 ~ 0x1 (0~1 -)
0x0: Normal
0x1: Limited
0x3: Not equipped (LD is not supported)</v>
      </c>
      <c r="AF188" s="312"/>
      <c r="AG188" s="1258">
        <v>0</v>
      </c>
      <c r="AH188" s="1259">
        <v>1</v>
      </c>
      <c r="AI188" s="328">
        <v>0</v>
      </c>
      <c r="AJ188" s="1307">
        <v>1</v>
      </c>
      <c r="AK188" s="337">
        <f t="shared" ref="AK188" si="29">HEX2DEC(AI188)*AH188+AG188</f>
        <v>0</v>
      </c>
      <c r="AL188" s="1308">
        <f t="shared" ref="AL188" si="30">HEX2DEC(AJ188)*AH188+AG188</f>
        <v>1</v>
      </c>
      <c r="AM188" s="1259" t="s">
        <v>2516</v>
      </c>
      <c r="AN188" s="1234" t="s">
        <v>2490</v>
      </c>
      <c r="AO188" s="312"/>
      <c r="AP188" s="310" t="s">
        <v>1104</v>
      </c>
      <c r="AQ188" s="310" t="s">
        <v>741</v>
      </c>
      <c r="AS188" s="913" t="s">
        <v>1246</v>
      </c>
      <c r="AT188" s="913" t="s">
        <v>1955</v>
      </c>
      <c r="AU188" s="913" t="s">
        <v>1964</v>
      </c>
      <c r="AV188" s="932" t="s">
        <v>1965</v>
      </c>
    </row>
    <row r="189" spans="2:48" s="252" customFormat="1" ht="52.8" hidden="1">
      <c r="B189" s="1218" t="s">
        <v>2454</v>
      </c>
      <c r="C189" s="684" t="s">
        <v>1712</v>
      </c>
      <c r="D189" s="299" t="s">
        <v>134</v>
      </c>
      <c r="E189" s="312"/>
      <c r="F189" s="1226" t="s">
        <v>2458</v>
      </c>
      <c r="G189" s="1615"/>
      <c r="H189" s="268" t="s">
        <v>299</v>
      </c>
      <c r="I189" s="268" t="s">
        <v>200</v>
      </c>
      <c r="J189" s="499" t="s">
        <v>488</v>
      </c>
      <c r="K189" s="312"/>
      <c r="L189" s="273" t="s">
        <v>134</v>
      </c>
      <c r="M189" s="274"/>
      <c r="N189" s="314"/>
      <c r="O189" s="278"/>
      <c r="P189" s="314"/>
      <c r="Q189" s="290" t="s">
        <v>134</v>
      </c>
      <c r="R189" s="274" t="s">
        <v>134</v>
      </c>
      <c r="S189" s="291"/>
      <c r="T189" s="274"/>
      <c r="U189" s="292"/>
      <c r="V189" s="293"/>
      <c r="W189" s="314"/>
      <c r="X189" s="290"/>
      <c r="Y189" s="294"/>
      <c r="Z189" s="274"/>
      <c r="AA189" s="291"/>
      <c r="AB189" s="294"/>
      <c r="AC189" s="274"/>
      <c r="AD189" s="312"/>
      <c r="AE189" s="295" t="str">
        <f t="shared" si="26"/>
        <v>0x0 ~ 0xFF (0~255 -)
0x0: Normal
0x1: Limited
0x3: Not equipped</v>
      </c>
      <c r="AF189" s="312"/>
      <c r="AG189" s="1260">
        <v>0</v>
      </c>
      <c r="AH189" s="1261">
        <v>1</v>
      </c>
      <c r="AI189" s="330">
        <v>0</v>
      </c>
      <c r="AJ189" s="1270" t="s">
        <v>2509</v>
      </c>
      <c r="AK189" s="339">
        <f t="shared" si="28"/>
        <v>0</v>
      </c>
      <c r="AL189" s="1274">
        <f t="shared" si="27"/>
        <v>255</v>
      </c>
      <c r="AM189" s="1261" t="s">
        <v>2516</v>
      </c>
      <c r="AN189" s="295" t="s">
        <v>813</v>
      </c>
      <c r="AO189" s="312"/>
      <c r="AP189" s="486" t="s">
        <v>1105</v>
      </c>
      <c r="AQ189" s="486" t="s">
        <v>440</v>
      </c>
      <c r="AS189" s="501" t="s">
        <v>1406</v>
      </c>
      <c r="AT189" s="501" t="s">
        <v>1406</v>
      </c>
      <c r="AU189" s="501" t="s">
        <v>1406</v>
      </c>
      <c r="AV189" s="501" t="s">
        <v>1406</v>
      </c>
    </row>
    <row r="190" spans="2:48" s="252" customFormat="1" ht="52.8" hidden="1">
      <c r="B190" s="1218" t="s">
        <v>2454</v>
      </c>
      <c r="C190" s="684" t="s">
        <v>1712</v>
      </c>
      <c r="D190" s="299" t="s">
        <v>134</v>
      </c>
      <c r="E190" s="312"/>
      <c r="F190" s="1226" t="s">
        <v>2458</v>
      </c>
      <c r="G190" s="1615"/>
      <c r="H190" s="268" t="s">
        <v>287</v>
      </c>
      <c r="I190" s="268" t="s">
        <v>200</v>
      </c>
      <c r="J190" s="499" t="s">
        <v>489</v>
      </c>
      <c r="K190" s="312"/>
      <c r="L190" s="273" t="s">
        <v>134</v>
      </c>
      <c r="M190" s="274"/>
      <c r="N190" s="314"/>
      <c r="O190" s="278"/>
      <c r="P190" s="314"/>
      <c r="Q190" s="290" t="s">
        <v>134</v>
      </c>
      <c r="R190" s="274" t="s">
        <v>134</v>
      </c>
      <c r="S190" s="291"/>
      <c r="T190" s="274"/>
      <c r="U190" s="292"/>
      <c r="V190" s="293"/>
      <c r="W190" s="314"/>
      <c r="X190" s="290"/>
      <c r="Y190" s="294"/>
      <c r="Z190" s="274"/>
      <c r="AA190" s="291"/>
      <c r="AB190" s="294"/>
      <c r="AC190" s="274"/>
      <c r="AD190" s="312"/>
      <c r="AE190" s="295" t="str">
        <f t="shared" si="26"/>
        <v>0x0 ~ 0xFF (0~255 -)
0x0: Normal
0x1: Limited
0x3: Not equipped</v>
      </c>
      <c r="AF190" s="312"/>
      <c r="AG190" s="1260">
        <v>0</v>
      </c>
      <c r="AH190" s="1261">
        <v>1</v>
      </c>
      <c r="AI190" s="330">
        <v>0</v>
      </c>
      <c r="AJ190" s="1270" t="s">
        <v>2509</v>
      </c>
      <c r="AK190" s="339">
        <f t="shared" si="28"/>
        <v>0</v>
      </c>
      <c r="AL190" s="1274">
        <f t="shared" si="27"/>
        <v>255</v>
      </c>
      <c r="AM190" s="1261" t="s">
        <v>2516</v>
      </c>
      <c r="AN190" s="295" t="s">
        <v>813</v>
      </c>
      <c r="AO190" s="312"/>
      <c r="AP190" s="486" t="s">
        <v>1105</v>
      </c>
      <c r="AQ190" s="486" t="s">
        <v>440</v>
      </c>
      <c r="AS190" s="501" t="s">
        <v>1406</v>
      </c>
      <c r="AT190" s="501" t="s">
        <v>1406</v>
      </c>
      <c r="AU190" s="501" t="s">
        <v>1406</v>
      </c>
      <c r="AV190" s="501" t="s">
        <v>1406</v>
      </c>
    </row>
    <row r="191" spans="2:48" s="252" customFormat="1" ht="52.8" hidden="1">
      <c r="B191" s="1218" t="s">
        <v>2454</v>
      </c>
      <c r="C191" s="684" t="s">
        <v>1712</v>
      </c>
      <c r="D191" s="299" t="s">
        <v>134</v>
      </c>
      <c r="E191" s="312"/>
      <c r="F191" s="1226" t="s">
        <v>2458</v>
      </c>
      <c r="G191" s="1615"/>
      <c r="H191" s="268" t="s">
        <v>295</v>
      </c>
      <c r="I191" s="268" t="s">
        <v>200</v>
      </c>
      <c r="J191" s="499" t="s">
        <v>490</v>
      </c>
      <c r="K191" s="312"/>
      <c r="L191" s="273" t="s">
        <v>134</v>
      </c>
      <c r="M191" s="274"/>
      <c r="N191" s="314"/>
      <c r="O191" s="278"/>
      <c r="P191" s="314"/>
      <c r="Q191" s="290" t="s">
        <v>134</v>
      </c>
      <c r="R191" s="274" t="s">
        <v>134</v>
      </c>
      <c r="S191" s="291"/>
      <c r="T191" s="274"/>
      <c r="U191" s="292"/>
      <c r="V191" s="293"/>
      <c r="W191" s="314"/>
      <c r="X191" s="290"/>
      <c r="Y191" s="294"/>
      <c r="Z191" s="274"/>
      <c r="AA191" s="291"/>
      <c r="AB191" s="294"/>
      <c r="AC191" s="274"/>
      <c r="AD191" s="312"/>
      <c r="AE191" s="295" t="str">
        <f t="shared" si="26"/>
        <v>0x0 ~ 0xFF (0~255 -)
0x0: Normal
0x1: Limited
0x3: Not equipped</v>
      </c>
      <c r="AF191" s="312"/>
      <c r="AG191" s="1260">
        <v>0</v>
      </c>
      <c r="AH191" s="1261">
        <v>1</v>
      </c>
      <c r="AI191" s="330">
        <v>0</v>
      </c>
      <c r="AJ191" s="1270" t="s">
        <v>2509</v>
      </c>
      <c r="AK191" s="339">
        <f t="shared" si="28"/>
        <v>0</v>
      </c>
      <c r="AL191" s="1274">
        <f t="shared" si="27"/>
        <v>255</v>
      </c>
      <c r="AM191" s="1261" t="s">
        <v>2516</v>
      </c>
      <c r="AN191" s="295" t="s">
        <v>813</v>
      </c>
      <c r="AO191" s="312"/>
      <c r="AP191" s="486" t="s">
        <v>1105</v>
      </c>
      <c r="AQ191" s="486" t="s">
        <v>440</v>
      </c>
      <c r="AS191" s="501" t="s">
        <v>1406</v>
      </c>
      <c r="AT191" s="501" t="s">
        <v>1406</v>
      </c>
      <c r="AU191" s="501" t="s">
        <v>1406</v>
      </c>
      <c r="AV191" s="501" t="s">
        <v>1406</v>
      </c>
    </row>
    <row r="192" spans="2:48" s="252" customFormat="1" ht="52.8" hidden="1">
      <c r="B192" s="1218" t="s">
        <v>2454</v>
      </c>
      <c r="C192" s="689" t="s">
        <v>1712</v>
      </c>
      <c r="D192" s="309" t="s">
        <v>134</v>
      </c>
      <c r="E192" s="312"/>
      <c r="F192" s="1227" t="s">
        <v>2458</v>
      </c>
      <c r="G192" s="1615"/>
      <c r="H192" s="270" t="s">
        <v>292</v>
      </c>
      <c r="I192" s="270" t="s">
        <v>200</v>
      </c>
      <c r="J192" s="497" t="s">
        <v>491</v>
      </c>
      <c r="K192" s="312"/>
      <c r="L192" s="275" t="s">
        <v>134</v>
      </c>
      <c r="M192" s="276"/>
      <c r="N192" s="314"/>
      <c r="O192" s="279"/>
      <c r="P192" s="314"/>
      <c r="Q192" s="300" t="s">
        <v>134</v>
      </c>
      <c r="R192" s="276" t="s">
        <v>134</v>
      </c>
      <c r="S192" s="301"/>
      <c r="T192" s="276"/>
      <c r="U192" s="302"/>
      <c r="V192" s="303"/>
      <c r="W192" s="314"/>
      <c r="X192" s="300"/>
      <c r="Y192" s="304"/>
      <c r="Z192" s="276"/>
      <c r="AA192" s="301"/>
      <c r="AB192" s="304"/>
      <c r="AC192" s="276"/>
      <c r="AD192" s="312"/>
      <c r="AE192" s="305" t="str">
        <f t="shared" si="26"/>
        <v>0x0 ~ 0xFF (0~255 -)
0x0: Normal
0x1: Limited
0x3: Not equipped</v>
      </c>
      <c r="AF192" s="312"/>
      <c r="AG192" s="1262">
        <v>0</v>
      </c>
      <c r="AH192" s="1263">
        <v>1</v>
      </c>
      <c r="AI192" s="332">
        <v>0</v>
      </c>
      <c r="AJ192" s="1271" t="s">
        <v>2509</v>
      </c>
      <c r="AK192" s="341">
        <f t="shared" si="28"/>
        <v>0</v>
      </c>
      <c r="AL192" s="1275">
        <f t="shared" si="27"/>
        <v>255</v>
      </c>
      <c r="AM192" s="1263" t="s">
        <v>2516</v>
      </c>
      <c r="AN192" s="305" t="s">
        <v>813</v>
      </c>
      <c r="AO192" s="312"/>
      <c r="AP192" s="487" t="s">
        <v>1105</v>
      </c>
      <c r="AQ192" s="487" t="s">
        <v>440</v>
      </c>
      <c r="AS192" s="500" t="s">
        <v>1406</v>
      </c>
      <c r="AT192" s="500" t="s">
        <v>1406</v>
      </c>
      <c r="AU192" s="500" t="s">
        <v>1406</v>
      </c>
      <c r="AV192" s="500" t="s">
        <v>1406</v>
      </c>
    </row>
    <row r="193" spans="2:48" s="252" customFormat="1" ht="66" hidden="1">
      <c r="B193" s="1218" t="s">
        <v>2454</v>
      </c>
      <c r="C193" s="289" t="s">
        <v>134</v>
      </c>
      <c r="D193" s="289" t="s">
        <v>134</v>
      </c>
      <c r="E193" s="312"/>
      <c r="F193" s="1225" t="s">
        <v>1114</v>
      </c>
      <c r="G193" s="1614" t="s">
        <v>492</v>
      </c>
      <c r="H193" s="266">
        <v>1</v>
      </c>
      <c r="I193" s="266" t="s">
        <v>200</v>
      </c>
      <c r="J193" s="498" t="s">
        <v>493</v>
      </c>
      <c r="K193" s="312"/>
      <c r="L193" s="271" t="s">
        <v>134</v>
      </c>
      <c r="M193" s="272"/>
      <c r="N193" s="314"/>
      <c r="O193" s="277"/>
      <c r="P193" s="314"/>
      <c r="Q193" s="280" t="s">
        <v>134</v>
      </c>
      <c r="R193" s="272" t="s">
        <v>134</v>
      </c>
      <c r="S193" s="281"/>
      <c r="T193" s="272"/>
      <c r="U193" s="282"/>
      <c r="V193" s="283"/>
      <c r="W193" s="314"/>
      <c r="X193" s="280"/>
      <c r="Y193" s="284"/>
      <c r="Z193" s="272"/>
      <c r="AA193" s="281"/>
      <c r="AB193" s="284"/>
      <c r="AC193" s="272"/>
      <c r="AD193" s="312"/>
      <c r="AE193" s="1309" t="str">
        <f t="shared" si="26"/>
        <v>0x0 ~ 0x1 (0~1 -)
0x0: Normal
0x1: Limited
0x3: Not equipped (LD is not supported)</v>
      </c>
      <c r="AF193" s="312"/>
      <c r="AG193" s="1258">
        <v>0</v>
      </c>
      <c r="AH193" s="1259">
        <v>1</v>
      </c>
      <c r="AI193" s="328">
        <v>0</v>
      </c>
      <c r="AJ193" s="1307">
        <v>1</v>
      </c>
      <c r="AK193" s="337">
        <f t="shared" si="28"/>
        <v>0</v>
      </c>
      <c r="AL193" s="1308">
        <f t="shared" si="27"/>
        <v>1</v>
      </c>
      <c r="AM193" s="1259" t="s">
        <v>2516</v>
      </c>
      <c r="AN193" s="1234" t="s">
        <v>2490</v>
      </c>
      <c r="AO193" s="312"/>
      <c r="AP193" s="310" t="s">
        <v>1104</v>
      </c>
      <c r="AQ193" s="310" t="s">
        <v>742</v>
      </c>
      <c r="AS193" s="913" t="s">
        <v>1246</v>
      </c>
      <c r="AT193" s="913" t="s">
        <v>1955</v>
      </c>
      <c r="AU193" s="913" t="s">
        <v>1966</v>
      </c>
      <c r="AV193" s="932" t="s">
        <v>1967</v>
      </c>
    </row>
    <row r="194" spans="2:48" s="252" customFormat="1" ht="52.8" hidden="1">
      <c r="B194" s="1218" t="s">
        <v>2454</v>
      </c>
      <c r="C194" s="684" t="s">
        <v>1712</v>
      </c>
      <c r="D194" s="299" t="s">
        <v>134</v>
      </c>
      <c r="E194" s="312"/>
      <c r="F194" s="1226" t="s">
        <v>2459</v>
      </c>
      <c r="G194" s="1615"/>
      <c r="H194" s="268" t="s">
        <v>299</v>
      </c>
      <c r="I194" s="268" t="s">
        <v>200</v>
      </c>
      <c r="J194" s="499" t="s">
        <v>494</v>
      </c>
      <c r="K194" s="312"/>
      <c r="L194" s="273" t="s">
        <v>134</v>
      </c>
      <c r="M194" s="274"/>
      <c r="N194" s="314"/>
      <c r="O194" s="278"/>
      <c r="P194" s="314"/>
      <c r="Q194" s="290" t="s">
        <v>134</v>
      </c>
      <c r="R194" s="274" t="s">
        <v>134</v>
      </c>
      <c r="S194" s="291"/>
      <c r="T194" s="274"/>
      <c r="U194" s="292"/>
      <c r="V194" s="293"/>
      <c r="W194" s="314"/>
      <c r="X194" s="290"/>
      <c r="Y194" s="294"/>
      <c r="Z194" s="274"/>
      <c r="AA194" s="291"/>
      <c r="AB194" s="294"/>
      <c r="AC194" s="274"/>
      <c r="AD194" s="312"/>
      <c r="AE194" s="295" t="str">
        <f t="shared" si="26"/>
        <v>0x0 ~ 0xFF (0~255 -)
0x0: Normal
0x1: Failure
0x3: Not equipped</v>
      </c>
      <c r="AF194" s="312"/>
      <c r="AG194" s="1260">
        <v>0</v>
      </c>
      <c r="AH194" s="1261">
        <v>1</v>
      </c>
      <c r="AI194" s="330">
        <v>0</v>
      </c>
      <c r="AJ194" s="1270" t="s">
        <v>2509</v>
      </c>
      <c r="AK194" s="339">
        <f t="shared" si="28"/>
        <v>0</v>
      </c>
      <c r="AL194" s="1274">
        <f t="shared" si="27"/>
        <v>255</v>
      </c>
      <c r="AM194" s="1261" t="s">
        <v>2516</v>
      </c>
      <c r="AN194" s="295" t="s">
        <v>814</v>
      </c>
      <c r="AO194" s="312"/>
      <c r="AP194" s="486" t="s">
        <v>1105</v>
      </c>
      <c r="AQ194" s="486" t="s">
        <v>440</v>
      </c>
      <c r="AS194" s="501" t="s">
        <v>1406</v>
      </c>
      <c r="AT194" s="501" t="s">
        <v>1406</v>
      </c>
      <c r="AU194" s="501" t="s">
        <v>1406</v>
      </c>
      <c r="AV194" s="501" t="s">
        <v>1406</v>
      </c>
    </row>
    <row r="195" spans="2:48" s="252" customFormat="1" ht="52.8" hidden="1">
      <c r="B195" s="1218" t="s">
        <v>2454</v>
      </c>
      <c r="C195" s="684" t="s">
        <v>1712</v>
      </c>
      <c r="D195" s="299" t="s">
        <v>134</v>
      </c>
      <c r="E195" s="312"/>
      <c r="F195" s="1226" t="s">
        <v>2459</v>
      </c>
      <c r="G195" s="1615"/>
      <c r="H195" s="268" t="s">
        <v>287</v>
      </c>
      <c r="I195" s="268" t="s">
        <v>200</v>
      </c>
      <c r="J195" s="499" t="s">
        <v>495</v>
      </c>
      <c r="K195" s="312"/>
      <c r="L195" s="273" t="s">
        <v>134</v>
      </c>
      <c r="M195" s="274"/>
      <c r="N195" s="314"/>
      <c r="O195" s="278"/>
      <c r="P195" s="314"/>
      <c r="Q195" s="290" t="s">
        <v>134</v>
      </c>
      <c r="R195" s="274" t="s">
        <v>134</v>
      </c>
      <c r="S195" s="291"/>
      <c r="T195" s="274"/>
      <c r="U195" s="292"/>
      <c r="V195" s="293"/>
      <c r="W195" s="314"/>
      <c r="X195" s="290"/>
      <c r="Y195" s="294"/>
      <c r="Z195" s="274"/>
      <c r="AA195" s="291"/>
      <c r="AB195" s="294"/>
      <c r="AC195" s="274"/>
      <c r="AD195" s="312"/>
      <c r="AE195" s="295" t="str">
        <f t="shared" si="26"/>
        <v>0x0 ~ 0xFF (0~255 -)
0x0: Normal
0x1: Failure
0x3: Not equipped</v>
      </c>
      <c r="AF195" s="312"/>
      <c r="AG195" s="1260">
        <v>0</v>
      </c>
      <c r="AH195" s="1261">
        <v>1</v>
      </c>
      <c r="AI195" s="330">
        <v>0</v>
      </c>
      <c r="AJ195" s="1270" t="s">
        <v>2509</v>
      </c>
      <c r="AK195" s="339">
        <f t="shared" si="28"/>
        <v>0</v>
      </c>
      <c r="AL195" s="1274">
        <f t="shared" si="27"/>
        <v>255</v>
      </c>
      <c r="AM195" s="1261" t="s">
        <v>2516</v>
      </c>
      <c r="AN195" s="295" t="s">
        <v>814</v>
      </c>
      <c r="AO195" s="312"/>
      <c r="AP195" s="486" t="s">
        <v>1105</v>
      </c>
      <c r="AQ195" s="486" t="s">
        <v>440</v>
      </c>
      <c r="AS195" s="501" t="s">
        <v>1406</v>
      </c>
      <c r="AT195" s="501" t="s">
        <v>1406</v>
      </c>
      <c r="AU195" s="501" t="s">
        <v>1406</v>
      </c>
      <c r="AV195" s="501" t="s">
        <v>1406</v>
      </c>
    </row>
    <row r="196" spans="2:48" s="252" customFormat="1" ht="52.8" hidden="1">
      <c r="B196" s="1218" t="s">
        <v>2454</v>
      </c>
      <c r="C196" s="684" t="s">
        <v>1712</v>
      </c>
      <c r="D196" s="299" t="s">
        <v>134</v>
      </c>
      <c r="E196" s="312"/>
      <c r="F196" s="1226" t="s">
        <v>2459</v>
      </c>
      <c r="G196" s="1615"/>
      <c r="H196" s="268" t="s">
        <v>295</v>
      </c>
      <c r="I196" s="268" t="s">
        <v>200</v>
      </c>
      <c r="J196" s="499" t="s">
        <v>496</v>
      </c>
      <c r="K196" s="312"/>
      <c r="L196" s="273" t="s">
        <v>134</v>
      </c>
      <c r="M196" s="274"/>
      <c r="N196" s="314"/>
      <c r="O196" s="278"/>
      <c r="P196" s="314"/>
      <c r="Q196" s="290" t="s">
        <v>134</v>
      </c>
      <c r="R196" s="274" t="s">
        <v>134</v>
      </c>
      <c r="S196" s="291"/>
      <c r="T196" s="274"/>
      <c r="U196" s="292"/>
      <c r="V196" s="293"/>
      <c r="W196" s="314"/>
      <c r="X196" s="290"/>
      <c r="Y196" s="294"/>
      <c r="Z196" s="274"/>
      <c r="AA196" s="291"/>
      <c r="AB196" s="294"/>
      <c r="AC196" s="274"/>
      <c r="AD196" s="312"/>
      <c r="AE196" s="295" t="str">
        <f t="shared" si="26"/>
        <v>0x0 ~ 0xFF (0~255 -)
0x0: Normal
0x1: Failure
0x3: Not equipped</v>
      </c>
      <c r="AF196" s="312"/>
      <c r="AG196" s="1260">
        <v>0</v>
      </c>
      <c r="AH196" s="1261">
        <v>1</v>
      </c>
      <c r="AI196" s="330">
        <v>0</v>
      </c>
      <c r="AJ196" s="1270" t="s">
        <v>2509</v>
      </c>
      <c r="AK196" s="339">
        <f t="shared" si="28"/>
        <v>0</v>
      </c>
      <c r="AL196" s="1274">
        <f t="shared" si="27"/>
        <v>255</v>
      </c>
      <c r="AM196" s="1261" t="s">
        <v>2516</v>
      </c>
      <c r="AN196" s="295" t="s">
        <v>814</v>
      </c>
      <c r="AO196" s="312"/>
      <c r="AP196" s="486" t="s">
        <v>1105</v>
      </c>
      <c r="AQ196" s="486" t="s">
        <v>440</v>
      </c>
      <c r="AS196" s="501" t="s">
        <v>1406</v>
      </c>
      <c r="AT196" s="501" t="s">
        <v>1406</v>
      </c>
      <c r="AU196" s="501" t="s">
        <v>1406</v>
      </c>
      <c r="AV196" s="501" t="s">
        <v>1406</v>
      </c>
    </row>
    <row r="197" spans="2:48" s="252" customFormat="1" ht="52.8" hidden="1">
      <c r="B197" s="1218" t="s">
        <v>2454</v>
      </c>
      <c r="C197" s="689" t="s">
        <v>1712</v>
      </c>
      <c r="D197" s="309" t="s">
        <v>134</v>
      </c>
      <c r="E197" s="312"/>
      <c r="F197" s="1227" t="s">
        <v>2459</v>
      </c>
      <c r="G197" s="1615"/>
      <c r="H197" s="270" t="s">
        <v>292</v>
      </c>
      <c r="I197" s="270" t="s">
        <v>200</v>
      </c>
      <c r="J197" s="497" t="s">
        <v>497</v>
      </c>
      <c r="K197" s="312"/>
      <c r="L197" s="275" t="s">
        <v>134</v>
      </c>
      <c r="M197" s="276"/>
      <c r="N197" s="314"/>
      <c r="O197" s="279"/>
      <c r="P197" s="314"/>
      <c r="Q197" s="300" t="s">
        <v>134</v>
      </c>
      <c r="R197" s="276" t="s">
        <v>134</v>
      </c>
      <c r="S197" s="301"/>
      <c r="T197" s="276"/>
      <c r="U197" s="302"/>
      <c r="V197" s="303"/>
      <c r="W197" s="314"/>
      <c r="X197" s="300"/>
      <c r="Y197" s="304"/>
      <c r="Z197" s="276"/>
      <c r="AA197" s="301"/>
      <c r="AB197" s="304"/>
      <c r="AC197" s="276"/>
      <c r="AD197" s="312"/>
      <c r="AE197" s="305" t="str">
        <f t="shared" si="26"/>
        <v>0x0 ~ 0xFF (0~255 -)
0x0: Normal
0x1: Failure
0x3: Not equipped</v>
      </c>
      <c r="AF197" s="312"/>
      <c r="AG197" s="1262">
        <v>0</v>
      </c>
      <c r="AH197" s="1263">
        <v>1</v>
      </c>
      <c r="AI197" s="332">
        <v>0</v>
      </c>
      <c r="AJ197" s="1271" t="s">
        <v>2509</v>
      </c>
      <c r="AK197" s="341">
        <f t="shared" si="28"/>
        <v>0</v>
      </c>
      <c r="AL197" s="1275">
        <f t="shared" si="27"/>
        <v>255</v>
      </c>
      <c r="AM197" s="1263" t="s">
        <v>2516</v>
      </c>
      <c r="AN197" s="305" t="s">
        <v>814</v>
      </c>
      <c r="AO197" s="312"/>
      <c r="AP197" s="487" t="s">
        <v>1105</v>
      </c>
      <c r="AQ197" s="487" t="s">
        <v>440</v>
      </c>
      <c r="AS197" s="500" t="s">
        <v>1406</v>
      </c>
      <c r="AT197" s="500" t="s">
        <v>1406</v>
      </c>
      <c r="AU197" s="500" t="s">
        <v>1406</v>
      </c>
      <c r="AV197" s="500" t="s">
        <v>1406</v>
      </c>
    </row>
    <row r="198" spans="2:48" s="252" customFormat="1" ht="66" hidden="1">
      <c r="B198" s="1218" t="s">
        <v>2454</v>
      </c>
      <c r="C198" s="289" t="s">
        <v>134</v>
      </c>
      <c r="D198" s="289" t="s">
        <v>134</v>
      </c>
      <c r="E198" s="312"/>
      <c r="F198" s="1225" t="s">
        <v>1115</v>
      </c>
      <c r="G198" s="1614" t="s">
        <v>498</v>
      </c>
      <c r="H198" s="266">
        <v>1</v>
      </c>
      <c r="I198" s="266" t="s">
        <v>200</v>
      </c>
      <c r="J198" s="498" t="s">
        <v>499</v>
      </c>
      <c r="K198" s="312"/>
      <c r="L198" s="271" t="s">
        <v>134</v>
      </c>
      <c r="M198" s="272"/>
      <c r="N198" s="314"/>
      <c r="O198" s="277"/>
      <c r="P198" s="314"/>
      <c r="Q198" s="280" t="s">
        <v>134</v>
      </c>
      <c r="R198" s="272" t="s">
        <v>134</v>
      </c>
      <c r="S198" s="281"/>
      <c r="T198" s="272"/>
      <c r="U198" s="282"/>
      <c r="V198" s="283"/>
      <c r="W198" s="314"/>
      <c r="X198" s="280"/>
      <c r="Y198" s="284"/>
      <c r="Z198" s="272"/>
      <c r="AA198" s="281"/>
      <c r="AB198" s="284"/>
      <c r="AC198" s="272"/>
      <c r="AD198" s="312"/>
      <c r="AE198" s="1309" t="str">
        <f t="shared" si="26"/>
        <v>0x0 ~ 0x1 (0~1 -)
0x0: Normal
0x1: Protected
0x3: Not equipped (LD is not supported)</v>
      </c>
      <c r="AF198" s="312"/>
      <c r="AG198" s="1258">
        <v>0</v>
      </c>
      <c r="AH198" s="1259">
        <v>1</v>
      </c>
      <c r="AI198" s="328">
        <v>0</v>
      </c>
      <c r="AJ198" s="1307">
        <v>1</v>
      </c>
      <c r="AK198" s="337">
        <f t="shared" ref="AK198" si="31">HEX2DEC(AI198)*AH198+AG198</f>
        <v>0</v>
      </c>
      <c r="AL198" s="1308">
        <f t="shared" ref="AL198" si="32">HEX2DEC(AJ198)*AH198+AG198</f>
        <v>1</v>
      </c>
      <c r="AM198" s="1259" t="s">
        <v>2516</v>
      </c>
      <c r="AN198" s="1234" t="s">
        <v>2491</v>
      </c>
      <c r="AO198" s="312"/>
      <c r="AP198" s="310" t="s">
        <v>1104</v>
      </c>
      <c r="AQ198" s="310" t="s">
        <v>743</v>
      </c>
      <c r="AS198" s="913" t="s">
        <v>1246</v>
      </c>
      <c r="AT198" s="913" t="s">
        <v>1955</v>
      </c>
      <c r="AU198" s="913" t="s">
        <v>1968</v>
      </c>
      <c r="AV198" s="932" t="s">
        <v>1969</v>
      </c>
    </row>
    <row r="199" spans="2:48" s="252" customFormat="1" ht="52.8" hidden="1">
      <c r="B199" s="1218" t="s">
        <v>2454</v>
      </c>
      <c r="C199" s="684" t="s">
        <v>1712</v>
      </c>
      <c r="D199" s="299" t="s">
        <v>134</v>
      </c>
      <c r="E199" s="312"/>
      <c r="F199" s="1226" t="s">
        <v>2460</v>
      </c>
      <c r="G199" s="1615"/>
      <c r="H199" s="268" t="s">
        <v>299</v>
      </c>
      <c r="I199" s="268" t="s">
        <v>200</v>
      </c>
      <c r="J199" s="499" t="s">
        <v>500</v>
      </c>
      <c r="K199" s="312"/>
      <c r="L199" s="273" t="s">
        <v>134</v>
      </c>
      <c r="M199" s="274"/>
      <c r="N199" s="314"/>
      <c r="O199" s="278"/>
      <c r="P199" s="314"/>
      <c r="Q199" s="290" t="s">
        <v>134</v>
      </c>
      <c r="R199" s="274" t="s">
        <v>134</v>
      </c>
      <c r="S199" s="291"/>
      <c r="T199" s="274"/>
      <c r="U199" s="292"/>
      <c r="V199" s="293"/>
      <c r="W199" s="314"/>
      <c r="X199" s="290"/>
      <c r="Y199" s="294"/>
      <c r="Z199" s="274"/>
      <c r="AA199" s="291"/>
      <c r="AB199" s="294"/>
      <c r="AC199" s="274"/>
      <c r="AD199" s="312"/>
      <c r="AE199" s="295" t="str">
        <f t="shared" si="26"/>
        <v>0x0 ~ 0xFF (0~255 -)
0x0: Normal
0x1: Protected
0x3: Not equipped</v>
      </c>
      <c r="AF199" s="312"/>
      <c r="AG199" s="1260">
        <v>0</v>
      </c>
      <c r="AH199" s="1261">
        <v>1</v>
      </c>
      <c r="AI199" s="330">
        <v>0</v>
      </c>
      <c r="AJ199" s="1270" t="s">
        <v>2509</v>
      </c>
      <c r="AK199" s="339">
        <f t="shared" si="28"/>
        <v>0</v>
      </c>
      <c r="AL199" s="1274">
        <f t="shared" si="27"/>
        <v>255</v>
      </c>
      <c r="AM199" s="1261" t="s">
        <v>2516</v>
      </c>
      <c r="AN199" s="295" t="s">
        <v>815</v>
      </c>
      <c r="AO199" s="312"/>
      <c r="AP199" s="486" t="s">
        <v>1105</v>
      </c>
      <c r="AQ199" s="486" t="s">
        <v>440</v>
      </c>
      <c r="AS199" s="501" t="s">
        <v>1406</v>
      </c>
      <c r="AT199" s="501" t="s">
        <v>1406</v>
      </c>
      <c r="AU199" s="501" t="s">
        <v>1406</v>
      </c>
      <c r="AV199" s="501" t="s">
        <v>1406</v>
      </c>
    </row>
    <row r="200" spans="2:48" s="252" customFormat="1" ht="52.8" hidden="1">
      <c r="B200" s="1218" t="s">
        <v>2454</v>
      </c>
      <c r="C200" s="684" t="s">
        <v>1712</v>
      </c>
      <c r="D200" s="299" t="s">
        <v>134</v>
      </c>
      <c r="E200" s="312"/>
      <c r="F200" s="1226" t="s">
        <v>2460</v>
      </c>
      <c r="G200" s="1615"/>
      <c r="H200" s="268" t="s">
        <v>287</v>
      </c>
      <c r="I200" s="268" t="s">
        <v>200</v>
      </c>
      <c r="J200" s="499" t="s">
        <v>501</v>
      </c>
      <c r="K200" s="312"/>
      <c r="L200" s="273" t="s">
        <v>134</v>
      </c>
      <c r="M200" s="274"/>
      <c r="N200" s="314"/>
      <c r="O200" s="278"/>
      <c r="P200" s="314"/>
      <c r="Q200" s="290" t="s">
        <v>134</v>
      </c>
      <c r="R200" s="274" t="s">
        <v>134</v>
      </c>
      <c r="S200" s="291"/>
      <c r="T200" s="274"/>
      <c r="U200" s="292"/>
      <c r="V200" s="293"/>
      <c r="W200" s="314"/>
      <c r="X200" s="290"/>
      <c r="Y200" s="294"/>
      <c r="Z200" s="274"/>
      <c r="AA200" s="291"/>
      <c r="AB200" s="294"/>
      <c r="AC200" s="274"/>
      <c r="AD200" s="312"/>
      <c r="AE200" s="295" t="str">
        <f t="shared" si="26"/>
        <v>0x0 ~ 0xFF (0~255 -)
0x0: Normal
0x1: Protected
0x3: Not equipped</v>
      </c>
      <c r="AF200" s="312"/>
      <c r="AG200" s="1260">
        <v>0</v>
      </c>
      <c r="AH200" s="1261">
        <v>1</v>
      </c>
      <c r="AI200" s="330">
        <v>0</v>
      </c>
      <c r="AJ200" s="1270" t="s">
        <v>2509</v>
      </c>
      <c r="AK200" s="339">
        <f t="shared" si="28"/>
        <v>0</v>
      </c>
      <c r="AL200" s="1274">
        <f t="shared" si="27"/>
        <v>255</v>
      </c>
      <c r="AM200" s="1261" t="s">
        <v>2516</v>
      </c>
      <c r="AN200" s="295" t="s">
        <v>815</v>
      </c>
      <c r="AO200" s="312"/>
      <c r="AP200" s="486" t="s">
        <v>1105</v>
      </c>
      <c r="AQ200" s="486" t="s">
        <v>440</v>
      </c>
      <c r="AS200" s="501" t="s">
        <v>1406</v>
      </c>
      <c r="AT200" s="501" t="s">
        <v>1406</v>
      </c>
      <c r="AU200" s="501" t="s">
        <v>1406</v>
      </c>
      <c r="AV200" s="501" t="s">
        <v>1406</v>
      </c>
    </row>
    <row r="201" spans="2:48" s="252" customFormat="1" ht="52.8" hidden="1">
      <c r="B201" s="1218" t="s">
        <v>2454</v>
      </c>
      <c r="C201" s="684" t="s">
        <v>1712</v>
      </c>
      <c r="D201" s="299" t="s">
        <v>134</v>
      </c>
      <c r="E201" s="312"/>
      <c r="F201" s="1226" t="s">
        <v>2460</v>
      </c>
      <c r="G201" s="1615"/>
      <c r="H201" s="268" t="s">
        <v>295</v>
      </c>
      <c r="I201" s="268" t="s">
        <v>200</v>
      </c>
      <c r="J201" s="499" t="s">
        <v>502</v>
      </c>
      <c r="K201" s="312"/>
      <c r="L201" s="273" t="s">
        <v>134</v>
      </c>
      <c r="M201" s="274"/>
      <c r="N201" s="314"/>
      <c r="O201" s="278"/>
      <c r="P201" s="314"/>
      <c r="Q201" s="290" t="s">
        <v>134</v>
      </c>
      <c r="R201" s="274" t="s">
        <v>134</v>
      </c>
      <c r="S201" s="291"/>
      <c r="T201" s="274"/>
      <c r="U201" s="292"/>
      <c r="V201" s="293"/>
      <c r="W201" s="314"/>
      <c r="X201" s="290"/>
      <c r="Y201" s="294"/>
      <c r="Z201" s="274"/>
      <c r="AA201" s="291"/>
      <c r="AB201" s="294"/>
      <c r="AC201" s="274"/>
      <c r="AD201" s="312"/>
      <c r="AE201" s="295" t="str">
        <f t="shared" si="26"/>
        <v>0x0 ~ 0xFF (0~255 -)
0x0: Normal
0x1: Protected
0x3: Not equipped</v>
      </c>
      <c r="AF201" s="312"/>
      <c r="AG201" s="1260">
        <v>0</v>
      </c>
      <c r="AH201" s="1261">
        <v>1</v>
      </c>
      <c r="AI201" s="330">
        <v>0</v>
      </c>
      <c r="AJ201" s="1270" t="s">
        <v>2509</v>
      </c>
      <c r="AK201" s="339">
        <f t="shared" si="28"/>
        <v>0</v>
      </c>
      <c r="AL201" s="1274">
        <f t="shared" si="27"/>
        <v>255</v>
      </c>
      <c r="AM201" s="1261" t="s">
        <v>2516</v>
      </c>
      <c r="AN201" s="295" t="s">
        <v>815</v>
      </c>
      <c r="AO201" s="312"/>
      <c r="AP201" s="486" t="s">
        <v>1105</v>
      </c>
      <c r="AQ201" s="486" t="s">
        <v>440</v>
      </c>
      <c r="AS201" s="501" t="s">
        <v>1406</v>
      </c>
      <c r="AT201" s="501" t="s">
        <v>1406</v>
      </c>
      <c r="AU201" s="501" t="s">
        <v>1406</v>
      </c>
      <c r="AV201" s="501" t="s">
        <v>1406</v>
      </c>
    </row>
    <row r="202" spans="2:48" s="252" customFormat="1" ht="52.8" hidden="1">
      <c r="B202" s="1218" t="s">
        <v>2454</v>
      </c>
      <c r="C202" s="689" t="s">
        <v>1712</v>
      </c>
      <c r="D202" s="309" t="s">
        <v>134</v>
      </c>
      <c r="E202" s="312"/>
      <c r="F202" s="1227" t="s">
        <v>2460</v>
      </c>
      <c r="G202" s="1615"/>
      <c r="H202" s="270" t="s">
        <v>292</v>
      </c>
      <c r="I202" s="270" t="s">
        <v>200</v>
      </c>
      <c r="J202" s="497" t="s">
        <v>503</v>
      </c>
      <c r="K202" s="312"/>
      <c r="L202" s="275" t="s">
        <v>134</v>
      </c>
      <c r="M202" s="276"/>
      <c r="N202" s="314"/>
      <c r="O202" s="279"/>
      <c r="P202" s="314"/>
      <c r="Q202" s="300" t="s">
        <v>134</v>
      </c>
      <c r="R202" s="276" t="s">
        <v>134</v>
      </c>
      <c r="S202" s="301"/>
      <c r="T202" s="276"/>
      <c r="U202" s="302"/>
      <c r="V202" s="303"/>
      <c r="W202" s="314"/>
      <c r="X202" s="300"/>
      <c r="Y202" s="304"/>
      <c r="Z202" s="276"/>
      <c r="AA202" s="301"/>
      <c r="AB202" s="304"/>
      <c r="AC202" s="276"/>
      <c r="AD202" s="312"/>
      <c r="AE202" s="305" t="str">
        <f t="shared" si="26"/>
        <v>0x0 ~ 0xFF (0~255 -)
0x0: Normal
0x1: Protected
0x3: Not equipped</v>
      </c>
      <c r="AF202" s="312"/>
      <c r="AG202" s="1262">
        <v>0</v>
      </c>
      <c r="AH202" s="1263">
        <v>1</v>
      </c>
      <c r="AI202" s="332">
        <v>0</v>
      </c>
      <c r="AJ202" s="1271" t="s">
        <v>2509</v>
      </c>
      <c r="AK202" s="341">
        <f t="shared" si="28"/>
        <v>0</v>
      </c>
      <c r="AL202" s="1275">
        <f t="shared" si="27"/>
        <v>255</v>
      </c>
      <c r="AM202" s="1263" t="s">
        <v>2516</v>
      </c>
      <c r="AN202" s="305" t="s">
        <v>815</v>
      </c>
      <c r="AO202" s="312"/>
      <c r="AP202" s="487" t="s">
        <v>1105</v>
      </c>
      <c r="AQ202" s="487" t="s">
        <v>440</v>
      </c>
      <c r="AS202" s="500" t="s">
        <v>1406</v>
      </c>
      <c r="AT202" s="500" t="s">
        <v>1406</v>
      </c>
      <c r="AU202" s="500" t="s">
        <v>1406</v>
      </c>
      <c r="AV202" s="500" t="s">
        <v>1406</v>
      </c>
    </row>
    <row r="203" spans="2:48" s="252" customFormat="1" ht="66" hidden="1">
      <c r="B203" s="1218" t="s">
        <v>2454</v>
      </c>
      <c r="C203" s="289" t="s">
        <v>134</v>
      </c>
      <c r="D203" s="289" t="s">
        <v>134</v>
      </c>
      <c r="E203" s="312"/>
      <c r="F203" s="1225" t="s">
        <v>1116</v>
      </c>
      <c r="G203" s="1614" t="s">
        <v>504</v>
      </c>
      <c r="H203" s="266">
        <v>1</v>
      </c>
      <c r="I203" s="266" t="s">
        <v>200</v>
      </c>
      <c r="J203" s="498" t="s">
        <v>505</v>
      </c>
      <c r="K203" s="312"/>
      <c r="L203" s="271" t="s">
        <v>134</v>
      </c>
      <c r="M203" s="272"/>
      <c r="N203" s="314"/>
      <c r="O203" s="277"/>
      <c r="P203" s="314"/>
      <c r="Q203" s="280" t="s">
        <v>134</v>
      </c>
      <c r="R203" s="272" t="s">
        <v>134</v>
      </c>
      <c r="S203" s="281"/>
      <c r="T203" s="272"/>
      <c r="U203" s="282"/>
      <c r="V203" s="283"/>
      <c r="W203" s="314"/>
      <c r="X203" s="280"/>
      <c r="Y203" s="284"/>
      <c r="Z203" s="272"/>
      <c r="AA203" s="281"/>
      <c r="AB203" s="284"/>
      <c r="AC203" s="272"/>
      <c r="AD203" s="312"/>
      <c r="AE203" s="1309" t="str">
        <f t="shared" si="26"/>
        <v>0x0 ~ 0x1 (0~1 -)
0x0: Normal
0x1: Protected
0x3: Not equipped (LD is not supported)</v>
      </c>
      <c r="AF203" s="312"/>
      <c r="AG203" s="1258">
        <v>0</v>
      </c>
      <c r="AH203" s="1259">
        <v>1</v>
      </c>
      <c r="AI203" s="328">
        <v>0</v>
      </c>
      <c r="AJ203" s="1307">
        <v>1</v>
      </c>
      <c r="AK203" s="337">
        <f t="shared" si="28"/>
        <v>0</v>
      </c>
      <c r="AL203" s="1308">
        <f t="shared" si="27"/>
        <v>1</v>
      </c>
      <c r="AM203" s="1259" t="s">
        <v>2516</v>
      </c>
      <c r="AN203" s="1234" t="s">
        <v>2491</v>
      </c>
      <c r="AO203" s="312"/>
      <c r="AP203" s="310" t="s">
        <v>1104</v>
      </c>
      <c r="AQ203" s="310" t="s">
        <v>744</v>
      </c>
      <c r="AS203" s="913" t="s">
        <v>1246</v>
      </c>
      <c r="AT203" s="913" t="s">
        <v>1955</v>
      </c>
      <c r="AU203" s="913" t="s">
        <v>1970</v>
      </c>
      <c r="AV203" s="932" t="s">
        <v>1971</v>
      </c>
    </row>
    <row r="204" spans="2:48" s="252" customFormat="1" ht="52.8" hidden="1">
      <c r="B204" s="1218" t="s">
        <v>2454</v>
      </c>
      <c r="C204" s="684" t="s">
        <v>1712</v>
      </c>
      <c r="D204" s="299" t="s">
        <v>134</v>
      </c>
      <c r="E204" s="312"/>
      <c r="F204" s="1226" t="s">
        <v>2461</v>
      </c>
      <c r="G204" s="1615"/>
      <c r="H204" s="268" t="s">
        <v>299</v>
      </c>
      <c r="I204" s="268" t="s">
        <v>200</v>
      </c>
      <c r="J204" s="499" t="s">
        <v>506</v>
      </c>
      <c r="K204" s="312"/>
      <c r="L204" s="273" t="s">
        <v>134</v>
      </c>
      <c r="M204" s="274"/>
      <c r="N204" s="314"/>
      <c r="O204" s="278"/>
      <c r="P204" s="314"/>
      <c r="Q204" s="290" t="s">
        <v>134</v>
      </c>
      <c r="R204" s="274" t="s">
        <v>134</v>
      </c>
      <c r="S204" s="291"/>
      <c r="T204" s="274"/>
      <c r="U204" s="292"/>
      <c r="V204" s="293"/>
      <c r="W204" s="314"/>
      <c r="X204" s="290"/>
      <c r="Y204" s="294"/>
      <c r="Z204" s="274"/>
      <c r="AA204" s="291"/>
      <c r="AB204" s="294"/>
      <c r="AC204" s="274"/>
      <c r="AD204" s="312"/>
      <c r="AE204" s="295" t="str">
        <f t="shared" si="26"/>
        <v>0x0 ~ 0xFF (0~255 -)
0x0: Normal
0x1: Protected
0x3: Not equipped</v>
      </c>
      <c r="AF204" s="312"/>
      <c r="AG204" s="1260">
        <v>0</v>
      </c>
      <c r="AH204" s="1261">
        <v>1</v>
      </c>
      <c r="AI204" s="330">
        <v>0</v>
      </c>
      <c r="AJ204" s="1270" t="s">
        <v>2509</v>
      </c>
      <c r="AK204" s="339">
        <f t="shared" si="28"/>
        <v>0</v>
      </c>
      <c r="AL204" s="1274">
        <f t="shared" si="27"/>
        <v>255</v>
      </c>
      <c r="AM204" s="1261" t="s">
        <v>2516</v>
      </c>
      <c r="AN204" s="295" t="s">
        <v>815</v>
      </c>
      <c r="AO204" s="312"/>
      <c r="AP204" s="486" t="s">
        <v>1105</v>
      </c>
      <c r="AQ204" s="486" t="s">
        <v>440</v>
      </c>
      <c r="AS204" s="501" t="s">
        <v>1406</v>
      </c>
      <c r="AT204" s="501" t="s">
        <v>1406</v>
      </c>
      <c r="AU204" s="501" t="s">
        <v>1406</v>
      </c>
      <c r="AV204" s="501" t="s">
        <v>1406</v>
      </c>
    </row>
    <row r="205" spans="2:48" s="252" customFormat="1" ht="52.8" hidden="1">
      <c r="B205" s="1218" t="s">
        <v>2454</v>
      </c>
      <c r="C205" s="684" t="s">
        <v>1712</v>
      </c>
      <c r="D205" s="299" t="s">
        <v>134</v>
      </c>
      <c r="E205" s="312"/>
      <c r="F205" s="1226" t="s">
        <v>2461</v>
      </c>
      <c r="G205" s="1615"/>
      <c r="H205" s="268" t="s">
        <v>287</v>
      </c>
      <c r="I205" s="268" t="s">
        <v>200</v>
      </c>
      <c r="J205" s="499" t="s">
        <v>507</v>
      </c>
      <c r="K205" s="312"/>
      <c r="L205" s="273" t="s">
        <v>134</v>
      </c>
      <c r="M205" s="274"/>
      <c r="N205" s="314"/>
      <c r="O205" s="278"/>
      <c r="P205" s="314"/>
      <c r="Q205" s="290" t="s">
        <v>134</v>
      </c>
      <c r="R205" s="274" t="s">
        <v>134</v>
      </c>
      <c r="S205" s="291"/>
      <c r="T205" s="274"/>
      <c r="U205" s="292"/>
      <c r="V205" s="293"/>
      <c r="W205" s="314"/>
      <c r="X205" s="290"/>
      <c r="Y205" s="294"/>
      <c r="Z205" s="274"/>
      <c r="AA205" s="291"/>
      <c r="AB205" s="294"/>
      <c r="AC205" s="274"/>
      <c r="AD205" s="312"/>
      <c r="AE205" s="295" t="str">
        <f t="shared" si="26"/>
        <v>0x0 ~ 0xFF (0~255 -)
0x0: Normal
0x1: Protected
0x3: Not equipped</v>
      </c>
      <c r="AF205" s="312"/>
      <c r="AG205" s="1260">
        <v>0</v>
      </c>
      <c r="AH205" s="1261">
        <v>1</v>
      </c>
      <c r="AI205" s="330">
        <v>0</v>
      </c>
      <c r="AJ205" s="1270" t="s">
        <v>2509</v>
      </c>
      <c r="AK205" s="339">
        <f t="shared" si="28"/>
        <v>0</v>
      </c>
      <c r="AL205" s="1274">
        <f t="shared" si="27"/>
        <v>255</v>
      </c>
      <c r="AM205" s="1261" t="s">
        <v>2516</v>
      </c>
      <c r="AN205" s="295" t="s">
        <v>815</v>
      </c>
      <c r="AO205" s="312"/>
      <c r="AP205" s="486" t="s">
        <v>1105</v>
      </c>
      <c r="AQ205" s="486" t="s">
        <v>440</v>
      </c>
      <c r="AS205" s="501" t="s">
        <v>1406</v>
      </c>
      <c r="AT205" s="501" t="s">
        <v>1406</v>
      </c>
      <c r="AU205" s="501" t="s">
        <v>1406</v>
      </c>
      <c r="AV205" s="501" t="s">
        <v>1406</v>
      </c>
    </row>
    <row r="206" spans="2:48" s="252" customFormat="1" ht="52.8" hidden="1">
      <c r="B206" s="1218" t="s">
        <v>2454</v>
      </c>
      <c r="C206" s="684" t="s">
        <v>1712</v>
      </c>
      <c r="D206" s="299" t="s">
        <v>134</v>
      </c>
      <c r="E206" s="312"/>
      <c r="F206" s="1226" t="s">
        <v>2461</v>
      </c>
      <c r="G206" s="1615"/>
      <c r="H206" s="268" t="s">
        <v>295</v>
      </c>
      <c r="I206" s="268" t="s">
        <v>200</v>
      </c>
      <c r="J206" s="499" t="s">
        <v>508</v>
      </c>
      <c r="K206" s="312"/>
      <c r="L206" s="273" t="s">
        <v>134</v>
      </c>
      <c r="M206" s="274"/>
      <c r="N206" s="314"/>
      <c r="O206" s="278"/>
      <c r="P206" s="314"/>
      <c r="Q206" s="290" t="s">
        <v>134</v>
      </c>
      <c r="R206" s="274" t="s">
        <v>134</v>
      </c>
      <c r="S206" s="291"/>
      <c r="T206" s="274"/>
      <c r="U206" s="292"/>
      <c r="V206" s="293"/>
      <c r="W206" s="314"/>
      <c r="X206" s="290"/>
      <c r="Y206" s="294"/>
      <c r="Z206" s="274"/>
      <c r="AA206" s="291"/>
      <c r="AB206" s="294"/>
      <c r="AC206" s="274"/>
      <c r="AD206" s="312"/>
      <c r="AE206" s="295" t="str">
        <f t="shared" si="26"/>
        <v>0x0 ~ 0xFF (0~255 -)
0x0: Normal
0x1: Protected
0x3: Not equipped</v>
      </c>
      <c r="AF206" s="312"/>
      <c r="AG206" s="1260">
        <v>0</v>
      </c>
      <c r="AH206" s="1261">
        <v>1</v>
      </c>
      <c r="AI206" s="330">
        <v>0</v>
      </c>
      <c r="AJ206" s="1270" t="s">
        <v>2509</v>
      </c>
      <c r="AK206" s="339">
        <f t="shared" si="28"/>
        <v>0</v>
      </c>
      <c r="AL206" s="1274">
        <f t="shared" si="27"/>
        <v>255</v>
      </c>
      <c r="AM206" s="1261" t="s">
        <v>2516</v>
      </c>
      <c r="AN206" s="295" t="s">
        <v>815</v>
      </c>
      <c r="AO206" s="312"/>
      <c r="AP206" s="486" t="s">
        <v>1105</v>
      </c>
      <c r="AQ206" s="486" t="s">
        <v>440</v>
      </c>
      <c r="AS206" s="501" t="s">
        <v>1406</v>
      </c>
      <c r="AT206" s="501" t="s">
        <v>1406</v>
      </c>
      <c r="AU206" s="501" t="s">
        <v>1406</v>
      </c>
      <c r="AV206" s="501" t="s">
        <v>1406</v>
      </c>
    </row>
    <row r="207" spans="2:48" s="252" customFormat="1" ht="52.8" hidden="1">
      <c r="B207" s="1218" t="s">
        <v>2454</v>
      </c>
      <c r="C207" s="689" t="s">
        <v>1712</v>
      </c>
      <c r="D207" s="309" t="s">
        <v>134</v>
      </c>
      <c r="E207" s="312"/>
      <c r="F207" s="1227" t="s">
        <v>2461</v>
      </c>
      <c r="G207" s="1615"/>
      <c r="H207" s="270" t="s">
        <v>292</v>
      </c>
      <c r="I207" s="270" t="s">
        <v>200</v>
      </c>
      <c r="J207" s="497" t="s">
        <v>509</v>
      </c>
      <c r="K207" s="312"/>
      <c r="L207" s="275" t="s">
        <v>134</v>
      </c>
      <c r="M207" s="276"/>
      <c r="N207" s="314"/>
      <c r="O207" s="279"/>
      <c r="P207" s="314"/>
      <c r="Q207" s="300" t="s">
        <v>134</v>
      </c>
      <c r="R207" s="276" t="s">
        <v>134</v>
      </c>
      <c r="S207" s="301"/>
      <c r="T207" s="276"/>
      <c r="U207" s="302"/>
      <c r="V207" s="303"/>
      <c r="W207" s="314"/>
      <c r="X207" s="300"/>
      <c r="Y207" s="304"/>
      <c r="Z207" s="276"/>
      <c r="AA207" s="301"/>
      <c r="AB207" s="304"/>
      <c r="AC207" s="276"/>
      <c r="AD207" s="312"/>
      <c r="AE207" s="305" t="str">
        <f t="shared" si="26"/>
        <v>0x0 ~ 0xFF (0~255 -)
0x0: Normal
0x1: Protected
0x3: Not equipped</v>
      </c>
      <c r="AF207" s="312"/>
      <c r="AG207" s="1262">
        <v>0</v>
      </c>
      <c r="AH207" s="1263">
        <v>1</v>
      </c>
      <c r="AI207" s="332">
        <v>0</v>
      </c>
      <c r="AJ207" s="1271" t="s">
        <v>2509</v>
      </c>
      <c r="AK207" s="341">
        <f t="shared" si="28"/>
        <v>0</v>
      </c>
      <c r="AL207" s="1275">
        <f t="shared" si="27"/>
        <v>255</v>
      </c>
      <c r="AM207" s="1263" t="s">
        <v>2516</v>
      </c>
      <c r="AN207" s="305" t="s">
        <v>815</v>
      </c>
      <c r="AO207" s="312"/>
      <c r="AP207" s="487" t="s">
        <v>1105</v>
      </c>
      <c r="AQ207" s="487" t="s">
        <v>440</v>
      </c>
      <c r="AS207" s="500" t="s">
        <v>1406</v>
      </c>
      <c r="AT207" s="500" t="s">
        <v>1406</v>
      </c>
      <c r="AU207" s="500" t="s">
        <v>1406</v>
      </c>
      <c r="AV207" s="500" t="s">
        <v>1406</v>
      </c>
    </row>
    <row r="208" spans="2:48" s="252" customFormat="1" ht="66" hidden="1">
      <c r="B208" s="1218" t="s">
        <v>2454</v>
      </c>
      <c r="C208" s="289" t="s">
        <v>134</v>
      </c>
      <c r="D208" s="289" t="s">
        <v>134</v>
      </c>
      <c r="E208" s="312"/>
      <c r="F208" s="1225" t="s">
        <v>1117</v>
      </c>
      <c r="G208" s="1614" t="s">
        <v>510</v>
      </c>
      <c r="H208" s="266">
        <v>1</v>
      </c>
      <c r="I208" s="266" t="s">
        <v>200</v>
      </c>
      <c r="J208" s="498" t="s">
        <v>511</v>
      </c>
      <c r="K208" s="312"/>
      <c r="L208" s="271" t="s">
        <v>134</v>
      </c>
      <c r="M208" s="272"/>
      <c r="N208" s="314"/>
      <c r="O208" s="277"/>
      <c r="P208" s="314"/>
      <c r="Q208" s="280" t="s">
        <v>134</v>
      </c>
      <c r="R208" s="272" t="s">
        <v>134</v>
      </c>
      <c r="S208" s="281"/>
      <c r="T208" s="272"/>
      <c r="U208" s="282"/>
      <c r="V208" s="283"/>
      <c r="W208" s="314"/>
      <c r="X208" s="280"/>
      <c r="Y208" s="284"/>
      <c r="Z208" s="272"/>
      <c r="AA208" s="281"/>
      <c r="AB208" s="284"/>
      <c r="AC208" s="272"/>
      <c r="AD208" s="312"/>
      <c r="AE208" s="1309" t="str">
        <f t="shared" si="26"/>
        <v>0x0 ~ 0x1 (0~1 -)
0x0: Normal
0x1: Protected
0x3: Not equipped (LD is not supported)</v>
      </c>
      <c r="AF208" s="312"/>
      <c r="AG208" s="1258">
        <v>0</v>
      </c>
      <c r="AH208" s="1259">
        <v>1</v>
      </c>
      <c r="AI208" s="328">
        <v>0</v>
      </c>
      <c r="AJ208" s="1307">
        <v>1</v>
      </c>
      <c r="AK208" s="337">
        <f t="shared" ref="AK208" si="33">HEX2DEC(AI208)*AH208+AG208</f>
        <v>0</v>
      </c>
      <c r="AL208" s="1308">
        <f t="shared" ref="AL208" si="34">HEX2DEC(AJ208)*AH208+AG208</f>
        <v>1</v>
      </c>
      <c r="AM208" s="1259" t="s">
        <v>2516</v>
      </c>
      <c r="AN208" s="1234" t="s">
        <v>2492</v>
      </c>
      <c r="AO208" s="312"/>
      <c r="AP208" s="310" t="s">
        <v>1104</v>
      </c>
      <c r="AQ208" s="310" t="s">
        <v>745</v>
      </c>
      <c r="AS208" s="913" t="s">
        <v>1246</v>
      </c>
      <c r="AT208" s="913" t="s">
        <v>1955</v>
      </c>
      <c r="AU208" s="913" t="s">
        <v>1972</v>
      </c>
      <c r="AV208" s="932" t="s">
        <v>1973</v>
      </c>
    </row>
    <row r="209" spans="2:48" s="252" customFormat="1" ht="52.8" hidden="1">
      <c r="B209" s="1218" t="s">
        <v>2454</v>
      </c>
      <c r="C209" s="684" t="s">
        <v>1712</v>
      </c>
      <c r="D209" s="299" t="s">
        <v>134</v>
      </c>
      <c r="E209" s="312"/>
      <c r="F209" s="1226" t="s">
        <v>2462</v>
      </c>
      <c r="G209" s="1615"/>
      <c r="H209" s="268" t="s">
        <v>299</v>
      </c>
      <c r="I209" s="268" t="s">
        <v>200</v>
      </c>
      <c r="J209" s="499" t="s">
        <v>512</v>
      </c>
      <c r="K209" s="312"/>
      <c r="L209" s="273" t="s">
        <v>134</v>
      </c>
      <c r="M209" s="274"/>
      <c r="N209" s="314"/>
      <c r="O209" s="278"/>
      <c r="P209" s="314"/>
      <c r="Q209" s="290" t="s">
        <v>134</v>
      </c>
      <c r="R209" s="274" t="s">
        <v>134</v>
      </c>
      <c r="S209" s="291"/>
      <c r="T209" s="274"/>
      <c r="U209" s="292"/>
      <c r="V209" s="293"/>
      <c r="W209" s="314"/>
      <c r="X209" s="290"/>
      <c r="Y209" s="294"/>
      <c r="Z209" s="274"/>
      <c r="AA209" s="291"/>
      <c r="AB209" s="294"/>
      <c r="AC209" s="274"/>
      <c r="AD209" s="312"/>
      <c r="AE209" s="295" t="str">
        <f t="shared" si="26"/>
        <v>0x0 ~ 0xFF (0~255 -)
0x0: Normal
0x1: Protected
0x3: Not equipped</v>
      </c>
      <c r="AF209" s="312"/>
      <c r="AG209" s="1260">
        <v>0</v>
      </c>
      <c r="AH209" s="1261">
        <v>1</v>
      </c>
      <c r="AI209" s="330">
        <v>0</v>
      </c>
      <c r="AJ209" s="1270" t="s">
        <v>2509</v>
      </c>
      <c r="AK209" s="339">
        <f t="shared" si="28"/>
        <v>0</v>
      </c>
      <c r="AL209" s="1274">
        <f t="shared" si="27"/>
        <v>255</v>
      </c>
      <c r="AM209" s="1261" t="s">
        <v>2516</v>
      </c>
      <c r="AN209" s="295" t="s">
        <v>815</v>
      </c>
      <c r="AO209" s="312"/>
      <c r="AP209" s="486" t="s">
        <v>1105</v>
      </c>
      <c r="AQ209" s="486" t="s">
        <v>440</v>
      </c>
      <c r="AS209" s="501" t="s">
        <v>1406</v>
      </c>
      <c r="AT209" s="501" t="s">
        <v>1406</v>
      </c>
      <c r="AU209" s="501" t="s">
        <v>1406</v>
      </c>
      <c r="AV209" s="501" t="s">
        <v>1406</v>
      </c>
    </row>
    <row r="210" spans="2:48" s="252" customFormat="1" ht="52.8" hidden="1">
      <c r="B210" s="1218" t="s">
        <v>2454</v>
      </c>
      <c r="C210" s="684" t="s">
        <v>1712</v>
      </c>
      <c r="D210" s="299" t="s">
        <v>134</v>
      </c>
      <c r="E210" s="312"/>
      <c r="F210" s="1226" t="s">
        <v>2462</v>
      </c>
      <c r="G210" s="1615"/>
      <c r="H210" s="268" t="s">
        <v>287</v>
      </c>
      <c r="I210" s="268" t="s">
        <v>200</v>
      </c>
      <c r="J210" s="499" t="s">
        <v>513</v>
      </c>
      <c r="K210" s="312"/>
      <c r="L210" s="273" t="s">
        <v>134</v>
      </c>
      <c r="M210" s="274"/>
      <c r="N210" s="314"/>
      <c r="O210" s="278"/>
      <c r="P210" s="314"/>
      <c r="Q210" s="290" t="s">
        <v>134</v>
      </c>
      <c r="R210" s="274" t="s">
        <v>134</v>
      </c>
      <c r="S210" s="291"/>
      <c r="T210" s="274"/>
      <c r="U210" s="292"/>
      <c r="V210" s="293"/>
      <c r="W210" s="314"/>
      <c r="X210" s="290"/>
      <c r="Y210" s="294"/>
      <c r="Z210" s="274"/>
      <c r="AA210" s="291"/>
      <c r="AB210" s="294"/>
      <c r="AC210" s="274"/>
      <c r="AD210" s="312"/>
      <c r="AE210" s="295" t="str">
        <f t="shared" si="26"/>
        <v>0x0 ~ 0xFF (0~255 -)
0x0: Normal
0x1: Protected
0x3: Not equipped</v>
      </c>
      <c r="AF210" s="312"/>
      <c r="AG210" s="1260">
        <v>0</v>
      </c>
      <c r="AH210" s="1261">
        <v>1</v>
      </c>
      <c r="AI210" s="330">
        <v>0</v>
      </c>
      <c r="AJ210" s="1270" t="s">
        <v>2509</v>
      </c>
      <c r="AK210" s="339">
        <f t="shared" si="28"/>
        <v>0</v>
      </c>
      <c r="AL210" s="1274">
        <f t="shared" si="27"/>
        <v>255</v>
      </c>
      <c r="AM210" s="1261" t="s">
        <v>2516</v>
      </c>
      <c r="AN210" s="295" t="s">
        <v>815</v>
      </c>
      <c r="AO210" s="312"/>
      <c r="AP210" s="486" t="s">
        <v>1105</v>
      </c>
      <c r="AQ210" s="486" t="s">
        <v>440</v>
      </c>
      <c r="AS210" s="501" t="s">
        <v>1406</v>
      </c>
      <c r="AT210" s="501" t="s">
        <v>1406</v>
      </c>
      <c r="AU210" s="501" t="s">
        <v>1406</v>
      </c>
      <c r="AV210" s="501" t="s">
        <v>1406</v>
      </c>
    </row>
    <row r="211" spans="2:48" s="252" customFormat="1" ht="52.8" hidden="1">
      <c r="B211" s="1218" t="s">
        <v>2454</v>
      </c>
      <c r="C211" s="684" t="s">
        <v>1712</v>
      </c>
      <c r="D211" s="299" t="s">
        <v>134</v>
      </c>
      <c r="E211" s="312"/>
      <c r="F211" s="1226" t="s">
        <v>2462</v>
      </c>
      <c r="G211" s="1615"/>
      <c r="H211" s="268" t="s">
        <v>295</v>
      </c>
      <c r="I211" s="268" t="s">
        <v>200</v>
      </c>
      <c r="J211" s="499" t="s">
        <v>514</v>
      </c>
      <c r="K211" s="312"/>
      <c r="L211" s="273" t="s">
        <v>134</v>
      </c>
      <c r="M211" s="274"/>
      <c r="N211" s="314"/>
      <c r="O211" s="278"/>
      <c r="P211" s="314"/>
      <c r="Q211" s="290" t="s">
        <v>134</v>
      </c>
      <c r="R211" s="274" t="s">
        <v>134</v>
      </c>
      <c r="S211" s="291"/>
      <c r="T211" s="274"/>
      <c r="U211" s="292"/>
      <c r="V211" s="293"/>
      <c r="W211" s="314"/>
      <c r="X211" s="290"/>
      <c r="Y211" s="294"/>
      <c r="Z211" s="274"/>
      <c r="AA211" s="291"/>
      <c r="AB211" s="294"/>
      <c r="AC211" s="274"/>
      <c r="AD211" s="312"/>
      <c r="AE211" s="295" t="str">
        <f t="shared" si="26"/>
        <v>0x0 ~ 0xFF (0~255 -)
0x0: Normal
0x1: Protected
0x3: Not equipped</v>
      </c>
      <c r="AF211" s="312"/>
      <c r="AG211" s="1260">
        <v>0</v>
      </c>
      <c r="AH211" s="1261">
        <v>1</v>
      </c>
      <c r="AI211" s="330">
        <v>0</v>
      </c>
      <c r="AJ211" s="1270" t="s">
        <v>2509</v>
      </c>
      <c r="AK211" s="339">
        <f t="shared" si="28"/>
        <v>0</v>
      </c>
      <c r="AL211" s="1274">
        <f t="shared" si="27"/>
        <v>255</v>
      </c>
      <c r="AM211" s="1261" t="s">
        <v>2516</v>
      </c>
      <c r="AN211" s="295" t="s">
        <v>815</v>
      </c>
      <c r="AO211" s="312"/>
      <c r="AP211" s="486" t="s">
        <v>1105</v>
      </c>
      <c r="AQ211" s="486" t="s">
        <v>440</v>
      </c>
      <c r="AS211" s="501" t="s">
        <v>1406</v>
      </c>
      <c r="AT211" s="501" t="s">
        <v>1406</v>
      </c>
      <c r="AU211" s="501" t="s">
        <v>1406</v>
      </c>
      <c r="AV211" s="501" t="s">
        <v>1406</v>
      </c>
    </row>
    <row r="212" spans="2:48" s="252" customFormat="1" ht="52.8" hidden="1">
      <c r="B212" s="1218" t="s">
        <v>2454</v>
      </c>
      <c r="C212" s="689" t="s">
        <v>1712</v>
      </c>
      <c r="D212" s="309" t="s">
        <v>134</v>
      </c>
      <c r="E212" s="312"/>
      <c r="F212" s="1227" t="s">
        <v>2462</v>
      </c>
      <c r="G212" s="1615"/>
      <c r="H212" s="270" t="s">
        <v>292</v>
      </c>
      <c r="I212" s="270" t="s">
        <v>200</v>
      </c>
      <c r="J212" s="497" t="s">
        <v>515</v>
      </c>
      <c r="K212" s="312"/>
      <c r="L212" s="275" t="s">
        <v>134</v>
      </c>
      <c r="M212" s="276"/>
      <c r="N212" s="314"/>
      <c r="O212" s="279"/>
      <c r="P212" s="314"/>
      <c r="Q212" s="300" t="s">
        <v>134</v>
      </c>
      <c r="R212" s="276" t="s">
        <v>134</v>
      </c>
      <c r="S212" s="301"/>
      <c r="T212" s="276"/>
      <c r="U212" s="302"/>
      <c r="V212" s="303"/>
      <c r="W212" s="314"/>
      <c r="X212" s="300"/>
      <c r="Y212" s="304"/>
      <c r="Z212" s="276"/>
      <c r="AA212" s="301"/>
      <c r="AB212" s="304"/>
      <c r="AC212" s="276"/>
      <c r="AD212" s="312"/>
      <c r="AE212" s="305" t="str">
        <f t="shared" si="26"/>
        <v>0x0 ~ 0xFF (0~255 -)
0x0: Normal
0x1: Protected
0x3: Not equipped</v>
      </c>
      <c r="AF212" s="312"/>
      <c r="AG212" s="1262">
        <v>0</v>
      </c>
      <c r="AH212" s="1263">
        <v>1</v>
      </c>
      <c r="AI212" s="332">
        <v>0</v>
      </c>
      <c r="AJ212" s="1271" t="s">
        <v>2509</v>
      </c>
      <c r="AK212" s="341">
        <f t="shared" ref="AK212:AK232" si="35">HEX2DEC(AI212)*AH212+AG212</f>
        <v>0</v>
      </c>
      <c r="AL212" s="1275">
        <f t="shared" si="27"/>
        <v>255</v>
      </c>
      <c r="AM212" s="1263" t="s">
        <v>2516</v>
      </c>
      <c r="AN212" s="305" t="s">
        <v>815</v>
      </c>
      <c r="AO212" s="312"/>
      <c r="AP212" s="487" t="s">
        <v>1105</v>
      </c>
      <c r="AQ212" s="487" t="s">
        <v>440</v>
      </c>
      <c r="AS212" s="500" t="s">
        <v>1406</v>
      </c>
      <c r="AT212" s="500" t="s">
        <v>1406</v>
      </c>
      <c r="AU212" s="500" t="s">
        <v>1406</v>
      </c>
      <c r="AV212" s="500" t="s">
        <v>1406</v>
      </c>
    </row>
    <row r="213" spans="2:48" s="252" customFormat="1" ht="66" hidden="1">
      <c r="B213" s="1218" t="s">
        <v>2454</v>
      </c>
      <c r="C213" s="289" t="s">
        <v>134</v>
      </c>
      <c r="D213" s="289" t="s">
        <v>134</v>
      </c>
      <c r="E213" s="312"/>
      <c r="F213" s="1225" t="s">
        <v>1118</v>
      </c>
      <c r="G213" s="1614" t="s">
        <v>516</v>
      </c>
      <c r="H213" s="266" t="s">
        <v>281</v>
      </c>
      <c r="I213" s="266" t="s">
        <v>200</v>
      </c>
      <c r="J213" s="498" t="s">
        <v>517</v>
      </c>
      <c r="K213" s="312"/>
      <c r="L213" s="271" t="s">
        <v>134</v>
      </c>
      <c r="M213" s="272"/>
      <c r="N213" s="314"/>
      <c r="O213" s="277"/>
      <c r="P213" s="314"/>
      <c r="Q213" s="280" t="s">
        <v>134</v>
      </c>
      <c r="R213" s="272" t="s">
        <v>134</v>
      </c>
      <c r="S213" s="281"/>
      <c r="T213" s="272"/>
      <c r="U213" s="282"/>
      <c r="V213" s="283"/>
      <c r="W213" s="314"/>
      <c r="X213" s="280"/>
      <c r="Y213" s="284"/>
      <c r="Z213" s="272"/>
      <c r="AA213" s="281"/>
      <c r="AB213" s="284"/>
      <c r="AC213" s="272"/>
      <c r="AD213" s="312"/>
      <c r="AE213" s="1309" t="str">
        <f t="shared" si="26"/>
        <v>0x0 ~ 0x1 (0~1 -)
0x0: Normal
0x1: Protected
0x3: Not equipped (LD is not supported)</v>
      </c>
      <c r="AF213" s="312"/>
      <c r="AG213" s="1258">
        <v>0</v>
      </c>
      <c r="AH213" s="1259">
        <v>1</v>
      </c>
      <c r="AI213" s="328">
        <v>0</v>
      </c>
      <c r="AJ213" s="1307">
        <v>1</v>
      </c>
      <c r="AK213" s="337">
        <f t="shared" si="35"/>
        <v>0</v>
      </c>
      <c r="AL213" s="1308">
        <f t="shared" si="27"/>
        <v>1</v>
      </c>
      <c r="AM213" s="1259" t="s">
        <v>2516</v>
      </c>
      <c r="AN213" s="1234" t="s">
        <v>2492</v>
      </c>
      <c r="AO213" s="312"/>
      <c r="AP213" s="310" t="s">
        <v>1104</v>
      </c>
      <c r="AQ213" s="310" t="s">
        <v>746</v>
      </c>
      <c r="AS213" s="913" t="s">
        <v>1246</v>
      </c>
      <c r="AT213" s="913" t="s">
        <v>1955</v>
      </c>
      <c r="AU213" s="913" t="s">
        <v>1974</v>
      </c>
      <c r="AV213" s="932" t="s">
        <v>1975</v>
      </c>
    </row>
    <row r="214" spans="2:48" s="252" customFormat="1" ht="52.8" hidden="1">
      <c r="B214" s="1218" t="s">
        <v>2454</v>
      </c>
      <c r="C214" s="684" t="s">
        <v>1712</v>
      </c>
      <c r="D214" s="299" t="s">
        <v>134</v>
      </c>
      <c r="E214" s="312"/>
      <c r="F214" s="1226" t="s">
        <v>2463</v>
      </c>
      <c r="G214" s="1615"/>
      <c r="H214" s="268" t="s">
        <v>299</v>
      </c>
      <c r="I214" s="268" t="s">
        <v>200</v>
      </c>
      <c r="J214" s="499" t="s">
        <v>518</v>
      </c>
      <c r="K214" s="312"/>
      <c r="L214" s="273" t="s">
        <v>134</v>
      </c>
      <c r="M214" s="274"/>
      <c r="N214" s="314"/>
      <c r="O214" s="278"/>
      <c r="P214" s="314"/>
      <c r="Q214" s="290" t="s">
        <v>134</v>
      </c>
      <c r="R214" s="274" t="s">
        <v>134</v>
      </c>
      <c r="S214" s="291"/>
      <c r="T214" s="274"/>
      <c r="U214" s="292"/>
      <c r="V214" s="293"/>
      <c r="W214" s="314"/>
      <c r="X214" s="290"/>
      <c r="Y214" s="294"/>
      <c r="Z214" s="274"/>
      <c r="AA214" s="291"/>
      <c r="AB214" s="294"/>
      <c r="AC214" s="274"/>
      <c r="AD214" s="312"/>
      <c r="AE214" s="295" t="str">
        <f t="shared" si="26"/>
        <v>0x0 ~ 0xFF (0~255 -)
0x0: Normal
0x1: Protected
0x3: Not equipped</v>
      </c>
      <c r="AF214" s="312"/>
      <c r="AG214" s="1260">
        <v>0</v>
      </c>
      <c r="AH214" s="1261">
        <v>1</v>
      </c>
      <c r="AI214" s="330">
        <v>0</v>
      </c>
      <c r="AJ214" s="1270" t="s">
        <v>2509</v>
      </c>
      <c r="AK214" s="339">
        <f t="shared" si="35"/>
        <v>0</v>
      </c>
      <c r="AL214" s="1274">
        <f t="shared" si="27"/>
        <v>255</v>
      </c>
      <c r="AM214" s="1261" t="s">
        <v>2516</v>
      </c>
      <c r="AN214" s="295" t="s">
        <v>815</v>
      </c>
      <c r="AO214" s="312"/>
      <c r="AP214" s="486" t="s">
        <v>1105</v>
      </c>
      <c r="AQ214" s="486" t="s">
        <v>440</v>
      </c>
      <c r="AS214" s="501" t="s">
        <v>1406</v>
      </c>
      <c r="AT214" s="501" t="s">
        <v>1406</v>
      </c>
      <c r="AU214" s="501" t="s">
        <v>1406</v>
      </c>
      <c r="AV214" s="501" t="s">
        <v>1406</v>
      </c>
    </row>
    <row r="215" spans="2:48" s="252" customFormat="1" ht="52.8" hidden="1">
      <c r="B215" s="1218" t="s">
        <v>2454</v>
      </c>
      <c r="C215" s="684" t="s">
        <v>1712</v>
      </c>
      <c r="D215" s="299" t="s">
        <v>134</v>
      </c>
      <c r="E215" s="312"/>
      <c r="F215" s="1226" t="s">
        <v>2463</v>
      </c>
      <c r="G215" s="1615"/>
      <c r="H215" s="268" t="s">
        <v>287</v>
      </c>
      <c r="I215" s="268" t="s">
        <v>200</v>
      </c>
      <c r="J215" s="499" t="s">
        <v>519</v>
      </c>
      <c r="K215" s="312"/>
      <c r="L215" s="273" t="s">
        <v>134</v>
      </c>
      <c r="M215" s="274"/>
      <c r="N215" s="314"/>
      <c r="O215" s="278"/>
      <c r="P215" s="314"/>
      <c r="Q215" s="290" t="s">
        <v>134</v>
      </c>
      <c r="R215" s="274" t="s">
        <v>134</v>
      </c>
      <c r="S215" s="291"/>
      <c r="T215" s="274"/>
      <c r="U215" s="292"/>
      <c r="V215" s="293"/>
      <c r="W215" s="314"/>
      <c r="X215" s="290"/>
      <c r="Y215" s="294"/>
      <c r="Z215" s="274"/>
      <c r="AA215" s="291"/>
      <c r="AB215" s="294"/>
      <c r="AC215" s="274"/>
      <c r="AD215" s="312"/>
      <c r="AE215" s="295" t="str">
        <f t="shared" si="26"/>
        <v>0x0 ~ 0xFF (0~255 -)
0x0: Normal
0x1: Protected
0x3: Not equipped</v>
      </c>
      <c r="AF215" s="312"/>
      <c r="AG215" s="1260">
        <v>0</v>
      </c>
      <c r="AH215" s="1261">
        <v>1</v>
      </c>
      <c r="AI215" s="330">
        <v>0</v>
      </c>
      <c r="AJ215" s="1270" t="s">
        <v>2509</v>
      </c>
      <c r="AK215" s="339">
        <f t="shared" si="35"/>
        <v>0</v>
      </c>
      <c r="AL215" s="1274">
        <f t="shared" si="27"/>
        <v>255</v>
      </c>
      <c r="AM215" s="1261" t="s">
        <v>2516</v>
      </c>
      <c r="AN215" s="295" t="s">
        <v>815</v>
      </c>
      <c r="AO215" s="312"/>
      <c r="AP215" s="486" t="s">
        <v>1105</v>
      </c>
      <c r="AQ215" s="486" t="s">
        <v>440</v>
      </c>
      <c r="AS215" s="501" t="s">
        <v>1406</v>
      </c>
      <c r="AT215" s="501" t="s">
        <v>1406</v>
      </c>
      <c r="AU215" s="501" t="s">
        <v>1406</v>
      </c>
      <c r="AV215" s="501" t="s">
        <v>1406</v>
      </c>
    </row>
    <row r="216" spans="2:48" s="252" customFormat="1" ht="52.8" hidden="1">
      <c r="B216" s="1218" t="s">
        <v>2454</v>
      </c>
      <c r="C216" s="684" t="s">
        <v>1712</v>
      </c>
      <c r="D216" s="299" t="s">
        <v>134</v>
      </c>
      <c r="E216" s="312"/>
      <c r="F216" s="1226" t="s">
        <v>2463</v>
      </c>
      <c r="G216" s="1615"/>
      <c r="H216" s="268" t="s">
        <v>295</v>
      </c>
      <c r="I216" s="268" t="s">
        <v>200</v>
      </c>
      <c r="J216" s="499" t="s">
        <v>520</v>
      </c>
      <c r="K216" s="312"/>
      <c r="L216" s="273" t="s">
        <v>134</v>
      </c>
      <c r="M216" s="274"/>
      <c r="N216" s="314"/>
      <c r="O216" s="278"/>
      <c r="P216" s="314"/>
      <c r="Q216" s="290" t="s">
        <v>134</v>
      </c>
      <c r="R216" s="274" t="s">
        <v>134</v>
      </c>
      <c r="S216" s="291"/>
      <c r="T216" s="274"/>
      <c r="U216" s="292"/>
      <c r="V216" s="293"/>
      <c r="W216" s="314"/>
      <c r="X216" s="290"/>
      <c r="Y216" s="294"/>
      <c r="Z216" s="274"/>
      <c r="AA216" s="291"/>
      <c r="AB216" s="294"/>
      <c r="AC216" s="274"/>
      <c r="AD216" s="312"/>
      <c r="AE216" s="295" t="str">
        <f t="shared" si="26"/>
        <v>0x0 ~ 0xFF (0~255 -)
0x0: Normal
0x1: Protected
0x3: Not equipped</v>
      </c>
      <c r="AF216" s="312"/>
      <c r="AG216" s="1260">
        <v>0</v>
      </c>
      <c r="AH216" s="1261">
        <v>1</v>
      </c>
      <c r="AI216" s="330">
        <v>0</v>
      </c>
      <c r="AJ216" s="1270" t="s">
        <v>2509</v>
      </c>
      <c r="AK216" s="339">
        <f t="shared" si="35"/>
        <v>0</v>
      </c>
      <c r="AL216" s="1274">
        <f t="shared" si="27"/>
        <v>255</v>
      </c>
      <c r="AM216" s="1261" t="s">
        <v>2516</v>
      </c>
      <c r="AN216" s="295" t="s">
        <v>815</v>
      </c>
      <c r="AO216" s="312"/>
      <c r="AP216" s="486" t="s">
        <v>1105</v>
      </c>
      <c r="AQ216" s="486" t="s">
        <v>440</v>
      </c>
      <c r="AS216" s="501" t="s">
        <v>1406</v>
      </c>
      <c r="AT216" s="501" t="s">
        <v>1406</v>
      </c>
      <c r="AU216" s="501" t="s">
        <v>1406</v>
      </c>
      <c r="AV216" s="501" t="s">
        <v>1406</v>
      </c>
    </row>
    <row r="217" spans="2:48" s="252" customFormat="1" ht="52.8" hidden="1">
      <c r="B217" s="1218" t="s">
        <v>2454</v>
      </c>
      <c r="C217" s="689" t="s">
        <v>1712</v>
      </c>
      <c r="D217" s="309" t="s">
        <v>134</v>
      </c>
      <c r="E217" s="312"/>
      <c r="F217" s="1227" t="s">
        <v>2463</v>
      </c>
      <c r="G217" s="1615"/>
      <c r="H217" s="270" t="s">
        <v>292</v>
      </c>
      <c r="I217" s="270" t="s">
        <v>200</v>
      </c>
      <c r="J217" s="497" t="s">
        <v>521</v>
      </c>
      <c r="K217" s="312"/>
      <c r="L217" s="275" t="s">
        <v>134</v>
      </c>
      <c r="M217" s="276"/>
      <c r="N217" s="314"/>
      <c r="O217" s="279"/>
      <c r="P217" s="314"/>
      <c r="Q217" s="300" t="s">
        <v>134</v>
      </c>
      <c r="R217" s="276" t="s">
        <v>134</v>
      </c>
      <c r="S217" s="301"/>
      <c r="T217" s="276"/>
      <c r="U217" s="302"/>
      <c r="V217" s="303"/>
      <c r="W217" s="314"/>
      <c r="X217" s="300"/>
      <c r="Y217" s="304"/>
      <c r="Z217" s="276"/>
      <c r="AA217" s="301"/>
      <c r="AB217" s="304"/>
      <c r="AC217" s="276"/>
      <c r="AD217" s="312"/>
      <c r="AE217" s="305" t="str">
        <f t="shared" si="26"/>
        <v>0x0 ~ 0xFF (0~255 -)
0x0: Normal
0x1: Protected
0x3: Not equipped</v>
      </c>
      <c r="AF217" s="312"/>
      <c r="AG217" s="1262">
        <v>0</v>
      </c>
      <c r="AH217" s="1263">
        <v>1</v>
      </c>
      <c r="AI217" s="332">
        <v>0</v>
      </c>
      <c r="AJ217" s="1271" t="s">
        <v>2509</v>
      </c>
      <c r="AK217" s="341">
        <f t="shared" si="35"/>
        <v>0</v>
      </c>
      <c r="AL217" s="1275">
        <f t="shared" si="27"/>
        <v>255</v>
      </c>
      <c r="AM217" s="1263" t="s">
        <v>2516</v>
      </c>
      <c r="AN217" s="305" t="s">
        <v>815</v>
      </c>
      <c r="AO217" s="312"/>
      <c r="AP217" s="487" t="s">
        <v>1105</v>
      </c>
      <c r="AQ217" s="487" t="s">
        <v>440</v>
      </c>
      <c r="AS217" s="500" t="s">
        <v>1406</v>
      </c>
      <c r="AT217" s="500" t="s">
        <v>1406</v>
      </c>
      <c r="AU217" s="500" t="s">
        <v>1406</v>
      </c>
      <c r="AV217" s="500" t="s">
        <v>1406</v>
      </c>
    </row>
    <row r="218" spans="2:48" s="252" customFormat="1" ht="66" hidden="1">
      <c r="B218" s="1218" t="s">
        <v>2454</v>
      </c>
      <c r="C218" s="289" t="s">
        <v>134</v>
      </c>
      <c r="D218" s="289" t="s">
        <v>134</v>
      </c>
      <c r="E218" s="312"/>
      <c r="F218" s="1225" t="s">
        <v>1119</v>
      </c>
      <c r="G218" s="1614" t="s">
        <v>522</v>
      </c>
      <c r="H218" s="266" t="s">
        <v>281</v>
      </c>
      <c r="I218" s="266" t="s">
        <v>200</v>
      </c>
      <c r="J218" s="498" t="s">
        <v>523</v>
      </c>
      <c r="K218" s="312"/>
      <c r="L218" s="271" t="s">
        <v>134</v>
      </c>
      <c r="M218" s="272"/>
      <c r="N218" s="314"/>
      <c r="O218" s="277"/>
      <c r="P218" s="314"/>
      <c r="Q218" s="280" t="s">
        <v>134</v>
      </c>
      <c r="R218" s="272" t="s">
        <v>134</v>
      </c>
      <c r="S218" s="281"/>
      <c r="T218" s="272"/>
      <c r="U218" s="282"/>
      <c r="V218" s="283"/>
      <c r="W218" s="314"/>
      <c r="X218" s="280"/>
      <c r="Y218" s="284"/>
      <c r="Z218" s="272"/>
      <c r="AA218" s="281"/>
      <c r="AB218" s="284"/>
      <c r="AC218" s="272"/>
      <c r="AD218" s="312"/>
      <c r="AE218" s="1309" t="str">
        <f t="shared" si="26"/>
        <v>0x0 ~ 0x1 (0~1 -)
0x0: Normal
0x1: Protected
0x3: Not equipped (LD is not supported)</v>
      </c>
      <c r="AF218" s="312"/>
      <c r="AG218" s="1258">
        <v>0</v>
      </c>
      <c r="AH218" s="1259">
        <v>1</v>
      </c>
      <c r="AI218" s="328">
        <v>0</v>
      </c>
      <c r="AJ218" s="1307">
        <v>1</v>
      </c>
      <c r="AK218" s="337">
        <f t="shared" ref="AK218" si="36">HEX2DEC(AI218)*AH218+AG218</f>
        <v>0</v>
      </c>
      <c r="AL218" s="1308">
        <f t="shared" ref="AL218" si="37">HEX2DEC(AJ218)*AH218+AG218</f>
        <v>1</v>
      </c>
      <c r="AM218" s="1259" t="s">
        <v>2516</v>
      </c>
      <c r="AN218" s="1234" t="s">
        <v>2492</v>
      </c>
      <c r="AO218" s="312"/>
      <c r="AP218" s="310" t="s">
        <v>1104</v>
      </c>
      <c r="AQ218" s="310" t="s">
        <v>747</v>
      </c>
      <c r="AS218" s="913" t="s">
        <v>1246</v>
      </c>
      <c r="AT218" s="913" t="s">
        <v>1955</v>
      </c>
      <c r="AU218" s="913" t="s">
        <v>1976</v>
      </c>
      <c r="AV218" s="932" t="s">
        <v>1977</v>
      </c>
    </row>
    <row r="219" spans="2:48" s="252" customFormat="1" ht="52.8" hidden="1">
      <c r="B219" s="1218" t="s">
        <v>2454</v>
      </c>
      <c r="C219" s="684" t="s">
        <v>1712</v>
      </c>
      <c r="D219" s="299" t="s">
        <v>134</v>
      </c>
      <c r="E219" s="312"/>
      <c r="F219" s="1226" t="s">
        <v>2464</v>
      </c>
      <c r="G219" s="1615"/>
      <c r="H219" s="268" t="s">
        <v>299</v>
      </c>
      <c r="I219" s="268" t="s">
        <v>200</v>
      </c>
      <c r="J219" s="499" t="s">
        <v>524</v>
      </c>
      <c r="K219" s="312"/>
      <c r="L219" s="273" t="s">
        <v>134</v>
      </c>
      <c r="M219" s="274"/>
      <c r="N219" s="314"/>
      <c r="O219" s="278"/>
      <c r="P219" s="314"/>
      <c r="Q219" s="290" t="s">
        <v>134</v>
      </c>
      <c r="R219" s="274" t="s">
        <v>134</v>
      </c>
      <c r="S219" s="291"/>
      <c r="T219" s="274"/>
      <c r="U219" s="292"/>
      <c r="V219" s="293"/>
      <c r="W219" s="314"/>
      <c r="X219" s="290"/>
      <c r="Y219" s="294"/>
      <c r="Z219" s="274"/>
      <c r="AA219" s="291"/>
      <c r="AB219" s="294"/>
      <c r="AC219" s="274"/>
      <c r="AD219" s="312"/>
      <c r="AE219" s="295" t="str">
        <f t="shared" si="26"/>
        <v>0x0 ~ 0xFF (0~255 -)
0x0: Normal
0x1: Protected
0x3: Not equipped</v>
      </c>
      <c r="AF219" s="312"/>
      <c r="AG219" s="1260">
        <v>0</v>
      </c>
      <c r="AH219" s="1261">
        <v>1</v>
      </c>
      <c r="AI219" s="330">
        <v>0</v>
      </c>
      <c r="AJ219" s="1270" t="s">
        <v>2509</v>
      </c>
      <c r="AK219" s="339">
        <f t="shared" si="35"/>
        <v>0</v>
      </c>
      <c r="AL219" s="1274">
        <f t="shared" si="27"/>
        <v>255</v>
      </c>
      <c r="AM219" s="1261" t="s">
        <v>2516</v>
      </c>
      <c r="AN219" s="295" t="s">
        <v>815</v>
      </c>
      <c r="AO219" s="312"/>
      <c r="AP219" s="486" t="s">
        <v>1105</v>
      </c>
      <c r="AQ219" s="486" t="s">
        <v>440</v>
      </c>
      <c r="AS219" s="501" t="s">
        <v>1406</v>
      </c>
      <c r="AT219" s="501" t="s">
        <v>1406</v>
      </c>
      <c r="AU219" s="501" t="s">
        <v>1406</v>
      </c>
      <c r="AV219" s="501" t="s">
        <v>1406</v>
      </c>
    </row>
    <row r="220" spans="2:48" s="252" customFormat="1" ht="52.8" hidden="1">
      <c r="B220" s="1218" t="s">
        <v>2454</v>
      </c>
      <c r="C220" s="684" t="s">
        <v>1712</v>
      </c>
      <c r="D220" s="299" t="s">
        <v>134</v>
      </c>
      <c r="E220" s="312"/>
      <c r="F220" s="1226" t="s">
        <v>2464</v>
      </c>
      <c r="G220" s="1615"/>
      <c r="H220" s="268" t="s">
        <v>287</v>
      </c>
      <c r="I220" s="268" t="s">
        <v>200</v>
      </c>
      <c r="J220" s="499" t="s">
        <v>525</v>
      </c>
      <c r="K220" s="312"/>
      <c r="L220" s="273" t="s">
        <v>134</v>
      </c>
      <c r="M220" s="274"/>
      <c r="N220" s="314"/>
      <c r="O220" s="278"/>
      <c r="P220" s="314"/>
      <c r="Q220" s="290" t="s">
        <v>134</v>
      </c>
      <c r="R220" s="274" t="s">
        <v>134</v>
      </c>
      <c r="S220" s="291"/>
      <c r="T220" s="274"/>
      <c r="U220" s="292"/>
      <c r="V220" s="293"/>
      <c r="W220" s="314"/>
      <c r="X220" s="290"/>
      <c r="Y220" s="294"/>
      <c r="Z220" s="274"/>
      <c r="AA220" s="291"/>
      <c r="AB220" s="294"/>
      <c r="AC220" s="274"/>
      <c r="AD220" s="312"/>
      <c r="AE220" s="295" t="str">
        <f t="shared" si="26"/>
        <v>0x0 ~ 0xFF (0~255 -)
0x0: Normal
0x1: Protected
0x3: Not equipped</v>
      </c>
      <c r="AF220" s="312"/>
      <c r="AG220" s="1260">
        <v>0</v>
      </c>
      <c r="AH220" s="1261">
        <v>1</v>
      </c>
      <c r="AI220" s="330">
        <v>0</v>
      </c>
      <c r="AJ220" s="1270" t="s">
        <v>2509</v>
      </c>
      <c r="AK220" s="339">
        <f t="shared" si="35"/>
        <v>0</v>
      </c>
      <c r="AL220" s="1274">
        <f t="shared" si="27"/>
        <v>255</v>
      </c>
      <c r="AM220" s="1261" t="s">
        <v>2516</v>
      </c>
      <c r="AN220" s="295" t="s">
        <v>815</v>
      </c>
      <c r="AO220" s="312"/>
      <c r="AP220" s="486" t="s">
        <v>1105</v>
      </c>
      <c r="AQ220" s="486" t="s">
        <v>440</v>
      </c>
      <c r="AS220" s="501" t="s">
        <v>1406</v>
      </c>
      <c r="AT220" s="501" t="s">
        <v>1406</v>
      </c>
      <c r="AU220" s="501" t="s">
        <v>1406</v>
      </c>
      <c r="AV220" s="501" t="s">
        <v>1406</v>
      </c>
    </row>
    <row r="221" spans="2:48" s="252" customFormat="1" ht="52.8" hidden="1">
      <c r="B221" s="1218" t="s">
        <v>2454</v>
      </c>
      <c r="C221" s="684" t="s">
        <v>1712</v>
      </c>
      <c r="D221" s="299" t="s">
        <v>134</v>
      </c>
      <c r="E221" s="312"/>
      <c r="F221" s="1226" t="s">
        <v>2464</v>
      </c>
      <c r="G221" s="1615"/>
      <c r="H221" s="268" t="s">
        <v>295</v>
      </c>
      <c r="I221" s="268" t="s">
        <v>200</v>
      </c>
      <c r="J221" s="499" t="s">
        <v>526</v>
      </c>
      <c r="K221" s="312"/>
      <c r="L221" s="273" t="s">
        <v>134</v>
      </c>
      <c r="M221" s="274"/>
      <c r="N221" s="314"/>
      <c r="O221" s="278"/>
      <c r="P221" s="314"/>
      <c r="Q221" s="290" t="s">
        <v>134</v>
      </c>
      <c r="R221" s="274" t="s">
        <v>134</v>
      </c>
      <c r="S221" s="291"/>
      <c r="T221" s="274"/>
      <c r="U221" s="292"/>
      <c r="V221" s="293"/>
      <c r="W221" s="314"/>
      <c r="X221" s="290"/>
      <c r="Y221" s="294"/>
      <c r="Z221" s="274"/>
      <c r="AA221" s="291"/>
      <c r="AB221" s="294"/>
      <c r="AC221" s="274"/>
      <c r="AD221" s="312"/>
      <c r="AE221" s="295" t="str">
        <f t="shared" si="26"/>
        <v>0x0 ~ 0xFF (0~255 -)
0x0: Normal
0x1: Protected
0x3: Not equipped</v>
      </c>
      <c r="AF221" s="312"/>
      <c r="AG221" s="1260">
        <v>0</v>
      </c>
      <c r="AH221" s="1261">
        <v>1</v>
      </c>
      <c r="AI221" s="330">
        <v>0</v>
      </c>
      <c r="AJ221" s="1270" t="s">
        <v>2509</v>
      </c>
      <c r="AK221" s="339">
        <f t="shared" si="35"/>
        <v>0</v>
      </c>
      <c r="AL221" s="1274">
        <f t="shared" si="27"/>
        <v>255</v>
      </c>
      <c r="AM221" s="1261" t="s">
        <v>2516</v>
      </c>
      <c r="AN221" s="295" t="s">
        <v>815</v>
      </c>
      <c r="AO221" s="312"/>
      <c r="AP221" s="486" t="s">
        <v>1105</v>
      </c>
      <c r="AQ221" s="486" t="s">
        <v>440</v>
      </c>
      <c r="AS221" s="501" t="s">
        <v>1406</v>
      </c>
      <c r="AT221" s="501" t="s">
        <v>1406</v>
      </c>
      <c r="AU221" s="501" t="s">
        <v>1406</v>
      </c>
      <c r="AV221" s="501" t="s">
        <v>1406</v>
      </c>
    </row>
    <row r="222" spans="2:48" s="252" customFormat="1" ht="52.8" hidden="1">
      <c r="B222" s="1218" t="s">
        <v>2454</v>
      </c>
      <c r="C222" s="689" t="s">
        <v>1712</v>
      </c>
      <c r="D222" s="309" t="s">
        <v>134</v>
      </c>
      <c r="E222" s="312"/>
      <c r="F222" s="1227" t="s">
        <v>2464</v>
      </c>
      <c r="G222" s="1615"/>
      <c r="H222" s="270" t="s">
        <v>292</v>
      </c>
      <c r="I222" s="270" t="s">
        <v>200</v>
      </c>
      <c r="J222" s="497" t="s">
        <v>527</v>
      </c>
      <c r="K222" s="312"/>
      <c r="L222" s="275" t="s">
        <v>134</v>
      </c>
      <c r="M222" s="276"/>
      <c r="N222" s="314"/>
      <c r="O222" s="279"/>
      <c r="P222" s="314"/>
      <c r="Q222" s="300" t="s">
        <v>134</v>
      </c>
      <c r="R222" s="276" t="s">
        <v>134</v>
      </c>
      <c r="S222" s="301"/>
      <c r="T222" s="276"/>
      <c r="U222" s="302"/>
      <c r="V222" s="303"/>
      <c r="W222" s="314"/>
      <c r="X222" s="300"/>
      <c r="Y222" s="304"/>
      <c r="Z222" s="276"/>
      <c r="AA222" s="301"/>
      <c r="AB222" s="304"/>
      <c r="AC222" s="276"/>
      <c r="AD222" s="312"/>
      <c r="AE222" s="305" t="str">
        <f t="shared" si="26"/>
        <v>0x0 ~ 0xFF (0~255 -)
0x0: Normal
0x1: Protected
0x3: Not equipped</v>
      </c>
      <c r="AF222" s="312"/>
      <c r="AG222" s="1262">
        <v>0</v>
      </c>
      <c r="AH222" s="1263">
        <v>1</v>
      </c>
      <c r="AI222" s="332">
        <v>0</v>
      </c>
      <c r="AJ222" s="1271" t="s">
        <v>2509</v>
      </c>
      <c r="AK222" s="341">
        <f t="shared" si="35"/>
        <v>0</v>
      </c>
      <c r="AL222" s="1275">
        <f t="shared" si="27"/>
        <v>255</v>
      </c>
      <c r="AM222" s="1263" t="s">
        <v>2516</v>
      </c>
      <c r="AN222" s="305" t="s">
        <v>815</v>
      </c>
      <c r="AO222" s="312"/>
      <c r="AP222" s="487" t="s">
        <v>1105</v>
      </c>
      <c r="AQ222" s="487" t="s">
        <v>440</v>
      </c>
      <c r="AS222" s="500" t="s">
        <v>1406</v>
      </c>
      <c r="AT222" s="500" t="s">
        <v>1406</v>
      </c>
      <c r="AU222" s="500" t="s">
        <v>1406</v>
      </c>
      <c r="AV222" s="500" t="s">
        <v>1406</v>
      </c>
    </row>
    <row r="223" spans="2:48" s="252" customFormat="1" ht="66" hidden="1">
      <c r="B223" s="1218" t="s">
        <v>2454</v>
      </c>
      <c r="C223" s="289" t="s">
        <v>134</v>
      </c>
      <c r="D223" s="289" t="s">
        <v>134</v>
      </c>
      <c r="E223" s="312"/>
      <c r="F223" s="1225" t="s">
        <v>1120</v>
      </c>
      <c r="G223" s="1614" t="s">
        <v>528</v>
      </c>
      <c r="H223" s="266">
        <v>1</v>
      </c>
      <c r="I223" s="266" t="s">
        <v>200</v>
      </c>
      <c r="J223" s="498" t="s">
        <v>529</v>
      </c>
      <c r="K223" s="312"/>
      <c r="L223" s="271" t="s">
        <v>134</v>
      </c>
      <c r="M223" s="272"/>
      <c r="N223" s="314"/>
      <c r="O223" s="277"/>
      <c r="P223" s="314"/>
      <c r="Q223" s="280" t="s">
        <v>134</v>
      </c>
      <c r="R223" s="272" t="s">
        <v>134</v>
      </c>
      <c r="S223" s="281"/>
      <c r="T223" s="272"/>
      <c r="U223" s="282"/>
      <c r="V223" s="283"/>
      <c r="W223" s="314"/>
      <c r="X223" s="280"/>
      <c r="Y223" s="284"/>
      <c r="Z223" s="272"/>
      <c r="AA223" s="281"/>
      <c r="AB223" s="284"/>
      <c r="AC223" s="272"/>
      <c r="AD223" s="312"/>
      <c r="AE223" s="1309" t="str">
        <f t="shared" si="26"/>
        <v>0x0 ~ 0x1 (0~1 -)
0x0: Normal
0x1: Protected
0x3: Not equipped (LD is not supported)</v>
      </c>
      <c r="AF223" s="312"/>
      <c r="AG223" s="1258">
        <v>0</v>
      </c>
      <c r="AH223" s="1259">
        <v>1</v>
      </c>
      <c r="AI223" s="328">
        <v>0</v>
      </c>
      <c r="AJ223" s="1307">
        <v>1</v>
      </c>
      <c r="AK223" s="337">
        <f t="shared" si="35"/>
        <v>0</v>
      </c>
      <c r="AL223" s="1308">
        <f t="shared" si="27"/>
        <v>1</v>
      </c>
      <c r="AM223" s="1259" t="s">
        <v>2516</v>
      </c>
      <c r="AN223" s="1234" t="s">
        <v>2492</v>
      </c>
      <c r="AO223" s="312"/>
      <c r="AP223" s="310" t="s">
        <v>1104</v>
      </c>
      <c r="AQ223" s="310" t="s">
        <v>748</v>
      </c>
      <c r="AS223" s="913" t="s">
        <v>1246</v>
      </c>
      <c r="AT223" s="913" t="s">
        <v>1955</v>
      </c>
      <c r="AU223" s="913" t="s">
        <v>1978</v>
      </c>
      <c r="AV223" s="932" t="s">
        <v>1979</v>
      </c>
    </row>
    <row r="224" spans="2:48" s="252" customFormat="1" ht="52.8" hidden="1">
      <c r="B224" s="1218" t="s">
        <v>2454</v>
      </c>
      <c r="C224" s="684" t="s">
        <v>1712</v>
      </c>
      <c r="D224" s="299" t="s">
        <v>134</v>
      </c>
      <c r="E224" s="312"/>
      <c r="F224" s="1226" t="s">
        <v>2465</v>
      </c>
      <c r="G224" s="1615"/>
      <c r="H224" s="268" t="s">
        <v>299</v>
      </c>
      <c r="I224" s="268" t="s">
        <v>200</v>
      </c>
      <c r="J224" s="499" t="s">
        <v>530</v>
      </c>
      <c r="K224" s="312"/>
      <c r="L224" s="273" t="s">
        <v>134</v>
      </c>
      <c r="M224" s="274"/>
      <c r="N224" s="314"/>
      <c r="O224" s="278"/>
      <c r="P224" s="314"/>
      <c r="Q224" s="290" t="s">
        <v>134</v>
      </c>
      <c r="R224" s="274" t="s">
        <v>134</v>
      </c>
      <c r="S224" s="291"/>
      <c r="T224" s="274"/>
      <c r="U224" s="292"/>
      <c r="V224" s="293"/>
      <c r="W224" s="314"/>
      <c r="X224" s="290"/>
      <c r="Y224" s="294"/>
      <c r="Z224" s="274"/>
      <c r="AA224" s="291"/>
      <c r="AB224" s="294"/>
      <c r="AC224" s="274"/>
      <c r="AD224" s="312"/>
      <c r="AE224" s="295" t="str">
        <f t="shared" si="26"/>
        <v>0x0 ~ 0xFF (0~255 -)
0x0: Normal
0x1: Protected
0x3: Not equipped</v>
      </c>
      <c r="AF224" s="312"/>
      <c r="AG224" s="1260">
        <v>0</v>
      </c>
      <c r="AH224" s="1261">
        <v>1</v>
      </c>
      <c r="AI224" s="330">
        <v>0</v>
      </c>
      <c r="AJ224" s="1270" t="s">
        <v>2509</v>
      </c>
      <c r="AK224" s="339">
        <f t="shared" si="35"/>
        <v>0</v>
      </c>
      <c r="AL224" s="1274">
        <f t="shared" si="27"/>
        <v>255</v>
      </c>
      <c r="AM224" s="1261" t="s">
        <v>2516</v>
      </c>
      <c r="AN224" s="295" t="s">
        <v>815</v>
      </c>
      <c r="AO224" s="312"/>
      <c r="AP224" s="486" t="s">
        <v>1105</v>
      </c>
      <c r="AQ224" s="486" t="s">
        <v>440</v>
      </c>
      <c r="AS224" s="501" t="s">
        <v>1406</v>
      </c>
      <c r="AT224" s="501" t="s">
        <v>1406</v>
      </c>
      <c r="AU224" s="501" t="s">
        <v>1406</v>
      </c>
      <c r="AV224" s="501" t="s">
        <v>1406</v>
      </c>
    </row>
    <row r="225" spans="2:48" s="252" customFormat="1" ht="52.8" hidden="1">
      <c r="B225" s="1218" t="s">
        <v>2454</v>
      </c>
      <c r="C225" s="684" t="s">
        <v>1712</v>
      </c>
      <c r="D225" s="299" t="s">
        <v>134</v>
      </c>
      <c r="E225" s="312"/>
      <c r="F225" s="1226" t="s">
        <v>2465</v>
      </c>
      <c r="G225" s="1615"/>
      <c r="H225" s="268" t="s">
        <v>287</v>
      </c>
      <c r="I225" s="268" t="s">
        <v>200</v>
      </c>
      <c r="J225" s="499" t="s">
        <v>531</v>
      </c>
      <c r="K225" s="312"/>
      <c r="L225" s="273" t="s">
        <v>134</v>
      </c>
      <c r="M225" s="274"/>
      <c r="N225" s="314"/>
      <c r="O225" s="278"/>
      <c r="P225" s="314"/>
      <c r="Q225" s="290" t="s">
        <v>134</v>
      </c>
      <c r="R225" s="274" t="s">
        <v>134</v>
      </c>
      <c r="S225" s="291"/>
      <c r="T225" s="274"/>
      <c r="U225" s="292"/>
      <c r="V225" s="293"/>
      <c r="W225" s="314"/>
      <c r="X225" s="290"/>
      <c r="Y225" s="294"/>
      <c r="Z225" s="274"/>
      <c r="AA225" s="291"/>
      <c r="AB225" s="294"/>
      <c r="AC225" s="274"/>
      <c r="AD225" s="312"/>
      <c r="AE225" s="295" t="str">
        <f t="shared" si="26"/>
        <v>0x0 ~ 0xFF (0~255 -)
0x0: Normal
0x1: Protected
0x3: Not equipped</v>
      </c>
      <c r="AF225" s="312"/>
      <c r="AG225" s="1260">
        <v>0</v>
      </c>
      <c r="AH225" s="1261">
        <v>1</v>
      </c>
      <c r="AI225" s="330">
        <v>0</v>
      </c>
      <c r="AJ225" s="1270" t="s">
        <v>2509</v>
      </c>
      <c r="AK225" s="339">
        <f t="shared" si="35"/>
        <v>0</v>
      </c>
      <c r="AL225" s="1274">
        <f t="shared" si="27"/>
        <v>255</v>
      </c>
      <c r="AM225" s="1261" t="s">
        <v>2516</v>
      </c>
      <c r="AN225" s="295" t="s">
        <v>815</v>
      </c>
      <c r="AO225" s="312"/>
      <c r="AP225" s="486" t="s">
        <v>1105</v>
      </c>
      <c r="AQ225" s="486" t="s">
        <v>440</v>
      </c>
      <c r="AS225" s="501" t="s">
        <v>1406</v>
      </c>
      <c r="AT225" s="501" t="s">
        <v>1406</v>
      </c>
      <c r="AU225" s="501" t="s">
        <v>1406</v>
      </c>
      <c r="AV225" s="501" t="s">
        <v>1406</v>
      </c>
    </row>
    <row r="226" spans="2:48" s="252" customFormat="1" ht="52.8" hidden="1">
      <c r="B226" s="1218" t="s">
        <v>2454</v>
      </c>
      <c r="C226" s="684" t="s">
        <v>1712</v>
      </c>
      <c r="D226" s="299" t="s">
        <v>134</v>
      </c>
      <c r="E226" s="312"/>
      <c r="F226" s="1226" t="s">
        <v>2465</v>
      </c>
      <c r="G226" s="1615"/>
      <c r="H226" s="268" t="s">
        <v>295</v>
      </c>
      <c r="I226" s="268" t="s">
        <v>200</v>
      </c>
      <c r="J226" s="499" t="s">
        <v>532</v>
      </c>
      <c r="K226" s="312"/>
      <c r="L226" s="273" t="s">
        <v>134</v>
      </c>
      <c r="M226" s="274"/>
      <c r="N226" s="314"/>
      <c r="O226" s="278"/>
      <c r="P226" s="314"/>
      <c r="Q226" s="290" t="s">
        <v>134</v>
      </c>
      <c r="R226" s="274" t="s">
        <v>134</v>
      </c>
      <c r="S226" s="291"/>
      <c r="T226" s="274"/>
      <c r="U226" s="292"/>
      <c r="V226" s="293"/>
      <c r="W226" s="314"/>
      <c r="X226" s="290"/>
      <c r="Y226" s="294"/>
      <c r="Z226" s="274"/>
      <c r="AA226" s="291"/>
      <c r="AB226" s="294"/>
      <c r="AC226" s="274"/>
      <c r="AD226" s="312"/>
      <c r="AE226" s="295" t="str">
        <f t="shared" si="26"/>
        <v>0x0 ~ 0xFF (0~255 -)
0x0: Normal
0x1: Protected
0x3: Not equipped</v>
      </c>
      <c r="AF226" s="312"/>
      <c r="AG226" s="1260">
        <v>0</v>
      </c>
      <c r="AH226" s="1261">
        <v>1</v>
      </c>
      <c r="AI226" s="330">
        <v>0</v>
      </c>
      <c r="AJ226" s="1270" t="s">
        <v>2509</v>
      </c>
      <c r="AK226" s="339">
        <f t="shared" si="35"/>
        <v>0</v>
      </c>
      <c r="AL226" s="1274">
        <f t="shared" si="27"/>
        <v>255</v>
      </c>
      <c r="AM226" s="1261" t="s">
        <v>2516</v>
      </c>
      <c r="AN226" s="295" t="s">
        <v>815</v>
      </c>
      <c r="AO226" s="312"/>
      <c r="AP226" s="486" t="s">
        <v>1105</v>
      </c>
      <c r="AQ226" s="486" t="s">
        <v>440</v>
      </c>
      <c r="AS226" s="501" t="s">
        <v>1406</v>
      </c>
      <c r="AT226" s="501" t="s">
        <v>1406</v>
      </c>
      <c r="AU226" s="501" t="s">
        <v>1406</v>
      </c>
      <c r="AV226" s="501" t="s">
        <v>1406</v>
      </c>
    </row>
    <row r="227" spans="2:48" s="252" customFormat="1" ht="52.8" hidden="1">
      <c r="B227" s="1218" t="s">
        <v>2454</v>
      </c>
      <c r="C227" s="689" t="s">
        <v>1712</v>
      </c>
      <c r="D227" s="309" t="s">
        <v>134</v>
      </c>
      <c r="E227" s="312"/>
      <c r="F227" s="1227" t="s">
        <v>2465</v>
      </c>
      <c r="G227" s="1615"/>
      <c r="H227" s="270" t="s">
        <v>292</v>
      </c>
      <c r="I227" s="270" t="s">
        <v>200</v>
      </c>
      <c r="J227" s="497" t="s">
        <v>533</v>
      </c>
      <c r="K227" s="312"/>
      <c r="L227" s="275" t="s">
        <v>134</v>
      </c>
      <c r="M227" s="276"/>
      <c r="N227" s="314"/>
      <c r="O227" s="279"/>
      <c r="P227" s="314"/>
      <c r="Q227" s="300" t="s">
        <v>134</v>
      </c>
      <c r="R227" s="276" t="s">
        <v>134</v>
      </c>
      <c r="S227" s="301"/>
      <c r="T227" s="276"/>
      <c r="U227" s="302"/>
      <c r="V227" s="303"/>
      <c r="W227" s="314"/>
      <c r="X227" s="300"/>
      <c r="Y227" s="304"/>
      <c r="Z227" s="276"/>
      <c r="AA227" s="301"/>
      <c r="AB227" s="304"/>
      <c r="AC227" s="276"/>
      <c r="AD227" s="312"/>
      <c r="AE227" s="305" t="str">
        <f t="shared" si="26"/>
        <v>0x0 ~ 0xFF (0~255 -)
0x0: Normal
0x1: Protected
0x3: Not equipped</v>
      </c>
      <c r="AF227" s="312"/>
      <c r="AG227" s="1262">
        <v>0</v>
      </c>
      <c r="AH227" s="1263">
        <v>1</v>
      </c>
      <c r="AI227" s="332">
        <v>0</v>
      </c>
      <c r="AJ227" s="1271" t="s">
        <v>2509</v>
      </c>
      <c r="AK227" s="341">
        <f t="shared" si="35"/>
        <v>0</v>
      </c>
      <c r="AL227" s="1275">
        <f t="shared" si="27"/>
        <v>255</v>
      </c>
      <c r="AM227" s="1263" t="s">
        <v>2516</v>
      </c>
      <c r="AN227" s="305" t="s">
        <v>815</v>
      </c>
      <c r="AO227" s="312"/>
      <c r="AP227" s="487" t="s">
        <v>1105</v>
      </c>
      <c r="AQ227" s="487" t="s">
        <v>440</v>
      </c>
      <c r="AS227" s="500" t="s">
        <v>1406</v>
      </c>
      <c r="AT227" s="500" t="s">
        <v>1406</v>
      </c>
      <c r="AU227" s="500" t="s">
        <v>1406</v>
      </c>
      <c r="AV227" s="500" t="s">
        <v>1406</v>
      </c>
    </row>
    <row r="228" spans="2:48" s="252" customFormat="1" ht="66" hidden="1">
      <c r="B228" s="1218" t="s">
        <v>2454</v>
      </c>
      <c r="C228" s="289" t="s">
        <v>134</v>
      </c>
      <c r="D228" s="289" t="s">
        <v>134</v>
      </c>
      <c r="E228" s="312"/>
      <c r="F228" s="1225" t="s">
        <v>1121</v>
      </c>
      <c r="G228" s="1614" t="s">
        <v>534</v>
      </c>
      <c r="H228" s="266">
        <v>1</v>
      </c>
      <c r="I228" s="266" t="s">
        <v>200</v>
      </c>
      <c r="J228" s="498" t="s">
        <v>535</v>
      </c>
      <c r="K228" s="312"/>
      <c r="L228" s="271" t="s">
        <v>134</v>
      </c>
      <c r="M228" s="272"/>
      <c r="N228" s="314"/>
      <c r="O228" s="277"/>
      <c r="P228" s="314"/>
      <c r="Q228" s="280" t="s">
        <v>134</v>
      </c>
      <c r="R228" s="272" t="s">
        <v>134</v>
      </c>
      <c r="S228" s="281"/>
      <c r="T228" s="272"/>
      <c r="U228" s="282"/>
      <c r="V228" s="283"/>
      <c r="W228" s="314"/>
      <c r="X228" s="280"/>
      <c r="Y228" s="284"/>
      <c r="Z228" s="272"/>
      <c r="AA228" s="281"/>
      <c r="AB228" s="284"/>
      <c r="AC228" s="272"/>
      <c r="AD228" s="312"/>
      <c r="AE228" s="1309" t="str">
        <f t="shared" si="26"/>
        <v>0x0 ~ 0x1 (0~1 -)
0x0: Normal
0x1: Protected
0x3: Not equipped (LD is not supported)</v>
      </c>
      <c r="AF228" s="312"/>
      <c r="AG228" s="1258">
        <v>0</v>
      </c>
      <c r="AH228" s="1259">
        <v>1</v>
      </c>
      <c r="AI228" s="328">
        <v>0</v>
      </c>
      <c r="AJ228" s="1307">
        <v>1</v>
      </c>
      <c r="AK228" s="337">
        <f t="shared" si="35"/>
        <v>0</v>
      </c>
      <c r="AL228" s="1308">
        <f t="shared" si="27"/>
        <v>1</v>
      </c>
      <c r="AM228" s="1259" t="s">
        <v>2516</v>
      </c>
      <c r="AN228" s="1234" t="s">
        <v>2492</v>
      </c>
      <c r="AO228" s="312"/>
      <c r="AP228" s="310" t="s">
        <v>1104</v>
      </c>
      <c r="AQ228" s="310" t="s">
        <v>749</v>
      </c>
      <c r="AS228" s="913" t="s">
        <v>1866</v>
      </c>
      <c r="AT228" s="913" t="s">
        <v>1955</v>
      </c>
      <c r="AU228" s="913" t="s">
        <v>1980</v>
      </c>
      <c r="AV228" s="932" t="s">
        <v>1981</v>
      </c>
    </row>
    <row r="229" spans="2:48" s="252" customFormat="1" ht="52.8" hidden="1">
      <c r="B229" s="1218" t="s">
        <v>2454</v>
      </c>
      <c r="C229" s="684" t="s">
        <v>1712</v>
      </c>
      <c r="D229" s="299" t="s">
        <v>134</v>
      </c>
      <c r="E229" s="312"/>
      <c r="F229" s="1226" t="s">
        <v>2466</v>
      </c>
      <c r="G229" s="1615"/>
      <c r="H229" s="268" t="s">
        <v>299</v>
      </c>
      <c r="I229" s="268" t="s">
        <v>200</v>
      </c>
      <c r="J229" s="499" t="s">
        <v>536</v>
      </c>
      <c r="K229" s="312"/>
      <c r="L229" s="273" t="s">
        <v>134</v>
      </c>
      <c r="M229" s="274"/>
      <c r="N229" s="314"/>
      <c r="O229" s="278"/>
      <c r="P229" s="314"/>
      <c r="Q229" s="290" t="s">
        <v>134</v>
      </c>
      <c r="R229" s="274" t="s">
        <v>134</v>
      </c>
      <c r="S229" s="291"/>
      <c r="T229" s="274"/>
      <c r="U229" s="292"/>
      <c r="V229" s="293"/>
      <c r="W229" s="314"/>
      <c r="X229" s="290"/>
      <c r="Y229" s="294"/>
      <c r="Z229" s="274"/>
      <c r="AA229" s="291"/>
      <c r="AB229" s="294"/>
      <c r="AC229" s="274"/>
      <c r="AD229" s="312"/>
      <c r="AE229" s="295" t="str">
        <f t="shared" si="26"/>
        <v>0x0 ~ 0xFF (0~255 -)
0x0: Normal
0x1: Protected
0x3: Not equipped</v>
      </c>
      <c r="AF229" s="312"/>
      <c r="AG229" s="1260">
        <v>0</v>
      </c>
      <c r="AH229" s="1261">
        <v>1</v>
      </c>
      <c r="AI229" s="330">
        <v>0</v>
      </c>
      <c r="AJ229" s="1270" t="s">
        <v>2509</v>
      </c>
      <c r="AK229" s="339">
        <f t="shared" si="35"/>
        <v>0</v>
      </c>
      <c r="AL229" s="1274">
        <f t="shared" si="27"/>
        <v>255</v>
      </c>
      <c r="AM229" s="1261" t="s">
        <v>2516</v>
      </c>
      <c r="AN229" s="295" t="s">
        <v>815</v>
      </c>
      <c r="AO229" s="312"/>
      <c r="AP229" s="486" t="s">
        <v>1105</v>
      </c>
      <c r="AQ229" s="486" t="s">
        <v>440</v>
      </c>
      <c r="AS229" s="501" t="s">
        <v>1499</v>
      </c>
      <c r="AT229" s="501" t="s">
        <v>1406</v>
      </c>
      <c r="AU229" s="501" t="s">
        <v>1406</v>
      </c>
      <c r="AV229" s="501" t="s">
        <v>1406</v>
      </c>
    </row>
    <row r="230" spans="2:48" s="252" customFormat="1" ht="52.8" hidden="1">
      <c r="B230" s="1218" t="s">
        <v>2454</v>
      </c>
      <c r="C230" s="684" t="s">
        <v>1712</v>
      </c>
      <c r="D230" s="299" t="s">
        <v>134</v>
      </c>
      <c r="E230" s="312"/>
      <c r="F230" s="1226" t="s">
        <v>2466</v>
      </c>
      <c r="G230" s="1615"/>
      <c r="H230" s="268" t="s">
        <v>287</v>
      </c>
      <c r="I230" s="268" t="s">
        <v>200</v>
      </c>
      <c r="J230" s="499" t="s">
        <v>537</v>
      </c>
      <c r="K230" s="312"/>
      <c r="L230" s="273" t="s">
        <v>134</v>
      </c>
      <c r="M230" s="274"/>
      <c r="N230" s="314"/>
      <c r="O230" s="278"/>
      <c r="P230" s="314"/>
      <c r="Q230" s="290" t="s">
        <v>134</v>
      </c>
      <c r="R230" s="274" t="s">
        <v>134</v>
      </c>
      <c r="S230" s="291"/>
      <c r="T230" s="274"/>
      <c r="U230" s="292"/>
      <c r="V230" s="293"/>
      <c r="W230" s="314"/>
      <c r="X230" s="290"/>
      <c r="Y230" s="294"/>
      <c r="Z230" s="274"/>
      <c r="AA230" s="291"/>
      <c r="AB230" s="294"/>
      <c r="AC230" s="274"/>
      <c r="AD230" s="312"/>
      <c r="AE230" s="295" t="str">
        <f t="shared" si="26"/>
        <v>0x0 ~ 0xFF (0~255 -)
0x0: Normal
0x1: Protected
0x3: Not equipped</v>
      </c>
      <c r="AF230" s="312"/>
      <c r="AG230" s="1260">
        <v>0</v>
      </c>
      <c r="AH230" s="1261">
        <v>1</v>
      </c>
      <c r="AI230" s="330">
        <v>0</v>
      </c>
      <c r="AJ230" s="1270" t="s">
        <v>2509</v>
      </c>
      <c r="AK230" s="339">
        <f t="shared" si="35"/>
        <v>0</v>
      </c>
      <c r="AL230" s="1274">
        <f t="shared" si="27"/>
        <v>255</v>
      </c>
      <c r="AM230" s="1261" t="s">
        <v>2516</v>
      </c>
      <c r="AN230" s="295" t="s">
        <v>815</v>
      </c>
      <c r="AO230" s="312"/>
      <c r="AP230" s="486" t="s">
        <v>1105</v>
      </c>
      <c r="AQ230" s="486" t="s">
        <v>440</v>
      </c>
      <c r="AS230" s="501" t="s">
        <v>1406</v>
      </c>
      <c r="AT230" s="501" t="s">
        <v>1406</v>
      </c>
      <c r="AU230" s="501" t="s">
        <v>1406</v>
      </c>
      <c r="AV230" s="501" t="s">
        <v>1406</v>
      </c>
    </row>
    <row r="231" spans="2:48" s="252" customFormat="1" ht="52.8" hidden="1">
      <c r="B231" s="1218" t="s">
        <v>2454</v>
      </c>
      <c r="C231" s="684" t="s">
        <v>1712</v>
      </c>
      <c r="D231" s="299" t="s">
        <v>134</v>
      </c>
      <c r="E231" s="312"/>
      <c r="F231" s="1226" t="s">
        <v>2466</v>
      </c>
      <c r="G231" s="1615"/>
      <c r="H231" s="268" t="s">
        <v>295</v>
      </c>
      <c r="I231" s="268" t="s">
        <v>200</v>
      </c>
      <c r="J231" s="499" t="s">
        <v>538</v>
      </c>
      <c r="K231" s="312"/>
      <c r="L231" s="273" t="s">
        <v>134</v>
      </c>
      <c r="M231" s="274"/>
      <c r="N231" s="314"/>
      <c r="O231" s="278"/>
      <c r="P231" s="314"/>
      <c r="Q231" s="290" t="s">
        <v>134</v>
      </c>
      <c r="R231" s="274" t="s">
        <v>134</v>
      </c>
      <c r="S231" s="291"/>
      <c r="T231" s="274"/>
      <c r="U231" s="292"/>
      <c r="V231" s="293"/>
      <c r="W231" s="314"/>
      <c r="X231" s="290"/>
      <c r="Y231" s="294"/>
      <c r="Z231" s="274"/>
      <c r="AA231" s="291"/>
      <c r="AB231" s="294"/>
      <c r="AC231" s="274"/>
      <c r="AD231" s="312"/>
      <c r="AE231" s="295" t="str">
        <f t="shared" si="26"/>
        <v>0x0 ~ 0xFF (0~255 -)
0x0: Normal
0x1: Protected
0x3: Not equipped</v>
      </c>
      <c r="AF231" s="312"/>
      <c r="AG231" s="1260">
        <v>0</v>
      </c>
      <c r="AH231" s="1261">
        <v>1</v>
      </c>
      <c r="AI231" s="330">
        <v>0</v>
      </c>
      <c r="AJ231" s="1270" t="s">
        <v>2509</v>
      </c>
      <c r="AK231" s="339">
        <f t="shared" si="35"/>
        <v>0</v>
      </c>
      <c r="AL231" s="1274">
        <f t="shared" si="27"/>
        <v>255</v>
      </c>
      <c r="AM231" s="1261" t="s">
        <v>2516</v>
      </c>
      <c r="AN231" s="295" t="s">
        <v>815</v>
      </c>
      <c r="AO231" s="312"/>
      <c r="AP231" s="486" t="s">
        <v>1105</v>
      </c>
      <c r="AQ231" s="486" t="s">
        <v>440</v>
      </c>
      <c r="AS231" s="501" t="s">
        <v>1406</v>
      </c>
      <c r="AT231" s="501" t="s">
        <v>1406</v>
      </c>
      <c r="AU231" s="501" t="s">
        <v>1406</v>
      </c>
      <c r="AV231" s="501" t="s">
        <v>1406</v>
      </c>
    </row>
    <row r="232" spans="2:48" s="252" customFormat="1" ht="52.8" hidden="1">
      <c r="B232" s="1218" t="s">
        <v>2454</v>
      </c>
      <c r="C232" s="689" t="s">
        <v>1712</v>
      </c>
      <c r="D232" s="309" t="s">
        <v>134</v>
      </c>
      <c r="E232" s="312"/>
      <c r="F232" s="1227" t="s">
        <v>2466</v>
      </c>
      <c r="G232" s="1615"/>
      <c r="H232" s="270" t="s">
        <v>292</v>
      </c>
      <c r="I232" s="270" t="s">
        <v>200</v>
      </c>
      <c r="J232" s="497" t="s">
        <v>539</v>
      </c>
      <c r="K232" s="312"/>
      <c r="L232" s="275" t="s">
        <v>134</v>
      </c>
      <c r="M232" s="276"/>
      <c r="N232" s="314"/>
      <c r="O232" s="279"/>
      <c r="P232" s="314"/>
      <c r="Q232" s="300" t="s">
        <v>134</v>
      </c>
      <c r="R232" s="276" t="s">
        <v>134</v>
      </c>
      <c r="S232" s="301"/>
      <c r="T232" s="276"/>
      <c r="U232" s="302"/>
      <c r="V232" s="303"/>
      <c r="W232" s="314"/>
      <c r="X232" s="300"/>
      <c r="Y232" s="304"/>
      <c r="Z232" s="276"/>
      <c r="AA232" s="301"/>
      <c r="AB232" s="304"/>
      <c r="AC232" s="276"/>
      <c r="AD232" s="312"/>
      <c r="AE232" s="305" t="str">
        <f t="shared" si="26"/>
        <v>0x0 ~ 0xFF (0~255 -)
0x0: Normal
0x1: Protected
0x3: Not equipped</v>
      </c>
      <c r="AF232" s="312"/>
      <c r="AG232" s="1262">
        <v>0</v>
      </c>
      <c r="AH232" s="1263">
        <v>1</v>
      </c>
      <c r="AI232" s="332">
        <v>0</v>
      </c>
      <c r="AJ232" s="1271" t="s">
        <v>2509</v>
      </c>
      <c r="AK232" s="341">
        <f t="shared" si="35"/>
        <v>0</v>
      </c>
      <c r="AL232" s="1275">
        <f t="shared" si="27"/>
        <v>255</v>
      </c>
      <c r="AM232" s="1263" t="s">
        <v>2516</v>
      </c>
      <c r="AN232" s="305" t="s">
        <v>815</v>
      </c>
      <c r="AO232" s="312"/>
      <c r="AP232" s="487" t="s">
        <v>1105</v>
      </c>
      <c r="AQ232" s="487" t="s">
        <v>440</v>
      </c>
      <c r="AS232" s="500" t="s">
        <v>1406</v>
      </c>
      <c r="AT232" s="500" t="s">
        <v>1406</v>
      </c>
      <c r="AU232" s="500" t="s">
        <v>1406</v>
      </c>
      <c r="AV232" s="500" t="s">
        <v>1406</v>
      </c>
    </row>
    <row r="233" spans="2:48" hidden="1">
      <c r="B233" s="813" t="s">
        <v>2052</v>
      </c>
      <c r="C233" s="456" t="s">
        <v>1337</v>
      </c>
      <c r="D233" s="456" t="s">
        <v>1337</v>
      </c>
      <c r="F233" s="265" t="s">
        <v>1209</v>
      </c>
      <c r="G233" s="264" t="s">
        <v>1198</v>
      </c>
      <c r="H233" s="456" t="s">
        <v>1590</v>
      </c>
      <c r="I233" s="456" t="s">
        <v>1590</v>
      </c>
      <c r="J233" s="559" t="s">
        <v>1590</v>
      </c>
      <c r="K233" s="313"/>
      <c r="L233" s="560" t="s">
        <v>1590</v>
      </c>
      <c r="M233" s="560" t="s">
        <v>1590</v>
      </c>
      <c r="N233" s="176"/>
      <c r="O233" s="561" t="s">
        <v>1590</v>
      </c>
      <c r="P233" s="176"/>
      <c r="Q233" s="562" t="s">
        <v>1590</v>
      </c>
      <c r="R233" s="562" t="s">
        <v>1590</v>
      </c>
      <c r="S233" s="563" t="s">
        <v>1590</v>
      </c>
      <c r="T233" s="562" t="s">
        <v>1590</v>
      </c>
      <c r="U233" s="563" t="s">
        <v>1590</v>
      </c>
      <c r="V233" s="562" t="s">
        <v>1590</v>
      </c>
      <c r="W233" s="360"/>
      <c r="X233" s="562" t="s">
        <v>1590</v>
      </c>
      <c r="Y233" s="562" t="s">
        <v>1590</v>
      </c>
      <c r="Z233" s="562" t="s">
        <v>1590</v>
      </c>
      <c r="AA233" s="562" t="s">
        <v>1590</v>
      </c>
      <c r="AB233" s="562" t="s">
        <v>1590</v>
      </c>
      <c r="AC233" s="562" t="s">
        <v>1590</v>
      </c>
      <c r="AD233" s="235"/>
      <c r="AE233" s="456" t="s">
        <v>1590</v>
      </c>
      <c r="AG233" s="559" t="s">
        <v>1591</v>
      </c>
      <c r="AH233" s="559" t="s">
        <v>1591</v>
      </c>
      <c r="AI233" s="559" t="s">
        <v>1591</v>
      </c>
      <c r="AJ233" s="559" t="s">
        <v>1591</v>
      </c>
      <c r="AK233" s="559" t="s">
        <v>1591</v>
      </c>
      <c r="AL233" s="559" t="s">
        <v>1591</v>
      </c>
      <c r="AM233" s="559" t="s">
        <v>1591</v>
      </c>
      <c r="AN233" s="559" t="s">
        <v>1591</v>
      </c>
      <c r="AP233" s="456" t="s">
        <v>1590</v>
      </c>
      <c r="AQ233" s="456" t="s">
        <v>1590</v>
      </c>
      <c r="AS233" s="456" t="s">
        <v>1222</v>
      </c>
      <c r="AT233" s="456" t="s">
        <v>1222</v>
      </c>
      <c r="AU233" s="456" t="s">
        <v>1222</v>
      </c>
      <c r="AV233" s="456" t="s">
        <v>1222</v>
      </c>
    </row>
    <row r="234" spans="2:48" s="252" customFormat="1" hidden="1">
      <c r="B234" s="1218" t="s">
        <v>2454</v>
      </c>
      <c r="C234" s="248" t="s">
        <v>134</v>
      </c>
      <c r="D234" s="248" t="s">
        <v>134</v>
      </c>
      <c r="E234" s="312"/>
      <c r="F234" s="233" t="s">
        <v>1122</v>
      </c>
      <c r="G234" s="242" t="s">
        <v>540</v>
      </c>
      <c r="H234" s="243" t="s">
        <v>281</v>
      </c>
      <c r="I234" s="243" t="s">
        <v>200</v>
      </c>
      <c r="J234" s="493" t="s">
        <v>540</v>
      </c>
      <c r="K234" s="312"/>
      <c r="L234" s="236" t="s">
        <v>134</v>
      </c>
      <c r="M234" s="253"/>
      <c r="N234" s="314"/>
      <c r="O234" s="233"/>
      <c r="P234" s="314"/>
      <c r="Q234" s="254" t="s">
        <v>134</v>
      </c>
      <c r="R234" s="253" t="s">
        <v>134</v>
      </c>
      <c r="S234" s="255"/>
      <c r="T234" s="253"/>
      <c r="U234" s="237"/>
      <c r="V234" s="261"/>
      <c r="W234" s="314"/>
      <c r="X234" s="254"/>
      <c r="Y234" s="256"/>
      <c r="Z234" s="253"/>
      <c r="AA234" s="255"/>
      <c r="AB234" s="256"/>
      <c r="AC234" s="253"/>
      <c r="AD234" s="312"/>
      <c r="AE234" s="1254" t="str">
        <f t="shared" si="26"/>
        <v>0x0 ~ 0xFF (0~25.5kW)</v>
      </c>
      <c r="AF234" s="312"/>
      <c r="AG234" s="245">
        <v>0</v>
      </c>
      <c r="AH234" s="246">
        <v>0.1</v>
      </c>
      <c r="AI234" s="326">
        <v>0</v>
      </c>
      <c r="AJ234" s="1268" t="s">
        <v>2509</v>
      </c>
      <c r="AK234" s="334">
        <f>HEX2DEC(AI234)*AH234+AG234</f>
        <v>0</v>
      </c>
      <c r="AL234" s="1272">
        <f>HEX2DEC(AJ234)*AH234+AG234</f>
        <v>25.5</v>
      </c>
      <c r="AM234" s="246" t="s">
        <v>794</v>
      </c>
      <c r="AN234" s="242"/>
      <c r="AO234" s="312"/>
      <c r="AP234" s="482" t="s">
        <v>1058</v>
      </c>
      <c r="AQ234" s="482" t="s">
        <v>1527</v>
      </c>
      <c r="AS234" s="768" t="s">
        <v>1246</v>
      </c>
      <c r="AT234" s="768" t="s">
        <v>1982</v>
      </c>
      <c r="AU234" s="768" t="s">
        <v>1983</v>
      </c>
      <c r="AV234" s="768" t="s">
        <v>1246</v>
      </c>
    </row>
    <row r="235" spans="2:48" s="252" customFormat="1" ht="66" hidden="1">
      <c r="B235" s="1218" t="s">
        <v>2454</v>
      </c>
      <c r="C235" s="248" t="s">
        <v>134</v>
      </c>
      <c r="D235" s="502"/>
      <c r="E235" s="312"/>
      <c r="F235" s="233" t="s">
        <v>1123</v>
      </c>
      <c r="G235" s="242" t="s">
        <v>541</v>
      </c>
      <c r="H235" s="243" t="s">
        <v>281</v>
      </c>
      <c r="I235" s="243" t="s">
        <v>200</v>
      </c>
      <c r="J235" s="493" t="s">
        <v>541</v>
      </c>
      <c r="K235" s="312"/>
      <c r="L235" s="236" t="s">
        <v>134</v>
      </c>
      <c r="M235" s="253"/>
      <c r="N235" s="314"/>
      <c r="O235" s="233"/>
      <c r="P235" s="314"/>
      <c r="Q235" s="254" t="s">
        <v>134</v>
      </c>
      <c r="R235" s="253" t="s">
        <v>134</v>
      </c>
      <c r="S235" s="255"/>
      <c r="T235" s="253"/>
      <c r="U235" s="237"/>
      <c r="V235" s="261"/>
      <c r="W235" s="314"/>
      <c r="X235" s="254"/>
      <c r="Y235" s="256"/>
      <c r="Z235" s="253"/>
      <c r="AA235" s="255"/>
      <c r="AB235" s="256"/>
      <c r="AC235" s="253"/>
      <c r="AD235" s="312"/>
      <c r="AE235" s="242" t="str">
        <f t="shared" si="26"/>
        <v>0x0 ~ 0xFF (0~255 -)
0x0: No_Req
0x1: Low_Cooling
0x2: High_Cooling
0x3: Max_Cooling</v>
      </c>
      <c r="AF235" s="312"/>
      <c r="AG235" s="1264">
        <v>0</v>
      </c>
      <c r="AH235" s="1265">
        <v>1</v>
      </c>
      <c r="AI235" s="326">
        <v>0</v>
      </c>
      <c r="AJ235" s="1268" t="s">
        <v>2509</v>
      </c>
      <c r="AK235" s="334">
        <f>HEX2DEC(AI235)*AH235+AG235</f>
        <v>0</v>
      </c>
      <c r="AL235" s="1272">
        <f>HEX2DEC(AJ235)*AH235+AG235</f>
        <v>255</v>
      </c>
      <c r="AM235" s="1265" t="s">
        <v>2516</v>
      </c>
      <c r="AN235" s="242" t="s">
        <v>816</v>
      </c>
      <c r="AO235" s="312"/>
      <c r="AP235" s="482" t="s">
        <v>1058</v>
      </c>
      <c r="AQ235" s="482" t="s">
        <v>542</v>
      </c>
      <c r="AS235" s="488" t="s">
        <v>1866</v>
      </c>
      <c r="AT235" s="768" t="s">
        <v>1982</v>
      </c>
      <c r="AU235" s="768" t="s">
        <v>1526</v>
      </c>
      <c r="AV235" s="488" t="s">
        <v>1866</v>
      </c>
    </row>
    <row r="236" spans="2:48" hidden="1">
      <c r="B236" s="813" t="s">
        <v>2052</v>
      </c>
      <c r="C236" s="456" t="s">
        <v>1337</v>
      </c>
      <c r="D236" s="456" t="s">
        <v>1337</v>
      </c>
      <c r="F236" s="265" t="s">
        <v>1209</v>
      </c>
      <c r="G236" s="264" t="s">
        <v>1199</v>
      </c>
      <c r="H236" s="456" t="s">
        <v>1590</v>
      </c>
      <c r="I236" s="456" t="s">
        <v>1590</v>
      </c>
      <c r="J236" s="559" t="s">
        <v>1590</v>
      </c>
      <c r="K236" s="313"/>
      <c r="L236" s="560" t="s">
        <v>1590</v>
      </c>
      <c r="M236" s="560" t="s">
        <v>1590</v>
      </c>
      <c r="N236" s="176"/>
      <c r="O236" s="561" t="s">
        <v>1590</v>
      </c>
      <c r="P236" s="176"/>
      <c r="Q236" s="562" t="s">
        <v>1590</v>
      </c>
      <c r="R236" s="562" t="s">
        <v>1590</v>
      </c>
      <c r="S236" s="563" t="s">
        <v>1590</v>
      </c>
      <c r="T236" s="562" t="s">
        <v>1590</v>
      </c>
      <c r="U236" s="563" t="s">
        <v>1590</v>
      </c>
      <c r="V236" s="562" t="s">
        <v>1590</v>
      </c>
      <c r="W236" s="360"/>
      <c r="X236" s="562" t="s">
        <v>1590</v>
      </c>
      <c r="Y236" s="562" t="s">
        <v>1590</v>
      </c>
      <c r="Z236" s="562" t="s">
        <v>1590</v>
      </c>
      <c r="AA236" s="562" t="s">
        <v>1590</v>
      </c>
      <c r="AB236" s="562" t="s">
        <v>1590</v>
      </c>
      <c r="AC236" s="562" t="s">
        <v>1590</v>
      </c>
      <c r="AD236" s="235"/>
      <c r="AE236" s="456" t="s">
        <v>1590</v>
      </c>
      <c r="AG236" s="559" t="s">
        <v>1591</v>
      </c>
      <c r="AH236" s="559" t="s">
        <v>1591</v>
      </c>
      <c r="AI236" s="559" t="s">
        <v>1591</v>
      </c>
      <c r="AJ236" s="559" t="s">
        <v>1591</v>
      </c>
      <c r="AK236" s="559" t="s">
        <v>1591</v>
      </c>
      <c r="AL236" s="559" t="s">
        <v>1591</v>
      </c>
      <c r="AM236" s="559" t="s">
        <v>1591</v>
      </c>
      <c r="AN236" s="559" t="s">
        <v>1591</v>
      </c>
      <c r="AP236" s="456" t="s">
        <v>1590</v>
      </c>
      <c r="AQ236" s="456" t="s">
        <v>1590</v>
      </c>
      <c r="AS236" s="456" t="s">
        <v>1222</v>
      </c>
      <c r="AT236" s="456" t="s">
        <v>1222</v>
      </c>
      <c r="AU236" s="456" t="s">
        <v>1222</v>
      </c>
      <c r="AV236" s="456" t="s">
        <v>1222</v>
      </c>
    </row>
    <row r="237" spans="2:48" s="252" customFormat="1" ht="26.4" hidden="1">
      <c r="B237" s="1218" t="s">
        <v>2454</v>
      </c>
      <c r="C237" s="289" t="s">
        <v>134</v>
      </c>
      <c r="D237" s="289" t="s">
        <v>134</v>
      </c>
      <c r="E237" s="312"/>
      <c r="F237" s="1225" t="s">
        <v>1124</v>
      </c>
      <c r="G237" s="1614" t="s">
        <v>543</v>
      </c>
      <c r="H237" s="266">
        <v>1</v>
      </c>
      <c r="I237" s="266" t="s">
        <v>200</v>
      </c>
      <c r="J237" s="498" t="s">
        <v>544</v>
      </c>
      <c r="K237" s="312"/>
      <c r="L237" s="271" t="s">
        <v>134</v>
      </c>
      <c r="M237" s="272"/>
      <c r="N237" s="314"/>
      <c r="O237" s="277"/>
      <c r="P237" s="314"/>
      <c r="Q237" s="280" t="s">
        <v>134</v>
      </c>
      <c r="R237" s="272" t="s">
        <v>134</v>
      </c>
      <c r="S237" s="281"/>
      <c r="T237" s="272"/>
      <c r="U237" s="282"/>
      <c r="V237" s="283"/>
      <c r="W237" s="314"/>
      <c r="X237" s="280"/>
      <c r="Y237" s="284"/>
      <c r="Z237" s="272"/>
      <c r="AA237" s="281"/>
      <c r="AB237" s="284"/>
      <c r="AC237" s="272"/>
      <c r="AD237" s="312"/>
      <c r="AE237" s="1277" t="str">
        <f t="shared" si="26"/>
        <v>0x0 ~ 0xFF (0~10200W)
0xFF: SNA</v>
      </c>
      <c r="AF237" s="312"/>
      <c r="AG237" s="286">
        <v>0</v>
      </c>
      <c r="AH237" s="287">
        <v>40</v>
      </c>
      <c r="AI237" s="328">
        <v>0</v>
      </c>
      <c r="AJ237" s="1253" t="s">
        <v>2509</v>
      </c>
      <c r="AK237" s="337">
        <f t="shared" ref="AK237:AK249" si="38">HEX2DEC(AI237)*AH237+AG237</f>
        <v>0</v>
      </c>
      <c r="AL237" s="1273">
        <f t="shared" si="27"/>
        <v>10200</v>
      </c>
      <c r="AM237" s="287" t="s">
        <v>817</v>
      </c>
      <c r="AN237" s="285" t="s">
        <v>818</v>
      </c>
      <c r="AO237" s="312"/>
      <c r="AP237" s="310" t="s">
        <v>1125</v>
      </c>
      <c r="AQ237" s="310" t="s">
        <v>545</v>
      </c>
      <c r="AS237" s="507" t="s">
        <v>1866</v>
      </c>
      <c r="AT237" s="310" t="s">
        <v>1984</v>
      </c>
      <c r="AU237" s="310" t="s">
        <v>1985</v>
      </c>
      <c r="AV237" s="507" t="s">
        <v>1866</v>
      </c>
    </row>
    <row r="238" spans="2:48" s="252" customFormat="1" ht="26.4" hidden="1">
      <c r="B238" s="1218" t="s">
        <v>2454</v>
      </c>
      <c r="C238" s="689" t="s">
        <v>1712</v>
      </c>
      <c r="D238" s="309" t="s">
        <v>134</v>
      </c>
      <c r="E238" s="312"/>
      <c r="F238" s="1227" t="s">
        <v>1124</v>
      </c>
      <c r="G238" s="1614"/>
      <c r="H238" s="270" t="s">
        <v>299</v>
      </c>
      <c r="I238" s="270" t="s">
        <v>200</v>
      </c>
      <c r="J238" s="497" t="s">
        <v>546</v>
      </c>
      <c r="K238" s="312"/>
      <c r="L238" s="275" t="s">
        <v>134</v>
      </c>
      <c r="M238" s="276"/>
      <c r="N238" s="314"/>
      <c r="O238" s="279"/>
      <c r="P238" s="314"/>
      <c r="Q238" s="300" t="s">
        <v>134</v>
      </c>
      <c r="R238" s="276" t="s">
        <v>134</v>
      </c>
      <c r="S238" s="301"/>
      <c r="T238" s="276"/>
      <c r="U238" s="302"/>
      <c r="V238" s="303"/>
      <c r="W238" s="314"/>
      <c r="X238" s="300"/>
      <c r="Y238" s="304"/>
      <c r="Z238" s="276"/>
      <c r="AA238" s="301"/>
      <c r="AB238" s="304"/>
      <c r="AC238" s="276"/>
      <c r="AD238" s="312"/>
      <c r="AE238" s="1279" t="str">
        <f t="shared" si="26"/>
        <v>0x0 ~ 0xFF (0~10200W)
0xFF: SNA</v>
      </c>
      <c r="AF238" s="312"/>
      <c r="AG238" s="306">
        <v>0</v>
      </c>
      <c r="AH238" s="307">
        <v>40</v>
      </c>
      <c r="AI238" s="332">
        <v>0</v>
      </c>
      <c r="AJ238" s="1271" t="s">
        <v>2509</v>
      </c>
      <c r="AK238" s="341">
        <f t="shared" si="38"/>
        <v>0</v>
      </c>
      <c r="AL238" s="1275">
        <f t="shared" si="27"/>
        <v>10200</v>
      </c>
      <c r="AM238" s="307" t="s">
        <v>817</v>
      </c>
      <c r="AN238" s="305" t="s">
        <v>818</v>
      </c>
      <c r="AO238" s="312"/>
      <c r="AP238" s="487" t="s">
        <v>1126</v>
      </c>
      <c r="AQ238" s="487" t="s">
        <v>440</v>
      </c>
      <c r="AS238" s="500" t="s">
        <v>1406</v>
      </c>
      <c r="AT238" s="500" t="s">
        <v>1406</v>
      </c>
      <c r="AU238" s="500" t="s">
        <v>1406</v>
      </c>
      <c r="AV238" s="500" t="s">
        <v>1406</v>
      </c>
    </row>
    <row r="239" spans="2:48" s="252" customFormat="1" ht="26.4" hidden="1">
      <c r="B239" s="1218" t="s">
        <v>2454</v>
      </c>
      <c r="C239" s="289" t="s">
        <v>134</v>
      </c>
      <c r="D239" s="289" t="s">
        <v>134</v>
      </c>
      <c r="E239" s="312"/>
      <c r="F239" s="1225" t="s">
        <v>1127</v>
      </c>
      <c r="G239" s="1614" t="s">
        <v>547</v>
      </c>
      <c r="H239" s="266">
        <v>1</v>
      </c>
      <c r="I239" s="266" t="s">
        <v>200</v>
      </c>
      <c r="J239" s="498" t="s">
        <v>548</v>
      </c>
      <c r="K239" s="312"/>
      <c r="L239" s="271" t="s">
        <v>134</v>
      </c>
      <c r="M239" s="272"/>
      <c r="N239" s="314"/>
      <c r="O239" s="277"/>
      <c r="P239" s="314"/>
      <c r="Q239" s="280" t="s">
        <v>134</v>
      </c>
      <c r="R239" s="272" t="s">
        <v>134</v>
      </c>
      <c r="S239" s="281"/>
      <c r="T239" s="272"/>
      <c r="U239" s="282"/>
      <c r="V239" s="283"/>
      <c r="W239" s="314"/>
      <c r="X239" s="280"/>
      <c r="Y239" s="284"/>
      <c r="Z239" s="272"/>
      <c r="AA239" s="281"/>
      <c r="AB239" s="284"/>
      <c r="AC239" s="272"/>
      <c r="AD239" s="312"/>
      <c r="AE239" s="1277" t="str">
        <f t="shared" si="26"/>
        <v>0x0 ~ 0xFF (-40~215deg C)
0xFF: SNA</v>
      </c>
      <c r="AF239" s="312"/>
      <c r="AG239" s="286">
        <v>-40</v>
      </c>
      <c r="AH239" s="287">
        <v>1</v>
      </c>
      <c r="AI239" s="328">
        <v>0</v>
      </c>
      <c r="AJ239" s="1253" t="s">
        <v>2509</v>
      </c>
      <c r="AK239" s="337">
        <f t="shared" si="38"/>
        <v>-40</v>
      </c>
      <c r="AL239" s="1273">
        <f t="shared" si="27"/>
        <v>215</v>
      </c>
      <c r="AM239" s="1229" t="s">
        <v>2445</v>
      </c>
      <c r="AN239" s="285" t="s">
        <v>818</v>
      </c>
      <c r="AO239" s="312"/>
      <c r="AP239" s="310" t="s">
        <v>1125</v>
      </c>
      <c r="AQ239" s="310" t="s">
        <v>549</v>
      </c>
      <c r="AS239" s="507" t="s">
        <v>1866</v>
      </c>
      <c r="AT239" s="310" t="s">
        <v>1984</v>
      </c>
      <c r="AU239" s="310" t="s">
        <v>1986</v>
      </c>
      <c r="AV239" s="507" t="s">
        <v>1866</v>
      </c>
    </row>
    <row r="240" spans="2:48" s="252" customFormat="1" ht="26.4" hidden="1">
      <c r="B240" s="1218" t="s">
        <v>2454</v>
      </c>
      <c r="C240" s="689" t="s">
        <v>1712</v>
      </c>
      <c r="D240" s="309" t="s">
        <v>134</v>
      </c>
      <c r="E240" s="312"/>
      <c r="F240" s="1227" t="s">
        <v>1127</v>
      </c>
      <c r="G240" s="1614"/>
      <c r="H240" s="270" t="s">
        <v>299</v>
      </c>
      <c r="I240" s="270" t="s">
        <v>200</v>
      </c>
      <c r="J240" s="497" t="s">
        <v>550</v>
      </c>
      <c r="K240" s="312"/>
      <c r="L240" s="275" t="s">
        <v>134</v>
      </c>
      <c r="M240" s="276"/>
      <c r="N240" s="314"/>
      <c r="O240" s="279"/>
      <c r="P240" s="314"/>
      <c r="Q240" s="300" t="s">
        <v>134</v>
      </c>
      <c r="R240" s="276" t="s">
        <v>134</v>
      </c>
      <c r="S240" s="301"/>
      <c r="T240" s="276"/>
      <c r="U240" s="302"/>
      <c r="V240" s="303"/>
      <c r="W240" s="314"/>
      <c r="X240" s="300"/>
      <c r="Y240" s="304"/>
      <c r="Z240" s="276"/>
      <c r="AA240" s="301"/>
      <c r="AB240" s="304"/>
      <c r="AC240" s="276"/>
      <c r="AD240" s="312"/>
      <c r="AE240" s="1279" t="str">
        <f t="shared" ref="AE240:AE304" si="39">IF(AM240&lt;&gt;"",
       "0x" &amp; AI240 &amp;" ~ 0x" &amp; AJ240 &amp; " (" &amp; AK240 &amp;"~" &amp; AL240 &amp; AM240 &amp; ")","")&amp;IF(AN240&lt;&gt;"",IF(AM240&lt;&gt;"",CHAR(10)&amp;AN240,AN240),
       "")</f>
        <v>0x0 ~ 0xFF (-40~215deg C)
0xFF: SNA</v>
      </c>
      <c r="AF240" s="312"/>
      <c r="AG240" s="306">
        <v>-40</v>
      </c>
      <c r="AH240" s="307">
        <v>1</v>
      </c>
      <c r="AI240" s="332">
        <v>0</v>
      </c>
      <c r="AJ240" s="1271" t="s">
        <v>2509</v>
      </c>
      <c r="AK240" s="341">
        <f t="shared" si="38"/>
        <v>-40</v>
      </c>
      <c r="AL240" s="1275">
        <f t="shared" si="27"/>
        <v>215</v>
      </c>
      <c r="AM240" s="1231" t="s">
        <v>2445</v>
      </c>
      <c r="AN240" s="305" t="s">
        <v>818</v>
      </c>
      <c r="AO240" s="312"/>
      <c r="AP240" s="487" t="s">
        <v>1126</v>
      </c>
      <c r="AQ240" s="487" t="s">
        <v>440</v>
      </c>
      <c r="AS240" s="500" t="s">
        <v>1406</v>
      </c>
      <c r="AT240" s="500" t="s">
        <v>1406</v>
      </c>
      <c r="AU240" s="500" t="s">
        <v>1406</v>
      </c>
      <c r="AV240" s="500" t="s">
        <v>1406</v>
      </c>
    </row>
    <row r="241" spans="2:48" s="252" customFormat="1" ht="39.6" hidden="1">
      <c r="B241" s="1218" t="s">
        <v>2454</v>
      </c>
      <c r="C241" s="289" t="s">
        <v>134</v>
      </c>
      <c r="D241" s="289" t="s">
        <v>134</v>
      </c>
      <c r="E241" s="312"/>
      <c r="F241" s="1225" t="s">
        <v>1128</v>
      </c>
      <c r="G241" s="1614" t="s">
        <v>551</v>
      </c>
      <c r="H241" s="266">
        <v>1</v>
      </c>
      <c r="I241" s="266" t="s">
        <v>200</v>
      </c>
      <c r="J241" s="498" t="s">
        <v>552</v>
      </c>
      <c r="K241" s="312"/>
      <c r="L241" s="271" t="s">
        <v>134</v>
      </c>
      <c r="M241" s="272"/>
      <c r="N241" s="314"/>
      <c r="O241" s="277"/>
      <c r="P241" s="314"/>
      <c r="Q241" s="280" t="s">
        <v>134</v>
      </c>
      <c r="R241" s="272" t="s">
        <v>134</v>
      </c>
      <c r="S241" s="281"/>
      <c r="T241" s="272"/>
      <c r="U241" s="282"/>
      <c r="V241" s="283"/>
      <c r="W241" s="314"/>
      <c r="X241" s="280"/>
      <c r="Y241" s="284"/>
      <c r="Z241" s="272"/>
      <c r="AA241" s="281"/>
      <c r="AB241" s="284"/>
      <c r="AC241" s="272"/>
      <c r="AD241" s="312"/>
      <c r="AE241" s="285" t="str">
        <f t="shared" si="39"/>
        <v>0x0 ~ 0x1 (0~1 -)
0x0: Output OFF
0x1: Output ON</v>
      </c>
      <c r="AF241" s="312"/>
      <c r="AG241" s="1258">
        <v>0</v>
      </c>
      <c r="AH241" s="1259">
        <v>1</v>
      </c>
      <c r="AI241" s="328">
        <v>0</v>
      </c>
      <c r="AJ241" s="329">
        <v>1</v>
      </c>
      <c r="AK241" s="337">
        <f t="shared" si="38"/>
        <v>0</v>
      </c>
      <c r="AL241" s="1273">
        <f t="shared" si="27"/>
        <v>1</v>
      </c>
      <c r="AM241" s="1259" t="s">
        <v>2516</v>
      </c>
      <c r="AN241" s="285" t="s">
        <v>819</v>
      </c>
      <c r="AO241" s="312"/>
      <c r="AP241" s="310" t="s">
        <v>1125</v>
      </c>
      <c r="AQ241" s="310" t="s">
        <v>1524</v>
      </c>
      <c r="AS241" s="507" t="s">
        <v>1866</v>
      </c>
      <c r="AT241" s="310" t="s">
        <v>1987</v>
      </c>
      <c r="AU241" s="310" t="s">
        <v>1988</v>
      </c>
      <c r="AV241" s="507" t="s">
        <v>1866</v>
      </c>
    </row>
    <row r="242" spans="2:48" s="252" customFormat="1" ht="39.6" hidden="1">
      <c r="B242" s="1218" t="s">
        <v>2454</v>
      </c>
      <c r="C242" s="689" t="s">
        <v>1712</v>
      </c>
      <c r="D242" s="309" t="s">
        <v>134</v>
      </c>
      <c r="E242" s="312"/>
      <c r="F242" s="1227" t="s">
        <v>1128</v>
      </c>
      <c r="G242" s="1614"/>
      <c r="H242" s="270" t="s">
        <v>299</v>
      </c>
      <c r="I242" s="270" t="s">
        <v>200</v>
      </c>
      <c r="J242" s="497" t="s">
        <v>553</v>
      </c>
      <c r="K242" s="312"/>
      <c r="L242" s="275" t="s">
        <v>134</v>
      </c>
      <c r="M242" s="276"/>
      <c r="N242" s="314"/>
      <c r="O242" s="279"/>
      <c r="P242" s="314"/>
      <c r="Q242" s="300" t="s">
        <v>134</v>
      </c>
      <c r="R242" s="276" t="s">
        <v>134</v>
      </c>
      <c r="S242" s="301"/>
      <c r="T242" s="276"/>
      <c r="U242" s="302"/>
      <c r="V242" s="303"/>
      <c r="W242" s="314"/>
      <c r="X242" s="300"/>
      <c r="Y242" s="304"/>
      <c r="Z242" s="276"/>
      <c r="AA242" s="301"/>
      <c r="AB242" s="304"/>
      <c r="AC242" s="276"/>
      <c r="AD242" s="312"/>
      <c r="AE242" s="305" t="str">
        <f t="shared" si="39"/>
        <v>0x0 ~ 0x1 (0~1 -)
0x0: Output OFF
0x1: Output ON</v>
      </c>
      <c r="AF242" s="312"/>
      <c r="AG242" s="1262">
        <v>0</v>
      </c>
      <c r="AH242" s="1263">
        <v>1</v>
      </c>
      <c r="AI242" s="332">
        <v>0</v>
      </c>
      <c r="AJ242" s="333">
        <v>1</v>
      </c>
      <c r="AK242" s="341">
        <f t="shared" si="38"/>
        <v>0</v>
      </c>
      <c r="AL242" s="1275">
        <f t="shared" si="27"/>
        <v>1</v>
      </c>
      <c r="AM242" s="1263" t="s">
        <v>2516</v>
      </c>
      <c r="AN242" s="305" t="s">
        <v>819</v>
      </c>
      <c r="AO242" s="312"/>
      <c r="AP242" s="487" t="s">
        <v>1126</v>
      </c>
      <c r="AQ242" s="487" t="s">
        <v>440</v>
      </c>
      <c r="AS242" s="500" t="s">
        <v>1406</v>
      </c>
      <c r="AT242" s="500" t="s">
        <v>1406</v>
      </c>
      <c r="AU242" s="500" t="s">
        <v>1406</v>
      </c>
      <c r="AV242" s="500" t="s">
        <v>1406</v>
      </c>
    </row>
    <row r="243" spans="2:48" s="252" customFormat="1" ht="118.8" hidden="1">
      <c r="B243" s="1218" t="s">
        <v>2454</v>
      </c>
      <c r="C243" s="289" t="s">
        <v>134</v>
      </c>
      <c r="D243" s="289" t="s">
        <v>134</v>
      </c>
      <c r="E243" s="312"/>
      <c r="F243" s="1225" t="s">
        <v>1129</v>
      </c>
      <c r="G243" s="1614" t="s">
        <v>554</v>
      </c>
      <c r="H243" s="266">
        <v>1</v>
      </c>
      <c r="I243" s="266" t="s">
        <v>200</v>
      </c>
      <c r="J243" s="498" t="s">
        <v>555</v>
      </c>
      <c r="K243" s="312"/>
      <c r="L243" s="271" t="s">
        <v>134</v>
      </c>
      <c r="M243" s="272"/>
      <c r="N243" s="314"/>
      <c r="O243" s="277"/>
      <c r="P243" s="314"/>
      <c r="Q243" s="280" t="s">
        <v>134</v>
      </c>
      <c r="R243" s="272" t="s">
        <v>134</v>
      </c>
      <c r="S243" s="281"/>
      <c r="T243" s="272"/>
      <c r="U243" s="282"/>
      <c r="V243" s="283"/>
      <c r="W243" s="314"/>
      <c r="X243" s="280"/>
      <c r="Y243" s="284"/>
      <c r="Z243" s="272"/>
      <c r="AA243" s="281"/>
      <c r="AB243" s="284"/>
      <c r="AC243" s="272"/>
      <c r="AD243" s="312"/>
      <c r="AE243" s="285" t="str">
        <f t="shared" si="39"/>
        <v>0x0 ~ 0xFF (0~255 -)
0x0: OFF
0x1: Temporary Lock
0x2: Overheat Lock
0x3: Permanent Lock
0x4: Operation
0x5: Production mode
0x6: Post_Production_Mode
0x7: (Reserved)</v>
      </c>
      <c r="AF243" s="312"/>
      <c r="AG243" s="1258">
        <v>0</v>
      </c>
      <c r="AH243" s="1259">
        <v>1</v>
      </c>
      <c r="AI243" s="328">
        <v>0</v>
      </c>
      <c r="AJ243" s="1253" t="s">
        <v>2509</v>
      </c>
      <c r="AK243" s="337">
        <f t="shared" si="38"/>
        <v>0</v>
      </c>
      <c r="AL243" s="1273">
        <f t="shared" si="27"/>
        <v>255</v>
      </c>
      <c r="AM243" s="1259" t="s">
        <v>2516</v>
      </c>
      <c r="AN243" s="285" t="s">
        <v>820</v>
      </c>
      <c r="AO243" s="312"/>
      <c r="AP243" s="310" t="s">
        <v>1125</v>
      </c>
      <c r="AQ243" s="310" t="s">
        <v>1514</v>
      </c>
      <c r="AR243" s="506"/>
      <c r="AS243" s="507" t="s">
        <v>1866</v>
      </c>
      <c r="AT243" s="310" t="s">
        <v>1987</v>
      </c>
      <c r="AU243" s="310" t="s">
        <v>1989</v>
      </c>
      <c r="AV243" s="507" t="s">
        <v>1866</v>
      </c>
    </row>
    <row r="244" spans="2:48" s="252" customFormat="1" ht="118.8" hidden="1">
      <c r="B244" s="1218" t="s">
        <v>2454</v>
      </c>
      <c r="C244" s="689" t="s">
        <v>1712</v>
      </c>
      <c r="D244" s="309" t="s">
        <v>134</v>
      </c>
      <c r="E244" s="312"/>
      <c r="F244" s="1227" t="s">
        <v>1129</v>
      </c>
      <c r="G244" s="1614"/>
      <c r="H244" s="270" t="s">
        <v>299</v>
      </c>
      <c r="I244" s="270" t="s">
        <v>200</v>
      </c>
      <c r="J244" s="497" t="s">
        <v>556</v>
      </c>
      <c r="K244" s="312"/>
      <c r="L244" s="275" t="s">
        <v>134</v>
      </c>
      <c r="M244" s="276"/>
      <c r="N244" s="314"/>
      <c r="O244" s="279"/>
      <c r="P244" s="314"/>
      <c r="Q244" s="300" t="s">
        <v>134</v>
      </c>
      <c r="R244" s="276" t="s">
        <v>134</v>
      </c>
      <c r="S244" s="301"/>
      <c r="T244" s="276"/>
      <c r="U244" s="302"/>
      <c r="V244" s="303"/>
      <c r="W244" s="314"/>
      <c r="X244" s="300"/>
      <c r="Y244" s="304"/>
      <c r="Z244" s="276"/>
      <c r="AA244" s="301"/>
      <c r="AB244" s="304"/>
      <c r="AC244" s="276"/>
      <c r="AD244" s="312"/>
      <c r="AE244" s="305" t="str">
        <f t="shared" si="39"/>
        <v>0x0 ~ 0xFF (0~255 -)
0x0: OFF
0x1: Temporary Lock
0x2: Overheat Lock
0x3: Permanent Lock
0x4: Operation
0x5: Production mode
0x6: Post_Production_Mode
0x7: (Reserved)</v>
      </c>
      <c r="AF244" s="312"/>
      <c r="AG244" s="1262">
        <v>0</v>
      </c>
      <c r="AH244" s="1263">
        <v>1</v>
      </c>
      <c r="AI244" s="332">
        <v>0</v>
      </c>
      <c r="AJ244" s="1271" t="s">
        <v>2509</v>
      </c>
      <c r="AK244" s="341">
        <f t="shared" si="38"/>
        <v>0</v>
      </c>
      <c r="AL244" s="1275">
        <f t="shared" si="27"/>
        <v>255</v>
      </c>
      <c r="AM244" s="1263" t="s">
        <v>2516</v>
      </c>
      <c r="AN244" s="305" t="s">
        <v>820</v>
      </c>
      <c r="AO244" s="312"/>
      <c r="AP244" s="487" t="s">
        <v>1126</v>
      </c>
      <c r="AQ244" s="487" t="s">
        <v>440</v>
      </c>
      <c r="AS244" s="500" t="s">
        <v>1406</v>
      </c>
      <c r="AT244" s="500" t="s">
        <v>1406</v>
      </c>
      <c r="AU244" s="500" t="s">
        <v>1406</v>
      </c>
      <c r="AV244" s="500" t="s">
        <v>1406</v>
      </c>
    </row>
    <row r="245" spans="2:48" s="252" customFormat="1" ht="39.6" hidden="1">
      <c r="B245" s="1218" t="s">
        <v>2454</v>
      </c>
      <c r="C245" s="289" t="s">
        <v>134</v>
      </c>
      <c r="D245" s="289" t="s">
        <v>134</v>
      </c>
      <c r="E245" s="312"/>
      <c r="F245" s="1225" t="s">
        <v>1130</v>
      </c>
      <c r="G245" s="1614" t="s">
        <v>557</v>
      </c>
      <c r="H245" s="266">
        <v>1</v>
      </c>
      <c r="I245" s="266" t="s">
        <v>200</v>
      </c>
      <c r="J245" s="498" t="s">
        <v>558</v>
      </c>
      <c r="K245" s="312"/>
      <c r="L245" s="271" t="s">
        <v>134</v>
      </c>
      <c r="M245" s="272"/>
      <c r="N245" s="314"/>
      <c r="O245" s="277"/>
      <c r="P245" s="314"/>
      <c r="Q245" s="280" t="s">
        <v>134</v>
      </c>
      <c r="R245" s="272" t="s">
        <v>134</v>
      </c>
      <c r="S245" s="281"/>
      <c r="T245" s="272"/>
      <c r="U245" s="282"/>
      <c r="V245" s="283"/>
      <c r="W245" s="314"/>
      <c r="X245" s="280"/>
      <c r="Y245" s="284"/>
      <c r="Z245" s="272"/>
      <c r="AA245" s="281"/>
      <c r="AB245" s="284"/>
      <c r="AC245" s="272"/>
      <c r="AD245" s="312"/>
      <c r="AE245" s="285" t="str">
        <f t="shared" si="39"/>
        <v>0x0 ~ 0x1 (0~1 -)
0x0: Inactive
0x1: Active</v>
      </c>
      <c r="AF245" s="312"/>
      <c r="AG245" s="1258">
        <v>0</v>
      </c>
      <c r="AH245" s="1259">
        <v>1</v>
      </c>
      <c r="AI245" s="328">
        <v>0</v>
      </c>
      <c r="AJ245" s="329">
        <v>1</v>
      </c>
      <c r="AK245" s="337">
        <f t="shared" si="38"/>
        <v>0</v>
      </c>
      <c r="AL245" s="1273">
        <f t="shared" ref="AL245:AL274" si="40">HEX2DEC(AJ245)*AH245+AG245</f>
        <v>1</v>
      </c>
      <c r="AM245" s="1259" t="s">
        <v>2516</v>
      </c>
      <c r="AN245" s="285" t="s">
        <v>821</v>
      </c>
      <c r="AO245" s="312"/>
      <c r="AP245" s="310" t="s">
        <v>1125</v>
      </c>
      <c r="AQ245" s="310" t="s">
        <v>559</v>
      </c>
      <c r="AR245" s="506"/>
      <c r="AS245" s="507" t="s">
        <v>1866</v>
      </c>
      <c r="AT245" s="310" t="s">
        <v>1987</v>
      </c>
      <c r="AU245" s="310" t="s">
        <v>1990</v>
      </c>
      <c r="AV245" s="507" t="s">
        <v>1866</v>
      </c>
    </row>
    <row r="246" spans="2:48" s="252" customFormat="1" ht="39.6" hidden="1">
      <c r="B246" s="1218" t="s">
        <v>2454</v>
      </c>
      <c r="C246" s="689" t="s">
        <v>1712</v>
      </c>
      <c r="D246" s="309" t="s">
        <v>134</v>
      </c>
      <c r="E246" s="312"/>
      <c r="F246" s="1227" t="s">
        <v>1130</v>
      </c>
      <c r="G246" s="1614"/>
      <c r="H246" s="270" t="s">
        <v>299</v>
      </c>
      <c r="I246" s="270" t="s">
        <v>200</v>
      </c>
      <c r="J246" s="497" t="s">
        <v>560</v>
      </c>
      <c r="K246" s="312"/>
      <c r="L246" s="275" t="s">
        <v>134</v>
      </c>
      <c r="M246" s="276"/>
      <c r="N246" s="314"/>
      <c r="O246" s="279"/>
      <c r="P246" s="314"/>
      <c r="Q246" s="300" t="s">
        <v>134</v>
      </c>
      <c r="R246" s="276" t="s">
        <v>134</v>
      </c>
      <c r="S246" s="301"/>
      <c r="T246" s="276"/>
      <c r="U246" s="302"/>
      <c r="V246" s="303"/>
      <c r="W246" s="314"/>
      <c r="X246" s="300"/>
      <c r="Y246" s="304"/>
      <c r="Z246" s="276"/>
      <c r="AA246" s="301"/>
      <c r="AB246" s="304"/>
      <c r="AC246" s="276"/>
      <c r="AD246" s="312"/>
      <c r="AE246" s="305" t="str">
        <f t="shared" si="39"/>
        <v>0x0 ~ 0x1 (0~1 -)
0x0: Inactive
0x1: Active</v>
      </c>
      <c r="AF246" s="312"/>
      <c r="AG246" s="1262">
        <v>0</v>
      </c>
      <c r="AH246" s="1263">
        <v>1</v>
      </c>
      <c r="AI246" s="332">
        <v>0</v>
      </c>
      <c r="AJ246" s="333">
        <v>1</v>
      </c>
      <c r="AK246" s="341">
        <f t="shared" si="38"/>
        <v>0</v>
      </c>
      <c r="AL246" s="1275">
        <f t="shared" si="40"/>
        <v>1</v>
      </c>
      <c r="AM246" s="1263" t="s">
        <v>2516</v>
      </c>
      <c r="AN246" s="305" t="s">
        <v>821</v>
      </c>
      <c r="AO246" s="312"/>
      <c r="AP246" s="487" t="s">
        <v>1126</v>
      </c>
      <c r="AQ246" s="487" t="s">
        <v>440</v>
      </c>
      <c r="AS246" s="500" t="s">
        <v>1406</v>
      </c>
      <c r="AT246" s="500" t="s">
        <v>1406</v>
      </c>
      <c r="AU246" s="500" t="s">
        <v>1406</v>
      </c>
      <c r="AV246" s="500" t="s">
        <v>1406</v>
      </c>
    </row>
    <row r="247" spans="2:48" s="252" customFormat="1" ht="132" hidden="1">
      <c r="B247" s="1218" t="s">
        <v>2454</v>
      </c>
      <c r="C247" s="289" t="s">
        <v>134</v>
      </c>
      <c r="D247" s="289" t="s">
        <v>134</v>
      </c>
      <c r="E247" s="312"/>
      <c r="F247" s="1225" t="s">
        <v>1131</v>
      </c>
      <c r="G247" s="1614" t="s">
        <v>561</v>
      </c>
      <c r="H247" s="266">
        <v>1</v>
      </c>
      <c r="I247" s="266" t="s">
        <v>200</v>
      </c>
      <c r="J247" s="498" t="s">
        <v>562</v>
      </c>
      <c r="K247" s="312"/>
      <c r="L247" s="271" t="s">
        <v>134</v>
      </c>
      <c r="M247" s="272"/>
      <c r="N247" s="314"/>
      <c r="O247" s="277"/>
      <c r="P247" s="314"/>
      <c r="Q247" s="280" t="s">
        <v>134</v>
      </c>
      <c r="R247" s="272" t="s">
        <v>134</v>
      </c>
      <c r="S247" s="281"/>
      <c r="T247" s="272"/>
      <c r="U247" s="282"/>
      <c r="V247" s="283"/>
      <c r="W247" s="314"/>
      <c r="X247" s="280"/>
      <c r="Y247" s="284"/>
      <c r="Z247" s="272"/>
      <c r="AA247" s="281"/>
      <c r="AB247" s="284"/>
      <c r="AC247" s="272"/>
      <c r="AD247" s="312"/>
      <c r="AE247" s="1277" t="str">
        <f t="shared" si="39"/>
        <v>0x0 ~ 0xFF (-40~215deg C)
0xFF: SNA</v>
      </c>
      <c r="AF247" s="312"/>
      <c r="AG247" s="286">
        <v>-40</v>
      </c>
      <c r="AH247" s="287">
        <v>1</v>
      </c>
      <c r="AI247" s="328">
        <v>0</v>
      </c>
      <c r="AJ247" s="1253" t="s">
        <v>2509</v>
      </c>
      <c r="AK247" s="337">
        <f t="shared" si="38"/>
        <v>-40</v>
      </c>
      <c r="AL247" s="1273">
        <f t="shared" si="40"/>
        <v>215</v>
      </c>
      <c r="AM247" s="1229" t="s">
        <v>2445</v>
      </c>
      <c r="AN247" s="285" t="s">
        <v>818</v>
      </c>
      <c r="AO247" s="312"/>
      <c r="AP247" s="310" t="s">
        <v>1125</v>
      </c>
      <c r="AQ247" s="913" t="s">
        <v>2298</v>
      </c>
      <c r="AR247" s="506"/>
      <c r="AS247" s="507" t="s">
        <v>1866</v>
      </c>
      <c r="AT247" s="310" t="s">
        <v>1987</v>
      </c>
      <c r="AU247" s="310" t="s">
        <v>1991</v>
      </c>
      <c r="AV247" s="507" t="s">
        <v>1866</v>
      </c>
    </row>
    <row r="248" spans="2:48" s="252" customFormat="1" ht="26.4" hidden="1">
      <c r="B248" s="1218" t="s">
        <v>2454</v>
      </c>
      <c r="C248" s="689" t="s">
        <v>1712</v>
      </c>
      <c r="D248" s="309" t="s">
        <v>134</v>
      </c>
      <c r="E248" s="312"/>
      <c r="F248" s="1227" t="s">
        <v>1131</v>
      </c>
      <c r="G248" s="1614"/>
      <c r="H248" s="270" t="s">
        <v>299</v>
      </c>
      <c r="I248" s="270" t="s">
        <v>200</v>
      </c>
      <c r="J248" s="497" t="s">
        <v>563</v>
      </c>
      <c r="K248" s="312"/>
      <c r="L248" s="275" t="s">
        <v>134</v>
      </c>
      <c r="M248" s="276"/>
      <c r="N248" s="314"/>
      <c r="O248" s="279"/>
      <c r="P248" s="314"/>
      <c r="Q248" s="300" t="s">
        <v>134</v>
      </c>
      <c r="R248" s="276" t="s">
        <v>134</v>
      </c>
      <c r="S248" s="301"/>
      <c r="T248" s="276"/>
      <c r="U248" s="302"/>
      <c r="V248" s="303"/>
      <c r="W248" s="314"/>
      <c r="X248" s="300"/>
      <c r="Y248" s="304"/>
      <c r="Z248" s="276"/>
      <c r="AA248" s="301"/>
      <c r="AB248" s="304"/>
      <c r="AC248" s="276"/>
      <c r="AD248" s="312"/>
      <c r="AE248" s="1279" t="str">
        <f t="shared" si="39"/>
        <v>0x0 ~ 0xFF (-40~215deg C)
0xFF: SNA</v>
      </c>
      <c r="AF248" s="312"/>
      <c r="AG248" s="306">
        <v>-40</v>
      </c>
      <c r="AH248" s="307">
        <v>1</v>
      </c>
      <c r="AI248" s="332">
        <v>0</v>
      </c>
      <c r="AJ248" s="1271" t="s">
        <v>2509</v>
      </c>
      <c r="AK248" s="341">
        <f t="shared" si="38"/>
        <v>-40</v>
      </c>
      <c r="AL248" s="1275">
        <f t="shared" si="40"/>
        <v>215</v>
      </c>
      <c r="AM248" s="1231" t="s">
        <v>2445</v>
      </c>
      <c r="AN248" s="305" t="s">
        <v>818</v>
      </c>
      <c r="AO248" s="312"/>
      <c r="AP248" s="487" t="s">
        <v>1126</v>
      </c>
      <c r="AQ248" s="935" t="s">
        <v>440</v>
      </c>
      <c r="AS248" s="500" t="s">
        <v>1406</v>
      </c>
      <c r="AT248" s="500" t="s">
        <v>1406</v>
      </c>
      <c r="AU248" s="500" t="s">
        <v>1406</v>
      </c>
      <c r="AV248" s="500" t="s">
        <v>1406</v>
      </c>
    </row>
    <row r="249" spans="2:48" s="252" customFormat="1" ht="145.19999999999999" hidden="1">
      <c r="B249" s="1218" t="s">
        <v>2454</v>
      </c>
      <c r="C249" s="289" t="s">
        <v>134</v>
      </c>
      <c r="D249" s="289" t="s">
        <v>134</v>
      </c>
      <c r="E249" s="312"/>
      <c r="F249" s="1225" t="s">
        <v>1132</v>
      </c>
      <c r="G249" s="1614" t="s">
        <v>564</v>
      </c>
      <c r="H249" s="266">
        <v>1</v>
      </c>
      <c r="I249" s="266" t="s">
        <v>200</v>
      </c>
      <c r="J249" s="498" t="s">
        <v>565</v>
      </c>
      <c r="K249" s="312"/>
      <c r="L249" s="271" t="s">
        <v>134</v>
      </c>
      <c r="M249" s="272"/>
      <c r="N249" s="314"/>
      <c r="O249" s="277"/>
      <c r="P249" s="314"/>
      <c r="Q249" s="280" t="s">
        <v>134</v>
      </c>
      <c r="R249" s="272" t="s">
        <v>134</v>
      </c>
      <c r="S249" s="281"/>
      <c r="T249" s="272"/>
      <c r="U249" s="282"/>
      <c r="V249" s="283"/>
      <c r="W249" s="314"/>
      <c r="X249" s="280"/>
      <c r="Y249" s="284"/>
      <c r="Z249" s="272"/>
      <c r="AA249" s="281"/>
      <c r="AB249" s="284"/>
      <c r="AC249" s="272"/>
      <c r="AD249" s="312"/>
      <c r="AE249" s="1277" t="str">
        <f t="shared" si="39"/>
        <v>0x0 ~ 0xFF (-40~215deg C)
0xFF: SNA</v>
      </c>
      <c r="AF249" s="312"/>
      <c r="AG249" s="286">
        <v>-40</v>
      </c>
      <c r="AH249" s="287">
        <v>1</v>
      </c>
      <c r="AI249" s="328">
        <v>0</v>
      </c>
      <c r="AJ249" s="1253" t="s">
        <v>2509</v>
      </c>
      <c r="AK249" s="337">
        <f t="shared" si="38"/>
        <v>-40</v>
      </c>
      <c r="AL249" s="1273">
        <f t="shared" si="40"/>
        <v>215</v>
      </c>
      <c r="AM249" s="1229" t="s">
        <v>2445</v>
      </c>
      <c r="AN249" s="285" t="s">
        <v>818</v>
      </c>
      <c r="AO249" s="312"/>
      <c r="AP249" s="310" t="s">
        <v>1125</v>
      </c>
      <c r="AQ249" s="913" t="s">
        <v>2299</v>
      </c>
      <c r="AR249" s="506"/>
      <c r="AS249" s="507" t="s">
        <v>1866</v>
      </c>
      <c r="AT249" s="310" t="s">
        <v>1987</v>
      </c>
      <c r="AU249" s="310" t="s">
        <v>1992</v>
      </c>
      <c r="AV249" s="507" t="s">
        <v>1866</v>
      </c>
    </row>
    <row r="250" spans="2:48" s="252" customFormat="1" ht="26.4" hidden="1">
      <c r="B250" s="1218" t="s">
        <v>2454</v>
      </c>
      <c r="C250" s="689" t="s">
        <v>1712</v>
      </c>
      <c r="D250" s="309" t="s">
        <v>134</v>
      </c>
      <c r="E250" s="312"/>
      <c r="F250" s="1227" t="s">
        <v>1132</v>
      </c>
      <c r="G250" s="1614"/>
      <c r="H250" s="270" t="s">
        <v>299</v>
      </c>
      <c r="I250" s="270" t="s">
        <v>200</v>
      </c>
      <c r="J250" s="497" t="s">
        <v>566</v>
      </c>
      <c r="K250" s="312"/>
      <c r="L250" s="275" t="s">
        <v>134</v>
      </c>
      <c r="M250" s="276"/>
      <c r="N250" s="314"/>
      <c r="O250" s="279"/>
      <c r="P250" s="314"/>
      <c r="Q250" s="300" t="s">
        <v>134</v>
      </c>
      <c r="R250" s="276" t="s">
        <v>134</v>
      </c>
      <c r="S250" s="301"/>
      <c r="T250" s="276"/>
      <c r="U250" s="302"/>
      <c r="V250" s="303"/>
      <c r="W250" s="314"/>
      <c r="X250" s="300"/>
      <c r="Y250" s="304"/>
      <c r="Z250" s="276"/>
      <c r="AA250" s="301"/>
      <c r="AB250" s="304"/>
      <c r="AC250" s="276"/>
      <c r="AD250" s="312"/>
      <c r="AE250" s="1279" t="str">
        <f t="shared" si="39"/>
        <v>0x0 ~ 0xFF (-40~215deg C)
0xFF: SNA</v>
      </c>
      <c r="AF250" s="312"/>
      <c r="AG250" s="306">
        <v>-40</v>
      </c>
      <c r="AH250" s="307">
        <v>1</v>
      </c>
      <c r="AI250" s="332">
        <v>0</v>
      </c>
      <c r="AJ250" s="1271" t="s">
        <v>2509</v>
      </c>
      <c r="AK250" s="341">
        <f t="shared" ref="AK250:AK314" si="41">HEX2DEC(AI250)*AH250+AG250</f>
        <v>-40</v>
      </c>
      <c r="AL250" s="1275">
        <f t="shared" si="40"/>
        <v>215</v>
      </c>
      <c r="AM250" s="1231" t="s">
        <v>2445</v>
      </c>
      <c r="AN250" s="305" t="s">
        <v>818</v>
      </c>
      <c r="AO250" s="312"/>
      <c r="AP250" s="487" t="s">
        <v>1126</v>
      </c>
      <c r="AQ250" s="935" t="s">
        <v>440</v>
      </c>
      <c r="AS250" s="500" t="s">
        <v>1406</v>
      </c>
      <c r="AT250" s="500" t="s">
        <v>1406</v>
      </c>
      <c r="AU250" s="500" t="s">
        <v>1406</v>
      </c>
      <c r="AV250" s="500" t="s">
        <v>1406</v>
      </c>
    </row>
    <row r="251" spans="2:48" s="252" customFormat="1" ht="132" hidden="1">
      <c r="B251" s="1218" t="s">
        <v>2454</v>
      </c>
      <c r="C251" s="289" t="s">
        <v>134</v>
      </c>
      <c r="D251" s="289" t="s">
        <v>134</v>
      </c>
      <c r="E251" s="312"/>
      <c r="F251" s="1225" t="s">
        <v>1133</v>
      </c>
      <c r="G251" s="1614" t="s">
        <v>567</v>
      </c>
      <c r="H251" s="266" t="s">
        <v>279</v>
      </c>
      <c r="I251" s="266" t="s">
        <v>200</v>
      </c>
      <c r="J251" s="498" t="s">
        <v>568</v>
      </c>
      <c r="K251" s="312"/>
      <c r="L251" s="271" t="s">
        <v>134</v>
      </c>
      <c r="M251" s="272"/>
      <c r="N251" s="314"/>
      <c r="O251" s="277"/>
      <c r="P251" s="314"/>
      <c r="Q251" s="280" t="s">
        <v>134</v>
      </c>
      <c r="R251" s="272" t="s">
        <v>134</v>
      </c>
      <c r="S251" s="281"/>
      <c r="T251" s="272"/>
      <c r="U251" s="282"/>
      <c r="V251" s="283"/>
      <c r="W251" s="314"/>
      <c r="X251" s="280"/>
      <c r="Y251" s="284"/>
      <c r="Z251" s="272"/>
      <c r="AA251" s="281"/>
      <c r="AB251" s="284"/>
      <c r="AC251" s="272"/>
      <c r="AD251" s="312"/>
      <c r="AE251" s="1277" t="str">
        <f t="shared" si="39"/>
        <v>0x0 ~ 0xFFFF (0~65535V)
0x3FF: SNA</v>
      </c>
      <c r="AF251" s="312"/>
      <c r="AG251" s="286">
        <v>0</v>
      </c>
      <c r="AH251" s="287">
        <v>1</v>
      </c>
      <c r="AI251" s="328">
        <v>0</v>
      </c>
      <c r="AJ251" s="1253" t="s">
        <v>2510</v>
      </c>
      <c r="AK251" s="337">
        <f t="shared" si="41"/>
        <v>0</v>
      </c>
      <c r="AL251" s="1273">
        <f t="shared" si="40"/>
        <v>65535</v>
      </c>
      <c r="AM251" s="287" t="s">
        <v>809</v>
      </c>
      <c r="AN251" s="285" t="s">
        <v>822</v>
      </c>
      <c r="AO251" s="312"/>
      <c r="AP251" s="310" t="s">
        <v>1125</v>
      </c>
      <c r="AQ251" s="913" t="s">
        <v>2300</v>
      </c>
      <c r="AR251" s="506"/>
      <c r="AS251" s="507" t="s">
        <v>1516</v>
      </c>
      <c r="AT251" s="310" t="s">
        <v>1517</v>
      </c>
      <c r="AU251" s="913" t="s">
        <v>2297</v>
      </c>
      <c r="AV251" s="507" t="s">
        <v>1516</v>
      </c>
    </row>
    <row r="252" spans="2:48" s="252" customFormat="1" ht="26.4" hidden="1">
      <c r="B252" s="1218" t="s">
        <v>2454</v>
      </c>
      <c r="C252" s="689" t="s">
        <v>1713</v>
      </c>
      <c r="D252" s="309" t="s">
        <v>134</v>
      </c>
      <c r="E252" s="312"/>
      <c r="F252" s="1227" t="s">
        <v>1133</v>
      </c>
      <c r="G252" s="1614"/>
      <c r="H252" s="270" t="s">
        <v>282</v>
      </c>
      <c r="I252" s="270" t="s">
        <v>200</v>
      </c>
      <c r="J252" s="497" t="s">
        <v>569</v>
      </c>
      <c r="K252" s="312"/>
      <c r="L252" s="275" t="s">
        <v>134</v>
      </c>
      <c r="M252" s="276"/>
      <c r="N252" s="314"/>
      <c r="O252" s="279"/>
      <c r="P252" s="314"/>
      <c r="Q252" s="300" t="s">
        <v>134</v>
      </c>
      <c r="R252" s="276" t="s">
        <v>134</v>
      </c>
      <c r="S252" s="301"/>
      <c r="T252" s="276"/>
      <c r="U252" s="302"/>
      <c r="V252" s="303"/>
      <c r="W252" s="314"/>
      <c r="X252" s="300"/>
      <c r="Y252" s="304"/>
      <c r="Z252" s="276"/>
      <c r="AA252" s="301"/>
      <c r="AB252" s="304"/>
      <c r="AC252" s="276"/>
      <c r="AD252" s="312"/>
      <c r="AE252" s="1279" t="str">
        <f t="shared" si="39"/>
        <v>0x0 ~ 0xFFFF (0~65535V)
0x3FF: SNA</v>
      </c>
      <c r="AF252" s="312"/>
      <c r="AG252" s="306">
        <v>0</v>
      </c>
      <c r="AH252" s="307">
        <v>1</v>
      </c>
      <c r="AI252" s="332">
        <v>0</v>
      </c>
      <c r="AJ252" s="1271" t="s">
        <v>2510</v>
      </c>
      <c r="AK252" s="341">
        <f t="shared" si="41"/>
        <v>0</v>
      </c>
      <c r="AL252" s="1275">
        <f t="shared" si="40"/>
        <v>65535</v>
      </c>
      <c r="AM252" s="307" t="s">
        <v>809</v>
      </c>
      <c r="AN252" s="305" t="s">
        <v>822</v>
      </c>
      <c r="AO252" s="312"/>
      <c r="AP252" s="487" t="s">
        <v>1126</v>
      </c>
      <c r="AQ252" s="935" t="s">
        <v>440</v>
      </c>
      <c r="AS252" s="500" t="s">
        <v>1406</v>
      </c>
      <c r="AT252" s="500" t="s">
        <v>1406</v>
      </c>
      <c r="AU252" s="500" t="s">
        <v>1406</v>
      </c>
      <c r="AV252" s="500" t="s">
        <v>1406</v>
      </c>
    </row>
    <row r="253" spans="2:48" s="252" customFormat="1" ht="132" hidden="1">
      <c r="B253" s="1218" t="s">
        <v>2454</v>
      </c>
      <c r="C253" s="289" t="s">
        <v>134</v>
      </c>
      <c r="D253" s="289" t="s">
        <v>134</v>
      </c>
      <c r="E253" s="312"/>
      <c r="F253" s="1225" t="s">
        <v>1134</v>
      </c>
      <c r="G253" s="1614" t="s">
        <v>570</v>
      </c>
      <c r="H253" s="266" t="s">
        <v>279</v>
      </c>
      <c r="I253" s="266" t="s">
        <v>200</v>
      </c>
      <c r="J253" s="498" t="s">
        <v>571</v>
      </c>
      <c r="K253" s="312"/>
      <c r="L253" s="271" t="s">
        <v>134</v>
      </c>
      <c r="M253" s="272"/>
      <c r="N253" s="314"/>
      <c r="O253" s="277"/>
      <c r="P253" s="314"/>
      <c r="Q253" s="280" t="s">
        <v>134</v>
      </c>
      <c r="R253" s="272" t="s">
        <v>134</v>
      </c>
      <c r="S253" s="281"/>
      <c r="T253" s="272"/>
      <c r="U253" s="282"/>
      <c r="V253" s="283"/>
      <c r="W253" s="314"/>
      <c r="X253" s="280"/>
      <c r="Y253" s="284"/>
      <c r="Z253" s="272"/>
      <c r="AA253" s="281"/>
      <c r="AB253" s="284"/>
      <c r="AC253" s="272"/>
      <c r="AD253" s="312"/>
      <c r="AE253" s="1277" t="str">
        <f t="shared" si="39"/>
        <v>0x0 ~ 0xFFFF (0~1310700W)
0x3FF: SNA</v>
      </c>
      <c r="AF253" s="312"/>
      <c r="AG253" s="286">
        <v>0</v>
      </c>
      <c r="AH253" s="287">
        <v>20</v>
      </c>
      <c r="AI253" s="328">
        <v>0</v>
      </c>
      <c r="AJ253" s="1253" t="s">
        <v>2510</v>
      </c>
      <c r="AK253" s="337">
        <f t="shared" si="41"/>
        <v>0</v>
      </c>
      <c r="AL253" s="1273">
        <f t="shared" si="40"/>
        <v>1310700</v>
      </c>
      <c r="AM253" s="287" t="s">
        <v>817</v>
      </c>
      <c r="AN253" s="285" t="s">
        <v>822</v>
      </c>
      <c r="AO253" s="312"/>
      <c r="AP253" s="310" t="s">
        <v>1125</v>
      </c>
      <c r="AQ253" s="913" t="s">
        <v>2301</v>
      </c>
      <c r="AR253" s="506"/>
      <c r="AS253" s="507" t="s">
        <v>1866</v>
      </c>
      <c r="AT253" s="310" t="s">
        <v>1987</v>
      </c>
      <c r="AU253" s="310" t="s">
        <v>1993</v>
      </c>
      <c r="AV253" s="507" t="s">
        <v>1866</v>
      </c>
    </row>
    <row r="254" spans="2:48" s="252" customFormat="1" ht="26.4" hidden="1">
      <c r="B254" s="1218" t="s">
        <v>2454</v>
      </c>
      <c r="C254" s="689" t="s">
        <v>1713</v>
      </c>
      <c r="D254" s="309" t="s">
        <v>134</v>
      </c>
      <c r="E254" s="312"/>
      <c r="F254" s="1227" t="s">
        <v>1134</v>
      </c>
      <c r="G254" s="1614"/>
      <c r="H254" s="270" t="s">
        <v>282</v>
      </c>
      <c r="I254" s="270" t="s">
        <v>200</v>
      </c>
      <c r="J254" s="497" t="s">
        <v>572</v>
      </c>
      <c r="K254" s="312"/>
      <c r="L254" s="275" t="s">
        <v>134</v>
      </c>
      <c r="M254" s="276"/>
      <c r="N254" s="314"/>
      <c r="O254" s="279"/>
      <c r="P254" s="314"/>
      <c r="Q254" s="300" t="s">
        <v>134</v>
      </c>
      <c r="R254" s="276" t="s">
        <v>134</v>
      </c>
      <c r="S254" s="301"/>
      <c r="T254" s="276"/>
      <c r="U254" s="302"/>
      <c r="V254" s="303"/>
      <c r="W254" s="314"/>
      <c r="X254" s="300"/>
      <c r="Y254" s="304"/>
      <c r="Z254" s="276"/>
      <c r="AA254" s="301"/>
      <c r="AB254" s="304"/>
      <c r="AC254" s="276"/>
      <c r="AD254" s="312"/>
      <c r="AE254" s="1279" t="str">
        <f t="shared" si="39"/>
        <v>0x0 ~ 0xFFFF (0~1310700W)
0x3FF: SNA</v>
      </c>
      <c r="AF254" s="312"/>
      <c r="AG254" s="306">
        <v>0</v>
      </c>
      <c r="AH254" s="307">
        <v>20</v>
      </c>
      <c r="AI254" s="332">
        <v>0</v>
      </c>
      <c r="AJ254" s="1271" t="s">
        <v>2510</v>
      </c>
      <c r="AK254" s="341">
        <f t="shared" si="41"/>
        <v>0</v>
      </c>
      <c r="AL254" s="1275">
        <f t="shared" si="40"/>
        <v>1310700</v>
      </c>
      <c r="AM254" s="307" t="s">
        <v>817</v>
      </c>
      <c r="AN254" s="305" t="s">
        <v>822</v>
      </c>
      <c r="AO254" s="312"/>
      <c r="AP254" s="487" t="s">
        <v>1126</v>
      </c>
      <c r="AQ254" s="487" t="s">
        <v>440</v>
      </c>
      <c r="AS254" s="500" t="s">
        <v>1406</v>
      </c>
      <c r="AT254" s="500" t="s">
        <v>1406</v>
      </c>
      <c r="AU254" s="500" t="s">
        <v>1406</v>
      </c>
      <c r="AV254" s="500" t="s">
        <v>1406</v>
      </c>
    </row>
    <row r="255" spans="2:48" s="252" customFormat="1" ht="39.6" hidden="1">
      <c r="B255" s="1218" t="s">
        <v>2454</v>
      </c>
      <c r="C255" s="289" t="s">
        <v>134</v>
      </c>
      <c r="D255" s="289" t="s">
        <v>134</v>
      </c>
      <c r="E255" s="312"/>
      <c r="F255" s="1225" t="s">
        <v>1135</v>
      </c>
      <c r="G255" s="1614" t="s">
        <v>573</v>
      </c>
      <c r="H255" s="266">
        <v>1</v>
      </c>
      <c r="I255" s="266" t="s">
        <v>200</v>
      </c>
      <c r="J255" s="498" t="s">
        <v>574</v>
      </c>
      <c r="K255" s="312"/>
      <c r="L255" s="271" t="s">
        <v>134</v>
      </c>
      <c r="M255" s="272"/>
      <c r="N255" s="314"/>
      <c r="O255" s="277"/>
      <c r="P255" s="314"/>
      <c r="Q255" s="280" t="s">
        <v>134</v>
      </c>
      <c r="R255" s="272" t="s">
        <v>134</v>
      </c>
      <c r="S255" s="281"/>
      <c r="T255" s="272"/>
      <c r="U255" s="282"/>
      <c r="V255" s="283"/>
      <c r="W255" s="314"/>
      <c r="X255" s="280"/>
      <c r="Y255" s="284"/>
      <c r="Z255" s="272"/>
      <c r="AA255" s="281"/>
      <c r="AB255" s="284"/>
      <c r="AC255" s="272"/>
      <c r="AD255" s="312"/>
      <c r="AE255" s="285" t="str">
        <f t="shared" si="39"/>
        <v>0x0 ~ 0x1 (0~1 -)
0x0: False
0x1: True</v>
      </c>
      <c r="AF255" s="312"/>
      <c r="AG255" s="1258">
        <v>0</v>
      </c>
      <c r="AH255" s="1259">
        <v>1</v>
      </c>
      <c r="AI255" s="328">
        <v>0</v>
      </c>
      <c r="AJ255" s="329">
        <v>1</v>
      </c>
      <c r="AK255" s="337">
        <f t="shared" si="41"/>
        <v>0</v>
      </c>
      <c r="AL255" s="1273">
        <f t="shared" si="40"/>
        <v>1</v>
      </c>
      <c r="AM255" s="1259" t="s">
        <v>2516</v>
      </c>
      <c r="AN255" s="285" t="s">
        <v>823</v>
      </c>
      <c r="AO255" s="312"/>
      <c r="AP255" s="310" t="s">
        <v>1125</v>
      </c>
      <c r="AQ255" s="310" t="s">
        <v>1518</v>
      </c>
      <c r="AS255" s="507" t="s">
        <v>1866</v>
      </c>
      <c r="AT255" s="310" t="s">
        <v>1987</v>
      </c>
      <c r="AU255" s="310" t="s">
        <v>1994</v>
      </c>
      <c r="AV255" s="507" t="s">
        <v>1866</v>
      </c>
    </row>
    <row r="256" spans="2:48" s="252" customFormat="1" ht="39.6" hidden="1">
      <c r="B256" s="1218" t="s">
        <v>2454</v>
      </c>
      <c r="C256" s="689" t="s">
        <v>1712</v>
      </c>
      <c r="D256" s="309" t="s">
        <v>134</v>
      </c>
      <c r="E256" s="312"/>
      <c r="F256" s="1227" t="s">
        <v>1135</v>
      </c>
      <c r="G256" s="1614"/>
      <c r="H256" s="270" t="s">
        <v>299</v>
      </c>
      <c r="I256" s="270" t="s">
        <v>200</v>
      </c>
      <c r="J256" s="497" t="s">
        <v>575</v>
      </c>
      <c r="K256" s="312"/>
      <c r="L256" s="275" t="s">
        <v>134</v>
      </c>
      <c r="M256" s="276"/>
      <c r="N256" s="314"/>
      <c r="O256" s="279"/>
      <c r="P256" s="314"/>
      <c r="Q256" s="300" t="s">
        <v>134</v>
      </c>
      <c r="R256" s="276" t="s">
        <v>134</v>
      </c>
      <c r="S256" s="301"/>
      <c r="T256" s="276"/>
      <c r="U256" s="302"/>
      <c r="V256" s="303"/>
      <c r="W256" s="314"/>
      <c r="X256" s="300"/>
      <c r="Y256" s="304"/>
      <c r="Z256" s="276"/>
      <c r="AA256" s="301"/>
      <c r="AB256" s="304"/>
      <c r="AC256" s="276"/>
      <c r="AD256" s="312"/>
      <c r="AE256" s="305" t="str">
        <f t="shared" si="39"/>
        <v>0x0 ~ 0x1 (0~1 -)
0x0: False
0x1: True</v>
      </c>
      <c r="AF256" s="312"/>
      <c r="AG256" s="1262">
        <v>0</v>
      </c>
      <c r="AH256" s="1263">
        <v>1</v>
      </c>
      <c r="AI256" s="332">
        <v>0</v>
      </c>
      <c r="AJ256" s="333">
        <v>1</v>
      </c>
      <c r="AK256" s="341">
        <f t="shared" si="41"/>
        <v>0</v>
      </c>
      <c r="AL256" s="1275">
        <f t="shared" si="40"/>
        <v>1</v>
      </c>
      <c r="AM256" s="1263" t="s">
        <v>2516</v>
      </c>
      <c r="AN256" s="305" t="s">
        <v>823</v>
      </c>
      <c r="AO256" s="312"/>
      <c r="AP256" s="487" t="s">
        <v>1126</v>
      </c>
      <c r="AQ256" s="487" t="s">
        <v>440</v>
      </c>
      <c r="AS256" s="500" t="s">
        <v>1406</v>
      </c>
      <c r="AT256" s="500" t="s">
        <v>1406</v>
      </c>
      <c r="AU256" s="500" t="s">
        <v>1406</v>
      </c>
      <c r="AV256" s="500" t="s">
        <v>1406</v>
      </c>
    </row>
    <row r="257" spans="2:48" s="252" customFormat="1" ht="145.19999999999999" hidden="1">
      <c r="B257" s="1218" t="s">
        <v>2454</v>
      </c>
      <c r="C257" s="289" t="s">
        <v>134</v>
      </c>
      <c r="D257" s="289" t="s">
        <v>134</v>
      </c>
      <c r="E257" s="312"/>
      <c r="F257" s="1225" t="s">
        <v>1136</v>
      </c>
      <c r="G257" s="1614" t="s">
        <v>576</v>
      </c>
      <c r="H257" s="266">
        <v>1</v>
      </c>
      <c r="I257" s="266" t="s">
        <v>200</v>
      </c>
      <c r="J257" s="498" t="s">
        <v>577</v>
      </c>
      <c r="K257" s="312"/>
      <c r="L257" s="271" t="s">
        <v>134</v>
      </c>
      <c r="M257" s="272"/>
      <c r="N257" s="314"/>
      <c r="O257" s="277"/>
      <c r="P257" s="314"/>
      <c r="Q257" s="280" t="s">
        <v>134</v>
      </c>
      <c r="R257" s="272" t="s">
        <v>134</v>
      </c>
      <c r="S257" s="281"/>
      <c r="T257" s="272"/>
      <c r="U257" s="282"/>
      <c r="V257" s="283"/>
      <c r="W257" s="314"/>
      <c r="X257" s="280"/>
      <c r="Y257" s="284"/>
      <c r="Z257" s="272"/>
      <c r="AA257" s="281"/>
      <c r="AB257" s="284"/>
      <c r="AC257" s="272"/>
      <c r="AD257" s="312"/>
      <c r="AE257" s="285" t="str">
        <f t="shared" si="39"/>
        <v>0x0 ~ 0xFF (0~255 -)
0x0: No issue
0x1: Warning
0x2: Not used
0x3: SNA</v>
      </c>
      <c r="AF257" s="312"/>
      <c r="AG257" s="1258">
        <v>0</v>
      </c>
      <c r="AH257" s="1259">
        <v>1</v>
      </c>
      <c r="AI257" s="328">
        <v>0</v>
      </c>
      <c r="AJ257" s="1253" t="s">
        <v>2509</v>
      </c>
      <c r="AK257" s="337">
        <f t="shared" si="41"/>
        <v>0</v>
      </c>
      <c r="AL257" s="1273">
        <f t="shared" si="40"/>
        <v>255</v>
      </c>
      <c r="AM257" s="1259" t="s">
        <v>2516</v>
      </c>
      <c r="AN257" s="285" t="s">
        <v>824</v>
      </c>
      <c r="AO257" s="312"/>
      <c r="AP257" s="310" t="s">
        <v>1125</v>
      </c>
      <c r="AQ257" s="913" t="s">
        <v>2302</v>
      </c>
      <c r="AS257" s="507" t="s">
        <v>1866</v>
      </c>
      <c r="AT257" s="310" t="s">
        <v>1987</v>
      </c>
      <c r="AU257" s="310" t="s">
        <v>1995</v>
      </c>
      <c r="AV257" s="507" t="s">
        <v>1866</v>
      </c>
    </row>
    <row r="258" spans="2:48" s="252" customFormat="1" ht="66" hidden="1">
      <c r="B258" s="1218" t="s">
        <v>2454</v>
      </c>
      <c r="C258" s="689" t="s">
        <v>1712</v>
      </c>
      <c r="D258" s="309" t="s">
        <v>134</v>
      </c>
      <c r="E258" s="312"/>
      <c r="F258" s="1227" t="s">
        <v>1136</v>
      </c>
      <c r="G258" s="1614"/>
      <c r="H258" s="270" t="s">
        <v>299</v>
      </c>
      <c r="I258" s="270" t="s">
        <v>200</v>
      </c>
      <c r="J258" s="497" t="s">
        <v>578</v>
      </c>
      <c r="K258" s="312"/>
      <c r="L258" s="275" t="s">
        <v>134</v>
      </c>
      <c r="M258" s="276"/>
      <c r="N258" s="314"/>
      <c r="O258" s="279"/>
      <c r="P258" s="314"/>
      <c r="Q258" s="300" t="s">
        <v>134</v>
      </c>
      <c r="R258" s="276" t="s">
        <v>134</v>
      </c>
      <c r="S258" s="301"/>
      <c r="T258" s="276"/>
      <c r="U258" s="302"/>
      <c r="V258" s="303"/>
      <c r="W258" s="314"/>
      <c r="X258" s="300"/>
      <c r="Y258" s="304"/>
      <c r="Z258" s="276"/>
      <c r="AA258" s="301"/>
      <c r="AB258" s="304"/>
      <c r="AC258" s="276"/>
      <c r="AD258" s="312"/>
      <c r="AE258" s="305" t="str">
        <f t="shared" si="39"/>
        <v>0x0 ~ 0xFF (0~255 -)
0x0: No issue
0x1: Warning
0x2: Not used
0x3: SNA</v>
      </c>
      <c r="AF258" s="312"/>
      <c r="AG258" s="1262">
        <v>0</v>
      </c>
      <c r="AH258" s="1263">
        <v>1</v>
      </c>
      <c r="AI258" s="332">
        <v>0</v>
      </c>
      <c r="AJ258" s="1271" t="s">
        <v>2509</v>
      </c>
      <c r="AK258" s="341">
        <f t="shared" si="41"/>
        <v>0</v>
      </c>
      <c r="AL258" s="1275">
        <f t="shared" si="40"/>
        <v>255</v>
      </c>
      <c r="AM258" s="1263" t="s">
        <v>2516</v>
      </c>
      <c r="AN258" s="305" t="s">
        <v>824</v>
      </c>
      <c r="AO258" s="312"/>
      <c r="AP258" s="487" t="s">
        <v>1126</v>
      </c>
      <c r="AQ258" s="935" t="s">
        <v>440</v>
      </c>
      <c r="AS258" s="500" t="s">
        <v>1406</v>
      </c>
      <c r="AT258" s="500" t="s">
        <v>1406</v>
      </c>
      <c r="AU258" s="500" t="s">
        <v>1406</v>
      </c>
      <c r="AV258" s="500" t="s">
        <v>1406</v>
      </c>
    </row>
    <row r="259" spans="2:48" s="252" customFormat="1" ht="132" hidden="1">
      <c r="B259" s="1218" t="s">
        <v>2454</v>
      </c>
      <c r="C259" s="289" t="s">
        <v>134</v>
      </c>
      <c r="D259" s="289" t="s">
        <v>134</v>
      </c>
      <c r="E259" s="312"/>
      <c r="F259" s="1225" t="s">
        <v>1137</v>
      </c>
      <c r="G259" s="1614" t="s">
        <v>579</v>
      </c>
      <c r="H259" s="266">
        <v>1</v>
      </c>
      <c r="I259" s="266" t="s">
        <v>200</v>
      </c>
      <c r="J259" s="498" t="s">
        <v>580</v>
      </c>
      <c r="K259" s="312"/>
      <c r="L259" s="271" t="s">
        <v>134</v>
      </c>
      <c r="M259" s="272"/>
      <c r="N259" s="314"/>
      <c r="O259" s="277"/>
      <c r="P259" s="314"/>
      <c r="Q259" s="280" t="s">
        <v>134</v>
      </c>
      <c r="R259" s="272" t="s">
        <v>134</v>
      </c>
      <c r="S259" s="281"/>
      <c r="T259" s="272"/>
      <c r="U259" s="282"/>
      <c r="V259" s="283"/>
      <c r="W259" s="314"/>
      <c r="X259" s="280"/>
      <c r="Y259" s="284"/>
      <c r="Z259" s="272"/>
      <c r="AA259" s="281"/>
      <c r="AB259" s="284"/>
      <c r="AC259" s="272"/>
      <c r="AD259" s="312"/>
      <c r="AE259" s="285" t="str">
        <f t="shared" si="39"/>
        <v>0x0 ~ 0xFF (0~255 -)
0x0: No issue
0x1: Warning
0x2: Not used
0x3: SNA</v>
      </c>
      <c r="AF259" s="312"/>
      <c r="AG259" s="1258">
        <v>0</v>
      </c>
      <c r="AH259" s="1259">
        <v>1</v>
      </c>
      <c r="AI259" s="328">
        <v>0</v>
      </c>
      <c r="AJ259" s="1253" t="s">
        <v>2509</v>
      </c>
      <c r="AK259" s="337">
        <f t="shared" si="41"/>
        <v>0</v>
      </c>
      <c r="AL259" s="1273">
        <f t="shared" si="40"/>
        <v>255</v>
      </c>
      <c r="AM259" s="1259" t="s">
        <v>2516</v>
      </c>
      <c r="AN259" s="285" t="s">
        <v>824</v>
      </c>
      <c r="AO259" s="312"/>
      <c r="AP259" s="310" t="s">
        <v>1125</v>
      </c>
      <c r="AQ259" s="913" t="s">
        <v>2303</v>
      </c>
      <c r="AS259" s="507" t="s">
        <v>1866</v>
      </c>
      <c r="AT259" s="310" t="s">
        <v>1987</v>
      </c>
      <c r="AU259" s="310" t="s">
        <v>1996</v>
      </c>
      <c r="AV259" s="507" t="s">
        <v>1866</v>
      </c>
    </row>
    <row r="260" spans="2:48" s="252" customFormat="1" ht="66" hidden="1">
      <c r="B260" s="1218" t="s">
        <v>2454</v>
      </c>
      <c r="C260" s="689" t="s">
        <v>1712</v>
      </c>
      <c r="D260" s="309" t="s">
        <v>134</v>
      </c>
      <c r="E260" s="312"/>
      <c r="F260" s="1227" t="s">
        <v>1137</v>
      </c>
      <c r="G260" s="1614"/>
      <c r="H260" s="270" t="s">
        <v>299</v>
      </c>
      <c r="I260" s="270" t="s">
        <v>200</v>
      </c>
      <c r="J260" s="497" t="s">
        <v>581</v>
      </c>
      <c r="K260" s="312"/>
      <c r="L260" s="275" t="s">
        <v>134</v>
      </c>
      <c r="M260" s="276"/>
      <c r="N260" s="314"/>
      <c r="O260" s="279"/>
      <c r="P260" s="314"/>
      <c r="Q260" s="300" t="s">
        <v>134</v>
      </c>
      <c r="R260" s="276" t="s">
        <v>134</v>
      </c>
      <c r="S260" s="301"/>
      <c r="T260" s="276"/>
      <c r="U260" s="302"/>
      <c r="V260" s="303"/>
      <c r="W260" s="314"/>
      <c r="X260" s="300"/>
      <c r="Y260" s="304"/>
      <c r="Z260" s="276"/>
      <c r="AA260" s="301"/>
      <c r="AB260" s="304"/>
      <c r="AC260" s="276"/>
      <c r="AD260" s="312"/>
      <c r="AE260" s="305" t="str">
        <f t="shared" si="39"/>
        <v>0x0 ~ 0xFF (0~255 -)
0x0: No issue
0x1: Warning
0x2: Not used
0x3: SNA</v>
      </c>
      <c r="AF260" s="312"/>
      <c r="AG260" s="1262">
        <v>0</v>
      </c>
      <c r="AH260" s="1263">
        <v>1</v>
      </c>
      <c r="AI260" s="332">
        <v>0</v>
      </c>
      <c r="AJ260" s="1271" t="s">
        <v>2509</v>
      </c>
      <c r="AK260" s="341">
        <f t="shared" si="41"/>
        <v>0</v>
      </c>
      <c r="AL260" s="1275">
        <f t="shared" si="40"/>
        <v>255</v>
      </c>
      <c r="AM260" s="1263" t="s">
        <v>2516</v>
      </c>
      <c r="AN260" s="305" t="s">
        <v>824</v>
      </c>
      <c r="AO260" s="312"/>
      <c r="AP260" s="487" t="s">
        <v>1126</v>
      </c>
      <c r="AQ260" s="935" t="s">
        <v>440</v>
      </c>
      <c r="AS260" s="500" t="s">
        <v>1406</v>
      </c>
      <c r="AT260" s="500" t="s">
        <v>1406</v>
      </c>
      <c r="AU260" s="500" t="s">
        <v>1406</v>
      </c>
      <c r="AV260" s="500" t="s">
        <v>1406</v>
      </c>
    </row>
    <row r="261" spans="2:48" s="252" customFormat="1" ht="132" hidden="1">
      <c r="B261" s="1218" t="s">
        <v>2454</v>
      </c>
      <c r="C261" s="289" t="s">
        <v>134</v>
      </c>
      <c r="D261" s="289" t="s">
        <v>134</v>
      </c>
      <c r="E261" s="312"/>
      <c r="F261" s="1225" t="s">
        <v>1138</v>
      </c>
      <c r="G261" s="1614" t="s">
        <v>582</v>
      </c>
      <c r="H261" s="266">
        <v>1</v>
      </c>
      <c r="I261" s="266" t="s">
        <v>200</v>
      </c>
      <c r="J261" s="498" t="s">
        <v>583</v>
      </c>
      <c r="K261" s="312"/>
      <c r="L261" s="271" t="s">
        <v>134</v>
      </c>
      <c r="M261" s="272"/>
      <c r="N261" s="314"/>
      <c r="O261" s="277"/>
      <c r="P261" s="314"/>
      <c r="Q261" s="280" t="s">
        <v>134</v>
      </c>
      <c r="R261" s="272" t="s">
        <v>134</v>
      </c>
      <c r="S261" s="281"/>
      <c r="T261" s="272"/>
      <c r="U261" s="282"/>
      <c r="V261" s="283"/>
      <c r="W261" s="314"/>
      <c r="X261" s="280"/>
      <c r="Y261" s="284"/>
      <c r="Z261" s="272"/>
      <c r="AA261" s="281"/>
      <c r="AB261" s="284"/>
      <c r="AC261" s="272"/>
      <c r="AD261" s="312"/>
      <c r="AE261" s="285" t="str">
        <f t="shared" si="39"/>
        <v>0x0 ~ 0xFF (0~255 -)
0x0: No issue
0x1: Warning
0x2: Not used
0x3: SNA</v>
      </c>
      <c r="AF261" s="312"/>
      <c r="AG261" s="1258">
        <v>0</v>
      </c>
      <c r="AH261" s="1259">
        <v>1</v>
      </c>
      <c r="AI261" s="328">
        <v>0</v>
      </c>
      <c r="AJ261" s="1253" t="s">
        <v>2509</v>
      </c>
      <c r="AK261" s="337">
        <f t="shared" si="41"/>
        <v>0</v>
      </c>
      <c r="AL261" s="1273">
        <f t="shared" si="40"/>
        <v>255</v>
      </c>
      <c r="AM261" s="1259" t="s">
        <v>2516</v>
      </c>
      <c r="AN261" s="285" t="s">
        <v>824</v>
      </c>
      <c r="AO261" s="312"/>
      <c r="AP261" s="310" t="s">
        <v>1125</v>
      </c>
      <c r="AQ261" s="913" t="s">
        <v>2304</v>
      </c>
      <c r="AS261" s="507" t="s">
        <v>1866</v>
      </c>
      <c r="AT261" s="310" t="s">
        <v>1987</v>
      </c>
      <c r="AU261" s="310" t="s">
        <v>1997</v>
      </c>
      <c r="AV261" s="507" t="s">
        <v>1866</v>
      </c>
    </row>
    <row r="262" spans="2:48" s="252" customFormat="1" ht="66" hidden="1">
      <c r="B262" s="1218" t="s">
        <v>2454</v>
      </c>
      <c r="C262" s="689" t="s">
        <v>1712</v>
      </c>
      <c r="D262" s="309" t="s">
        <v>134</v>
      </c>
      <c r="E262" s="312"/>
      <c r="F262" s="1227" t="s">
        <v>1138</v>
      </c>
      <c r="G262" s="1614"/>
      <c r="H262" s="270" t="s">
        <v>299</v>
      </c>
      <c r="I262" s="270" t="s">
        <v>200</v>
      </c>
      <c r="J262" s="497" t="s">
        <v>584</v>
      </c>
      <c r="K262" s="312"/>
      <c r="L262" s="275" t="s">
        <v>134</v>
      </c>
      <c r="M262" s="276"/>
      <c r="N262" s="314"/>
      <c r="O262" s="279"/>
      <c r="P262" s="314"/>
      <c r="Q262" s="300" t="s">
        <v>134</v>
      </c>
      <c r="R262" s="276" t="s">
        <v>134</v>
      </c>
      <c r="S262" s="301"/>
      <c r="T262" s="276"/>
      <c r="U262" s="302"/>
      <c r="V262" s="303"/>
      <c r="W262" s="314"/>
      <c r="X262" s="300"/>
      <c r="Y262" s="304"/>
      <c r="Z262" s="276"/>
      <c r="AA262" s="301"/>
      <c r="AB262" s="304"/>
      <c r="AC262" s="276"/>
      <c r="AD262" s="312"/>
      <c r="AE262" s="305" t="str">
        <f t="shared" si="39"/>
        <v>0x0 ~ 0xFF (0~255 -)
0x0: No issue
0x1: Warning
0x2: Not used
0x3: SNA</v>
      </c>
      <c r="AF262" s="312"/>
      <c r="AG262" s="1262">
        <v>0</v>
      </c>
      <c r="AH262" s="1263">
        <v>1</v>
      </c>
      <c r="AI262" s="332">
        <v>0</v>
      </c>
      <c r="AJ262" s="1271" t="s">
        <v>2509</v>
      </c>
      <c r="AK262" s="341">
        <f t="shared" si="41"/>
        <v>0</v>
      </c>
      <c r="AL262" s="1275">
        <f t="shared" si="40"/>
        <v>255</v>
      </c>
      <c r="AM262" s="1263" t="s">
        <v>2516</v>
      </c>
      <c r="AN262" s="305" t="s">
        <v>824</v>
      </c>
      <c r="AO262" s="312"/>
      <c r="AP262" s="487" t="s">
        <v>1126</v>
      </c>
      <c r="AQ262" s="487" t="s">
        <v>440</v>
      </c>
      <c r="AS262" s="500" t="s">
        <v>1406</v>
      </c>
      <c r="AT262" s="500" t="s">
        <v>1406</v>
      </c>
      <c r="AU262" s="500" t="s">
        <v>1406</v>
      </c>
      <c r="AV262" s="500" t="s">
        <v>1406</v>
      </c>
    </row>
    <row r="263" spans="2:48" s="252" customFormat="1" ht="145.19999999999999" hidden="1">
      <c r="B263" s="1218" t="s">
        <v>2454</v>
      </c>
      <c r="C263" s="289" t="s">
        <v>134</v>
      </c>
      <c r="D263" s="289" t="s">
        <v>134</v>
      </c>
      <c r="E263" s="312"/>
      <c r="F263" s="1225" t="s">
        <v>1139</v>
      </c>
      <c r="G263" s="1614" t="s">
        <v>585</v>
      </c>
      <c r="H263" s="266">
        <v>1</v>
      </c>
      <c r="I263" s="266" t="s">
        <v>200</v>
      </c>
      <c r="J263" s="498" t="s">
        <v>586</v>
      </c>
      <c r="K263" s="312"/>
      <c r="L263" s="271" t="s">
        <v>134</v>
      </c>
      <c r="M263" s="272"/>
      <c r="N263" s="314"/>
      <c r="O263" s="277"/>
      <c r="P263" s="314"/>
      <c r="Q263" s="280" t="s">
        <v>134</v>
      </c>
      <c r="R263" s="272" t="s">
        <v>134</v>
      </c>
      <c r="S263" s="281"/>
      <c r="T263" s="272"/>
      <c r="U263" s="282"/>
      <c r="V263" s="283"/>
      <c r="W263" s="314"/>
      <c r="X263" s="280"/>
      <c r="Y263" s="284"/>
      <c r="Z263" s="272"/>
      <c r="AA263" s="281"/>
      <c r="AB263" s="284"/>
      <c r="AC263" s="272"/>
      <c r="AD263" s="312"/>
      <c r="AE263" s="285" t="str">
        <f t="shared" si="39"/>
        <v>0x0 ~ 0xFF (0~255 -)
0x0: No issue
0x1: Warning
0x2: Not used
0x3: SNA</v>
      </c>
      <c r="AF263" s="312"/>
      <c r="AG263" s="1258">
        <v>0</v>
      </c>
      <c r="AH263" s="1259">
        <v>1</v>
      </c>
      <c r="AI263" s="328">
        <v>0</v>
      </c>
      <c r="AJ263" s="1253" t="s">
        <v>2509</v>
      </c>
      <c r="AK263" s="337">
        <f t="shared" si="41"/>
        <v>0</v>
      </c>
      <c r="AL263" s="1273">
        <f t="shared" si="40"/>
        <v>255</v>
      </c>
      <c r="AM263" s="1259" t="s">
        <v>2516</v>
      </c>
      <c r="AN263" s="285" t="s">
        <v>824</v>
      </c>
      <c r="AO263" s="312"/>
      <c r="AP263" s="310" t="s">
        <v>1125</v>
      </c>
      <c r="AQ263" s="913" t="s">
        <v>2305</v>
      </c>
      <c r="AS263" s="507" t="s">
        <v>1866</v>
      </c>
      <c r="AT263" s="310" t="s">
        <v>1987</v>
      </c>
      <c r="AU263" s="310" t="s">
        <v>1998</v>
      </c>
      <c r="AV263" s="507" t="s">
        <v>1866</v>
      </c>
    </row>
    <row r="264" spans="2:48" s="252" customFormat="1" ht="66" hidden="1">
      <c r="B264" s="1218" t="s">
        <v>2454</v>
      </c>
      <c r="C264" s="689" t="s">
        <v>1712</v>
      </c>
      <c r="D264" s="309" t="s">
        <v>134</v>
      </c>
      <c r="E264" s="312"/>
      <c r="F264" s="1227" t="s">
        <v>1139</v>
      </c>
      <c r="G264" s="1614"/>
      <c r="H264" s="270" t="s">
        <v>299</v>
      </c>
      <c r="I264" s="270" t="s">
        <v>200</v>
      </c>
      <c r="J264" s="497" t="s">
        <v>587</v>
      </c>
      <c r="K264" s="312"/>
      <c r="L264" s="275" t="s">
        <v>134</v>
      </c>
      <c r="M264" s="276"/>
      <c r="N264" s="314"/>
      <c r="O264" s="279"/>
      <c r="P264" s="314"/>
      <c r="Q264" s="300" t="s">
        <v>134</v>
      </c>
      <c r="R264" s="276" t="s">
        <v>134</v>
      </c>
      <c r="S264" s="301"/>
      <c r="T264" s="276"/>
      <c r="U264" s="302"/>
      <c r="V264" s="303"/>
      <c r="W264" s="314"/>
      <c r="X264" s="300"/>
      <c r="Y264" s="304"/>
      <c r="Z264" s="276"/>
      <c r="AA264" s="301"/>
      <c r="AB264" s="304"/>
      <c r="AC264" s="276"/>
      <c r="AD264" s="312"/>
      <c r="AE264" s="305" t="str">
        <f t="shared" si="39"/>
        <v>0x0 ~ 0xFF (0~255 -)
0x0: No issue
0x1: Warning
0x2: Not used
0x3: SNA</v>
      </c>
      <c r="AF264" s="312"/>
      <c r="AG264" s="1262">
        <v>0</v>
      </c>
      <c r="AH264" s="1263">
        <v>1</v>
      </c>
      <c r="AI264" s="332">
        <v>0</v>
      </c>
      <c r="AJ264" s="1271" t="s">
        <v>2509</v>
      </c>
      <c r="AK264" s="341">
        <f t="shared" si="41"/>
        <v>0</v>
      </c>
      <c r="AL264" s="1275">
        <f t="shared" si="40"/>
        <v>255</v>
      </c>
      <c r="AM264" s="1263" t="s">
        <v>2516</v>
      </c>
      <c r="AN264" s="305" t="s">
        <v>824</v>
      </c>
      <c r="AO264" s="312"/>
      <c r="AP264" s="487" t="s">
        <v>1126</v>
      </c>
      <c r="AQ264" s="935" t="s">
        <v>440</v>
      </c>
      <c r="AS264" s="500" t="s">
        <v>1406</v>
      </c>
      <c r="AT264" s="500" t="s">
        <v>1406</v>
      </c>
      <c r="AU264" s="500" t="s">
        <v>1406</v>
      </c>
      <c r="AV264" s="500" t="s">
        <v>1406</v>
      </c>
    </row>
    <row r="265" spans="2:48" s="252" customFormat="1" ht="132" hidden="1">
      <c r="B265" s="1218" t="s">
        <v>2454</v>
      </c>
      <c r="C265" s="289" t="s">
        <v>134</v>
      </c>
      <c r="D265" s="289" t="s">
        <v>134</v>
      </c>
      <c r="E265" s="312"/>
      <c r="F265" s="1225" t="s">
        <v>1140</v>
      </c>
      <c r="G265" s="1614" t="s">
        <v>588</v>
      </c>
      <c r="H265" s="266">
        <v>1</v>
      </c>
      <c r="I265" s="266" t="s">
        <v>200</v>
      </c>
      <c r="J265" s="498" t="s">
        <v>589</v>
      </c>
      <c r="K265" s="312"/>
      <c r="L265" s="271" t="s">
        <v>134</v>
      </c>
      <c r="M265" s="272"/>
      <c r="N265" s="314"/>
      <c r="O265" s="277"/>
      <c r="P265" s="314"/>
      <c r="Q265" s="280" t="s">
        <v>134</v>
      </c>
      <c r="R265" s="272" t="s">
        <v>134</v>
      </c>
      <c r="S265" s="281"/>
      <c r="T265" s="272"/>
      <c r="U265" s="282"/>
      <c r="V265" s="283"/>
      <c r="W265" s="314"/>
      <c r="X265" s="280"/>
      <c r="Y265" s="284"/>
      <c r="Z265" s="272"/>
      <c r="AA265" s="281"/>
      <c r="AB265" s="284"/>
      <c r="AC265" s="272"/>
      <c r="AD265" s="312"/>
      <c r="AE265" s="285" t="str">
        <f t="shared" si="39"/>
        <v>0x0 ~ 0xFF (0~255 -)
0x0: No issue
0x1: Overheat active
0x2: Not used
0x3: SNA</v>
      </c>
      <c r="AF265" s="312"/>
      <c r="AG265" s="1258">
        <v>0</v>
      </c>
      <c r="AH265" s="1259">
        <v>1</v>
      </c>
      <c r="AI265" s="328">
        <v>0</v>
      </c>
      <c r="AJ265" s="1253" t="s">
        <v>2509</v>
      </c>
      <c r="AK265" s="337">
        <f t="shared" si="41"/>
        <v>0</v>
      </c>
      <c r="AL265" s="1273">
        <f t="shared" si="40"/>
        <v>255</v>
      </c>
      <c r="AM265" s="1259" t="s">
        <v>2516</v>
      </c>
      <c r="AN265" s="285" t="s">
        <v>825</v>
      </c>
      <c r="AO265" s="312"/>
      <c r="AP265" s="310" t="s">
        <v>1125</v>
      </c>
      <c r="AQ265" s="913" t="s">
        <v>2306</v>
      </c>
      <c r="AS265" s="507" t="s">
        <v>1866</v>
      </c>
      <c r="AT265" s="310" t="s">
        <v>1987</v>
      </c>
      <c r="AU265" s="310" t="s">
        <v>1999</v>
      </c>
      <c r="AV265" s="507" t="s">
        <v>1866</v>
      </c>
    </row>
    <row r="266" spans="2:48" s="252" customFormat="1" ht="66" hidden="1">
      <c r="B266" s="1218" t="s">
        <v>2454</v>
      </c>
      <c r="C266" s="689" t="s">
        <v>1712</v>
      </c>
      <c r="D266" s="309" t="s">
        <v>134</v>
      </c>
      <c r="E266" s="312"/>
      <c r="F266" s="1227" t="s">
        <v>1140</v>
      </c>
      <c r="G266" s="1614"/>
      <c r="H266" s="270" t="s">
        <v>299</v>
      </c>
      <c r="I266" s="270" t="s">
        <v>200</v>
      </c>
      <c r="J266" s="497" t="s">
        <v>590</v>
      </c>
      <c r="K266" s="312"/>
      <c r="L266" s="275" t="s">
        <v>134</v>
      </c>
      <c r="M266" s="276"/>
      <c r="N266" s="314"/>
      <c r="O266" s="279"/>
      <c r="P266" s="314"/>
      <c r="Q266" s="300" t="s">
        <v>134</v>
      </c>
      <c r="R266" s="276" t="s">
        <v>134</v>
      </c>
      <c r="S266" s="301"/>
      <c r="T266" s="276"/>
      <c r="U266" s="302"/>
      <c r="V266" s="303"/>
      <c r="W266" s="314"/>
      <c r="X266" s="300"/>
      <c r="Y266" s="304"/>
      <c r="Z266" s="276"/>
      <c r="AA266" s="301"/>
      <c r="AB266" s="304"/>
      <c r="AC266" s="276"/>
      <c r="AD266" s="312"/>
      <c r="AE266" s="305" t="str">
        <f t="shared" si="39"/>
        <v>0x0 ~ 0xFF (0~255 -)
0x0: No issue
0x1: Overheat active
0x2: Not used
0x3: SNA</v>
      </c>
      <c r="AF266" s="312"/>
      <c r="AG266" s="1262">
        <v>0</v>
      </c>
      <c r="AH266" s="1263">
        <v>1</v>
      </c>
      <c r="AI266" s="332">
        <v>0</v>
      </c>
      <c r="AJ266" s="1271" t="s">
        <v>2509</v>
      </c>
      <c r="AK266" s="341">
        <f t="shared" si="41"/>
        <v>0</v>
      </c>
      <c r="AL266" s="1275">
        <f t="shared" si="40"/>
        <v>255</v>
      </c>
      <c r="AM266" s="1263" t="s">
        <v>2516</v>
      </c>
      <c r="AN266" s="305" t="s">
        <v>825</v>
      </c>
      <c r="AO266" s="312"/>
      <c r="AP266" s="487" t="s">
        <v>1126</v>
      </c>
      <c r="AQ266" s="935" t="s">
        <v>440</v>
      </c>
      <c r="AS266" s="500" t="s">
        <v>1406</v>
      </c>
      <c r="AT266" s="500" t="s">
        <v>1406</v>
      </c>
      <c r="AU266" s="500" t="s">
        <v>1406</v>
      </c>
      <c r="AV266" s="500" t="s">
        <v>1406</v>
      </c>
    </row>
    <row r="267" spans="2:48" s="252" customFormat="1" ht="132" hidden="1">
      <c r="B267" s="1218" t="s">
        <v>2454</v>
      </c>
      <c r="C267" s="289" t="s">
        <v>134</v>
      </c>
      <c r="D267" s="289" t="s">
        <v>134</v>
      </c>
      <c r="E267" s="312"/>
      <c r="F267" s="1225" t="s">
        <v>1141</v>
      </c>
      <c r="G267" s="1614" t="s">
        <v>591</v>
      </c>
      <c r="H267" s="266">
        <v>1</v>
      </c>
      <c r="I267" s="266" t="s">
        <v>200</v>
      </c>
      <c r="J267" s="498" t="s">
        <v>592</v>
      </c>
      <c r="K267" s="312"/>
      <c r="L267" s="271" t="s">
        <v>134</v>
      </c>
      <c r="M267" s="272"/>
      <c r="N267" s="314"/>
      <c r="O267" s="277"/>
      <c r="P267" s="314"/>
      <c r="Q267" s="280" t="s">
        <v>134</v>
      </c>
      <c r="R267" s="272" t="s">
        <v>134</v>
      </c>
      <c r="S267" s="281"/>
      <c r="T267" s="272"/>
      <c r="U267" s="282"/>
      <c r="V267" s="283"/>
      <c r="W267" s="314"/>
      <c r="X267" s="280"/>
      <c r="Y267" s="284"/>
      <c r="Z267" s="272"/>
      <c r="AA267" s="281"/>
      <c r="AB267" s="284"/>
      <c r="AC267" s="272"/>
      <c r="AD267" s="312"/>
      <c r="AE267" s="285" t="str">
        <f t="shared" si="39"/>
        <v>0x0 ~ 0xFF (0~255 -)
0x0: No issue
0x1: Protection active
0x2: Not used
0x3: SNA</v>
      </c>
      <c r="AF267" s="312"/>
      <c r="AG267" s="1258">
        <v>0</v>
      </c>
      <c r="AH267" s="1259">
        <v>1</v>
      </c>
      <c r="AI267" s="328">
        <v>0</v>
      </c>
      <c r="AJ267" s="1253" t="s">
        <v>2509</v>
      </c>
      <c r="AK267" s="337">
        <f t="shared" si="41"/>
        <v>0</v>
      </c>
      <c r="AL267" s="1273">
        <f t="shared" si="40"/>
        <v>255</v>
      </c>
      <c r="AM267" s="1259" t="s">
        <v>2516</v>
      </c>
      <c r="AN267" s="285" t="s">
        <v>826</v>
      </c>
      <c r="AO267" s="312"/>
      <c r="AP267" s="310" t="s">
        <v>1125</v>
      </c>
      <c r="AQ267" s="913" t="s">
        <v>2307</v>
      </c>
      <c r="AS267" s="507" t="s">
        <v>1866</v>
      </c>
      <c r="AT267" s="310" t="s">
        <v>1987</v>
      </c>
      <c r="AU267" s="310" t="s">
        <v>2000</v>
      </c>
      <c r="AV267" s="507" t="s">
        <v>1866</v>
      </c>
    </row>
    <row r="268" spans="2:48" s="252" customFormat="1" ht="66" hidden="1">
      <c r="B268" s="1218" t="s">
        <v>2454</v>
      </c>
      <c r="C268" s="689" t="s">
        <v>1712</v>
      </c>
      <c r="D268" s="309" t="s">
        <v>134</v>
      </c>
      <c r="E268" s="312"/>
      <c r="F268" s="1227" t="s">
        <v>1141</v>
      </c>
      <c r="G268" s="1614"/>
      <c r="H268" s="270" t="s">
        <v>299</v>
      </c>
      <c r="I268" s="270" t="s">
        <v>200</v>
      </c>
      <c r="J268" s="497" t="s">
        <v>593</v>
      </c>
      <c r="K268" s="312"/>
      <c r="L268" s="275" t="s">
        <v>134</v>
      </c>
      <c r="M268" s="276"/>
      <c r="N268" s="314"/>
      <c r="O268" s="279"/>
      <c r="P268" s="314"/>
      <c r="Q268" s="300" t="s">
        <v>134</v>
      </c>
      <c r="R268" s="276" t="s">
        <v>134</v>
      </c>
      <c r="S268" s="301"/>
      <c r="T268" s="276"/>
      <c r="U268" s="302"/>
      <c r="V268" s="303"/>
      <c r="W268" s="314"/>
      <c r="X268" s="300"/>
      <c r="Y268" s="304"/>
      <c r="Z268" s="276"/>
      <c r="AA268" s="301"/>
      <c r="AB268" s="304"/>
      <c r="AC268" s="276"/>
      <c r="AD268" s="312"/>
      <c r="AE268" s="305" t="str">
        <f t="shared" si="39"/>
        <v>0x0 ~ 0xFF (0~255 -)
0x0: No issue
0x1: Protection active
0x2: Not used
0x3: SNA</v>
      </c>
      <c r="AF268" s="312"/>
      <c r="AG268" s="1262">
        <v>0</v>
      </c>
      <c r="AH268" s="1263">
        <v>1</v>
      </c>
      <c r="AI268" s="332">
        <v>0</v>
      </c>
      <c r="AJ268" s="1271" t="s">
        <v>2509</v>
      </c>
      <c r="AK268" s="341">
        <f t="shared" si="41"/>
        <v>0</v>
      </c>
      <c r="AL268" s="1275">
        <f t="shared" si="40"/>
        <v>255</v>
      </c>
      <c r="AM268" s="1263" t="s">
        <v>2516</v>
      </c>
      <c r="AN268" s="305" t="s">
        <v>826</v>
      </c>
      <c r="AO268" s="312"/>
      <c r="AP268" s="487" t="s">
        <v>1126</v>
      </c>
      <c r="AQ268" s="487" t="s">
        <v>440</v>
      </c>
      <c r="AS268" s="500" t="s">
        <v>1406</v>
      </c>
      <c r="AT268" s="500" t="s">
        <v>1406</v>
      </c>
      <c r="AU268" s="500" t="s">
        <v>1406</v>
      </c>
      <c r="AV268" s="500" t="s">
        <v>1406</v>
      </c>
    </row>
    <row r="269" spans="2:48" s="252" customFormat="1" ht="145.19999999999999" hidden="1">
      <c r="B269" s="1218" t="s">
        <v>2454</v>
      </c>
      <c r="C269" s="289" t="s">
        <v>134</v>
      </c>
      <c r="D269" s="289" t="s">
        <v>134</v>
      </c>
      <c r="E269" s="312"/>
      <c r="F269" s="1225" t="s">
        <v>1142</v>
      </c>
      <c r="G269" s="1614" t="s">
        <v>594</v>
      </c>
      <c r="H269" s="266">
        <v>1</v>
      </c>
      <c r="I269" s="266" t="s">
        <v>200</v>
      </c>
      <c r="J269" s="498" t="s">
        <v>595</v>
      </c>
      <c r="K269" s="312"/>
      <c r="L269" s="271" t="s">
        <v>134</v>
      </c>
      <c r="M269" s="272"/>
      <c r="N269" s="314"/>
      <c r="O269" s="277"/>
      <c r="P269" s="314"/>
      <c r="Q269" s="280" t="s">
        <v>134</v>
      </c>
      <c r="R269" s="272" t="s">
        <v>134</v>
      </c>
      <c r="S269" s="281"/>
      <c r="T269" s="272"/>
      <c r="U269" s="282"/>
      <c r="V269" s="283"/>
      <c r="W269" s="314"/>
      <c r="X269" s="280"/>
      <c r="Y269" s="284"/>
      <c r="Z269" s="272"/>
      <c r="AA269" s="281"/>
      <c r="AB269" s="284"/>
      <c r="AC269" s="272"/>
      <c r="AD269" s="312"/>
      <c r="AE269" s="285" t="str">
        <f t="shared" si="39"/>
        <v>0x0 ~ 0xFF (0~255 -)
0x0: No issue
0x1: Defect
0x2: Not used
0x3: SNA</v>
      </c>
      <c r="AF269" s="312"/>
      <c r="AG269" s="1258">
        <v>0</v>
      </c>
      <c r="AH269" s="1259">
        <v>1</v>
      </c>
      <c r="AI269" s="328">
        <v>0</v>
      </c>
      <c r="AJ269" s="1253" t="s">
        <v>2509</v>
      </c>
      <c r="AK269" s="337">
        <f t="shared" si="41"/>
        <v>0</v>
      </c>
      <c r="AL269" s="1273">
        <f t="shared" si="40"/>
        <v>255</v>
      </c>
      <c r="AM269" s="1259" t="s">
        <v>2516</v>
      </c>
      <c r="AN269" s="285" t="s">
        <v>827</v>
      </c>
      <c r="AO269" s="312"/>
      <c r="AP269" s="310" t="s">
        <v>1125</v>
      </c>
      <c r="AQ269" s="913" t="s">
        <v>2308</v>
      </c>
      <c r="AS269" s="507" t="s">
        <v>1866</v>
      </c>
      <c r="AT269" s="310" t="s">
        <v>1987</v>
      </c>
      <c r="AU269" s="310" t="s">
        <v>2001</v>
      </c>
      <c r="AV269" s="507" t="s">
        <v>1866</v>
      </c>
    </row>
    <row r="270" spans="2:48" s="252" customFormat="1" ht="66" hidden="1">
      <c r="B270" s="1218" t="s">
        <v>2454</v>
      </c>
      <c r="C270" s="689" t="s">
        <v>1712</v>
      </c>
      <c r="D270" s="309" t="s">
        <v>134</v>
      </c>
      <c r="E270" s="312"/>
      <c r="F270" s="1227" t="s">
        <v>1142</v>
      </c>
      <c r="G270" s="1614"/>
      <c r="H270" s="270" t="s">
        <v>299</v>
      </c>
      <c r="I270" s="270" t="s">
        <v>200</v>
      </c>
      <c r="J270" s="497" t="s">
        <v>596</v>
      </c>
      <c r="K270" s="312"/>
      <c r="L270" s="275" t="s">
        <v>134</v>
      </c>
      <c r="M270" s="276"/>
      <c r="N270" s="314"/>
      <c r="O270" s="279"/>
      <c r="P270" s="314"/>
      <c r="Q270" s="300" t="s">
        <v>134</v>
      </c>
      <c r="R270" s="276" t="s">
        <v>134</v>
      </c>
      <c r="S270" s="301"/>
      <c r="T270" s="276"/>
      <c r="U270" s="302"/>
      <c r="V270" s="303"/>
      <c r="W270" s="314"/>
      <c r="X270" s="300"/>
      <c r="Y270" s="304"/>
      <c r="Z270" s="276"/>
      <c r="AA270" s="301"/>
      <c r="AB270" s="304"/>
      <c r="AC270" s="276"/>
      <c r="AD270" s="312"/>
      <c r="AE270" s="305" t="str">
        <f t="shared" si="39"/>
        <v>0x0 ~ 0xFF (0~255 -)
0x0: No issue
0x1: Defect
0x2: Not used
0x3: SNA</v>
      </c>
      <c r="AF270" s="312"/>
      <c r="AG270" s="1262">
        <v>0</v>
      </c>
      <c r="AH270" s="1263">
        <v>1</v>
      </c>
      <c r="AI270" s="332">
        <v>0</v>
      </c>
      <c r="AJ270" s="1271" t="s">
        <v>2509</v>
      </c>
      <c r="AK270" s="341">
        <f t="shared" si="41"/>
        <v>0</v>
      </c>
      <c r="AL270" s="1275">
        <f t="shared" si="40"/>
        <v>255</v>
      </c>
      <c r="AM270" s="1263" t="s">
        <v>2516</v>
      </c>
      <c r="AN270" s="305" t="s">
        <v>827</v>
      </c>
      <c r="AO270" s="312"/>
      <c r="AP270" s="487" t="s">
        <v>1126</v>
      </c>
      <c r="AQ270" s="935" t="s">
        <v>440</v>
      </c>
      <c r="AS270" s="500" t="s">
        <v>1406</v>
      </c>
      <c r="AT270" s="500" t="s">
        <v>1406</v>
      </c>
      <c r="AU270" s="500" t="s">
        <v>1406</v>
      </c>
      <c r="AV270" s="500" t="s">
        <v>1406</v>
      </c>
    </row>
    <row r="271" spans="2:48" s="252" customFormat="1" ht="145.19999999999999" hidden="1">
      <c r="B271" s="1218" t="s">
        <v>2454</v>
      </c>
      <c r="C271" s="289" t="s">
        <v>134</v>
      </c>
      <c r="D271" s="289" t="s">
        <v>134</v>
      </c>
      <c r="E271" s="312"/>
      <c r="F271" s="1225" t="s">
        <v>1143</v>
      </c>
      <c r="G271" s="1614" t="s">
        <v>597</v>
      </c>
      <c r="H271" s="266">
        <v>1</v>
      </c>
      <c r="I271" s="266" t="s">
        <v>200</v>
      </c>
      <c r="J271" s="498" t="s">
        <v>598</v>
      </c>
      <c r="K271" s="312"/>
      <c r="L271" s="271" t="s">
        <v>134</v>
      </c>
      <c r="M271" s="272"/>
      <c r="N271" s="314"/>
      <c r="O271" s="277"/>
      <c r="P271" s="314"/>
      <c r="Q271" s="280" t="s">
        <v>134</v>
      </c>
      <c r="R271" s="272" t="s">
        <v>134</v>
      </c>
      <c r="S271" s="281"/>
      <c r="T271" s="272"/>
      <c r="U271" s="282"/>
      <c r="V271" s="283"/>
      <c r="W271" s="314"/>
      <c r="X271" s="280"/>
      <c r="Y271" s="284"/>
      <c r="Z271" s="272"/>
      <c r="AA271" s="281"/>
      <c r="AB271" s="284"/>
      <c r="AC271" s="272"/>
      <c r="AD271" s="312"/>
      <c r="AE271" s="285" t="str">
        <f t="shared" si="39"/>
        <v>0x0 ~ 0xFF (0~255 -)
0x0: No issue
0x1: Defect
0x2: Not used
0x3: SNA</v>
      </c>
      <c r="AF271" s="312"/>
      <c r="AG271" s="1258">
        <v>0</v>
      </c>
      <c r="AH271" s="1259">
        <v>1</v>
      </c>
      <c r="AI271" s="328">
        <v>0</v>
      </c>
      <c r="AJ271" s="1253" t="s">
        <v>2509</v>
      </c>
      <c r="AK271" s="337">
        <f t="shared" si="41"/>
        <v>0</v>
      </c>
      <c r="AL271" s="1273">
        <f t="shared" si="40"/>
        <v>255</v>
      </c>
      <c r="AM271" s="1259" t="s">
        <v>2516</v>
      </c>
      <c r="AN271" s="285" t="s">
        <v>827</v>
      </c>
      <c r="AO271" s="312"/>
      <c r="AP271" s="310" t="s">
        <v>1125</v>
      </c>
      <c r="AQ271" s="913" t="s">
        <v>2309</v>
      </c>
      <c r="AS271" s="507" t="s">
        <v>1866</v>
      </c>
      <c r="AT271" s="310" t="s">
        <v>1987</v>
      </c>
      <c r="AU271" s="310" t="s">
        <v>2002</v>
      </c>
      <c r="AV271" s="507" t="s">
        <v>1866</v>
      </c>
    </row>
    <row r="272" spans="2:48" s="252" customFormat="1" ht="66" hidden="1">
      <c r="B272" s="1218" t="s">
        <v>2454</v>
      </c>
      <c r="C272" s="689" t="s">
        <v>1712</v>
      </c>
      <c r="D272" s="309" t="s">
        <v>134</v>
      </c>
      <c r="E272" s="312"/>
      <c r="F272" s="1227" t="s">
        <v>1143</v>
      </c>
      <c r="G272" s="1614"/>
      <c r="H272" s="270" t="s">
        <v>299</v>
      </c>
      <c r="I272" s="270" t="s">
        <v>200</v>
      </c>
      <c r="J272" s="497" t="s">
        <v>599</v>
      </c>
      <c r="K272" s="312"/>
      <c r="L272" s="275" t="s">
        <v>134</v>
      </c>
      <c r="M272" s="276"/>
      <c r="N272" s="314"/>
      <c r="O272" s="279"/>
      <c r="P272" s="314"/>
      <c r="Q272" s="300" t="s">
        <v>134</v>
      </c>
      <c r="R272" s="276" t="s">
        <v>134</v>
      </c>
      <c r="S272" s="301"/>
      <c r="T272" s="276"/>
      <c r="U272" s="302"/>
      <c r="V272" s="303"/>
      <c r="W272" s="314"/>
      <c r="X272" s="300"/>
      <c r="Y272" s="304"/>
      <c r="Z272" s="276"/>
      <c r="AA272" s="301"/>
      <c r="AB272" s="304"/>
      <c r="AC272" s="276"/>
      <c r="AD272" s="312"/>
      <c r="AE272" s="305" t="str">
        <f t="shared" si="39"/>
        <v>0x0 ~ 0xFF (0~255 -)
0x0: No issue
0x1: Defect
0x2: Not used
0x3: SNA</v>
      </c>
      <c r="AF272" s="312"/>
      <c r="AG272" s="1262">
        <v>0</v>
      </c>
      <c r="AH272" s="1263">
        <v>1</v>
      </c>
      <c r="AI272" s="332">
        <v>0</v>
      </c>
      <c r="AJ272" s="1271" t="s">
        <v>2509</v>
      </c>
      <c r="AK272" s="341">
        <f t="shared" si="41"/>
        <v>0</v>
      </c>
      <c r="AL272" s="1275">
        <f t="shared" si="40"/>
        <v>255</v>
      </c>
      <c r="AM272" s="1263" t="s">
        <v>2516</v>
      </c>
      <c r="AN272" s="305" t="s">
        <v>827</v>
      </c>
      <c r="AO272" s="312"/>
      <c r="AP272" s="487" t="s">
        <v>1126</v>
      </c>
      <c r="AQ272" s="935" t="s">
        <v>440</v>
      </c>
      <c r="AS272" s="500" t="s">
        <v>1406</v>
      </c>
      <c r="AT272" s="500" t="s">
        <v>1406</v>
      </c>
      <c r="AU272" s="500" t="s">
        <v>1406</v>
      </c>
      <c r="AV272" s="500" t="s">
        <v>1406</v>
      </c>
    </row>
    <row r="273" spans="2:48" s="252" customFormat="1" ht="145.19999999999999" hidden="1">
      <c r="B273" s="1218" t="s">
        <v>2454</v>
      </c>
      <c r="C273" s="289" t="s">
        <v>134</v>
      </c>
      <c r="D273" s="289" t="s">
        <v>134</v>
      </c>
      <c r="E273" s="312"/>
      <c r="F273" s="1225" t="s">
        <v>1144</v>
      </c>
      <c r="G273" s="1614" t="s">
        <v>600</v>
      </c>
      <c r="H273" s="266">
        <v>1</v>
      </c>
      <c r="I273" s="266" t="s">
        <v>200</v>
      </c>
      <c r="J273" s="498" t="s">
        <v>601</v>
      </c>
      <c r="K273" s="312"/>
      <c r="L273" s="271" t="s">
        <v>134</v>
      </c>
      <c r="M273" s="272"/>
      <c r="N273" s="314"/>
      <c r="O273" s="277"/>
      <c r="P273" s="314"/>
      <c r="Q273" s="280" t="s">
        <v>134</v>
      </c>
      <c r="R273" s="272" t="s">
        <v>134</v>
      </c>
      <c r="S273" s="281"/>
      <c r="T273" s="272"/>
      <c r="U273" s="282"/>
      <c r="V273" s="283"/>
      <c r="W273" s="314"/>
      <c r="X273" s="280"/>
      <c r="Y273" s="284"/>
      <c r="Z273" s="272"/>
      <c r="AA273" s="281"/>
      <c r="AB273" s="284"/>
      <c r="AC273" s="272"/>
      <c r="AD273" s="312"/>
      <c r="AE273" s="285" t="str">
        <f t="shared" si="39"/>
        <v>0x0 ~ 0xFF (0~255 -)
0x0: No issue
0x1: Defect
0x2: Not used
0x3: SNA</v>
      </c>
      <c r="AF273" s="312"/>
      <c r="AG273" s="1258">
        <v>0</v>
      </c>
      <c r="AH273" s="1259">
        <v>1</v>
      </c>
      <c r="AI273" s="328">
        <v>0</v>
      </c>
      <c r="AJ273" s="1253" t="s">
        <v>2509</v>
      </c>
      <c r="AK273" s="337">
        <f t="shared" si="41"/>
        <v>0</v>
      </c>
      <c r="AL273" s="1273">
        <f t="shared" si="40"/>
        <v>255</v>
      </c>
      <c r="AM273" s="1259" t="s">
        <v>2516</v>
      </c>
      <c r="AN273" s="285" t="s">
        <v>827</v>
      </c>
      <c r="AO273" s="312"/>
      <c r="AP273" s="310" t="s">
        <v>1125</v>
      </c>
      <c r="AQ273" s="913" t="s">
        <v>2310</v>
      </c>
      <c r="AS273" s="507" t="s">
        <v>1866</v>
      </c>
      <c r="AT273" s="310" t="s">
        <v>1987</v>
      </c>
      <c r="AU273" s="310" t="s">
        <v>2003</v>
      </c>
      <c r="AV273" s="507" t="s">
        <v>1866</v>
      </c>
    </row>
    <row r="274" spans="2:48" s="252" customFormat="1" ht="66" hidden="1">
      <c r="B274" s="1218" t="s">
        <v>2454</v>
      </c>
      <c r="C274" s="689" t="s">
        <v>1712</v>
      </c>
      <c r="D274" s="309" t="s">
        <v>134</v>
      </c>
      <c r="E274" s="312"/>
      <c r="F274" s="1227" t="s">
        <v>1144</v>
      </c>
      <c r="G274" s="1614"/>
      <c r="H274" s="270" t="s">
        <v>299</v>
      </c>
      <c r="I274" s="270" t="s">
        <v>200</v>
      </c>
      <c r="J274" s="497" t="s">
        <v>602</v>
      </c>
      <c r="K274" s="312"/>
      <c r="L274" s="275" t="s">
        <v>134</v>
      </c>
      <c r="M274" s="276"/>
      <c r="N274" s="314"/>
      <c r="O274" s="279"/>
      <c r="P274" s="314"/>
      <c r="Q274" s="300" t="s">
        <v>134</v>
      </c>
      <c r="R274" s="276" t="s">
        <v>134</v>
      </c>
      <c r="S274" s="301"/>
      <c r="T274" s="276"/>
      <c r="U274" s="302"/>
      <c r="V274" s="303"/>
      <c r="W274" s="314"/>
      <c r="X274" s="300"/>
      <c r="Y274" s="304"/>
      <c r="Z274" s="276"/>
      <c r="AA274" s="301"/>
      <c r="AB274" s="304"/>
      <c r="AC274" s="276"/>
      <c r="AD274" s="312"/>
      <c r="AE274" s="305" t="str">
        <f t="shared" si="39"/>
        <v>0x0 ~ 0xFF (0~255 -)
0x0: No issue
0x1: Defect
0x2: Not used
0x3: SNA</v>
      </c>
      <c r="AF274" s="312"/>
      <c r="AG274" s="1262">
        <v>0</v>
      </c>
      <c r="AH274" s="1263">
        <v>1</v>
      </c>
      <c r="AI274" s="332">
        <v>0</v>
      </c>
      <c r="AJ274" s="1271" t="s">
        <v>2509</v>
      </c>
      <c r="AK274" s="341">
        <f t="shared" si="41"/>
        <v>0</v>
      </c>
      <c r="AL274" s="1275">
        <f t="shared" si="40"/>
        <v>255</v>
      </c>
      <c r="AM274" s="1263" t="s">
        <v>2516</v>
      </c>
      <c r="AN274" s="305" t="s">
        <v>827</v>
      </c>
      <c r="AO274" s="312"/>
      <c r="AP274" s="487" t="s">
        <v>1126</v>
      </c>
      <c r="AQ274" s="935" t="s">
        <v>440</v>
      </c>
      <c r="AS274" s="500" t="s">
        <v>1406</v>
      </c>
      <c r="AT274" s="500" t="s">
        <v>1406</v>
      </c>
      <c r="AU274" s="500" t="s">
        <v>1406</v>
      </c>
      <c r="AV274" s="500" t="s">
        <v>1406</v>
      </c>
    </row>
    <row r="275" spans="2:48" s="252" customFormat="1" ht="132" hidden="1">
      <c r="B275" s="1218" t="s">
        <v>2454</v>
      </c>
      <c r="C275" s="289" t="s">
        <v>134</v>
      </c>
      <c r="D275" s="289" t="s">
        <v>134</v>
      </c>
      <c r="E275" s="312"/>
      <c r="F275" s="1225" t="s">
        <v>1145</v>
      </c>
      <c r="G275" s="1614" t="s">
        <v>603</v>
      </c>
      <c r="H275" s="266">
        <v>1</v>
      </c>
      <c r="I275" s="266" t="s">
        <v>200</v>
      </c>
      <c r="J275" s="498" t="s">
        <v>604</v>
      </c>
      <c r="K275" s="312"/>
      <c r="L275" s="271" t="s">
        <v>134</v>
      </c>
      <c r="M275" s="272"/>
      <c r="N275" s="314"/>
      <c r="O275" s="277"/>
      <c r="P275" s="314"/>
      <c r="Q275" s="280" t="s">
        <v>134</v>
      </c>
      <c r="R275" s="272" t="s">
        <v>134</v>
      </c>
      <c r="S275" s="281"/>
      <c r="T275" s="272"/>
      <c r="U275" s="282"/>
      <c r="V275" s="283"/>
      <c r="W275" s="314"/>
      <c r="X275" s="280"/>
      <c r="Y275" s="284"/>
      <c r="Z275" s="272"/>
      <c r="AA275" s="281"/>
      <c r="AB275" s="284"/>
      <c r="AC275" s="272"/>
      <c r="AD275" s="312"/>
      <c r="AE275" s="285" t="str">
        <f t="shared" si="39"/>
        <v>0x0 ~ 0xFF (0~255 -)
0x0: No issue
0x1: Defect
0x2: Not used
0x3: SNA</v>
      </c>
      <c r="AF275" s="312"/>
      <c r="AG275" s="1258">
        <v>0</v>
      </c>
      <c r="AH275" s="1259">
        <v>1</v>
      </c>
      <c r="AI275" s="328">
        <v>0</v>
      </c>
      <c r="AJ275" s="1253" t="s">
        <v>2509</v>
      </c>
      <c r="AK275" s="337">
        <f t="shared" ref="AK275:AK282" si="42">HEX2DEC(AI275)*AH275+AG275</f>
        <v>0</v>
      </c>
      <c r="AL275" s="1273">
        <f t="shared" ref="AL275:AL282" si="43">HEX2DEC(AJ275)*AH275+AG275</f>
        <v>255</v>
      </c>
      <c r="AM275" s="1259" t="s">
        <v>2516</v>
      </c>
      <c r="AN275" s="285" t="s">
        <v>827</v>
      </c>
      <c r="AO275" s="312"/>
      <c r="AP275" s="310" t="s">
        <v>1125</v>
      </c>
      <c r="AQ275" s="913" t="s">
        <v>2311</v>
      </c>
      <c r="AS275" s="507" t="s">
        <v>1866</v>
      </c>
      <c r="AT275" s="310" t="s">
        <v>1987</v>
      </c>
      <c r="AU275" s="310" t="s">
        <v>2004</v>
      </c>
      <c r="AV275" s="507" t="s">
        <v>1866</v>
      </c>
    </row>
    <row r="276" spans="2:48" s="252" customFormat="1" ht="66" hidden="1">
      <c r="B276" s="1218" t="s">
        <v>2454</v>
      </c>
      <c r="C276" s="689" t="s">
        <v>1712</v>
      </c>
      <c r="D276" s="309" t="s">
        <v>134</v>
      </c>
      <c r="E276" s="312"/>
      <c r="F276" s="1227" t="s">
        <v>1145</v>
      </c>
      <c r="G276" s="1614"/>
      <c r="H276" s="270" t="s">
        <v>299</v>
      </c>
      <c r="I276" s="270" t="s">
        <v>200</v>
      </c>
      <c r="J276" s="497" t="s">
        <v>605</v>
      </c>
      <c r="K276" s="312"/>
      <c r="L276" s="275" t="s">
        <v>134</v>
      </c>
      <c r="M276" s="276"/>
      <c r="N276" s="314"/>
      <c r="O276" s="279"/>
      <c r="P276" s="314"/>
      <c r="Q276" s="300" t="s">
        <v>134</v>
      </c>
      <c r="R276" s="276" t="s">
        <v>134</v>
      </c>
      <c r="S276" s="301"/>
      <c r="T276" s="276"/>
      <c r="U276" s="302"/>
      <c r="V276" s="303"/>
      <c r="W276" s="314"/>
      <c r="X276" s="300"/>
      <c r="Y276" s="304"/>
      <c r="Z276" s="276"/>
      <c r="AA276" s="301"/>
      <c r="AB276" s="304"/>
      <c r="AC276" s="276"/>
      <c r="AD276" s="312"/>
      <c r="AE276" s="305" t="str">
        <f t="shared" si="39"/>
        <v>0x0 ~ 0xFF (0~255 -)
0x0: No issue
0x1: Defect
0x2: Not used
0x3: SNA</v>
      </c>
      <c r="AF276" s="312"/>
      <c r="AG276" s="1262">
        <v>0</v>
      </c>
      <c r="AH276" s="1263">
        <v>1</v>
      </c>
      <c r="AI276" s="332">
        <v>0</v>
      </c>
      <c r="AJ276" s="1271" t="s">
        <v>2509</v>
      </c>
      <c r="AK276" s="341">
        <f t="shared" si="42"/>
        <v>0</v>
      </c>
      <c r="AL276" s="1275">
        <f t="shared" si="43"/>
        <v>255</v>
      </c>
      <c r="AM276" s="1263" t="s">
        <v>2516</v>
      </c>
      <c r="AN276" s="305" t="s">
        <v>827</v>
      </c>
      <c r="AO276" s="312"/>
      <c r="AP276" s="487" t="s">
        <v>1126</v>
      </c>
      <c r="AQ276" s="487" t="s">
        <v>440</v>
      </c>
      <c r="AS276" s="500" t="s">
        <v>1406</v>
      </c>
      <c r="AT276" s="500" t="s">
        <v>1406</v>
      </c>
      <c r="AU276" s="500" t="s">
        <v>1406</v>
      </c>
      <c r="AV276" s="500" t="s">
        <v>1406</v>
      </c>
    </row>
    <row r="277" spans="2:48" s="252" customFormat="1" ht="132" hidden="1">
      <c r="B277" s="1218" t="s">
        <v>2454</v>
      </c>
      <c r="C277" s="289" t="s">
        <v>134</v>
      </c>
      <c r="D277" s="289" t="s">
        <v>134</v>
      </c>
      <c r="E277" s="312"/>
      <c r="F277" s="1225" t="s">
        <v>1146</v>
      </c>
      <c r="G277" s="1614" t="s">
        <v>606</v>
      </c>
      <c r="H277" s="266">
        <v>1</v>
      </c>
      <c r="I277" s="266" t="s">
        <v>200</v>
      </c>
      <c r="J277" s="498" t="s">
        <v>607</v>
      </c>
      <c r="K277" s="312"/>
      <c r="L277" s="271" t="s">
        <v>134</v>
      </c>
      <c r="M277" s="272"/>
      <c r="N277" s="314"/>
      <c r="O277" s="277"/>
      <c r="P277" s="314"/>
      <c r="Q277" s="280" t="s">
        <v>134</v>
      </c>
      <c r="R277" s="272" t="s">
        <v>134</v>
      </c>
      <c r="S277" s="281"/>
      <c r="T277" s="272"/>
      <c r="U277" s="282"/>
      <c r="V277" s="283"/>
      <c r="W277" s="314"/>
      <c r="X277" s="280"/>
      <c r="Y277" s="284"/>
      <c r="Z277" s="272"/>
      <c r="AA277" s="281"/>
      <c r="AB277" s="284"/>
      <c r="AC277" s="272"/>
      <c r="AD277" s="312"/>
      <c r="AE277" s="285" t="str">
        <f t="shared" si="39"/>
        <v>0x0 ~ 0xFF (0~255 -)
0x0: No issue
0x1: Defect
0x2: Not used
0x3: SNA</v>
      </c>
      <c r="AF277" s="312"/>
      <c r="AG277" s="1258">
        <v>0</v>
      </c>
      <c r="AH277" s="1259">
        <v>1</v>
      </c>
      <c r="AI277" s="328">
        <v>0</v>
      </c>
      <c r="AJ277" s="1253" t="s">
        <v>2509</v>
      </c>
      <c r="AK277" s="337">
        <f t="shared" si="42"/>
        <v>0</v>
      </c>
      <c r="AL277" s="1273">
        <f t="shared" si="43"/>
        <v>255</v>
      </c>
      <c r="AM277" s="1259" t="s">
        <v>2516</v>
      </c>
      <c r="AN277" s="285" t="s">
        <v>827</v>
      </c>
      <c r="AO277" s="312"/>
      <c r="AP277" s="310" t="s">
        <v>1125</v>
      </c>
      <c r="AQ277" s="913" t="s">
        <v>2312</v>
      </c>
      <c r="AS277" s="507" t="s">
        <v>1866</v>
      </c>
      <c r="AT277" s="310" t="s">
        <v>1987</v>
      </c>
      <c r="AU277" s="310" t="s">
        <v>2005</v>
      </c>
      <c r="AV277" s="507" t="s">
        <v>1866</v>
      </c>
    </row>
    <row r="278" spans="2:48" s="252" customFormat="1" ht="66" hidden="1">
      <c r="B278" s="1218" t="s">
        <v>2454</v>
      </c>
      <c r="C278" s="689" t="s">
        <v>1712</v>
      </c>
      <c r="D278" s="309" t="s">
        <v>134</v>
      </c>
      <c r="E278" s="312"/>
      <c r="F278" s="1227" t="s">
        <v>1146</v>
      </c>
      <c r="G278" s="1614"/>
      <c r="H278" s="270" t="s">
        <v>299</v>
      </c>
      <c r="I278" s="270" t="s">
        <v>200</v>
      </c>
      <c r="J278" s="497" t="s">
        <v>608</v>
      </c>
      <c r="K278" s="312"/>
      <c r="L278" s="275" t="s">
        <v>134</v>
      </c>
      <c r="M278" s="276"/>
      <c r="N278" s="314"/>
      <c r="O278" s="279"/>
      <c r="P278" s="314"/>
      <c r="Q278" s="300" t="s">
        <v>134</v>
      </c>
      <c r="R278" s="276" t="s">
        <v>134</v>
      </c>
      <c r="S278" s="301"/>
      <c r="T278" s="276"/>
      <c r="U278" s="302"/>
      <c r="V278" s="303"/>
      <c r="W278" s="314"/>
      <c r="X278" s="300"/>
      <c r="Y278" s="304"/>
      <c r="Z278" s="276"/>
      <c r="AA278" s="301"/>
      <c r="AB278" s="304"/>
      <c r="AC278" s="276"/>
      <c r="AD278" s="312"/>
      <c r="AE278" s="305" t="str">
        <f t="shared" si="39"/>
        <v>0x0 ~ 0xFF (0~255 -)
0x0: No issue
0x1: Defect
0x2: Not used
0x3: SNA</v>
      </c>
      <c r="AF278" s="312"/>
      <c r="AG278" s="1262">
        <v>0</v>
      </c>
      <c r="AH278" s="1263">
        <v>1</v>
      </c>
      <c r="AI278" s="332">
        <v>0</v>
      </c>
      <c r="AJ278" s="1271" t="s">
        <v>2509</v>
      </c>
      <c r="AK278" s="341">
        <f t="shared" si="42"/>
        <v>0</v>
      </c>
      <c r="AL278" s="1275">
        <f t="shared" si="43"/>
        <v>255</v>
      </c>
      <c r="AM278" s="1263" t="s">
        <v>2516</v>
      </c>
      <c r="AN278" s="305" t="s">
        <v>827</v>
      </c>
      <c r="AO278" s="312"/>
      <c r="AP278" s="487" t="s">
        <v>1126</v>
      </c>
      <c r="AQ278" s="935" t="s">
        <v>440</v>
      </c>
      <c r="AS278" s="500" t="s">
        <v>1406</v>
      </c>
      <c r="AT278" s="500" t="s">
        <v>1406</v>
      </c>
      <c r="AU278" s="500" t="s">
        <v>1406</v>
      </c>
      <c r="AV278" s="500" t="s">
        <v>1406</v>
      </c>
    </row>
    <row r="279" spans="2:48" s="252" customFormat="1" ht="132" hidden="1">
      <c r="B279" s="1218" t="s">
        <v>2454</v>
      </c>
      <c r="C279" s="289" t="s">
        <v>134</v>
      </c>
      <c r="D279" s="289" t="s">
        <v>134</v>
      </c>
      <c r="E279" s="312"/>
      <c r="F279" s="1225" t="s">
        <v>1147</v>
      </c>
      <c r="G279" s="1614" t="s">
        <v>609</v>
      </c>
      <c r="H279" s="266">
        <v>1</v>
      </c>
      <c r="I279" s="266" t="s">
        <v>200</v>
      </c>
      <c r="J279" s="498" t="s">
        <v>610</v>
      </c>
      <c r="K279" s="312"/>
      <c r="L279" s="271" t="s">
        <v>134</v>
      </c>
      <c r="M279" s="272"/>
      <c r="N279" s="314"/>
      <c r="O279" s="277"/>
      <c r="P279" s="314"/>
      <c r="Q279" s="280" t="s">
        <v>134</v>
      </c>
      <c r="R279" s="272" t="s">
        <v>134</v>
      </c>
      <c r="S279" s="281"/>
      <c r="T279" s="272"/>
      <c r="U279" s="282"/>
      <c r="V279" s="283"/>
      <c r="W279" s="314"/>
      <c r="X279" s="280"/>
      <c r="Y279" s="284"/>
      <c r="Z279" s="272"/>
      <c r="AA279" s="281"/>
      <c r="AB279" s="284"/>
      <c r="AC279" s="272"/>
      <c r="AD279" s="312"/>
      <c r="AE279" s="285" t="str">
        <f t="shared" si="39"/>
        <v>0x0 ~ 0xFF (0~255 -)
0x0: No issue
0x1: Defect
0x2: Not used
0x3: SNA</v>
      </c>
      <c r="AF279" s="312"/>
      <c r="AG279" s="1258">
        <v>0</v>
      </c>
      <c r="AH279" s="1259">
        <v>1</v>
      </c>
      <c r="AI279" s="328">
        <v>0</v>
      </c>
      <c r="AJ279" s="1253" t="s">
        <v>2509</v>
      </c>
      <c r="AK279" s="337">
        <f t="shared" si="42"/>
        <v>0</v>
      </c>
      <c r="AL279" s="1273">
        <f t="shared" si="43"/>
        <v>255</v>
      </c>
      <c r="AM279" s="1259" t="s">
        <v>2516</v>
      </c>
      <c r="AN279" s="285" t="s">
        <v>827</v>
      </c>
      <c r="AO279" s="312"/>
      <c r="AP279" s="310" t="s">
        <v>1125</v>
      </c>
      <c r="AQ279" s="913" t="s">
        <v>2313</v>
      </c>
      <c r="AS279" s="507" t="s">
        <v>1866</v>
      </c>
      <c r="AT279" s="310" t="s">
        <v>1987</v>
      </c>
      <c r="AU279" s="310" t="s">
        <v>2006</v>
      </c>
      <c r="AV279" s="507" t="s">
        <v>1866</v>
      </c>
    </row>
    <row r="280" spans="2:48" s="252" customFormat="1" ht="66" hidden="1">
      <c r="B280" s="1218" t="s">
        <v>2454</v>
      </c>
      <c r="C280" s="689" t="s">
        <v>1712</v>
      </c>
      <c r="D280" s="309" t="s">
        <v>134</v>
      </c>
      <c r="E280" s="312"/>
      <c r="F280" s="1227" t="s">
        <v>1147</v>
      </c>
      <c r="G280" s="1614"/>
      <c r="H280" s="270" t="s">
        <v>299</v>
      </c>
      <c r="I280" s="270" t="s">
        <v>200</v>
      </c>
      <c r="J280" s="497" t="s">
        <v>611</v>
      </c>
      <c r="K280" s="312"/>
      <c r="L280" s="275" t="s">
        <v>134</v>
      </c>
      <c r="M280" s="276"/>
      <c r="N280" s="314"/>
      <c r="O280" s="279"/>
      <c r="P280" s="314"/>
      <c r="Q280" s="300" t="s">
        <v>134</v>
      </c>
      <c r="R280" s="276" t="s">
        <v>134</v>
      </c>
      <c r="S280" s="301"/>
      <c r="T280" s="276"/>
      <c r="U280" s="302"/>
      <c r="V280" s="303"/>
      <c r="W280" s="314"/>
      <c r="X280" s="300"/>
      <c r="Y280" s="304"/>
      <c r="Z280" s="276"/>
      <c r="AA280" s="301"/>
      <c r="AB280" s="304"/>
      <c r="AC280" s="276"/>
      <c r="AD280" s="312"/>
      <c r="AE280" s="305" t="str">
        <f t="shared" si="39"/>
        <v>0x0 ~ 0xFF (0~255 -)
0x0: No issue
0x1: Defect
0x2: Not used
0x3: SNA</v>
      </c>
      <c r="AF280" s="312"/>
      <c r="AG280" s="1262">
        <v>0</v>
      </c>
      <c r="AH280" s="1263">
        <v>1</v>
      </c>
      <c r="AI280" s="332">
        <v>0</v>
      </c>
      <c r="AJ280" s="1271" t="s">
        <v>2509</v>
      </c>
      <c r="AK280" s="341">
        <f t="shared" si="42"/>
        <v>0</v>
      </c>
      <c r="AL280" s="1275">
        <f t="shared" si="43"/>
        <v>255</v>
      </c>
      <c r="AM280" s="1263" t="s">
        <v>2516</v>
      </c>
      <c r="AN280" s="305" t="s">
        <v>827</v>
      </c>
      <c r="AO280" s="312"/>
      <c r="AP280" s="487" t="s">
        <v>1126</v>
      </c>
      <c r="AQ280" s="935" t="s">
        <v>440</v>
      </c>
      <c r="AS280" s="500" t="s">
        <v>1406</v>
      </c>
      <c r="AT280" s="500" t="s">
        <v>1406</v>
      </c>
      <c r="AU280" s="500" t="s">
        <v>1406</v>
      </c>
      <c r="AV280" s="500" t="s">
        <v>1406</v>
      </c>
    </row>
    <row r="281" spans="2:48" s="252" customFormat="1" ht="132" hidden="1">
      <c r="B281" s="1218" t="s">
        <v>2454</v>
      </c>
      <c r="C281" s="289" t="s">
        <v>134</v>
      </c>
      <c r="D281" s="289" t="s">
        <v>134</v>
      </c>
      <c r="E281" s="312"/>
      <c r="F281" s="1225" t="s">
        <v>1148</v>
      </c>
      <c r="G281" s="1614" t="s">
        <v>612</v>
      </c>
      <c r="H281" s="266">
        <v>1</v>
      </c>
      <c r="I281" s="266" t="s">
        <v>200</v>
      </c>
      <c r="J281" s="498" t="s">
        <v>613</v>
      </c>
      <c r="K281" s="312"/>
      <c r="L281" s="271" t="s">
        <v>134</v>
      </c>
      <c r="M281" s="272"/>
      <c r="N281" s="314"/>
      <c r="O281" s="277"/>
      <c r="P281" s="314"/>
      <c r="Q281" s="280" t="s">
        <v>134</v>
      </c>
      <c r="R281" s="272" t="s">
        <v>134</v>
      </c>
      <c r="S281" s="281"/>
      <c r="T281" s="272"/>
      <c r="U281" s="282"/>
      <c r="V281" s="283"/>
      <c r="W281" s="314"/>
      <c r="X281" s="280"/>
      <c r="Y281" s="284"/>
      <c r="Z281" s="272"/>
      <c r="AA281" s="281"/>
      <c r="AB281" s="284"/>
      <c r="AC281" s="272"/>
      <c r="AD281" s="312"/>
      <c r="AE281" s="285" t="str">
        <f t="shared" si="39"/>
        <v>0x0 ~ 0xFF (0~255 -)
0x0: No issue
0x1: Defect
0x2: Not used
0x3: SNA</v>
      </c>
      <c r="AF281" s="312"/>
      <c r="AG281" s="1258">
        <v>0</v>
      </c>
      <c r="AH281" s="1259">
        <v>1</v>
      </c>
      <c r="AI281" s="328">
        <v>0</v>
      </c>
      <c r="AJ281" s="1253" t="s">
        <v>2509</v>
      </c>
      <c r="AK281" s="337">
        <f t="shared" si="42"/>
        <v>0</v>
      </c>
      <c r="AL281" s="1273">
        <f t="shared" si="43"/>
        <v>255</v>
      </c>
      <c r="AM281" s="1259" t="s">
        <v>2516</v>
      </c>
      <c r="AN281" s="285" t="s">
        <v>827</v>
      </c>
      <c r="AO281" s="312"/>
      <c r="AP281" s="310" t="s">
        <v>1125</v>
      </c>
      <c r="AQ281" s="913" t="s">
        <v>2314</v>
      </c>
      <c r="AS281" s="507" t="s">
        <v>1866</v>
      </c>
      <c r="AT281" s="310" t="s">
        <v>1987</v>
      </c>
      <c r="AU281" s="310" t="s">
        <v>2007</v>
      </c>
      <c r="AV281" s="507" t="s">
        <v>1866</v>
      </c>
    </row>
    <row r="282" spans="2:48" s="252" customFormat="1" ht="66" hidden="1">
      <c r="B282" s="1218" t="s">
        <v>2454</v>
      </c>
      <c r="C282" s="689" t="s">
        <v>1712</v>
      </c>
      <c r="D282" s="309" t="s">
        <v>134</v>
      </c>
      <c r="E282" s="312"/>
      <c r="F282" s="1227" t="s">
        <v>1148</v>
      </c>
      <c r="G282" s="1614"/>
      <c r="H282" s="270" t="s">
        <v>299</v>
      </c>
      <c r="I282" s="270" t="s">
        <v>200</v>
      </c>
      <c r="J282" s="497" t="s">
        <v>614</v>
      </c>
      <c r="K282" s="312"/>
      <c r="L282" s="275" t="s">
        <v>134</v>
      </c>
      <c r="M282" s="276"/>
      <c r="N282" s="314"/>
      <c r="O282" s="279"/>
      <c r="P282" s="314"/>
      <c r="Q282" s="300" t="s">
        <v>134</v>
      </c>
      <c r="R282" s="276" t="s">
        <v>134</v>
      </c>
      <c r="S282" s="301"/>
      <c r="T282" s="276"/>
      <c r="U282" s="302"/>
      <c r="V282" s="303"/>
      <c r="W282" s="314"/>
      <c r="X282" s="300"/>
      <c r="Y282" s="304"/>
      <c r="Z282" s="276"/>
      <c r="AA282" s="301"/>
      <c r="AB282" s="304"/>
      <c r="AC282" s="276"/>
      <c r="AD282" s="312"/>
      <c r="AE282" s="305" t="str">
        <f t="shared" si="39"/>
        <v>0x0 ~ 0xFF (0~255 -)
0x0: No issue
0x1: Defect
0x2: Not used
0x3: SNA</v>
      </c>
      <c r="AF282" s="312"/>
      <c r="AG282" s="1262">
        <v>0</v>
      </c>
      <c r="AH282" s="1263">
        <v>1</v>
      </c>
      <c r="AI282" s="332">
        <v>0</v>
      </c>
      <c r="AJ282" s="1271" t="s">
        <v>2509</v>
      </c>
      <c r="AK282" s="341">
        <f t="shared" si="42"/>
        <v>0</v>
      </c>
      <c r="AL282" s="1275">
        <f t="shared" si="43"/>
        <v>255</v>
      </c>
      <c r="AM282" s="1263" t="s">
        <v>2516</v>
      </c>
      <c r="AN282" s="305" t="s">
        <v>827</v>
      </c>
      <c r="AO282" s="312"/>
      <c r="AP282" s="487" t="s">
        <v>1126</v>
      </c>
      <c r="AQ282" s="487" t="s">
        <v>440</v>
      </c>
      <c r="AS282" s="500" t="s">
        <v>1406</v>
      </c>
      <c r="AT282" s="500" t="s">
        <v>1406</v>
      </c>
      <c r="AU282" s="500" t="s">
        <v>1406</v>
      </c>
      <c r="AV282" s="500" t="s">
        <v>1406</v>
      </c>
    </row>
    <row r="283" spans="2:48" hidden="1">
      <c r="B283" s="813" t="s">
        <v>2052</v>
      </c>
      <c r="C283" s="456" t="s">
        <v>1337</v>
      </c>
      <c r="D283" s="456" t="s">
        <v>1337</v>
      </c>
      <c r="F283" s="265" t="s">
        <v>1209</v>
      </c>
      <c r="G283" s="264" t="s">
        <v>1200</v>
      </c>
      <c r="H283" s="456" t="s">
        <v>1590</v>
      </c>
      <c r="I283" s="456" t="s">
        <v>1590</v>
      </c>
      <c r="J283" s="559" t="s">
        <v>1590</v>
      </c>
      <c r="K283" s="313"/>
      <c r="L283" s="560" t="s">
        <v>1590</v>
      </c>
      <c r="M283" s="560" t="s">
        <v>1590</v>
      </c>
      <c r="N283" s="176"/>
      <c r="O283" s="561" t="s">
        <v>1590</v>
      </c>
      <c r="P283" s="176"/>
      <c r="Q283" s="562" t="s">
        <v>1590</v>
      </c>
      <c r="R283" s="562" t="s">
        <v>1590</v>
      </c>
      <c r="S283" s="563" t="s">
        <v>1590</v>
      </c>
      <c r="T283" s="562" t="s">
        <v>1590</v>
      </c>
      <c r="U283" s="563" t="s">
        <v>1590</v>
      </c>
      <c r="V283" s="562" t="s">
        <v>1590</v>
      </c>
      <c r="W283" s="360"/>
      <c r="X283" s="562" t="s">
        <v>1590</v>
      </c>
      <c r="Y283" s="562" t="s">
        <v>1590</v>
      </c>
      <c r="Z283" s="562" t="s">
        <v>1590</v>
      </c>
      <c r="AA283" s="562" t="s">
        <v>1590</v>
      </c>
      <c r="AB283" s="562" t="s">
        <v>1590</v>
      </c>
      <c r="AC283" s="562" t="s">
        <v>1590</v>
      </c>
      <c r="AD283" s="235"/>
      <c r="AE283" s="456" t="s">
        <v>1590</v>
      </c>
      <c r="AG283" s="559" t="s">
        <v>1591</v>
      </c>
      <c r="AH283" s="559" t="s">
        <v>1591</v>
      </c>
      <c r="AI283" s="559" t="s">
        <v>1591</v>
      </c>
      <c r="AJ283" s="559" t="s">
        <v>1591</v>
      </c>
      <c r="AK283" s="559" t="s">
        <v>1591</v>
      </c>
      <c r="AL283" s="559" t="s">
        <v>1591</v>
      </c>
      <c r="AM283" s="559" t="s">
        <v>1591</v>
      </c>
      <c r="AN283" s="559" t="s">
        <v>1591</v>
      </c>
      <c r="AP283" s="456" t="s">
        <v>1590</v>
      </c>
      <c r="AQ283" s="456" t="s">
        <v>1590</v>
      </c>
      <c r="AS283" s="456" t="s">
        <v>1222</v>
      </c>
      <c r="AT283" s="456" t="s">
        <v>1222</v>
      </c>
      <c r="AU283" s="456" t="s">
        <v>1222</v>
      </c>
      <c r="AV283" s="456" t="s">
        <v>1222</v>
      </c>
    </row>
    <row r="284" spans="2:48" s="252" customFormat="1" ht="26.4" hidden="1">
      <c r="B284" s="1218" t="s">
        <v>2454</v>
      </c>
      <c r="C284" s="289" t="s">
        <v>134</v>
      </c>
      <c r="D284" s="289" t="s">
        <v>134</v>
      </c>
      <c r="E284" s="312"/>
      <c r="F284" s="1225" t="s">
        <v>1149</v>
      </c>
      <c r="G284" s="1614" t="s">
        <v>615</v>
      </c>
      <c r="H284" s="266">
        <v>1</v>
      </c>
      <c r="I284" s="266" t="s">
        <v>200</v>
      </c>
      <c r="J284" s="498" t="s">
        <v>616</v>
      </c>
      <c r="K284" s="312"/>
      <c r="L284" s="271" t="s">
        <v>134</v>
      </c>
      <c r="M284" s="272"/>
      <c r="N284" s="314"/>
      <c r="O284" s="277"/>
      <c r="P284" s="314"/>
      <c r="Q284" s="280" t="s">
        <v>134</v>
      </c>
      <c r="R284" s="272" t="s">
        <v>134</v>
      </c>
      <c r="S284" s="281"/>
      <c r="T284" s="272"/>
      <c r="U284" s="282"/>
      <c r="V284" s="283"/>
      <c r="W284" s="314"/>
      <c r="X284" s="280"/>
      <c r="Y284" s="284"/>
      <c r="Z284" s="272"/>
      <c r="AA284" s="281"/>
      <c r="AB284" s="284"/>
      <c r="AC284" s="272"/>
      <c r="AD284" s="312"/>
      <c r="AE284" s="1277" t="str">
        <f t="shared" si="39"/>
        <v>0x0 ~ 0xFF (0~10200W)
0xFF: SNA</v>
      </c>
      <c r="AF284" s="312"/>
      <c r="AG284" s="286">
        <v>0</v>
      </c>
      <c r="AH284" s="287">
        <v>40</v>
      </c>
      <c r="AI284" s="328">
        <v>0</v>
      </c>
      <c r="AJ284" s="1253" t="s">
        <v>2509</v>
      </c>
      <c r="AK284" s="337">
        <f t="shared" si="41"/>
        <v>0</v>
      </c>
      <c r="AL284" s="1273">
        <f t="shared" ref="AL284:AL315" si="44">HEX2DEC(AJ284)*AH284+AG284</f>
        <v>10200</v>
      </c>
      <c r="AM284" s="287" t="s">
        <v>817</v>
      </c>
      <c r="AN284" s="285" t="s">
        <v>818</v>
      </c>
      <c r="AO284" s="312"/>
      <c r="AP284" s="310" t="s">
        <v>1125</v>
      </c>
      <c r="AQ284" s="310" t="s">
        <v>617</v>
      </c>
      <c r="AS284" s="507" t="s">
        <v>1866</v>
      </c>
      <c r="AT284" s="310" t="s">
        <v>1984</v>
      </c>
      <c r="AU284" s="310" t="s">
        <v>2008</v>
      </c>
      <c r="AV284" s="507" t="s">
        <v>1866</v>
      </c>
    </row>
    <row r="285" spans="2:48" s="252" customFormat="1" ht="26.4" hidden="1">
      <c r="B285" s="1218" t="s">
        <v>2454</v>
      </c>
      <c r="C285" s="684" t="s">
        <v>1712</v>
      </c>
      <c r="D285" s="299" t="s">
        <v>134</v>
      </c>
      <c r="E285" s="312"/>
      <c r="F285" s="1226" t="s">
        <v>1149</v>
      </c>
      <c r="G285" s="1614"/>
      <c r="H285" s="268" t="s">
        <v>299</v>
      </c>
      <c r="I285" s="268" t="s">
        <v>200</v>
      </c>
      <c r="J285" s="499" t="s">
        <v>618</v>
      </c>
      <c r="K285" s="312"/>
      <c r="L285" s="273" t="s">
        <v>134</v>
      </c>
      <c r="M285" s="274"/>
      <c r="N285" s="314"/>
      <c r="O285" s="278"/>
      <c r="P285" s="314"/>
      <c r="Q285" s="290" t="s">
        <v>134</v>
      </c>
      <c r="R285" s="274" t="s">
        <v>134</v>
      </c>
      <c r="S285" s="291"/>
      <c r="T285" s="274"/>
      <c r="U285" s="292"/>
      <c r="V285" s="293"/>
      <c r="W285" s="314"/>
      <c r="X285" s="290"/>
      <c r="Y285" s="294"/>
      <c r="Z285" s="274"/>
      <c r="AA285" s="291"/>
      <c r="AB285" s="294"/>
      <c r="AC285" s="274"/>
      <c r="AD285" s="312"/>
      <c r="AE285" s="1278" t="str">
        <f t="shared" si="39"/>
        <v>0x0 ~ 0xFF (0~10200W)
0xFF: SNA</v>
      </c>
      <c r="AF285" s="312"/>
      <c r="AG285" s="296">
        <v>0</v>
      </c>
      <c r="AH285" s="297">
        <v>40</v>
      </c>
      <c r="AI285" s="330">
        <v>0</v>
      </c>
      <c r="AJ285" s="1270" t="s">
        <v>2509</v>
      </c>
      <c r="AK285" s="339">
        <f t="shared" si="41"/>
        <v>0</v>
      </c>
      <c r="AL285" s="1274">
        <f t="shared" si="44"/>
        <v>10200</v>
      </c>
      <c r="AM285" s="297" t="s">
        <v>817</v>
      </c>
      <c r="AN285" s="295" t="s">
        <v>818</v>
      </c>
      <c r="AO285" s="312"/>
      <c r="AP285" s="486" t="s">
        <v>1126</v>
      </c>
      <c r="AQ285" s="486" t="s">
        <v>440</v>
      </c>
      <c r="AS285" s="501" t="s">
        <v>1406</v>
      </c>
      <c r="AT285" s="501" t="s">
        <v>1406</v>
      </c>
      <c r="AU285" s="501" t="s">
        <v>1406</v>
      </c>
      <c r="AV285" s="501" t="s">
        <v>1406</v>
      </c>
    </row>
    <row r="286" spans="2:48" s="252" customFormat="1" ht="26.4" hidden="1">
      <c r="B286" s="1218" t="s">
        <v>2454</v>
      </c>
      <c r="C286" s="689" t="s">
        <v>1712</v>
      </c>
      <c r="D286" s="309" t="s">
        <v>134</v>
      </c>
      <c r="E286" s="312"/>
      <c r="F286" s="1227" t="s">
        <v>1149</v>
      </c>
      <c r="G286" s="1614"/>
      <c r="H286" s="270" t="s">
        <v>287</v>
      </c>
      <c r="I286" s="270" t="s">
        <v>200</v>
      </c>
      <c r="J286" s="497" t="s">
        <v>619</v>
      </c>
      <c r="K286" s="312"/>
      <c r="L286" s="275" t="s">
        <v>134</v>
      </c>
      <c r="M286" s="276"/>
      <c r="N286" s="314"/>
      <c r="O286" s="279"/>
      <c r="P286" s="314"/>
      <c r="Q286" s="300" t="s">
        <v>134</v>
      </c>
      <c r="R286" s="276" t="s">
        <v>134</v>
      </c>
      <c r="S286" s="301"/>
      <c r="T286" s="276"/>
      <c r="U286" s="302"/>
      <c r="V286" s="303"/>
      <c r="W286" s="314"/>
      <c r="X286" s="300"/>
      <c r="Y286" s="304"/>
      <c r="Z286" s="276"/>
      <c r="AA286" s="301"/>
      <c r="AB286" s="304"/>
      <c r="AC286" s="276"/>
      <c r="AD286" s="312"/>
      <c r="AE286" s="1279" t="str">
        <f t="shared" si="39"/>
        <v>0x0 ~ 0xFF (0~10200W)
0xFF: SNA</v>
      </c>
      <c r="AF286" s="312"/>
      <c r="AG286" s="306">
        <v>0</v>
      </c>
      <c r="AH286" s="307">
        <v>40</v>
      </c>
      <c r="AI286" s="332">
        <v>0</v>
      </c>
      <c r="AJ286" s="1271" t="s">
        <v>2509</v>
      </c>
      <c r="AK286" s="341">
        <f t="shared" si="41"/>
        <v>0</v>
      </c>
      <c r="AL286" s="1275">
        <f t="shared" si="44"/>
        <v>10200</v>
      </c>
      <c r="AM286" s="307" t="s">
        <v>817</v>
      </c>
      <c r="AN286" s="305" t="s">
        <v>818</v>
      </c>
      <c r="AO286" s="312"/>
      <c r="AP286" s="487" t="s">
        <v>1126</v>
      </c>
      <c r="AQ286" s="487" t="s">
        <v>440</v>
      </c>
      <c r="AS286" s="500" t="s">
        <v>1406</v>
      </c>
      <c r="AT286" s="500" t="s">
        <v>1406</v>
      </c>
      <c r="AU286" s="500" t="s">
        <v>1406</v>
      </c>
      <c r="AV286" s="500" t="s">
        <v>1406</v>
      </c>
    </row>
    <row r="287" spans="2:48" s="252" customFormat="1" ht="26.4" hidden="1">
      <c r="B287" s="1218" t="s">
        <v>2454</v>
      </c>
      <c r="C287" s="289" t="s">
        <v>134</v>
      </c>
      <c r="D287" s="289" t="s">
        <v>134</v>
      </c>
      <c r="E287" s="312"/>
      <c r="F287" s="1225" t="s">
        <v>2467</v>
      </c>
      <c r="G287" s="1614" t="s">
        <v>620</v>
      </c>
      <c r="H287" s="266">
        <v>1</v>
      </c>
      <c r="I287" s="266" t="s">
        <v>200</v>
      </c>
      <c r="J287" s="498" t="s">
        <v>621</v>
      </c>
      <c r="K287" s="312"/>
      <c r="L287" s="271" t="s">
        <v>134</v>
      </c>
      <c r="M287" s="272"/>
      <c r="N287" s="314"/>
      <c r="O287" s="277"/>
      <c r="P287" s="314"/>
      <c r="Q287" s="280" t="s">
        <v>134</v>
      </c>
      <c r="R287" s="272" t="s">
        <v>134</v>
      </c>
      <c r="S287" s="281"/>
      <c r="T287" s="272"/>
      <c r="U287" s="282"/>
      <c r="V287" s="283"/>
      <c r="W287" s="314"/>
      <c r="X287" s="280"/>
      <c r="Y287" s="284"/>
      <c r="Z287" s="272"/>
      <c r="AA287" s="281"/>
      <c r="AB287" s="284"/>
      <c r="AC287" s="272"/>
      <c r="AD287" s="312"/>
      <c r="AE287" s="1277" t="str">
        <f t="shared" si="39"/>
        <v>0x0 ~ 0xFF (-40~215deg C)
0xFF:SNA</v>
      </c>
      <c r="AF287" s="312"/>
      <c r="AG287" s="286">
        <v>-40</v>
      </c>
      <c r="AH287" s="287">
        <v>1</v>
      </c>
      <c r="AI287" s="328">
        <v>0</v>
      </c>
      <c r="AJ287" s="1253" t="s">
        <v>2509</v>
      </c>
      <c r="AK287" s="337">
        <f t="shared" si="41"/>
        <v>-40</v>
      </c>
      <c r="AL287" s="1273">
        <f t="shared" si="44"/>
        <v>215</v>
      </c>
      <c r="AM287" s="1229" t="s">
        <v>2445</v>
      </c>
      <c r="AN287" s="285" t="s">
        <v>828</v>
      </c>
      <c r="AO287" s="312"/>
      <c r="AP287" s="310" t="s">
        <v>1125</v>
      </c>
      <c r="AQ287" s="310" t="s">
        <v>1520</v>
      </c>
      <c r="AS287" s="507" t="s">
        <v>1866</v>
      </c>
      <c r="AT287" s="310" t="s">
        <v>1984</v>
      </c>
      <c r="AU287" s="310" t="s">
        <v>2009</v>
      </c>
      <c r="AV287" s="507" t="s">
        <v>1866</v>
      </c>
    </row>
    <row r="288" spans="2:48" s="252" customFormat="1" ht="26.4" hidden="1">
      <c r="B288" s="1218" t="s">
        <v>2454</v>
      </c>
      <c r="C288" s="684" t="s">
        <v>1712</v>
      </c>
      <c r="D288" s="299" t="s">
        <v>134</v>
      </c>
      <c r="E288" s="312"/>
      <c r="F288" s="1226" t="s">
        <v>2467</v>
      </c>
      <c r="G288" s="1615"/>
      <c r="H288" s="268" t="s">
        <v>299</v>
      </c>
      <c r="I288" s="268" t="s">
        <v>200</v>
      </c>
      <c r="J288" s="499" t="s">
        <v>622</v>
      </c>
      <c r="K288" s="312"/>
      <c r="L288" s="273" t="s">
        <v>134</v>
      </c>
      <c r="M288" s="274"/>
      <c r="N288" s="314"/>
      <c r="O288" s="278"/>
      <c r="P288" s="314"/>
      <c r="Q288" s="290" t="s">
        <v>134</v>
      </c>
      <c r="R288" s="274" t="s">
        <v>134</v>
      </c>
      <c r="S288" s="291"/>
      <c r="T288" s="274"/>
      <c r="U288" s="292"/>
      <c r="V288" s="293"/>
      <c r="W288" s="314"/>
      <c r="X288" s="290"/>
      <c r="Y288" s="294"/>
      <c r="Z288" s="274"/>
      <c r="AA288" s="291"/>
      <c r="AB288" s="294"/>
      <c r="AC288" s="274"/>
      <c r="AD288" s="312"/>
      <c r="AE288" s="1278" t="str">
        <f t="shared" si="39"/>
        <v>0x0 ~ 0xFF (-40~215deg C)
0xFF:SNA</v>
      </c>
      <c r="AF288" s="312"/>
      <c r="AG288" s="296">
        <v>-40</v>
      </c>
      <c r="AH288" s="297">
        <v>1</v>
      </c>
      <c r="AI288" s="330">
        <v>0</v>
      </c>
      <c r="AJ288" s="1270" t="s">
        <v>2509</v>
      </c>
      <c r="AK288" s="339">
        <f t="shared" si="41"/>
        <v>-40</v>
      </c>
      <c r="AL288" s="1274">
        <f t="shared" si="44"/>
        <v>215</v>
      </c>
      <c r="AM288" s="1230" t="s">
        <v>2445</v>
      </c>
      <c r="AN288" s="295" t="s">
        <v>828</v>
      </c>
      <c r="AO288" s="312"/>
      <c r="AP288" s="486" t="s">
        <v>1126</v>
      </c>
      <c r="AQ288" s="486" t="s">
        <v>440</v>
      </c>
      <c r="AS288" s="501" t="s">
        <v>1406</v>
      </c>
      <c r="AT288" s="501" t="s">
        <v>1406</v>
      </c>
      <c r="AU288" s="501" t="s">
        <v>1406</v>
      </c>
      <c r="AV288" s="501" t="s">
        <v>1406</v>
      </c>
    </row>
    <row r="289" spans="2:48" s="252" customFormat="1" ht="26.4" hidden="1">
      <c r="B289" s="1218" t="s">
        <v>2454</v>
      </c>
      <c r="C289" s="689" t="s">
        <v>1712</v>
      </c>
      <c r="D289" s="309" t="s">
        <v>134</v>
      </c>
      <c r="E289" s="312"/>
      <c r="F289" s="1227" t="s">
        <v>2467</v>
      </c>
      <c r="G289" s="1615"/>
      <c r="H289" s="270" t="s">
        <v>287</v>
      </c>
      <c r="I289" s="270" t="s">
        <v>200</v>
      </c>
      <c r="J289" s="497" t="s">
        <v>623</v>
      </c>
      <c r="K289" s="312"/>
      <c r="L289" s="275" t="s">
        <v>134</v>
      </c>
      <c r="M289" s="276"/>
      <c r="N289" s="314"/>
      <c r="O289" s="279"/>
      <c r="P289" s="314"/>
      <c r="Q289" s="300" t="s">
        <v>134</v>
      </c>
      <c r="R289" s="276" t="s">
        <v>134</v>
      </c>
      <c r="S289" s="301"/>
      <c r="T289" s="276"/>
      <c r="U289" s="302"/>
      <c r="V289" s="303"/>
      <c r="W289" s="314"/>
      <c r="X289" s="300"/>
      <c r="Y289" s="304"/>
      <c r="Z289" s="276"/>
      <c r="AA289" s="301"/>
      <c r="AB289" s="304"/>
      <c r="AC289" s="276"/>
      <c r="AD289" s="312"/>
      <c r="AE289" s="1279" t="str">
        <f t="shared" si="39"/>
        <v>0x0 ~ 0xFF (-40~215deg C)
0xFF:SNA</v>
      </c>
      <c r="AF289" s="312"/>
      <c r="AG289" s="306">
        <v>-40</v>
      </c>
      <c r="AH289" s="307">
        <v>1</v>
      </c>
      <c r="AI289" s="332">
        <v>0</v>
      </c>
      <c r="AJ289" s="1271" t="s">
        <v>2509</v>
      </c>
      <c r="AK289" s="341">
        <f t="shared" si="41"/>
        <v>-40</v>
      </c>
      <c r="AL289" s="1275">
        <f t="shared" si="44"/>
        <v>215</v>
      </c>
      <c r="AM289" s="1231" t="s">
        <v>2445</v>
      </c>
      <c r="AN289" s="305" t="s">
        <v>828</v>
      </c>
      <c r="AO289" s="312"/>
      <c r="AP289" s="487" t="s">
        <v>1126</v>
      </c>
      <c r="AQ289" s="487" t="s">
        <v>440</v>
      </c>
      <c r="AS289" s="500" t="s">
        <v>1406</v>
      </c>
      <c r="AT289" s="500" t="s">
        <v>1406</v>
      </c>
      <c r="AU289" s="500" t="s">
        <v>1406</v>
      </c>
      <c r="AV289" s="500" t="s">
        <v>1406</v>
      </c>
    </row>
    <row r="290" spans="2:48" s="252" customFormat="1" ht="39.6" hidden="1">
      <c r="B290" s="1218" t="s">
        <v>2454</v>
      </c>
      <c r="C290" s="289" t="s">
        <v>134</v>
      </c>
      <c r="D290" s="289" t="s">
        <v>134</v>
      </c>
      <c r="E290" s="312"/>
      <c r="F290" s="1225" t="s">
        <v>2468</v>
      </c>
      <c r="G290" s="1614" t="s">
        <v>624</v>
      </c>
      <c r="H290" s="266">
        <v>1</v>
      </c>
      <c r="I290" s="266" t="s">
        <v>200</v>
      </c>
      <c r="J290" s="498" t="s">
        <v>625</v>
      </c>
      <c r="K290" s="312"/>
      <c r="L290" s="271" t="s">
        <v>134</v>
      </c>
      <c r="M290" s="272"/>
      <c r="N290" s="314"/>
      <c r="O290" s="277"/>
      <c r="P290" s="314"/>
      <c r="Q290" s="280" t="s">
        <v>134</v>
      </c>
      <c r="R290" s="272" t="s">
        <v>134</v>
      </c>
      <c r="S290" s="281"/>
      <c r="T290" s="272"/>
      <c r="U290" s="282"/>
      <c r="V290" s="283"/>
      <c r="W290" s="314"/>
      <c r="X290" s="280"/>
      <c r="Y290" s="284"/>
      <c r="Z290" s="272"/>
      <c r="AA290" s="281"/>
      <c r="AB290" s="284"/>
      <c r="AC290" s="272"/>
      <c r="AD290" s="312"/>
      <c r="AE290" s="285" t="str">
        <f t="shared" si="39"/>
        <v>0x0 ~ 0x1 (0~1 -)
0x0: Output OFF
0x1: Output ON</v>
      </c>
      <c r="AF290" s="312"/>
      <c r="AG290" s="1258">
        <v>0</v>
      </c>
      <c r="AH290" s="1259">
        <v>1</v>
      </c>
      <c r="AI290" s="328">
        <v>0</v>
      </c>
      <c r="AJ290" s="329">
        <v>1</v>
      </c>
      <c r="AK290" s="337">
        <f t="shared" si="41"/>
        <v>0</v>
      </c>
      <c r="AL290" s="1273">
        <f t="shared" si="44"/>
        <v>1</v>
      </c>
      <c r="AM290" s="1259" t="s">
        <v>2516</v>
      </c>
      <c r="AN290" s="285" t="s">
        <v>819</v>
      </c>
      <c r="AO290" s="312"/>
      <c r="AP290" s="310" t="s">
        <v>1125</v>
      </c>
      <c r="AQ290" s="310" t="s">
        <v>1521</v>
      </c>
      <c r="AS290" s="507" t="s">
        <v>1866</v>
      </c>
      <c r="AT290" s="310" t="s">
        <v>1984</v>
      </c>
      <c r="AU290" s="310" t="s">
        <v>2010</v>
      </c>
      <c r="AV290" s="507" t="s">
        <v>1866</v>
      </c>
    </row>
    <row r="291" spans="2:48" s="252" customFormat="1" ht="39.6" hidden="1">
      <c r="B291" s="1218" t="s">
        <v>2454</v>
      </c>
      <c r="C291" s="684" t="s">
        <v>1712</v>
      </c>
      <c r="D291" s="299" t="s">
        <v>134</v>
      </c>
      <c r="E291" s="312"/>
      <c r="F291" s="1226" t="s">
        <v>2468</v>
      </c>
      <c r="G291" s="1615"/>
      <c r="H291" s="268" t="s">
        <v>299</v>
      </c>
      <c r="I291" s="268" t="s">
        <v>200</v>
      </c>
      <c r="J291" s="499" t="s">
        <v>626</v>
      </c>
      <c r="K291" s="312"/>
      <c r="L291" s="273" t="s">
        <v>134</v>
      </c>
      <c r="M291" s="274"/>
      <c r="N291" s="314"/>
      <c r="O291" s="278"/>
      <c r="P291" s="314"/>
      <c r="Q291" s="290" t="s">
        <v>134</v>
      </c>
      <c r="R291" s="274" t="s">
        <v>134</v>
      </c>
      <c r="S291" s="291"/>
      <c r="T291" s="274"/>
      <c r="U291" s="292"/>
      <c r="V291" s="293"/>
      <c r="W291" s="314"/>
      <c r="X291" s="290"/>
      <c r="Y291" s="294"/>
      <c r="Z291" s="274"/>
      <c r="AA291" s="291"/>
      <c r="AB291" s="294"/>
      <c r="AC291" s="274"/>
      <c r="AD291" s="312"/>
      <c r="AE291" s="295" t="str">
        <f t="shared" si="39"/>
        <v>0x0 ~ 0x1 (0~1 -)
0x0: Output OFF
0x1: Output ON</v>
      </c>
      <c r="AF291" s="312"/>
      <c r="AG291" s="1260">
        <v>0</v>
      </c>
      <c r="AH291" s="1261">
        <v>1</v>
      </c>
      <c r="AI291" s="330">
        <v>0</v>
      </c>
      <c r="AJ291" s="331">
        <v>1</v>
      </c>
      <c r="AK291" s="339">
        <f t="shared" si="41"/>
        <v>0</v>
      </c>
      <c r="AL291" s="1274">
        <f t="shared" si="44"/>
        <v>1</v>
      </c>
      <c r="AM291" s="1261" t="s">
        <v>2516</v>
      </c>
      <c r="AN291" s="295" t="s">
        <v>819</v>
      </c>
      <c r="AO291" s="312"/>
      <c r="AP291" s="486" t="s">
        <v>1126</v>
      </c>
      <c r="AQ291" s="486" t="s">
        <v>440</v>
      </c>
      <c r="AS291" s="501" t="s">
        <v>1406</v>
      </c>
      <c r="AT291" s="501" t="s">
        <v>1406</v>
      </c>
      <c r="AU291" s="501" t="s">
        <v>1406</v>
      </c>
      <c r="AV291" s="501" t="s">
        <v>1406</v>
      </c>
    </row>
    <row r="292" spans="2:48" s="252" customFormat="1" ht="39.6" hidden="1">
      <c r="B292" s="1218" t="s">
        <v>2454</v>
      </c>
      <c r="C292" s="689" t="s">
        <v>1712</v>
      </c>
      <c r="D292" s="309" t="s">
        <v>134</v>
      </c>
      <c r="E292" s="312"/>
      <c r="F292" s="1227" t="s">
        <v>2468</v>
      </c>
      <c r="G292" s="1615"/>
      <c r="H292" s="270" t="s">
        <v>287</v>
      </c>
      <c r="I292" s="270" t="s">
        <v>200</v>
      </c>
      <c r="J292" s="497" t="s">
        <v>627</v>
      </c>
      <c r="K292" s="312"/>
      <c r="L292" s="275" t="s">
        <v>134</v>
      </c>
      <c r="M292" s="276"/>
      <c r="N292" s="314"/>
      <c r="O292" s="279"/>
      <c r="P292" s="314"/>
      <c r="Q292" s="300" t="s">
        <v>134</v>
      </c>
      <c r="R292" s="276" t="s">
        <v>134</v>
      </c>
      <c r="S292" s="301"/>
      <c r="T292" s="276"/>
      <c r="U292" s="302"/>
      <c r="V292" s="303"/>
      <c r="W292" s="314"/>
      <c r="X292" s="300"/>
      <c r="Y292" s="304"/>
      <c r="Z292" s="276"/>
      <c r="AA292" s="301"/>
      <c r="AB292" s="304"/>
      <c r="AC292" s="276"/>
      <c r="AD292" s="312"/>
      <c r="AE292" s="305" t="str">
        <f t="shared" si="39"/>
        <v>0x0 ~ 0x1 (0~1 -)
0x0: Output OFF
0x1: Output ON</v>
      </c>
      <c r="AF292" s="312"/>
      <c r="AG292" s="1262">
        <v>0</v>
      </c>
      <c r="AH292" s="1263">
        <v>1</v>
      </c>
      <c r="AI292" s="332">
        <v>0</v>
      </c>
      <c r="AJ292" s="333">
        <v>1</v>
      </c>
      <c r="AK292" s="341">
        <f t="shared" si="41"/>
        <v>0</v>
      </c>
      <c r="AL292" s="1275">
        <f t="shared" si="44"/>
        <v>1</v>
      </c>
      <c r="AM292" s="1263" t="s">
        <v>2516</v>
      </c>
      <c r="AN292" s="305" t="s">
        <v>819</v>
      </c>
      <c r="AO292" s="312"/>
      <c r="AP292" s="487" t="s">
        <v>1126</v>
      </c>
      <c r="AQ292" s="487" t="s">
        <v>440</v>
      </c>
      <c r="AS292" s="500" t="s">
        <v>1406</v>
      </c>
      <c r="AT292" s="500" t="s">
        <v>1406</v>
      </c>
      <c r="AU292" s="500" t="s">
        <v>1406</v>
      </c>
      <c r="AV292" s="500" t="s">
        <v>1406</v>
      </c>
    </row>
    <row r="293" spans="2:48" s="252" customFormat="1" ht="118.8" hidden="1">
      <c r="B293" s="1218" t="s">
        <v>2454</v>
      </c>
      <c r="C293" s="289" t="s">
        <v>134</v>
      </c>
      <c r="D293" s="289" t="s">
        <v>134</v>
      </c>
      <c r="E293" s="312"/>
      <c r="F293" s="1225" t="s">
        <v>2469</v>
      </c>
      <c r="G293" s="1614" t="s">
        <v>628</v>
      </c>
      <c r="H293" s="266">
        <v>1</v>
      </c>
      <c r="I293" s="266" t="s">
        <v>200</v>
      </c>
      <c r="J293" s="498" t="s">
        <v>629</v>
      </c>
      <c r="K293" s="312"/>
      <c r="L293" s="271" t="s">
        <v>134</v>
      </c>
      <c r="M293" s="272"/>
      <c r="N293" s="314"/>
      <c r="O293" s="277"/>
      <c r="P293" s="314"/>
      <c r="Q293" s="280" t="s">
        <v>134</v>
      </c>
      <c r="R293" s="272" t="s">
        <v>134</v>
      </c>
      <c r="S293" s="281"/>
      <c r="T293" s="272"/>
      <c r="U293" s="282"/>
      <c r="V293" s="283"/>
      <c r="W293" s="314"/>
      <c r="X293" s="280"/>
      <c r="Y293" s="284"/>
      <c r="Z293" s="272"/>
      <c r="AA293" s="281"/>
      <c r="AB293" s="284"/>
      <c r="AC293" s="272"/>
      <c r="AD293" s="312"/>
      <c r="AE293" s="285" t="str">
        <f t="shared" si="39"/>
        <v>0x0 ~ 0xFF (0~255 -)
0x0: OFF
0x1: Temporary Lock
0x2: Overheat Lock
0x3: Permanent Lock
0x4: Operation
0x5: Production mode
0x6: Post_Production_Mode
0x7: (Reserved)</v>
      </c>
      <c r="AF293" s="312"/>
      <c r="AG293" s="1258">
        <v>0</v>
      </c>
      <c r="AH293" s="1259">
        <v>1</v>
      </c>
      <c r="AI293" s="328">
        <v>0</v>
      </c>
      <c r="AJ293" s="1253" t="s">
        <v>2509</v>
      </c>
      <c r="AK293" s="337">
        <f t="shared" si="41"/>
        <v>0</v>
      </c>
      <c r="AL293" s="1273">
        <f t="shared" si="44"/>
        <v>255</v>
      </c>
      <c r="AM293" s="1259" t="s">
        <v>2516</v>
      </c>
      <c r="AN293" s="285" t="s">
        <v>820</v>
      </c>
      <c r="AO293" s="312"/>
      <c r="AP293" s="310" t="s">
        <v>1125</v>
      </c>
      <c r="AQ293" s="310" t="s">
        <v>630</v>
      </c>
      <c r="AS293" s="507" t="s">
        <v>1866</v>
      </c>
      <c r="AT293" s="310" t="s">
        <v>1987</v>
      </c>
      <c r="AU293" s="310" t="s">
        <v>2011</v>
      </c>
      <c r="AV293" s="507" t="s">
        <v>1866</v>
      </c>
    </row>
    <row r="294" spans="2:48" s="252" customFormat="1" ht="118.8" hidden="1">
      <c r="B294" s="1218" t="s">
        <v>2454</v>
      </c>
      <c r="C294" s="684" t="s">
        <v>1712</v>
      </c>
      <c r="D294" s="299" t="s">
        <v>134</v>
      </c>
      <c r="E294" s="312"/>
      <c r="F294" s="1226" t="s">
        <v>2469</v>
      </c>
      <c r="G294" s="1615"/>
      <c r="H294" s="268" t="s">
        <v>299</v>
      </c>
      <c r="I294" s="268" t="s">
        <v>200</v>
      </c>
      <c r="J294" s="499" t="s">
        <v>631</v>
      </c>
      <c r="K294" s="312"/>
      <c r="L294" s="273" t="s">
        <v>134</v>
      </c>
      <c r="M294" s="274"/>
      <c r="N294" s="314"/>
      <c r="O294" s="278"/>
      <c r="P294" s="314"/>
      <c r="Q294" s="290" t="s">
        <v>134</v>
      </c>
      <c r="R294" s="274" t="s">
        <v>134</v>
      </c>
      <c r="S294" s="291"/>
      <c r="T294" s="274"/>
      <c r="U294" s="292"/>
      <c r="V294" s="293"/>
      <c r="W294" s="314"/>
      <c r="X294" s="290"/>
      <c r="Y294" s="294"/>
      <c r="Z294" s="274"/>
      <c r="AA294" s="291"/>
      <c r="AB294" s="294"/>
      <c r="AC294" s="274"/>
      <c r="AD294" s="312"/>
      <c r="AE294" s="295" t="str">
        <f t="shared" si="39"/>
        <v>0x0 ~ 0xFF (0~255 -)
0x0: OFF
0x1: Temporary Lock
0x2: Overheat Lock
0x3: Permanent Lock
0x4: Operation
0x5: Production mode
0x6: Post_Production_Mode
0x7: (Reserved)</v>
      </c>
      <c r="AF294" s="312"/>
      <c r="AG294" s="1260">
        <v>0</v>
      </c>
      <c r="AH294" s="1261">
        <v>1</v>
      </c>
      <c r="AI294" s="330">
        <v>0</v>
      </c>
      <c r="AJ294" s="1270" t="s">
        <v>2509</v>
      </c>
      <c r="AK294" s="339">
        <f t="shared" si="41"/>
        <v>0</v>
      </c>
      <c r="AL294" s="1274">
        <f t="shared" si="44"/>
        <v>255</v>
      </c>
      <c r="AM294" s="1261" t="s">
        <v>2516</v>
      </c>
      <c r="AN294" s="295" t="s">
        <v>820</v>
      </c>
      <c r="AO294" s="312"/>
      <c r="AP294" s="486" t="s">
        <v>1126</v>
      </c>
      <c r="AQ294" s="486" t="s">
        <v>440</v>
      </c>
      <c r="AS294" s="501" t="s">
        <v>1406</v>
      </c>
      <c r="AT294" s="501" t="s">
        <v>1406</v>
      </c>
      <c r="AU294" s="501" t="s">
        <v>1406</v>
      </c>
      <c r="AV294" s="501" t="s">
        <v>1406</v>
      </c>
    </row>
    <row r="295" spans="2:48" s="252" customFormat="1" ht="118.8" hidden="1">
      <c r="B295" s="1218" t="s">
        <v>2454</v>
      </c>
      <c r="C295" s="689" t="s">
        <v>1712</v>
      </c>
      <c r="D295" s="309" t="s">
        <v>134</v>
      </c>
      <c r="E295" s="312"/>
      <c r="F295" s="1227" t="s">
        <v>2469</v>
      </c>
      <c r="G295" s="1615"/>
      <c r="H295" s="270" t="s">
        <v>287</v>
      </c>
      <c r="I295" s="270" t="s">
        <v>200</v>
      </c>
      <c r="J295" s="497" t="s">
        <v>632</v>
      </c>
      <c r="K295" s="312"/>
      <c r="L295" s="275" t="s">
        <v>134</v>
      </c>
      <c r="M295" s="276"/>
      <c r="N295" s="314"/>
      <c r="O295" s="279"/>
      <c r="P295" s="314"/>
      <c r="Q295" s="300" t="s">
        <v>134</v>
      </c>
      <c r="R295" s="276" t="s">
        <v>134</v>
      </c>
      <c r="S295" s="301"/>
      <c r="T295" s="276"/>
      <c r="U295" s="302"/>
      <c r="V295" s="303"/>
      <c r="W295" s="314"/>
      <c r="X295" s="300"/>
      <c r="Y295" s="304"/>
      <c r="Z295" s="276"/>
      <c r="AA295" s="301"/>
      <c r="AB295" s="304"/>
      <c r="AC295" s="276"/>
      <c r="AD295" s="312"/>
      <c r="AE295" s="305" t="str">
        <f t="shared" si="39"/>
        <v>0x0 ~ 0xFF (0~255 -)
0x0: OFF
0x1: Temporary Lock
0x2: Overheat Lock
0x3: Permanent Lock
0x4: Operation
0x5: Production mode
0x6: Post_Production_Mode
0x7: (Reserved)</v>
      </c>
      <c r="AF295" s="312"/>
      <c r="AG295" s="1262">
        <v>0</v>
      </c>
      <c r="AH295" s="1263">
        <v>1</v>
      </c>
      <c r="AI295" s="332">
        <v>0</v>
      </c>
      <c r="AJ295" s="1271" t="s">
        <v>2509</v>
      </c>
      <c r="AK295" s="341">
        <f t="shared" si="41"/>
        <v>0</v>
      </c>
      <c r="AL295" s="1275">
        <f t="shared" si="44"/>
        <v>255</v>
      </c>
      <c r="AM295" s="1263" t="s">
        <v>2516</v>
      </c>
      <c r="AN295" s="305" t="s">
        <v>820</v>
      </c>
      <c r="AO295" s="312"/>
      <c r="AP295" s="487" t="s">
        <v>1126</v>
      </c>
      <c r="AQ295" s="487" t="s">
        <v>440</v>
      </c>
      <c r="AS295" s="500" t="s">
        <v>1406</v>
      </c>
      <c r="AT295" s="500" t="s">
        <v>1406</v>
      </c>
      <c r="AU295" s="500" t="s">
        <v>1406</v>
      </c>
      <c r="AV295" s="500" t="s">
        <v>1406</v>
      </c>
    </row>
    <row r="296" spans="2:48" s="252" customFormat="1" ht="39.6" hidden="1">
      <c r="B296" s="1218" t="s">
        <v>2454</v>
      </c>
      <c r="C296" s="289" t="s">
        <v>134</v>
      </c>
      <c r="D296" s="289" t="s">
        <v>134</v>
      </c>
      <c r="E296" s="312"/>
      <c r="F296" s="1225" t="s">
        <v>2470</v>
      </c>
      <c r="G296" s="1614" t="s">
        <v>633</v>
      </c>
      <c r="H296" s="266">
        <v>1</v>
      </c>
      <c r="I296" s="266" t="s">
        <v>200</v>
      </c>
      <c r="J296" s="498" t="s">
        <v>634</v>
      </c>
      <c r="K296" s="312"/>
      <c r="L296" s="271" t="s">
        <v>134</v>
      </c>
      <c r="M296" s="272"/>
      <c r="N296" s="314"/>
      <c r="O296" s="277"/>
      <c r="P296" s="314"/>
      <c r="Q296" s="280" t="s">
        <v>134</v>
      </c>
      <c r="R296" s="272" t="s">
        <v>134</v>
      </c>
      <c r="S296" s="281"/>
      <c r="T296" s="272"/>
      <c r="U296" s="282"/>
      <c r="V296" s="283"/>
      <c r="W296" s="314"/>
      <c r="X296" s="280"/>
      <c r="Y296" s="284"/>
      <c r="Z296" s="272"/>
      <c r="AA296" s="281"/>
      <c r="AB296" s="284"/>
      <c r="AC296" s="272"/>
      <c r="AD296" s="312"/>
      <c r="AE296" s="285" t="str">
        <f t="shared" si="39"/>
        <v>0x0 ~ 0x1 (0~1 -)
0x0: Inactive
0x1: Active</v>
      </c>
      <c r="AF296" s="312"/>
      <c r="AG296" s="1258">
        <v>0</v>
      </c>
      <c r="AH296" s="1259">
        <v>1</v>
      </c>
      <c r="AI296" s="328">
        <v>0</v>
      </c>
      <c r="AJ296" s="329">
        <v>1</v>
      </c>
      <c r="AK296" s="337">
        <f t="shared" si="41"/>
        <v>0</v>
      </c>
      <c r="AL296" s="1273">
        <f t="shared" si="44"/>
        <v>1</v>
      </c>
      <c r="AM296" s="1259" t="s">
        <v>2516</v>
      </c>
      <c r="AN296" s="285" t="s">
        <v>821</v>
      </c>
      <c r="AO296" s="312"/>
      <c r="AP296" s="310" t="s">
        <v>1125</v>
      </c>
      <c r="AQ296" s="310" t="s">
        <v>635</v>
      </c>
      <c r="AS296" s="507" t="s">
        <v>1866</v>
      </c>
      <c r="AT296" s="310" t="s">
        <v>1987</v>
      </c>
      <c r="AU296" s="310" t="s">
        <v>2012</v>
      </c>
      <c r="AV296" s="507" t="s">
        <v>1866</v>
      </c>
    </row>
    <row r="297" spans="2:48" s="252" customFormat="1" ht="39.6" hidden="1">
      <c r="B297" s="1218" t="s">
        <v>2454</v>
      </c>
      <c r="C297" s="684" t="s">
        <v>1712</v>
      </c>
      <c r="D297" s="299" t="s">
        <v>134</v>
      </c>
      <c r="E297" s="312"/>
      <c r="F297" s="1226" t="s">
        <v>2470</v>
      </c>
      <c r="G297" s="1615"/>
      <c r="H297" s="268" t="s">
        <v>299</v>
      </c>
      <c r="I297" s="268" t="s">
        <v>200</v>
      </c>
      <c r="J297" s="499" t="s">
        <v>636</v>
      </c>
      <c r="K297" s="312"/>
      <c r="L297" s="273" t="s">
        <v>134</v>
      </c>
      <c r="M297" s="274"/>
      <c r="N297" s="314"/>
      <c r="O297" s="278"/>
      <c r="P297" s="314"/>
      <c r="Q297" s="290" t="s">
        <v>134</v>
      </c>
      <c r="R297" s="274" t="s">
        <v>134</v>
      </c>
      <c r="S297" s="291"/>
      <c r="T297" s="274"/>
      <c r="U297" s="292"/>
      <c r="V297" s="293"/>
      <c r="W297" s="314"/>
      <c r="X297" s="290"/>
      <c r="Y297" s="294"/>
      <c r="Z297" s="274"/>
      <c r="AA297" s="291"/>
      <c r="AB297" s="294"/>
      <c r="AC297" s="274"/>
      <c r="AD297" s="312"/>
      <c r="AE297" s="295" t="str">
        <f t="shared" si="39"/>
        <v>0x0 ~ 0x1 (0~1 -)
0x0: Inactive
0x1: Active</v>
      </c>
      <c r="AF297" s="312"/>
      <c r="AG297" s="1260">
        <v>0</v>
      </c>
      <c r="AH297" s="1261">
        <v>1</v>
      </c>
      <c r="AI297" s="330">
        <v>0</v>
      </c>
      <c r="AJ297" s="331">
        <v>1</v>
      </c>
      <c r="AK297" s="339">
        <f t="shared" si="41"/>
        <v>0</v>
      </c>
      <c r="AL297" s="1274">
        <f t="shared" si="44"/>
        <v>1</v>
      </c>
      <c r="AM297" s="1261" t="s">
        <v>2516</v>
      </c>
      <c r="AN297" s="295" t="s">
        <v>821</v>
      </c>
      <c r="AO297" s="312"/>
      <c r="AP297" s="486" t="s">
        <v>1126</v>
      </c>
      <c r="AQ297" s="486" t="s">
        <v>440</v>
      </c>
      <c r="AS297" s="501" t="s">
        <v>1406</v>
      </c>
      <c r="AT297" s="501" t="s">
        <v>1406</v>
      </c>
      <c r="AU297" s="501" t="s">
        <v>1406</v>
      </c>
      <c r="AV297" s="501" t="s">
        <v>1406</v>
      </c>
    </row>
    <row r="298" spans="2:48" s="252" customFormat="1" ht="39.6" hidden="1">
      <c r="B298" s="1218" t="s">
        <v>2454</v>
      </c>
      <c r="C298" s="689" t="s">
        <v>1712</v>
      </c>
      <c r="D298" s="309" t="s">
        <v>134</v>
      </c>
      <c r="E298" s="312"/>
      <c r="F298" s="1227" t="s">
        <v>2470</v>
      </c>
      <c r="G298" s="1615"/>
      <c r="H298" s="270" t="s">
        <v>287</v>
      </c>
      <c r="I298" s="270" t="s">
        <v>200</v>
      </c>
      <c r="J298" s="497" t="s">
        <v>637</v>
      </c>
      <c r="K298" s="312"/>
      <c r="L298" s="275" t="s">
        <v>134</v>
      </c>
      <c r="M298" s="276"/>
      <c r="N298" s="314"/>
      <c r="O298" s="279"/>
      <c r="P298" s="314"/>
      <c r="Q298" s="300" t="s">
        <v>134</v>
      </c>
      <c r="R298" s="276" t="s">
        <v>134</v>
      </c>
      <c r="S298" s="301"/>
      <c r="T298" s="276"/>
      <c r="U298" s="302"/>
      <c r="V298" s="303"/>
      <c r="W298" s="314"/>
      <c r="X298" s="300"/>
      <c r="Y298" s="304"/>
      <c r="Z298" s="276"/>
      <c r="AA298" s="301"/>
      <c r="AB298" s="304"/>
      <c r="AC298" s="276"/>
      <c r="AD298" s="312"/>
      <c r="AE298" s="305" t="str">
        <f t="shared" si="39"/>
        <v>0x0 ~ 0x1 (0~1 -)
0x0: Inactive
0x1: Active</v>
      </c>
      <c r="AF298" s="312"/>
      <c r="AG298" s="1262">
        <v>0</v>
      </c>
      <c r="AH298" s="1263">
        <v>1</v>
      </c>
      <c r="AI298" s="332">
        <v>0</v>
      </c>
      <c r="AJ298" s="333">
        <v>1</v>
      </c>
      <c r="AK298" s="341">
        <f t="shared" si="41"/>
        <v>0</v>
      </c>
      <c r="AL298" s="1275">
        <f t="shared" si="44"/>
        <v>1</v>
      </c>
      <c r="AM298" s="1263" t="s">
        <v>2516</v>
      </c>
      <c r="AN298" s="305" t="s">
        <v>821</v>
      </c>
      <c r="AO298" s="312"/>
      <c r="AP298" s="487" t="s">
        <v>1126</v>
      </c>
      <c r="AQ298" s="487" t="s">
        <v>440</v>
      </c>
      <c r="AS298" s="500" t="s">
        <v>1406</v>
      </c>
      <c r="AT298" s="500" t="s">
        <v>1406</v>
      </c>
      <c r="AU298" s="500" t="s">
        <v>1406</v>
      </c>
      <c r="AV298" s="500" t="s">
        <v>1406</v>
      </c>
    </row>
    <row r="299" spans="2:48" s="252" customFormat="1" ht="145.19999999999999" hidden="1">
      <c r="B299" s="1218" t="s">
        <v>2454</v>
      </c>
      <c r="C299" s="289" t="s">
        <v>134</v>
      </c>
      <c r="D299" s="289" t="s">
        <v>134</v>
      </c>
      <c r="E299" s="312"/>
      <c r="F299" s="1225" t="s">
        <v>2471</v>
      </c>
      <c r="G299" s="1614" t="s">
        <v>638</v>
      </c>
      <c r="H299" s="266">
        <v>1</v>
      </c>
      <c r="I299" s="266" t="s">
        <v>200</v>
      </c>
      <c r="J299" s="498" t="s">
        <v>639</v>
      </c>
      <c r="K299" s="312"/>
      <c r="L299" s="271" t="s">
        <v>134</v>
      </c>
      <c r="M299" s="272"/>
      <c r="N299" s="314"/>
      <c r="O299" s="277"/>
      <c r="P299" s="314"/>
      <c r="Q299" s="280" t="s">
        <v>134</v>
      </c>
      <c r="R299" s="272" t="s">
        <v>134</v>
      </c>
      <c r="S299" s="281"/>
      <c r="T299" s="272"/>
      <c r="U299" s="282"/>
      <c r="V299" s="283"/>
      <c r="W299" s="314"/>
      <c r="X299" s="280"/>
      <c r="Y299" s="284"/>
      <c r="Z299" s="272"/>
      <c r="AA299" s="281"/>
      <c r="AB299" s="284"/>
      <c r="AC299" s="272"/>
      <c r="AD299" s="312"/>
      <c r="AE299" s="1277" t="str">
        <f t="shared" si="39"/>
        <v>0x0 ~ 0xFF (-40~215deg C)
0xFF: SNA</v>
      </c>
      <c r="AF299" s="312"/>
      <c r="AG299" s="286">
        <v>-40</v>
      </c>
      <c r="AH299" s="287">
        <v>1</v>
      </c>
      <c r="AI299" s="328">
        <v>0</v>
      </c>
      <c r="AJ299" s="1253" t="s">
        <v>2509</v>
      </c>
      <c r="AK299" s="337">
        <f t="shared" si="41"/>
        <v>-40</v>
      </c>
      <c r="AL299" s="1273">
        <f t="shared" si="44"/>
        <v>215</v>
      </c>
      <c r="AM299" s="1229" t="s">
        <v>2445</v>
      </c>
      <c r="AN299" s="285" t="s">
        <v>818</v>
      </c>
      <c r="AO299" s="312"/>
      <c r="AP299" s="310" t="s">
        <v>1125</v>
      </c>
      <c r="AQ299" s="913" t="s">
        <v>2315</v>
      </c>
      <c r="AS299" s="507" t="s">
        <v>1866</v>
      </c>
      <c r="AT299" s="310" t="s">
        <v>1987</v>
      </c>
      <c r="AU299" s="310" t="s">
        <v>2494</v>
      </c>
      <c r="AV299" s="507" t="s">
        <v>1866</v>
      </c>
    </row>
    <row r="300" spans="2:48" s="252" customFormat="1" ht="26.4" hidden="1">
      <c r="B300" s="1218" t="s">
        <v>2454</v>
      </c>
      <c r="C300" s="684" t="s">
        <v>1712</v>
      </c>
      <c r="D300" s="299" t="s">
        <v>134</v>
      </c>
      <c r="E300" s="312"/>
      <c r="F300" s="1226" t="s">
        <v>2471</v>
      </c>
      <c r="G300" s="1615"/>
      <c r="H300" s="268" t="s">
        <v>299</v>
      </c>
      <c r="I300" s="268" t="s">
        <v>200</v>
      </c>
      <c r="J300" s="499" t="s">
        <v>640</v>
      </c>
      <c r="K300" s="312"/>
      <c r="L300" s="273" t="s">
        <v>134</v>
      </c>
      <c r="M300" s="274"/>
      <c r="N300" s="314"/>
      <c r="O300" s="278"/>
      <c r="P300" s="314"/>
      <c r="Q300" s="290" t="s">
        <v>134</v>
      </c>
      <c r="R300" s="274" t="s">
        <v>134</v>
      </c>
      <c r="S300" s="291"/>
      <c r="T300" s="274"/>
      <c r="U300" s="292"/>
      <c r="V300" s="293"/>
      <c r="W300" s="314"/>
      <c r="X300" s="290"/>
      <c r="Y300" s="294"/>
      <c r="Z300" s="274"/>
      <c r="AA300" s="291"/>
      <c r="AB300" s="294"/>
      <c r="AC300" s="274"/>
      <c r="AD300" s="312"/>
      <c r="AE300" s="1278" t="str">
        <f t="shared" si="39"/>
        <v>0x0 ~ 0xFF (-40~215deg C)
0xFF: SNA</v>
      </c>
      <c r="AF300" s="312"/>
      <c r="AG300" s="296">
        <v>-40</v>
      </c>
      <c r="AH300" s="297">
        <v>1</v>
      </c>
      <c r="AI300" s="330">
        <v>0</v>
      </c>
      <c r="AJ300" s="1270" t="s">
        <v>2509</v>
      </c>
      <c r="AK300" s="339">
        <f t="shared" si="41"/>
        <v>-40</v>
      </c>
      <c r="AL300" s="1274">
        <f t="shared" si="44"/>
        <v>215</v>
      </c>
      <c r="AM300" s="1230" t="s">
        <v>2445</v>
      </c>
      <c r="AN300" s="295" t="s">
        <v>818</v>
      </c>
      <c r="AO300" s="312"/>
      <c r="AP300" s="486" t="s">
        <v>1126</v>
      </c>
      <c r="AQ300" s="623" t="s">
        <v>440</v>
      </c>
      <c r="AS300" s="501" t="s">
        <v>1406</v>
      </c>
      <c r="AT300" s="501" t="s">
        <v>1406</v>
      </c>
      <c r="AU300" s="501" t="s">
        <v>1406</v>
      </c>
      <c r="AV300" s="501" t="s">
        <v>1406</v>
      </c>
    </row>
    <row r="301" spans="2:48" s="252" customFormat="1" ht="26.4" hidden="1">
      <c r="B301" s="1218" t="s">
        <v>2454</v>
      </c>
      <c r="C301" s="689" t="s">
        <v>1712</v>
      </c>
      <c r="D301" s="309" t="s">
        <v>134</v>
      </c>
      <c r="E301" s="312"/>
      <c r="F301" s="1227" t="s">
        <v>2471</v>
      </c>
      <c r="G301" s="1615"/>
      <c r="H301" s="270" t="s">
        <v>287</v>
      </c>
      <c r="I301" s="270" t="s">
        <v>200</v>
      </c>
      <c r="J301" s="497" t="s">
        <v>641</v>
      </c>
      <c r="K301" s="312"/>
      <c r="L301" s="275" t="s">
        <v>134</v>
      </c>
      <c r="M301" s="276"/>
      <c r="N301" s="314"/>
      <c r="O301" s="279"/>
      <c r="P301" s="314"/>
      <c r="Q301" s="300" t="s">
        <v>134</v>
      </c>
      <c r="R301" s="276" t="s">
        <v>134</v>
      </c>
      <c r="S301" s="301"/>
      <c r="T301" s="276"/>
      <c r="U301" s="302"/>
      <c r="V301" s="303"/>
      <c r="W301" s="314"/>
      <c r="X301" s="300"/>
      <c r="Y301" s="304"/>
      <c r="Z301" s="276"/>
      <c r="AA301" s="301"/>
      <c r="AB301" s="304"/>
      <c r="AC301" s="276"/>
      <c r="AD301" s="312"/>
      <c r="AE301" s="1279" t="str">
        <f t="shared" si="39"/>
        <v>0x0 ~ 0xFF (-40~215deg C)
0xFF: SNA</v>
      </c>
      <c r="AF301" s="312"/>
      <c r="AG301" s="306">
        <v>-40</v>
      </c>
      <c r="AH301" s="307">
        <v>1</v>
      </c>
      <c r="AI301" s="332">
        <v>0</v>
      </c>
      <c r="AJ301" s="1271" t="s">
        <v>2509</v>
      </c>
      <c r="AK301" s="341">
        <f t="shared" si="41"/>
        <v>-40</v>
      </c>
      <c r="AL301" s="1275">
        <f t="shared" si="44"/>
        <v>215</v>
      </c>
      <c r="AM301" s="1231" t="s">
        <v>2445</v>
      </c>
      <c r="AN301" s="305" t="s">
        <v>818</v>
      </c>
      <c r="AO301" s="312"/>
      <c r="AP301" s="487" t="s">
        <v>1126</v>
      </c>
      <c r="AQ301" s="935" t="s">
        <v>440</v>
      </c>
      <c r="AS301" s="500" t="s">
        <v>1406</v>
      </c>
      <c r="AT301" s="500" t="s">
        <v>1406</v>
      </c>
      <c r="AU301" s="500" t="s">
        <v>1406</v>
      </c>
      <c r="AV301" s="500" t="s">
        <v>1406</v>
      </c>
    </row>
    <row r="302" spans="2:48" s="252" customFormat="1" ht="145.19999999999999" hidden="1">
      <c r="B302" s="1218" t="s">
        <v>2454</v>
      </c>
      <c r="C302" s="289" t="s">
        <v>134</v>
      </c>
      <c r="D302" s="289" t="s">
        <v>134</v>
      </c>
      <c r="E302" s="312"/>
      <c r="F302" s="1225" t="s">
        <v>2472</v>
      </c>
      <c r="G302" s="1614" t="s">
        <v>642</v>
      </c>
      <c r="H302" s="266">
        <v>1</v>
      </c>
      <c r="I302" s="266" t="s">
        <v>200</v>
      </c>
      <c r="J302" s="498" t="s">
        <v>643</v>
      </c>
      <c r="K302" s="312"/>
      <c r="L302" s="271" t="s">
        <v>134</v>
      </c>
      <c r="M302" s="272"/>
      <c r="N302" s="314"/>
      <c r="O302" s="277"/>
      <c r="P302" s="314"/>
      <c r="Q302" s="280" t="s">
        <v>134</v>
      </c>
      <c r="R302" s="272" t="s">
        <v>134</v>
      </c>
      <c r="S302" s="281"/>
      <c r="T302" s="272"/>
      <c r="U302" s="282"/>
      <c r="V302" s="283"/>
      <c r="W302" s="314"/>
      <c r="X302" s="280"/>
      <c r="Y302" s="284"/>
      <c r="Z302" s="272"/>
      <c r="AA302" s="281"/>
      <c r="AB302" s="284"/>
      <c r="AC302" s="272"/>
      <c r="AD302" s="312"/>
      <c r="AE302" s="1277" t="str">
        <f t="shared" si="39"/>
        <v>0x0 ~ 0xFF (-40~215deg C)
0xFF: SNA</v>
      </c>
      <c r="AF302" s="312"/>
      <c r="AG302" s="286">
        <v>-40</v>
      </c>
      <c r="AH302" s="287">
        <v>1</v>
      </c>
      <c r="AI302" s="328">
        <v>0</v>
      </c>
      <c r="AJ302" s="1253" t="s">
        <v>2509</v>
      </c>
      <c r="AK302" s="337">
        <f t="shared" ref="AK302:AK304" si="45">HEX2DEC(AI302)*AH302+AG302</f>
        <v>-40</v>
      </c>
      <c r="AL302" s="1273">
        <f t="shared" ref="AL302:AL304" si="46">HEX2DEC(AJ302)*AH302+AG302</f>
        <v>215</v>
      </c>
      <c r="AM302" s="1229" t="s">
        <v>2445</v>
      </c>
      <c r="AN302" s="285" t="s">
        <v>818</v>
      </c>
      <c r="AO302" s="312"/>
      <c r="AP302" s="310" t="s">
        <v>1125</v>
      </c>
      <c r="AQ302" s="913" t="s">
        <v>2316</v>
      </c>
      <c r="AS302" s="507" t="s">
        <v>1866</v>
      </c>
      <c r="AT302" s="310" t="s">
        <v>1987</v>
      </c>
      <c r="AU302" s="310" t="s">
        <v>2013</v>
      </c>
      <c r="AV302" s="507" t="s">
        <v>1866</v>
      </c>
    </row>
    <row r="303" spans="2:48" s="252" customFormat="1" ht="26.4" hidden="1">
      <c r="B303" s="1218" t="s">
        <v>2454</v>
      </c>
      <c r="C303" s="684" t="s">
        <v>1712</v>
      </c>
      <c r="D303" s="299" t="s">
        <v>134</v>
      </c>
      <c r="E303" s="312"/>
      <c r="F303" s="1226" t="s">
        <v>2472</v>
      </c>
      <c r="G303" s="1615"/>
      <c r="H303" s="268" t="s">
        <v>299</v>
      </c>
      <c r="I303" s="268" t="s">
        <v>200</v>
      </c>
      <c r="J303" s="499" t="s">
        <v>644</v>
      </c>
      <c r="K303" s="312"/>
      <c r="L303" s="273" t="s">
        <v>134</v>
      </c>
      <c r="M303" s="274"/>
      <c r="N303" s="314"/>
      <c r="O303" s="278"/>
      <c r="P303" s="314"/>
      <c r="Q303" s="290" t="s">
        <v>134</v>
      </c>
      <c r="R303" s="274" t="s">
        <v>134</v>
      </c>
      <c r="S303" s="291"/>
      <c r="T303" s="274"/>
      <c r="U303" s="292"/>
      <c r="V303" s="293"/>
      <c r="W303" s="314"/>
      <c r="X303" s="290"/>
      <c r="Y303" s="294"/>
      <c r="Z303" s="274"/>
      <c r="AA303" s="291"/>
      <c r="AB303" s="294"/>
      <c r="AC303" s="274"/>
      <c r="AD303" s="312"/>
      <c r="AE303" s="1278" t="str">
        <f t="shared" si="39"/>
        <v>0x0 ~ 0xFF (-40~215deg C)
0xFF: SNA</v>
      </c>
      <c r="AF303" s="312"/>
      <c r="AG303" s="296">
        <v>-40</v>
      </c>
      <c r="AH303" s="297">
        <v>1</v>
      </c>
      <c r="AI303" s="330">
        <v>0</v>
      </c>
      <c r="AJ303" s="1270" t="s">
        <v>2509</v>
      </c>
      <c r="AK303" s="339">
        <f t="shared" si="45"/>
        <v>-40</v>
      </c>
      <c r="AL303" s="1274">
        <f t="shared" si="46"/>
        <v>215</v>
      </c>
      <c r="AM303" s="1230" t="s">
        <v>2445</v>
      </c>
      <c r="AN303" s="295" t="s">
        <v>818</v>
      </c>
      <c r="AO303" s="312"/>
      <c r="AP303" s="486" t="s">
        <v>1126</v>
      </c>
      <c r="AQ303" s="623" t="s">
        <v>440</v>
      </c>
      <c r="AS303" s="501" t="s">
        <v>1406</v>
      </c>
      <c r="AT303" s="501" t="s">
        <v>1406</v>
      </c>
      <c r="AU303" s="501" t="s">
        <v>1406</v>
      </c>
      <c r="AV303" s="501" t="s">
        <v>1406</v>
      </c>
    </row>
    <row r="304" spans="2:48" s="252" customFormat="1" ht="26.4" hidden="1">
      <c r="B304" s="1218" t="s">
        <v>2454</v>
      </c>
      <c r="C304" s="689" t="s">
        <v>1712</v>
      </c>
      <c r="D304" s="309" t="s">
        <v>134</v>
      </c>
      <c r="E304" s="312"/>
      <c r="F304" s="1227" t="s">
        <v>2472</v>
      </c>
      <c r="G304" s="1615"/>
      <c r="H304" s="270" t="s">
        <v>287</v>
      </c>
      <c r="I304" s="270" t="s">
        <v>200</v>
      </c>
      <c r="J304" s="497" t="s">
        <v>645</v>
      </c>
      <c r="K304" s="312"/>
      <c r="L304" s="275" t="s">
        <v>134</v>
      </c>
      <c r="M304" s="276"/>
      <c r="N304" s="314"/>
      <c r="O304" s="279"/>
      <c r="P304" s="314"/>
      <c r="Q304" s="300" t="s">
        <v>134</v>
      </c>
      <c r="R304" s="276" t="s">
        <v>134</v>
      </c>
      <c r="S304" s="301"/>
      <c r="T304" s="276"/>
      <c r="U304" s="302"/>
      <c r="V304" s="303"/>
      <c r="W304" s="314"/>
      <c r="X304" s="300"/>
      <c r="Y304" s="304"/>
      <c r="Z304" s="276"/>
      <c r="AA304" s="301"/>
      <c r="AB304" s="304"/>
      <c r="AC304" s="276"/>
      <c r="AD304" s="312"/>
      <c r="AE304" s="1279" t="str">
        <f t="shared" si="39"/>
        <v>0x0 ~ 0xFF (-40~215deg C)
0xFF: SNA</v>
      </c>
      <c r="AF304" s="312"/>
      <c r="AG304" s="306">
        <v>-40</v>
      </c>
      <c r="AH304" s="307">
        <v>1</v>
      </c>
      <c r="AI304" s="332">
        <v>0</v>
      </c>
      <c r="AJ304" s="1271" t="s">
        <v>2509</v>
      </c>
      <c r="AK304" s="341">
        <f t="shared" si="45"/>
        <v>-40</v>
      </c>
      <c r="AL304" s="1275">
        <f t="shared" si="46"/>
        <v>215</v>
      </c>
      <c r="AM304" s="1231" t="s">
        <v>2445</v>
      </c>
      <c r="AN304" s="305" t="s">
        <v>818</v>
      </c>
      <c r="AO304" s="312"/>
      <c r="AP304" s="487" t="s">
        <v>1126</v>
      </c>
      <c r="AQ304" s="935" t="s">
        <v>440</v>
      </c>
      <c r="AS304" s="500" t="s">
        <v>1406</v>
      </c>
      <c r="AT304" s="500" t="s">
        <v>1406</v>
      </c>
      <c r="AU304" s="500" t="s">
        <v>1406</v>
      </c>
      <c r="AV304" s="500" t="s">
        <v>1406</v>
      </c>
    </row>
    <row r="305" spans="2:48" s="252" customFormat="1" ht="132" hidden="1">
      <c r="B305" s="1218" t="s">
        <v>2454</v>
      </c>
      <c r="C305" s="289" t="s">
        <v>134</v>
      </c>
      <c r="D305" s="289" t="s">
        <v>134</v>
      </c>
      <c r="E305" s="312"/>
      <c r="F305" s="1225" t="s">
        <v>2473</v>
      </c>
      <c r="G305" s="1614" t="s">
        <v>646</v>
      </c>
      <c r="H305" s="266" t="s">
        <v>279</v>
      </c>
      <c r="I305" s="266" t="s">
        <v>200</v>
      </c>
      <c r="J305" s="498" t="s">
        <v>647</v>
      </c>
      <c r="K305" s="312"/>
      <c r="L305" s="271" t="s">
        <v>134</v>
      </c>
      <c r="M305" s="272"/>
      <c r="N305" s="314"/>
      <c r="O305" s="277"/>
      <c r="P305" s="314"/>
      <c r="Q305" s="280" t="s">
        <v>134</v>
      </c>
      <c r="R305" s="272" t="s">
        <v>134</v>
      </c>
      <c r="S305" s="281"/>
      <c r="T305" s="272"/>
      <c r="U305" s="282"/>
      <c r="V305" s="283"/>
      <c r="W305" s="314"/>
      <c r="X305" s="280"/>
      <c r="Y305" s="284"/>
      <c r="Z305" s="272"/>
      <c r="AA305" s="281"/>
      <c r="AB305" s="284"/>
      <c r="AC305" s="272"/>
      <c r="AD305" s="312"/>
      <c r="AE305" s="1277" t="str">
        <f t="shared" ref="AE305:AE352" si="47">IF(AM305&lt;&gt;"",
       "0x" &amp; AI305 &amp;" ~ 0x" &amp; AJ305 &amp; " (" &amp; AK305 &amp;"~" &amp; AL305 &amp; AM305 &amp; ")","")&amp;IF(AN305&lt;&gt;"",IF(AM305&lt;&gt;"",CHAR(10)&amp;AN305,AN305),
       "")</f>
        <v>0x0 ~ 0xFFFF (0~65535V)
0x3FF: SNA</v>
      </c>
      <c r="AF305" s="312"/>
      <c r="AG305" s="286">
        <v>0</v>
      </c>
      <c r="AH305" s="287">
        <v>1</v>
      </c>
      <c r="AI305" s="328">
        <v>0</v>
      </c>
      <c r="AJ305" s="1253" t="s">
        <v>2510</v>
      </c>
      <c r="AK305" s="337">
        <f t="shared" si="41"/>
        <v>0</v>
      </c>
      <c r="AL305" s="1273">
        <f t="shared" si="44"/>
        <v>65535</v>
      </c>
      <c r="AM305" s="287" t="s">
        <v>809</v>
      </c>
      <c r="AN305" s="285" t="s">
        <v>822</v>
      </c>
      <c r="AO305" s="312"/>
      <c r="AP305" s="310" t="s">
        <v>1125</v>
      </c>
      <c r="AQ305" s="913" t="s">
        <v>2317</v>
      </c>
      <c r="AS305" s="507" t="s">
        <v>1866</v>
      </c>
      <c r="AT305" s="310" t="s">
        <v>1987</v>
      </c>
      <c r="AU305" s="310" t="s">
        <v>2014</v>
      </c>
      <c r="AV305" s="507" t="s">
        <v>1866</v>
      </c>
    </row>
    <row r="306" spans="2:48" s="252" customFormat="1" ht="26.4" hidden="1">
      <c r="B306" s="1218" t="s">
        <v>2454</v>
      </c>
      <c r="C306" s="684" t="s">
        <v>1713</v>
      </c>
      <c r="D306" s="299" t="s">
        <v>134</v>
      </c>
      <c r="E306" s="312"/>
      <c r="F306" s="1226" t="s">
        <v>2473</v>
      </c>
      <c r="G306" s="1615"/>
      <c r="H306" s="268" t="s">
        <v>282</v>
      </c>
      <c r="I306" s="268" t="s">
        <v>200</v>
      </c>
      <c r="J306" s="499" t="s">
        <v>648</v>
      </c>
      <c r="K306" s="312"/>
      <c r="L306" s="273" t="s">
        <v>134</v>
      </c>
      <c r="M306" s="274"/>
      <c r="N306" s="314"/>
      <c r="O306" s="278"/>
      <c r="P306" s="314"/>
      <c r="Q306" s="290" t="s">
        <v>134</v>
      </c>
      <c r="R306" s="274" t="s">
        <v>134</v>
      </c>
      <c r="S306" s="291"/>
      <c r="T306" s="274"/>
      <c r="U306" s="292"/>
      <c r="V306" s="293"/>
      <c r="W306" s="314"/>
      <c r="X306" s="290"/>
      <c r="Y306" s="294"/>
      <c r="Z306" s="274"/>
      <c r="AA306" s="291"/>
      <c r="AB306" s="294"/>
      <c r="AC306" s="274"/>
      <c r="AD306" s="312"/>
      <c r="AE306" s="1278" t="str">
        <f t="shared" si="47"/>
        <v>0x0 ~ 0xFFFF (0~65535V)
0x3FF: SNA</v>
      </c>
      <c r="AF306" s="312"/>
      <c r="AG306" s="296">
        <v>0</v>
      </c>
      <c r="AH306" s="297">
        <v>1</v>
      </c>
      <c r="AI306" s="330">
        <v>0</v>
      </c>
      <c r="AJ306" s="1270" t="s">
        <v>2510</v>
      </c>
      <c r="AK306" s="339">
        <f t="shared" si="41"/>
        <v>0</v>
      </c>
      <c r="AL306" s="1274">
        <f t="shared" si="44"/>
        <v>65535</v>
      </c>
      <c r="AM306" s="297" t="s">
        <v>809</v>
      </c>
      <c r="AN306" s="295" t="s">
        <v>822</v>
      </c>
      <c r="AO306" s="312"/>
      <c r="AP306" s="486" t="s">
        <v>1126</v>
      </c>
      <c r="AQ306" s="486" t="s">
        <v>440</v>
      </c>
      <c r="AS306" s="501" t="s">
        <v>1406</v>
      </c>
      <c r="AT306" s="501" t="s">
        <v>1406</v>
      </c>
      <c r="AU306" s="501" t="s">
        <v>1406</v>
      </c>
      <c r="AV306" s="501" t="s">
        <v>1406</v>
      </c>
    </row>
    <row r="307" spans="2:48" s="252" customFormat="1" ht="26.4" hidden="1">
      <c r="B307" s="1218" t="s">
        <v>2454</v>
      </c>
      <c r="C307" s="684" t="s">
        <v>1713</v>
      </c>
      <c r="D307" s="309" t="s">
        <v>134</v>
      </c>
      <c r="E307" s="312"/>
      <c r="F307" s="1227" t="s">
        <v>2473</v>
      </c>
      <c r="G307" s="1615"/>
      <c r="H307" s="270" t="s">
        <v>284</v>
      </c>
      <c r="I307" s="270" t="s">
        <v>200</v>
      </c>
      <c r="J307" s="497" t="s">
        <v>649</v>
      </c>
      <c r="K307" s="312"/>
      <c r="L307" s="275" t="s">
        <v>134</v>
      </c>
      <c r="M307" s="276"/>
      <c r="N307" s="314"/>
      <c r="O307" s="279"/>
      <c r="P307" s="314"/>
      <c r="Q307" s="300" t="s">
        <v>134</v>
      </c>
      <c r="R307" s="276" t="s">
        <v>134</v>
      </c>
      <c r="S307" s="301"/>
      <c r="T307" s="276"/>
      <c r="U307" s="302"/>
      <c r="V307" s="303"/>
      <c r="W307" s="314"/>
      <c r="X307" s="300"/>
      <c r="Y307" s="304"/>
      <c r="Z307" s="276"/>
      <c r="AA307" s="301"/>
      <c r="AB307" s="304"/>
      <c r="AC307" s="276"/>
      <c r="AD307" s="312"/>
      <c r="AE307" s="1279" t="str">
        <f t="shared" si="47"/>
        <v>0x0 ~ 0xFFFF (0~65535V)
0x3FF: SNA</v>
      </c>
      <c r="AF307" s="312"/>
      <c r="AG307" s="306">
        <v>0</v>
      </c>
      <c r="AH307" s="307">
        <v>1</v>
      </c>
      <c r="AI307" s="332">
        <v>0</v>
      </c>
      <c r="AJ307" s="1271" t="s">
        <v>2510</v>
      </c>
      <c r="AK307" s="341">
        <f t="shared" si="41"/>
        <v>0</v>
      </c>
      <c r="AL307" s="1275">
        <f t="shared" si="44"/>
        <v>65535</v>
      </c>
      <c r="AM307" s="307" t="s">
        <v>809</v>
      </c>
      <c r="AN307" s="305" t="s">
        <v>822</v>
      </c>
      <c r="AO307" s="312"/>
      <c r="AP307" s="487" t="s">
        <v>1126</v>
      </c>
      <c r="AQ307" s="487" t="s">
        <v>440</v>
      </c>
      <c r="AS307" s="500" t="s">
        <v>1406</v>
      </c>
      <c r="AT307" s="500" t="s">
        <v>1406</v>
      </c>
      <c r="AU307" s="500" t="s">
        <v>1406</v>
      </c>
      <c r="AV307" s="500" t="s">
        <v>1406</v>
      </c>
    </row>
    <row r="308" spans="2:48" s="252" customFormat="1" ht="132" hidden="1">
      <c r="B308" s="1218" t="s">
        <v>2454</v>
      </c>
      <c r="C308" s="289" t="s">
        <v>134</v>
      </c>
      <c r="D308" s="289" t="s">
        <v>134</v>
      </c>
      <c r="E308" s="312"/>
      <c r="F308" s="1225" t="s">
        <v>2474</v>
      </c>
      <c r="G308" s="1614" t="s">
        <v>650</v>
      </c>
      <c r="H308" s="266" t="s">
        <v>279</v>
      </c>
      <c r="I308" s="266" t="s">
        <v>200</v>
      </c>
      <c r="J308" s="498" t="s">
        <v>651</v>
      </c>
      <c r="K308" s="312"/>
      <c r="L308" s="271" t="s">
        <v>134</v>
      </c>
      <c r="M308" s="272"/>
      <c r="N308" s="314"/>
      <c r="O308" s="277"/>
      <c r="P308" s="314"/>
      <c r="Q308" s="280" t="s">
        <v>134</v>
      </c>
      <c r="R308" s="272" t="s">
        <v>134</v>
      </c>
      <c r="S308" s="281"/>
      <c r="T308" s="272"/>
      <c r="U308" s="282"/>
      <c r="V308" s="283"/>
      <c r="W308" s="314"/>
      <c r="X308" s="280"/>
      <c r="Y308" s="284"/>
      <c r="Z308" s="272"/>
      <c r="AA308" s="281"/>
      <c r="AB308" s="284"/>
      <c r="AC308" s="272"/>
      <c r="AD308" s="312"/>
      <c r="AE308" s="1277" t="str">
        <f t="shared" si="47"/>
        <v>0x0 ~ 0xFFFF (0~1310700W)
0x3FF: SNA</v>
      </c>
      <c r="AF308" s="312"/>
      <c r="AG308" s="286">
        <v>0</v>
      </c>
      <c r="AH308" s="287">
        <v>20</v>
      </c>
      <c r="AI308" s="328">
        <v>0</v>
      </c>
      <c r="AJ308" s="1253" t="s">
        <v>2510</v>
      </c>
      <c r="AK308" s="337">
        <f t="shared" si="41"/>
        <v>0</v>
      </c>
      <c r="AL308" s="1273">
        <f t="shared" si="44"/>
        <v>1310700</v>
      </c>
      <c r="AM308" s="287" t="s">
        <v>817</v>
      </c>
      <c r="AN308" s="285" t="s">
        <v>822</v>
      </c>
      <c r="AO308" s="312"/>
      <c r="AP308" s="310" t="s">
        <v>1125</v>
      </c>
      <c r="AQ308" s="913" t="s">
        <v>2318</v>
      </c>
      <c r="AS308" s="507" t="s">
        <v>1866</v>
      </c>
      <c r="AT308" s="310" t="s">
        <v>1519</v>
      </c>
      <c r="AU308" s="310" t="s">
        <v>2015</v>
      </c>
      <c r="AV308" s="507" t="s">
        <v>1866</v>
      </c>
    </row>
    <row r="309" spans="2:48" s="252" customFormat="1" ht="26.4" hidden="1">
      <c r="B309" s="1218" t="s">
        <v>2454</v>
      </c>
      <c r="C309" s="684" t="s">
        <v>1713</v>
      </c>
      <c r="D309" s="299" t="s">
        <v>134</v>
      </c>
      <c r="E309" s="312"/>
      <c r="F309" s="1226" t="s">
        <v>2474</v>
      </c>
      <c r="G309" s="1615"/>
      <c r="H309" s="268" t="s">
        <v>282</v>
      </c>
      <c r="I309" s="268" t="s">
        <v>200</v>
      </c>
      <c r="J309" s="499" t="s">
        <v>652</v>
      </c>
      <c r="K309" s="312"/>
      <c r="L309" s="273" t="s">
        <v>134</v>
      </c>
      <c r="M309" s="274"/>
      <c r="N309" s="314"/>
      <c r="O309" s="278"/>
      <c r="P309" s="314"/>
      <c r="Q309" s="290" t="s">
        <v>134</v>
      </c>
      <c r="R309" s="274" t="s">
        <v>134</v>
      </c>
      <c r="S309" s="291"/>
      <c r="T309" s="274"/>
      <c r="U309" s="292"/>
      <c r="V309" s="293"/>
      <c r="W309" s="314"/>
      <c r="X309" s="290"/>
      <c r="Y309" s="294"/>
      <c r="Z309" s="274"/>
      <c r="AA309" s="291"/>
      <c r="AB309" s="294"/>
      <c r="AC309" s="274"/>
      <c r="AD309" s="312"/>
      <c r="AE309" s="1278" t="str">
        <f t="shared" si="47"/>
        <v>0x0 ~ 0xFFFF (0~1310700W)
0x3FF: SNA</v>
      </c>
      <c r="AF309" s="312"/>
      <c r="AG309" s="296">
        <v>0</v>
      </c>
      <c r="AH309" s="297">
        <v>20</v>
      </c>
      <c r="AI309" s="330">
        <v>0</v>
      </c>
      <c r="AJ309" s="1270" t="s">
        <v>2510</v>
      </c>
      <c r="AK309" s="339">
        <f t="shared" si="41"/>
        <v>0</v>
      </c>
      <c r="AL309" s="1274">
        <f t="shared" si="44"/>
        <v>1310700</v>
      </c>
      <c r="AM309" s="297" t="s">
        <v>817</v>
      </c>
      <c r="AN309" s="295" t="s">
        <v>822</v>
      </c>
      <c r="AO309" s="312"/>
      <c r="AP309" s="486" t="s">
        <v>1126</v>
      </c>
      <c r="AQ309" s="623" t="s">
        <v>440</v>
      </c>
      <c r="AS309" s="501" t="s">
        <v>1406</v>
      </c>
      <c r="AT309" s="501" t="s">
        <v>1406</v>
      </c>
      <c r="AU309" s="501" t="s">
        <v>1406</v>
      </c>
      <c r="AV309" s="501" t="s">
        <v>1406</v>
      </c>
    </row>
    <row r="310" spans="2:48" s="252" customFormat="1" ht="26.4" hidden="1">
      <c r="B310" s="1218" t="s">
        <v>2454</v>
      </c>
      <c r="C310" s="684" t="s">
        <v>1713</v>
      </c>
      <c r="D310" s="309" t="s">
        <v>134</v>
      </c>
      <c r="E310" s="312"/>
      <c r="F310" s="1227" t="s">
        <v>2474</v>
      </c>
      <c r="G310" s="1615"/>
      <c r="H310" s="270" t="s">
        <v>284</v>
      </c>
      <c r="I310" s="270" t="s">
        <v>200</v>
      </c>
      <c r="J310" s="497" t="s">
        <v>653</v>
      </c>
      <c r="K310" s="312"/>
      <c r="L310" s="275" t="s">
        <v>134</v>
      </c>
      <c r="M310" s="276"/>
      <c r="N310" s="314"/>
      <c r="O310" s="279"/>
      <c r="P310" s="314"/>
      <c r="Q310" s="300" t="s">
        <v>134</v>
      </c>
      <c r="R310" s="276" t="s">
        <v>134</v>
      </c>
      <c r="S310" s="301"/>
      <c r="T310" s="276"/>
      <c r="U310" s="302"/>
      <c r="V310" s="303"/>
      <c r="W310" s="314"/>
      <c r="X310" s="300"/>
      <c r="Y310" s="304"/>
      <c r="Z310" s="276"/>
      <c r="AA310" s="301"/>
      <c r="AB310" s="304"/>
      <c r="AC310" s="276"/>
      <c r="AD310" s="312"/>
      <c r="AE310" s="1279" t="str">
        <f t="shared" si="47"/>
        <v>0x0 ~ 0xFFFF (0~1310700W)
0x3FF: SNA</v>
      </c>
      <c r="AF310" s="312"/>
      <c r="AG310" s="306">
        <v>0</v>
      </c>
      <c r="AH310" s="307">
        <v>20</v>
      </c>
      <c r="AI310" s="332">
        <v>0</v>
      </c>
      <c r="AJ310" s="1271" t="s">
        <v>2510</v>
      </c>
      <c r="AK310" s="341">
        <f t="shared" si="41"/>
        <v>0</v>
      </c>
      <c r="AL310" s="1275">
        <f t="shared" si="44"/>
        <v>1310700</v>
      </c>
      <c r="AM310" s="307" t="s">
        <v>817</v>
      </c>
      <c r="AN310" s="305" t="s">
        <v>822</v>
      </c>
      <c r="AO310" s="312"/>
      <c r="AP310" s="487" t="s">
        <v>1126</v>
      </c>
      <c r="AQ310" s="935" t="s">
        <v>440</v>
      </c>
      <c r="AS310" s="500" t="s">
        <v>1406</v>
      </c>
      <c r="AT310" s="500" t="s">
        <v>1406</v>
      </c>
      <c r="AU310" s="500" t="s">
        <v>1406</v>
      </c>
      <c r="AV310" s="500" t="s">
        <v>1406</v>
      </c>
    </row>
    <row r="311" spans="2:48" s="252" customFormat="1" ht="39.6" hidden="1">
      <c r="B311" s="1218" t="s">
        <v>2454</v>
      </c>
      <c r="C311" s="289" t="s">
        <v>134</v>
      </c>
      <c r="D311" s="289" t="s">
        <v>134</v>
      </c>
      <c r="E311" s="312"/>
      <c r="F311" s="1225" t="s">
        <v>2475</v>
      </c>
      <c r="G311" s="1614" t="s">
        <v>654</v>
      </c>
      <c r="H311" s="266">
        <v>1</v>
      </c>
      <c r="I311" s="266" t="s">
        <v>200</v>
      </c>
      <c r="J311" s="498" t="s">
        <v>655</v>
      </c>
      <c r="K311" s="312"/>
      <c r="L311" s="271" t="s">
        <v>134</v>
      </c>
      <c r="M311" s="272"/>
      <c r="N311" s="314"/>
      <c r="O311" s="277"/>
      <c r="P311" s="314"/>
      <c r="Q311" s="280" t="s">
        <v>134</v>
      </c>
      <c r="R311" s="272" t="s">
        <v>134</v>
      </c>
      <c r="S311" s="281"/>
      <c r="T311" s="272"/>
      <c r="U311" s="282"/>
      <c r="V311" s="283"/>
      <c r="W311" s="314"/>
      <c r="X311" s="280"/>
      <c r="Y311" s="284"/>
      <c r="Z311" s="272"/>
      <c r="AA311" s="281"/>
      <c r="AB311" s="284"/>
      <c r="AC311" s="272"/>
      <c r="AD311" s="312"/>
      <c r="AE311" s="285" t="str">
        <f t="shared" si="47"/>
        <v>0x0 ~ 0x1 (0~1 -)
0x0: False
0x1: True</v>
      </c>
      <c r="AF311" s="312"/>
      <c r="AG311" s="1258">
        <v>0</v>
      </c>
      <c r="AH311" s="1259">
        <v>1</v>
      </c>
      <c r="AI311" s="328">
        <v>0</v>
      </c>
      <c r="AJ311" s="329">
        <v>1</v>
      </c>
      <c r="AK311" s="337">
        <f t="shared" si="41"/>
        <v>0</v>
      </c>
      <c r="AL311" s="1273">
        <f t="shared" si="44"/>
        <v>1</v>
      </c>
      <c r="AM311" s="1259" t="s">
        <v>2516</v>
      </c>
      <c r="AN311" s="285" t="s">
        <v>823</v>
      </c>
      <c r="AO311" s="312"/>
      <c r="AP311" s="310" t="s">
        <v>1125</v>
      </c>
      <c r="AQ311" s="913" t="s">
        <v>656</v>
      </c>
      <c r="AS311" s="507" t="s">
        <v>1866</v>
      </c>
      <c r="AT311" s="310" t="s">
        <v>1987</v>
      </c>
      <c r="AU311" s="310" t="s">
        <v>2016</v>
      </c>
      <c r="AV311" s="507" t="s">
        <v>1866</v>
      </c>
    </row>
    <row r="312" spans="2:48" s="252" customFormat="1" ht="39.6" hidden="1">
      <c r="B312" s="1218" t="s">
        <v>2454</v>
      </c>
      <c r="C312" s="684" t="s">
        <v>1712</v>
      </c>
      <c r="D312" s="299" t="s">
        <v>134</v>
      </c>
      <c r="E312" s="312"/>
      <c r="F312" s="1226" t="s">
        <v>2475</v>
      </c>
      <c r="G312" s="1615"/>
      <c r="H312" s="268" t="s">
        <v>299</v>
      </c>
      <c r="I312" s="268" t="s">
        <v>200</v>
      </c>
      <c r="J312" s="499" t="s">
        <v>657</v>
      </c>
      <c r="K312" s="312"/>
      <c r="L312" s="273" t="s">
        <v>134</v>
      </c>
      <c r="M312" s="274"/>
      <c r="N312" s="314"/>
      <c r="O312" s="278"/>
      <c r="P312" s="314"/>
      <c r="Q312" s="290" t="s">
        <v>134</v>
      </c>
      <c r="R312" s="274" t="s">
        <v>134</v>
      </c>
      <c r="S312" s="291"/>
      <c r="T312" s="274"/>
      <c r="U312" s="292"/>
      <c r="V312" s="293"/>
      <c r="W312" s="314"/>
      <c r="X312" s="290"/>
      <c r="Y312" s="294"/>
      <c r="Z312" s="274"/>
      <c r="AA312" s="291"/>
      <c r="AB312" s="294"/>
      <c r="AC312" s="274"/>
      <c r="AD312" s="312"/>
      <c r="AE312" s="295" t="str">
        <f t="shared" si="47"/>
        <v>0x0 ~ 0x1 (0~1 -)
0x0: False
0x1: True</v>
      </c>
      <c r="AF312" s="312"/>
      <c r="AG312" s="1260">
        <v>0</v>
      </c>
      <c r="AH312" s="1261">
        <v>1</v>
      </c>
      <c r="AI312" s="330">
        <v>0</v>
      </c>
      <c r="AJ312" s="331">
        <v>1</v>
      </c>
      <c r="AK312" s="339">
        <f t="shared" si="41"/>
        <v>0</v>
      </c>
      <c r="AL312" s="1274">
        <f t="shared" si="44"/>
        <v>1</v>
      </c>
      <c r="AM312" s="1261" t="s">
        <v>2516</v>
      </c>
      <c r="AN312" s="295" t="s">
        <v>823</v>
      </c>
      <c r="AO312" s="312"/>
      <c r="AP312" s="486" t="s">
        <v>1126</v>
      </c>
      <c r="AQ312" s="623" t="s">
        <v>440</v>
      </c>
      <c r="AS312" s="501" t="s">
        <v>1406</v>
      </c>
      <c r="AT312" s="501" t="s">
        <v>1406</v>
      </c>
      <c r="AU312" s="501" t="s">
        <v>1406</v>
      </c>
      <c r="AV312" s="501" t="s">
        <v>1406</v>
      </c>
    </row>
    <row r="313" spans="2:48" s="252" customFormat="1" ht="39.6" hidden="1">
      <c r="B313" s="1218" t="s">
        <v>2454</v>
      </c>
      <c r="C313" s="689" t="s">
        <v>1712</v>
      </c>
      <c r="D313" s="309" t="s">
        <v>134</v>
      </c>
      <c r="E313" s="312"/>
      <c r="F313" s="1227" t="s">
        <v>2475</v>
      </c>
      <c r="G313" s="1615"/>
      <c r="H313" s="270" t="s">
        <v>287</v>
      </c>
      <c r="I313" s="270" t="s">
        <v>200</v>
      </c>
      <c r="J313" s="497" t="s">
        <v>658</v>
      </c>
      <c r="K313" s="312"/>
      <c r="L313" s="275" t="s">
        <v>134</v>
      </c>
      <c r="M313" s="276"/>
      <c r="N313" s="314"/>
      <c r="O313" s="279"/>
      <c r="P313" s="314"/>
      <c r="Q313" s="300" t="s">
        <v>134</v>
      </c>
      <c r="R313" s="276" t="s">
        <v>134</v>
      </c>
      <c r="S313" s="301"/>
      <c r="T313" s="276"/>
      <c r="U313" s="302"/>
      <c r="V313" s="303"/>
      <c r="W313" s="314"/>
      <c r="X313" s="300"/>
      <c r="Y313" s="304"/>
      <c r="Z313" s="276"/>
      <c r="AA313" s="301"/>
      <c r="AB313" s="304"/>
      <c r="AC313" s="276"/>
      <c r="AD313" s="312"/>
      <c r="AE313" s="305" t="str">
        <f t="shared" si="47"/>
        <v>0x0 ~ 0x1 (0~1 -)
0x0: False
0x1: True</v>
      </c>
      <c r="AF313" s="312"/>
      <c r="AG313" s="1262">
        <v>0</v>
      </c>
      <c r="AH313" s="1263">
        <v>1</v>
      </c>
      <c r="AI313" s="332">
        <v>0</v>
      </c>
      <c r="AJ313" s="333">
        <v>1</v>
      </c>
      <c r="AK313" s="341">
        <f t="shared" si="41"/>
        <v>0</v>
      </c>
      <c r="AL313" s="1275">
        <f t="shared" si="44"/>
        <v>1</v>
      </c>
      <c r="AM313" s="1263" t="s">
        <v>2516</v>
      </c>
      <c r="AN313" s="305" t="s">
        <v>823</v>
      </c>
      <c r="AO313" s="312"/>
      <c r="AP313" s="487" t="s">
        <v>1126</v>
      </c>
      <c r="AQ313" s="935" t="s">
        <v>440</v>
      </c>
      <c r="AS313" s="500" t="s">
        <v>1406</v>
      </c>
      <c r="AT313" s="500" t="s">
        <v>1406</v>
      </c>
      <c r="AU313" s="500" t="s">
        <v>1406</v>
      </c>
      <c r="AV313" s="500" t="s">
        <v>1406</v>
      </c>
    </row>
    <row r="314" spans="2:48" s="252" customFormat="1" ht="145.19999999999999" hidden="1">
      <c r="B314" s="1218" t="s">
        <v>2454</v>
      </c>
      <c r="C314" s="289" t="s">
        <v>134</v>
      </c>
      <c r="D314" s="289" t="s">
        <v>134</v>
      </c>
      <c r="E314" s="312"/>
      <c r="F314" s="1225" t="s">
        <v>2476</v>
      </c>
      <c r="G314" s="1614" t="s">
        <v>659</v>
      </c>
      <c r="H314" s="266">
        <v>1</v>
      </c>
      <c r="I314" s="266" t="s">
        <v>200</v>
      </c>
      <c r="J314" s="498" t="s">
        <v>660</v>
      </c>
      <c r="K314" s="312"/>
      <c r="L314" s="271" t="s">
        <v>134</v>
      </c>
      <c r="M314" s="272"/>
      <c r="N314" s="314"/>
      <c r="O314" s="277"/>
      <c r="P314" s="314"/>
      <c r="Q314" s="280" t="s">
        <v>134</v>
      </c>
      <c r="R314" s="272" t="s">
        <v>134</v>
      </c>
      <c r="S314" s="281"/>
      <c r="T314" s="272"/>
      <c r="U314" s="282"/>
      <c r="V314" s="283"/>
      <c r="W314" s="314"/>
      <c r="X314" s="280"/>
      <c r="Y314" s="284"/>
      <c r="Z314" s="272"/>
      <c r="AA314" s="281"/>
      <c r="AB314" s="284"/>
      <c r="AC314" s="272"/>
      <c r="AD314" s="312"/>
      <c r="AE314" s="285" t="str">
        <f t="shared" si="47"/>
        <v>0x0 ~ 0xFF (0~255 -)
0x0: No issue
0x1: Warning
0x2: Not used
0x3: SNA</v>
      </c>
      <c r="AF314" s="312"/>
      <c r="AG314" s="1258">
        <v>0</v>
      </c>
      <c r="AH314" s="1259">
        <v>1</v>
      </c>
      <c r="AI314" s="328">
        <v>0</v>
      </c>
      <c r="AJ314" s="1253" t="s">
        <v>2509</v>
      </c>
      <c r="AK314" s="337">
        <f t="shared" si="41"/>
        <v>0</v>
      </c>
      <c r="AL314" s="1273">
        <f t="shared" si="44"/>
        <v>255</v>
      </c>
      <c r="AM314" s="1259" t="s">
        <v>2516</v>
      </c>
      <c r="AN314" s="285" t="s">
        <v>824</v>
      </c>
      <c r="AO314" s="312"/>
      <c r="AP314" s="310" t="s">
        <v>1125</v>
      </c>
      <c r="AQ314" s="913" t="s">
        <v>2319</v>
      </c>
      <c r="AS314" s="507" t="s">
        <v>1866</v>
      </c>
      <c r="AT314" s="310" t="s">
        <v>1987</v>
      </c>
      <c r="AU314" s="310" t="s">
        <v>2017</v>
      </c>
      <c r="AV314" s="507" t="s">
        <v>1866</v>
      </c>
    </row>
    <row r="315" spans="2:48" s="252" customFormat="1" ht="66" hidden="1">
      <c r="B315" s="1218" t="s">
        <v>2454</v>
      </c>
      <c r="C315" s="684" t="s">
        <v>1712</v>
      </c>
      <c r="D315" s="299" t="s">
        <v>134</v>
      </c>
      <c r="E315" s="312"/>
      <c r="F315" s="1226" t="s">
        <v>2476</v>
      </c>
      <c r="G315" s="1615"/>
      <c r="H315" s="268" t="s">
        <v>299</v>
      </c>
      <c r="I315" s="268" t="s">
        <v>200</v>
      </c>
      <c r="J315" s="499" t="s">
        <v>661</v>
      </c>
      <c r="K315" s="312"/>
      <c r="L315" s="273" t="s">
        <v>134</v>
      </c>
      <c r="M315" s="274"/>
      <c r="N315" s="314"/>
      <c r="O315" s="278"/>
      <c r="P315" s="314"/>
      <c r="Q315" s="290" t="s">
        <v>134</v>
      </c>
      <c r="R315" s="274" t="s">
        <v>134</v>
      </c>
      <c r="S315" s="291"/>
      <c r="T315" s="274"/>
      <c r="U315" s="292"/>
      <c r="V315" s="293"/>
      <c r="W315" s="314"/>
      <c r="X315" s="290"/>
      <c r="Y315" s="294"/>
      <c r="Z315" s="274"/>
      <c r="AA315" s="291"/>
      <c r="AB315" s="294"/>
      <c r="AC315" s="274"/>
      <c r="AD315" s="312"/>
      <c r="AE315" s="295" t="str">
        <f t="shared" si="47"/>
        <v>0x0 ~ 0xFF (0~255 -)
0x0: No issue
0x1: Warning
0x2: Not used
0x3: SNA</v>
      </c>
      <c r="AF315" s="312"/>
      <c r="AG315" s="1260">
        <v>0</v>
      </c>
      <c r="AH315" s="1261">
        <v>1</v>
      </c>
      <c r="AI315" s="330">
        <v>0</v>
      </c>
      <c r="AJ315" s="1270" t="s">
        <v>2509</v>
      </c>
      <c r="AK315" s="339">
        <f t="shared" ref="AK315:AK317" si="48">HEX2DEC(AI315)*AH315+AG315</f>
        <v>0</v>
      </c>
      <c r="AL315" s="1274">
        <f t="shared" si="44"/>
        <v>255</v>
      </c>
      <c r="AM315" s="1261" t="s">
        <v>2516</v>
      </c>
      <c r="AN315" s="295" t="s">
        <v>824</v>
      </c>
      <c r="AO315" s="312"/>
      <c r="AP315" s="486" t="s">
        <v>1126</v>
      </c>
      <c r="AQ315" s="623" t="s">
        <v>440</v>
      </c>
      <c r="AS315" s="501" t="s">
        <v>1406</v>
      </c>
      <c r="AT315" s="501" t="s">
        <v>1406</v>
      </c>
      <c r="AU315" s="501" t="s">
        <v>1406</v>
      </c>
      <c r="AV315" s="501" t="s">
        <v>1406</v>
      </c>
    </row>
    <row r="316" spans="2:48" s="252" customFormat="1" ht="66" hidden="1">
      <c r="B316" s="1218" t="s">
        <v>2454</v>
      </c>
      <c r="C316" s="689" t="s">
        <v>1712</v>
      </c>
      <c r="D316" s="309" t="s">
        <v>134</v>
      </c>
      <c r="E316" s="312"/>
      <c r="F316" s="1227" t="s">
        <v>2476</v>
      </c>
      <c r="G316" s="1615"/>
      <c r="H316" s="270" t="s">
        <v>287</v>
      </c>
      <c r="I316" s="270" t="s">
        <v>200</v>
      </c>
      <c r="J316" s="497" t="s">
        <v>662</v>
      </c>
      <c r="K316" s="312"/>
      <c r="L316" s="275" t="s">
        <v>134</v>
      </c>
      <c r="M316" s="276"/>
      <c r="N316" s="314"/>
      <c r="O316" s="279"/>
      <c r="P316" s="314"/>
      <c r="Q316" s="300" t="s">
        <v>134</v>
      </c>
      <c r="R316" s="276" t="s">
        <v>134</v>
      </c>
      <c r="S316" s="301"/>
      <c r="T316" s="276"/>
      <c r="U316" s="302"/>
      <c r="V316" s="303"/>
      <c r="W316" s="314"/>
      <c r="X316" s="300"/>
      <c r="Y316" s="304"/>
      <c r="Z316" s="276"/>
      <c r="AA316" s="301"/>
      <c r="AB316" s="304"/>
      <c r="AC316" s="276"/>
      <c r="AD316" s="312"/>
      <c r="AE316" s="305" t="str">
        <f t="shared" si="47"/>
        <v>0x0 ~ 0xFF (0~255 -)
0x0: No issue
0x1: Warning
0x2: Not used
0x3: SNA</v>
      </c>
      <c r="AF316" s="312"/>
      <c r="AG316" s="1262">
        <v>0</v>
      </c>
      <c r="AH316" s="1263">
        <v>1</v>
      </c>
      <c r="AI316" s="332">
        <v>0</v>
      </c>
      <c r="AJ316" s="1271" t="s">
        <v>2509</v>
      </c>
      <c r="AK316" s="341">
        <f t="shared" si="48"/>
        <v>0</v>
      </c>
      <c r="AL316" s="1275">
        <f t="shared" ref="AL316:AL318" si="49">HEX2DEC(AJ316)*AH316+AG316</f>
        <v>255</v>
      </c>
      <c r="AM316" s="1263" t="s">
        <v>2516</v>
      </c>
      <c r="AN316" s="305" t="s">
        <v>824</v>
      </c>
      <c r="AO316" s="312"/>
      <c r="AP316" s="487" t="s">
        <v>1126</v>
      </c>
      <c r="AQ316" s="935" t="s">
        <v>440</v>
      </c>
      <c r="AS316" s="500" t="s">
        <v>1406</v>
      </c>
      <c r="AT316" s="500" t="s">
        <v>1406</v>
      </c>
      <c r="AU316" s="500" t="s">
        <v>1406</v>
      </c>
      <c r="AV316" s="500" t="s">
        <v>1406</v>
      </c>
    </row>
    <row r="317" spans="2:48" s="252" customFormat="1" ht="132" hidden="1">
      <c r="B317" s="1218" t="s">
        <v>2454</v>
      </c>
      <c r="C317" s="289" t="s">
        <v>134</v>
      </c>
      <c r="D317" s="289" t="s">
        <v>134</v>
      </c>
      <c r="E317" s="312"/>
      <c r="F317" s="1225" t="s">
        <v>2477</v>
      </c>
      <c r="G317" s="1614" t="s">
        <v>663</v>
      </c>
      <c r="H317" s="266">
        <v>1</v>
      </c>
      <c r="I317" s="266" t="s">
        <v>200</v>
      </c>
      <c r="J317" s="498" t="s">
        <v>664</v>
      </c>
      <c r="K317" s="312"/>
      <c r="L317" s="271" t="s">
        <v>134</v>
      </c>
      <c r="M317" s="272"/>
      <c r="N317" s="314"/>
      <c r="O317" s="277"/>
      <c r="P317" s="314"/>
      <c r="Q317" s="280" t="s">
        <v>134</v>
      </c>
      <c r="R317" s="272" t="s">
        <v>134</v>
      </c>
      <c r="S317" s="281"/>
      <c r="T317" s="272"/>
      <c r="U317" s="282"/>
      <c r="V317" s="283"/>
      <c r="W317" s="314"/>
      <c r="X317" s="280"/>
      <c r="Y317" s="284"/>
      <c r="Z317" s="272"/>
      <c r="AA317" s="281"/>
      <c r="AB317" s="284"/>
      <c r="AC317" s="272"/>
      <c r="AD317" s="312"/>
      <c r="AE317" s="285" t="str">
        <f t="shared" si="47"/>
        <v>0x0 ~ 0xFF (0~255 -)
0x0: No issue
0x1: Warning
0x2: Not used
0x3: SNA</v>
      </c>
      <c r="AF317" s="312"/>
      <c r="AG317" s="1258">
        <v>0</v>
      </c>
      <c r="AH317" s="1259">
        <v>1</v>
      </c>
      <c r="AI317" s="328">
        <v>0</v>
      </c>
      <c r="AJ317" s="1253" t="s">
        <v>2509</v>
      </c>
      <c r="AK317" s="337">
        <f t="shared" si="48"/>
        <v>0</v>
      </c>
      <c r="AL317" s="1273">
        <f t="shared" si="49"/>
        <v>255</v>
      </c>
      <c r="AM317" s="1259" t="s">
        <v>2516</v>
      </c>
      <c r="AN317" s="285" t="s">
        <v>824</v>
      </c>
      <c r="AO317" s="312"/>
      <c r="AP317" s="310" t="s">
        <v>1125</v>
      </c>
      <c r="AQ317" s="913" t="s">
        <v>2320</v>
      </c>
      <c r="AS317" s="507" t="s">
        <v>1866</v>
      </c>
      <c r="AT317" s="310" t="s">
        <v>1987</v>
      </c>
      <c r="AU317" s="310" t="s">
        <v>2018</v>
      </c>
      <c r="AV317" s="507" t="s">
        <v>1866</v>
      </c>
    </row>
    <row r="318" spans="2:48" s="252" customFormat="1" ht="66" hidden="1">
      <c r="B318" s="1218" t="s">
        <v>2454</v>
      </c>
      <c r="C318" s="684" t="s">
        <v>1712</v>
      </c>
      <c r="D318" s="299" t="s">
        <v>134</v>
      </c>
      <c r="E318" s="312"/>
      <c r="F318" s="1226" t="s">
        <v>2477</v>
      </c>
      <c r="G318" s="1615"/>
      <c r="H318" s="268" t="s">
        <v>299</v>
      </c>
      <c r="I318" s="268" t="s">
        <v>200</v>
      </c>
      <c r="J318" s="499" t="s">
        <v>665</v>
      </c>
      <c r="K318" s="312"/>
      <c r="L318" s="273" t="s">
        <v>134</v>
      </c>
      <c r="M318" s="274"/>
      <c r="N318" s="314"/>
      <c r="O318" s="278"/>
      <c r="P318" s="314"/>
      <c r="Q318" s="290" t="s">
        <v>134</v>
      </c>
      <c r="R318" s="274" t="s">
        <v>134</v>
      </c>
      <c r="S318" s="291"/>
      <c r="T318" s="274"/>
      <c r="U318" s="292"/>
      <c r="V318" s="293"/>
      <c r="W318" s="314"/>
      <c r="X318" s="290"/>
      <c r="Y318" s="294"/>
      <c r="Z318" s="274"/>
      <c r="AA318" s="291"/>
      <c r="AB318" s="294"/>
      <c r="AC318" s="274"/>
      <c r="AD318" s="312"/>
      <c r="AE318" s="295" t="str">
        <f t="shared" si="47"/>
        <v>0x0 ~ 0xFF (0~255 -)
0x0: No issue
0x1: Warning
0x2: Not used
0x3: SNA</v>
      </c>
      <c r="AF318" s="312"/>
      <c r="AG318" s="1260">
        <v>0</v>
      </c>
      <c r="AH318" s="1261">
        <v>1</v>
      </c>
      <c r="AI318" s="330">
        <v>0</v>
      </c>
      <c r="AJ318" s="1270" t="s">
        <v>2509</v>
      </c>
      <c r="AK318" s="339">
        <f t="shared" ref="AK318:AK352" si="50">HEX2DEC(AI318)*AH318+AG318</f>
        <v>0</v>
      </c>
      <c r="AL318" s="1274">
        <f t="shared" si="49"/>
        <v>255</v>
      </c>
      <c r="AM318" s="1261" t="s">
        <v>2516</v>
      </c>
      <c r="AN318" s="295" t="s">
        <v>824</v>
      </c>
      <c r="AO318" s="312"/>
      <c r="AP318" s="486" t="s">
        <v>1126</v>
      </c>
      <c r="AQ318" s="486" t="s">
        <v>440</v>
      </c>
      <c r="AS318" s="501" t="s">
        <v>1406</v>
      </c>
      <c r="AT318" s="501" t="s">
        <v>1406</v>
      </c>
      <c r="AU318" s="501" t="s">
        <v>1406</v>
      </c>
      <c r="AV318" s="501" t="s">
        <v>1406</v>
      </c>
    </row>
    <row r="319" spans="2:48" s="252" customFormat="1" ht="66" hidden="1">
      <c r="B319" s="1218" t="s">
        <v>2454</v>
      </c>
      <c r="C319" s="689" t="s">
        <v>1712</v>
      </c>
      <c r="D319" s="309" t="s">
        <v>134</v>
      </c>
      <c r="E319" s="312"/>
      <c r="F319" s="1227" t="s">
        <v>2477</v>
      </c>
      <c r="G319" s="1615"/>
      <c r="H319" s="270" t="s">
        <v>287</v>
      </c>
      <c r="I319" s="270" t="s">
        <v>200</v>
      </c>
      <c r="J319" s="497" t="s">
        <v>666</v>
      </c>
      <c r="K319" s="312"/>
      <c r="L319" s="275" t="s">
        <v>134</v>
      </c>
      <c r="M319" s="276"/>
      <c r="N319" s="314"/>
      <c r="O319" s="279"/>
      <c r="P319" s="314"/>
      <c r="Q319" s="300" t="s">
        <v>134</v>
      </c>
      <c r="R319" s="276" t="s">
        <v>134</v>
      </c>
      <c r="S319" s="301"/>
      <c r="T319" s="276"/>
      <c r="U319" s="302"/>
      <c r="V319" s="303"/>
      <c r="W319" s="314"/>
      <c r="X319" s="300"/>
      <c r="Y319" s="304"/>
      <c r="Z319" s="276"/>
      <c r="AA319" s="301"/>
      <c r="AB319" s="304"/>
      <c r="AC319" s="276"/>
      <c r="AD319" s="312"/>
      <c r="AE319" s="305" t="str">
        <f t="shared" si="47"/>
        <v>0x0 ~ 0xFF (0~255 -)
0x0: No issue
0x1: Warning
0x2: Not used
0x3: SNA</v>
      </c>
      <c r="AF319" s="312"/>
      <c r="AG319" s="1262">
        <v>0</v>
      </c>
      <c r="AH319" s="1263">
        <v>1</v>
      </c>
      <c r="AI319" s="332">
        <v>0</v>
      </c>
      <c r="AJ319" s="1271" t="s">
        <v>2509</v>
      </c>
      <c r="AK319" s="341">
        <f t="shared" si="50"/>
        <v>0</v>
      </c>
      <c r="AL319" s="1275">
        <f t="shared" ref="AL319:AL352" si="51">HEX2DEC(AJ319)*AH319+AG319</f>
        <v>255</v>
      </c>
      <c r="AM319" s="1263" t="s">
        <v>2516</v>
      </c>
      <c r="AN319" s="305" t="s">
        <v>824</v>
      </c>
      <c r="AO319" s="312"/>
      <c r="AP319" s="487" t="s">
        <v>1126</v>
      </c>
      <c r="AQ319" s="487" t="s">
        <v>440</v>
      </c>
      <c r="AS319" s="500" t="s">
        <v>1406</v>
      </c>
      <c r="AT319" s="500" t="s">
        <v>1406</v>
      </c>
      <c r="AU319" s="500" t="s">
        <v>1406</v>
      </c>
      <c r="AV319" s="500" t="s">
        <v>1406</v>
      </c>
    </row>
    <row r="320" spans="2:48" s="252" customFormat="1" ht="132" hidden="1">
      <c r="B320" s="1218" t="s">
        <v>2454</v>
      </c>
      <c r="C320" s="289" t="s">
        <v>134</v>
      </c>
      <c r="D320" s="289" t="s">
        <v>134</v>
      </c>
      <c r="E320" s="312"/>
      <c r="F320" s="1225" t="s">
        <v>2478</v>
      </c>
      <c r="G320" s="1614" t="s">
        <v>667</v>
      </c>
      <c r="H320" s="266">
        <v>1</v>
      </c>
      <c r="I320" s="266" t="s">
        <v>200</v>
      </c>
      <c r="J320" s="498" t="s">
        <v>668</v>
      </c>
      <c r="K320" s="312"/>
      <c r="L320" s="271" t="s">
        <v>134</v>
      </c>
      <c r="M320" s="272"/>
      <c r="N320" s="314"/>
      <c r="O320" s="277"/>
      <c r="P320" s="314"/>
      <c r="Q320" s="280" t="s">
        <v>134</v>
      </c>
      <c r="R320" s="272" t="s">
        <v>134</v>
      </c>
      <c r="S320" s="281"/>
      <c r="T320" s="272"/>
      <c r="U320" s="282"/>
      <c r="V320" s="283"/>
      <c r="W320" s="314"/>
      <c r="X320" s="280"/>
      <c r="Y320" s="284"/>
      <c r="Z320" s="272"/>
      <c r="AA320" s="281"/>
      <c r="AB320" s="284"/>
      <c r="AC320" s="272"/>
      <c r="AD320" s="312"/>
      <c r="AE320" s="285" t="str">
        <f t="shared" si="47"/>
        <v>0x0 ~ 0xFF (0~255 -)
0x0: No issue
0x1: Warning
0x2: Not used
0x3: SNA</v>
      </c>
      <c r="AF320" s="312"/>
      <c r="AG320" s="1258">
        <v>0</v>
      </c>
      <c r="AH320" s="1259">
        <v>1</v>
      </c>
      <c r="AI320" s="328">
        <v>0</v>
      </c>
      <c r="AJ320" s="1253" t="s">
        <v>2509</v>
      </c>
      <c r="AK320" s="337">
        <f t="shared" si="50"/>
        <v>0</v>
      </c>
      <c r="AL320" s="1273">
        <f t="shared" si="51"/>
        <v>255</v>
      </c>
      <c r="AM320" s="1259" t="s">
        <v>2516</v>
      </c>
      <c r="AN320" s="285" t="s">
        <v>824</v>
      </c>
      <c r="AO320" s="312"/>
      <c r="AP320" s="310" t="s">
        <v>1125</v>
      </c>
      <c r="AQ320" s="913" t="s">
        <v>2321</v>
      </c>
      <c r="AS320" s="507" t="s">
        <v>1866</v>
      </c>
      <c r="AT320" s="310" t="s">
        <v>1987</v>
      </c>
      <c r="AU320" s="310" t="s">
        <v>2019</v>
      </c>
      <c r="AV320" s="507" t="s">
        <v>1866</v>
      </c>
    </row>
    <row r="321" spans="2:48" s="252" customFormat="1" ht="66" hidden="1">
      <c r="B321" s="1218" t="s">
        <v>2454</v>
      </c>
      <c r="C321" s="684" t="s">
        <v>1712</v>
      </c>
      <c r="D321" s="299" t="s">
        <v>134</v>
      </c>
      <c r="E321" s="312"/>
      <c r="F321" s="1226" t="s">
        <v>2478</v>
      </c>
      <c r="G321" s="1615"/>
      <c r="H321" s="268" t="s">
        <v>299</v>
      </c>
      <c r="I321" s="268" t="s">
        <v>200</v>
      </c>
      <c r="J321" s="499" t="s">
        <v>669</v>
      </c>
      <c r="K321" s="312"/>
      <c r="L321" s="273" t="s">
        <v>134</v>
      </c>
      <c r="M321" s="274"/>
      <c r="N321" s="314"/>
      <c r="O321" s="278"/>
      <c r="P321" s="314"/>
      <c r="Q321" s="290" t="s">
        <v>134</v>
      </c>
      <c r="R321" s="274" t="s">
        <v>134</v>
      </c>
      <c r="S321" s="291"/>
      <c r="T321" s="274"/>
      <c r="U321" s="292"/>
      <c r="V321" s="293"/>
      <c r="W321" s="314"/>
      <c r="X321" s="290"/>
      <c r="Y321" s="294"/>
      <c r="Z321" s="274"/>
      <c r="AA321" s="291"/>
      <c r="AB321" s="294"/>
      <c r="AC321" s="274"/>
      <c r="AD321" s="312"/>
      <c r="AE321" s="295" t="str">
        <f t="shared" si="47"/>
        <v>0x0 ~ 0xFF (0~255 -)
0x0: No issue
0x1: Warning
0x2: Not used
0x3: SNA</v>
      </c>
      <c r="AF321" s="312"/>
      <c r="AG321" s="1260">
        <v>0</v>
      </c>
      <c r="AH321" s="1261">
        <v>1</v>
      </c>
      <c r="AI321" s="330">
        <v>0</v>
      </c>
      <c r="AJ321" s="1270" t="s">
        <v>2509</v>
      </c>
      <c r="AK321" s="339">
        <f t="shared" si="50"/>
        <v>0</v>
      </c>
      <c r="AL321" s="1274">
        <f t="shared" si="51"/>
        <v>255</v>
      </c>
      <c r="AM321" s="1261" t="s">
        <v>2516</v>
      </c>
      <c r="AN321" s="295" t="s">
        <v>824</v>
      </c>
      <c r="AO321" s="312"/>
      <c r="AP321" s="486" t="s">
        <v>1126</v>
      </c>
      <c r="AQ321" s="623" t="s">
        <v>440</v>
      </c>
      <c r="AS321" s="501" t="s">
        <v>1406</v>
      </c>
      <c r="AT321" s="501" t="s">
        <v>1406</v>
      </c>
      <c r="AU321" s="501" t="s">
        <v>1406</v>
      </c>
      <c r="AV321" s="501" t="s">
        <v>1406</v>
      </c>
    </row>
    <row r="322" spans="2:48" s="252" customFormat="1" ht="66" hidden="1">
      <c r="B322" s="1218" t="s">
        <v>2454</v>
      </c>
      <c r="C322" s="689" t="s">
        <v>1712</v>
      </c>
      <c r="D322" s="309" t="s">
        <v>134</v>
      </c>
      <c r="E322" s="312"/>
      <c r="F322" s="1227" t="s">
        <v>2478</v>
      </c>
      <c r="G322" s="1615"/>
      <c r="H322" s="270" t="s">
        <v>287</v>
      </c>
      <c r="I322" s="270" t="s">
        <v>200</v>
      </c>
      <c r="J322" s="497" t="s">
        <v>670</v>
      </c>
      <c r="K322" s="312"/>
      <c r="L322" s="275" t="s">
        <v>134</v>
      </c>
      <c r="M322" s="276"/>
      <c r="N322" s="314"/>
      <c r="O322" s="279"/>
      <c r="P322" s="314"/>
      <c r="Q322" s="300" t="s">
        <v>134</v>
      </c>
      <c r="R322" s="276" t="s">
        <v>134</v>
      </c>
      <c r="S322" s="301"/>
      <c r="T322" s="276"/>
      <c r="U322" s="302"/>
      <c r="V322" s="303"/>
      <c r="W322" s="314"/>
      <c r="X322" s="300"/>
      <c r="Y322" s="304"/>
      <c r="Z322" s="276"/>
      <c r="AA322" s="301"/>
      <c r="AB322" s="304"/>
      <c r="AC322" s="276"/>
      <c r="AD322" s="312"/>
      <c r="AE322" s="305" t="str">
        <f t="shared" si="47"/>
        <v>0x0 ~ 0xFF (0~255 -)
0x0: No issue
0x1: Warning
0x2: Not used
0x3: SNA</v>
      </c>
      <c r="AF322" s="312"/>
      <c r="AG322" s="1262">
        <v>0</v>
      </c>
      <c r="AH322" s="1263">
        <v>1</v>
      </c>
      <c r="AI322" s="332">
        <v>0</v>
      </c>
      <c r="AJ322" s="1271" t="s">
        <v>2509</v>
      </c>
      <c r="AK322" s="341">
        <f t="shared" si="50"/>
        <v>0</v>
      </c>
      <c r="AL322" s="1275">
        <f t="shared" si="51"/>
        <v>255</v>
      </c>
      <c r="AM322" s="1263" t="s">
        <v>2516</v>
      </c>
      <c r="AN322" s="305" t="s">
        <v>824</v>
      </c>
      <c r="AO322" s="312"/>
      <c r="AP322" s="487" t="s">
        <v>1126</v>
      </c>
      <c r="AQ322" s="935" t="s">
        <v>440</v>
      </c>
      <c r="AS322" s="500" t="s">
        <v>1406</v>
      </c>
      <c r="AT322" s="500" t="s">
        <v>1406</v>
      </c>
      <c r="AU322" s="500" t="s">
        <v>1406</v>
      </c>
      <c r="AV322" s="500" t="s">
        <v>1406</v>
      </c>
    </row>
    <row r="323" spans="2:48" s="252" customFormat="1" ht="145.19999999999999" hidden="1">
      <c r="B323" s="1218" t="s">
        <v>2454</v>
      </c>
      <c r="C323" s="289" t="s">
        <v>134</v>
      </c>
      <c r="D323" s="289" t="s">
        <v>134</v>
      </c>
      <c r="E323" s="312"/>
      <c r="F323" s="1225" t="s">
        <v>2479</v>
      </c>
      <c r="G323" s="1614" t="s">
        <v>671</v>
      </c>
      <c r="H323" s="266">
        <v>1</v>
      </c>
      <c r="I323" s="266" t="s">
        <v>200</v>
      </c>
      <c r="J323" s="498" t="s">
        <v>672</v>
      </c>
      <c r="K323" s="312"/>
      <c r="L323" s="271" t="s">
        <v>134</v>
      </c>
      <c r="M323" s="272"/>
      <c r="N323" s="314"/>
      <c r="O323" s="277"/>
      <c r="P323" s="314"/>
      <c r="Q323" s="280" t="s">
        <v>134</v>
      </c>
      <c r="R323" s="272" t="s">
        <v>134</v>
      </c>
      <c r="S323" s="281"/>
      <c r="T323" s="272"/>
      <c r="U323" s="282"/>
      <c r="V323" s="283"/>
      <c r="W323" s="314"/>
      <c r="X323" s="280"/>
      <c r="Y323" s="284"/>
      <c r="Z323" s="272"/>
      <c r="AA323" s="281"/>
      <c r="AB323" s="284"/>
      <c r="AC323" s="272"/>
      <c r="AD323" s="312"/>
      <c r="AE323" s="285" t="str">
        <f t="shared" si="47"/>
        <v>0x0 ~ 0xFF (0~255 -)
0x0: No issue
0x1: Warning
0x2: Not used
0x3: SNA</v>
      </c>
      <c r="AF323" s="312"/>
      <c r="AG323" s="1258">
        <v>0</v>
      </c>
      <c r="AH323" s="1259">
        <v>1</v>
      </c>
      <c r="AI323" s="328">
        <v>0</v>
      </c>
      <c r="AJ323" s="1253" t="s">
        <v>2509</v>
      </c>
      <c r="AK323" s="337">
        <f t="shared" si="50"/>
        <v>0</v>
      </c>
      <c r="AL323" s="1273">
        <f t="shared" si="51"/>
        <v>255</v>
      </c>
      <c r="AM323" s="1259" t="s">
        <v>2516</v>
      </c>
      <c r="AN323" s="285" t="s">
        <v>824</v>
      </c>
      <c r="AO323" s="312"/>
      <c r="AP323" s="310" t="s">
        <v>1125</v>
      </c>
      <c r="AQ323" s="913" t="s">
        <v>2322</v>
      </c>
      <c r="AS323" s="507" t="s">
        <v>1866</v>
      </c>
      <c r="AT323" s="310" t="s">
        <v>1987</v>
      </c>
      <c r="AU323" s="310" t="s">
        <v>2020</v>
      </c>
      <c r="AV323" s="507" t="s">
        <v>1866</v>
      </c>
    </row>
    <row r="324" spans="2:48" s="252" customFormat="1" ht="66" hidden="1">
      <c r="B324" s="1218" t="s">
        <v>2454</v>
      </c>
      <c r="C324" s="684" t="s">
        <v>1712</v>
      </c>
      <c r="D324" s="299" t="s">
        <v>134</v>
      </c>
      <c r="E324" s="312"/>
      <c r="F324" s="1226" t="s">
        <v>2479</v>
      </c>
      <c r="G324" s="1615"/>
      <c r="H324" s="268" t="s">
        <v>299</v>
      </c>
      <c r="I324" s="268" t="s">
        <v>200</v>
      </c>
      <c r="J324" s="499" t="s">
        <v>673</v>
      </c>
      <c r="K324" s="312"/>
      <c r="L324" s="273" t="s">
        <v>134</v>
      </c>
      <c r="M324" s="274"/>
      <c r="N324" s="314"/>
      <c r="O324" s="278"/>
      <c r="P324" s="314"/>
      <c r="Q324" s="290" t="s">
        <v>134</v>
      </c>
      <c r="R324" s="274" t="s">
        <v>134</v>
      </c>
      <c r="S324" s="291"/>
      <c r="T324" s="274"/>
      <c r="U324" s="292"/>
      <c r="V324" s="293"/>
      <c r="W324" s="314"/>
      <c r="X324" s="290"/>
      <c r="Y324" s="294"/>
      <c r="Z324" s="274"/>
      <c r="AA324" s="291"/>
      <c r="AB324" s="294"/>
      <c r="AC324" s="274"/>
      <c r="AD324" s="312"/>
      <c r="AE324" s="295" t="str">
        <f t="shared" si="47"/>
        <v>0x0 ~ 0xFF (0~255 -)
0x0: No issue
0x1: Warning
0x2: Not used
0x3: SNA</v>
      </c>
      <c r="AF324" s="312"/>
      <c r="AG324" s="1260">
        <v>0</v>
      </c>
      <c r="AH324" s="1261">
        <v>1</v>
      </c>
      <c r="AI324" s="330">
        <v>0</v>
      </c>
      <c r="AJ324" s="1270" t="s">
        <v>2509</v>
      </c>
      <c r="AK324" s="339">
        <f t="shared" si="50"/>
        <v>0</v>
      </c>
      <c r="AL324" s="1274">
        <f t="shared" si="51"/>
        <v>255</v>
      </c>
      <c r="AM324" s="1261" t="s">
        <v>2516</v>
      </c>
      <c r="AN324" s="295" t="s">
        <v>824</v>
      </c>
      <c r="AO324" s="312"/>
      <c r="AP324" s="486" t="s">
        <v>1126</v>
      </c>
      <c r="AQ324" s="486" t="s">
        <v>440</v>
      </c>
      <c r="AS324" s="501" t="s">
        <v>1406</v>
      </c>
      <c r="AT324" s="501" t="s">
        <v>1406</v>
      </c>
      <c r="AU324" s="501" t="s">
        <v>1406</v>
      </c>
      <c r="AV324" s="501" t="s">
        <v>1406</v>
      </c>
    </row>
    <row r="325" spans="2:48" s="252" customFormat="1" ht="66" hidden="1">
      <c r="B325" s="1218" t="s">
        <v>2454</v>
      </c>
      <c r="C325" s="689" t="s">
        <v>1712</v>
      </c>
      <c r="D325" s="309" t="s">
        <v>134</v>
      </c>
      <c r="E325" s="312"/>
      <c r="F325" s="1227" t="s">
        <v>2479</v>
      </c>
      <c r="G325" s="1615"/>
      <c r="H325" s="270" t="s">
        <v>287</v>
      </c>
      <c r="I325" s="270" t="s">
        <v>200</v>
      </c>
      <c r="J325" s="497" t="s">
        <v>674</v>
      </c>
      <c r="K325" s="312"/>
      <c r="L325" s="275" t="s">
        <v>134</v>
      </c>
      <c r="M325" s="276"/>
      <c r="N325" s="314"/>
      <c r="O325" s="279"/>
      <c r="P325" s="314"/>
      <c r="Q325" s="300" t="s">
        <v>134</v>
      </c>
      <c r="R325" s="276" t="s">
        <v>134</v>
      </c>
      <c r="S325" s="301"/>
      <c r="T325" s="276"/>
      <c r="U325" s="302"/>
      <c r="V325" s="303"/>
      <c r="W325" s="314"/>
      <c r="X325" s="300"/>
      <c r="Y325" s="304"/>
      <c r="Z325" s="276"/>
      <c r="AA325" s="301"/>
      <c r="AB325" s="304"/>
      <c r="AC325" s="276"/>
      <c r="AD325" s="312"/>
      <c r="AE325" s="305" t="str">
        <f t="shared" si="47"/>
        <v>0x0 ~ 0xFF (0~255 -)
0x0: No issue
0x1: Warning
0x2: Not used
0x3: SNA</v>
      </c>
      <c r="AF325" s="312"/>
      <c r="AG325" s="1262">
        <v>0</v>
      </c>
      <c r="AH325" s="1263">
        <v>1</v>
      </c>
      <c r="AI325" s="332">
        <v>0</v>
      </c>
      <c r="AJ325" s="1271" t="s">
        <v>2509</v>
      </c>
      <c r="AK325" s="341">
        <f t="shared" si="50"/>
        <v>0</v>
      </c>
      <c r="AL325" s="1275">
        <f t="shared" si="51"/>
        <v>255</v>
      </c>
      <c r="AM325" s="1263" t="s">
        <v>2516</v>
      </c>
      <c r="AN325" s="305" t="s">
        <v>824</v>
      </c>
      <c r="AO325" s="312"/>
      <c r="AP325" s="487" t="s">
        <v>1126</v>
      </c>
      <c r="AQ325" s="487" t="s">
        <v>440</v>
      </c>
      <c r="AS325" s="500" t="s">
        <v>1406</v>
      </c>
      <c r="AT325" s="500" t="s">
        <v>1406</v>
      </c>
      <c r="AU325" s="500" t="s">
        <v>1406</v>
      </c>
      <c r="AV325" s="500" t="s">
        <v>1406</v>
      </c>
    </row>
    <row r="326" spans="2:48" s="252" customFormat="1" ht="132" hidden="1">
      <c r="B326" s="1218" t="s">
        <v>2454</v>
      </c>
      <c r="C326" s="289" t="s">
        <v>134</v>
      </c>
      <c r="D326" s="289" t="s">
        <v>134</v>
      </c>
      <c r="E326" s="312"/>
      <c r="F326" s="1225" t="s">
        <v>2480</v>
      </c>
      <c r="G326" s="1614" t="s">
        <v>675</v>
      </c>
      <c r="H326" s="266">
        <v>1</v>
      </c>
      <c r="I326" s="266" t="s">
        <v>200</v>
      </c>
      <c r="J326" s="498" t="s">
        <v>676</v>
      </c>
      <c r="K326" s="312"/>
      <c r="L326" s="271" t="s">
        <v>134</v>
      </c>
      <c r="M326" s="272"/>
      <c r="N326" s="314"/>
      <c r="O326" s="277"/>
      <c r="P326" s="314"/>
      <c r="Q326" s="280" t="s">
        <v>134</v>
      </c>
      <c r="R326" s="272" t="s">
        <v>134</v>
      </c>
      <c r="S326" s="281"/>
      <c r="T326" s="272"/>
      <c r="U326" s="282"/>
      <c r="V326" s="283"/>
      <c r="W326" s="314"/>
      <c r="X326" s="280"/>
      <c r="Y326" s="284"/>
      <c r="Z326" s="272"/>
      <c r="AA326" s="281"/>
      <c r="AB326" s="284"/>
      <c r="AC326" s="272"/>
      <c r="AD326" s="312"/>
      <c r="AE326" s="285" t="str">
        <f t="shared" si="47"/>
        <v>0x0 ~ 0xFF (0~255 -)
0x0: No issue
0x1: Overheat active
0x2: Not used
0x3: SNA</v>
      </c>
      <c r="AF326" s="312"/>
      <c r="AG326" s="1258">
        <v>0</v>
      </c>
      <c r="AH326" s="1259">
        <v>1</v>
      </c>
      <c r="AI326" s="328">
        <v>0</v>
      </c>
      <c r="AJ326" s="1253" t="s">
        <v>2509</v>
      </c>
      <c r="AK326" s="337">
        <f t="shared" si="50"/>
        <v>0</v>
      </c>
      <c r="AL326" s="1273">
        <f t="shared" si="51"/>
        <v>255</v>
      </c>
      <c r="AM326" s="1259" t="s">
        <v>2516</v>
      </c>
      <c r="AN326" s="285" t="s">
        <v>825</v>
      </c>
      <c r="AO326" s="312"/>
      <c r="AP326" s="310" t="s">
        <v>1125</v>
      </c>
      <c r="AQ326" s="913" t="s">
        <v>2323</v>
      </c>
      <c r="AS326" s="507" t="s">
        <v>1866</v>
      </c>
      <c r="AT326" s="310" t="s">
        <v>1519</v>
      </c>
      <c r="AU326" s="310" t="s">
        <v>1523</v>
      </c>
      <c r="AV326" s="507" t="s">
        <v>1866</v>
      </c>
    </row>
    <row r="327" spans="2:48" s="252" customFormat="1" ht="66" hidden="1">
      <c r="B327" s="1218" t="s">
        <v>2454</v>
      </c>
      <c r="C327" s="684" t="s">
        <v>1712</v>
      </c>
      <c r="D327" s="299" t="s">
        <v>134</v>
      </c>
      <c r="E327" s="312"/>
      <c r="F327" s="1226" t="s">
        <v>2480</v>
      </c>
      <c r="G327" s="1615"/>
      <c r="H327" s="268" t="s">
        <v>299</v>
      </c>
      <c r="I327" s="268" t="s">
        <v>200</v>
      </c>
      <c r="J327" s="499" t="s">
        <v>677</v>
      </c>
      <c r="K327" s="312"/>
      <c r="L327" s="273" t="s">
        <v>134</v>
      </c>
      <c r="M327" s="274"/>
      <c r="N327" s="314"/>
      <c r="O327" s="278"/>
      <c r="P327" s="314"/>
      <c r="Q327" s="290" t="s">
        <v>134</v>
      </c>
      <c r="R327" s="274" t="s">
        <v>134</v>
      </c>
      <c r="S327" s="291"/>
      <c r="T327" s="274"/>
      <c r="U327" s="292"/>
      <c r="V327" s="293"/>
      <c r="W327" s="314"/>
      <c r="X327" s="290"/>
      <c r="Y327" s="294"/>
      <c r="Z327" s="274"/>
      <c r="AA327" s="291"/>
      <c r="AB327" s="294"/>
      <c r="AC327" s="274"/>
      <c r="AD327" s="312"/>
      <c r="AE327" s="295" t="str">
        <f t="shared" si="47"/>
        <v>0x0 ~ 0xFF (0~255 -)
0x0: No issue
0x1: Overheat active
0x2: Not used
0x3: SNA</v>
      </c>
      <c r="AF327" s="312"/>
      <c r="AG327" s="1260">
        <v>0</v>
      </c>
      <c r="AH327" s="1261">
        <v>1</v>
      </c>
      <c r="AI327" s="330">
        <v>0</v>
      </c>
      <c r="AJ327" s="1270" t="s">
        <v>2509</v>
      </c>
      <c r="AK327" s="339">
        <f t="shared" si="50"/>
        <v>0</v>
      </c>
      <c r="AL327" s="1274">
        <f t="shared" si="51"/>
        <v>255</v>
      </c>
      <c r="AM327" s="1261" t="s">
        <v>2516</v>
      </c>
      <c r="AN327" s="295" t="s">
        <v>825</v>
      </c>
      <c r="AO327" s="312"/>
      <c r="AP327" s="486" t="s">
        <v>1126</v>
      </c>
      <c r="AQ327" s="623" t="s">
        <v>440</v>
      </c>
      <c r="AS327" s="501" t="s">
        <v>1406</v>
      </c>
      <c r="AT327" s="501" t="s">
        <v>1406</v>
      </c>
      <c r="AU327" s="501" t="s">
        <v>1406</v>
      </c>
      <c r="AV327" s="501" t="s">
        <v>1406</v>
      </c>
    </row>
    <row r="328" spans="2:48" s="252" customFormat="1" ht="66" hidden="1">
      <c r="B328" s="1218" t="s">
        <v>2454</v>
      </c>
      <c r="C328" s="689" t="s">
        <v>1712</v>
      </c>
      <c r="D328" s="309" t="s">
        <v>134</v>
      </c>
      <c r="E328" s="312"/>
      <c r="F328" s="1227" t="s">
        <v>2480</v>
      </c>
      <c r="G328" s="1615"/>
      <c r="H328" s="270" t="s">
        <v>287</v>
      </c>
      <c r="I328" s="270" t="s">
        <v>200</v>
      </c>
      <c r="J328" s="497" t="s">
        <v>678</v>
      </c>
      <c r="K328" s="312"/>
      <c r="L328" s="275" t="s">
        <v>134</v>
      </c>
      <c r="M328" s="276"/>
      <c r="N328" s="314"/>
      <c r="O328" s="279"/>
      <c r="P328" s="314"/>
      <c r="Q328" s="300" t="s">
        <v>134</v>
      </c>
      <c r="R328" s="276" t="s">
        <v>134</v>
      </c>
      <c r="S328" s="301"/>
      <c r="T328" s="276"/>
      <c r="U328" s="302"/>
      <c r="V328" s="303"/>
      <c r="W328" s="314"/>
      <c r="X328" s="300"/>
      <c r="Y328" s="304"/>
      <c r="Z328" s="276"/>
      <c r="AA328" s="301"/>
      <c r="AB328" s="304"/>
      <c r="AC328" s="276"/>
      <c r="AD328" s="312"/>
      <c r="AE328" s="305" t="str">
        <f t="shared" si="47"/>
        <v>0x0 ~ 0xFF (0~255 -)
0x0: No issue
0x1: Overheat active
0x2: Not used
0x3: SNA</v>
      </c>
      <c r="AF328" s="312"/>
      <c r="AG328" s="1262">
        <v>0</v>
      </c>
      <c r="AH328" s="1263">
        <v>1</v>
      </c>
      <c r="AI328" s="332">
        <v>0</v>
      </c>
      <c r="AJ328" s="1271" t="s">
        <v>2509</v>
      </c>
      <c r="AK328" s="341">
        <f t="shared" si="50"/>
        <v>0</v>
      </c>
      <c r="AL328" s="1275">
        <f t="shared" si="51"/>
        <v>255</v>
      </c>
      <c r="AM328" s="1263" t="s">
        <v>2516</v>
      </c>
      <c r="AN328" s="305" t="s">
        <v>825</v>
      </c>
      <c r="AO328" s="312"/>
      <c r="AP328" s="487" t="s">
        <v>1126</v>
      </c>
      <c r="AQ328" s="935" t="s">
        <v>440</v>
      </c>
      <c r="AS328" s="500" t="s">
        <v>1406</v>
      </c>
      <c r="AT328" s="500" t="s">
        <v>1406</v>
      </c>
      <c r="AU328" s="500" t="s">
        <v>1406</v>
      </c>
      <c r="AV328" s="500" t="s">
        <v>1406</v>
      </c>
    </row>
    <row r="329" spans="2:48" s="252" customFormat="1" ht="132" hidden="1">
      <c r="B329" s="1218" t="s">
        <v>2454</v>
      </c>
      <c r="C329" s="289" t="s">
        <v>134</v>
      </c>
      <c r="D329" s="289" t="s">
        <v>134</v>
      </c>
      <c r="E329" s="312"/>
      <c r="F329" s="1225" t="s">
        <v>2481</v>
      </c>
      <c r="G329" s="1614" t="s">
        <v>679</v>
      </c>
      <c r="H329" s="266">
        <v>1</v>
      </c>
      <c r="I329" s="266" t="s">
        <v>200</v>
      </c>
      <c r="J329" s="498" t="s">
        <v>680</v>
      </c>
      <c r="K329" s="312"/>
      <c r="L329" s="271" t="s">
        <v>134</v>
      </c>
      <c r="M329" s="272"/>
      <c r="N329" s="314"/>
      <c r="O329" s="277"/>
      <c r="P329" s="314"/>
      <c r="Q329" s="280" t="s">
        <v>134</v>
      </c>
      <c r="R329" s="272" t="s">
        <v>134</v>
      </c>
      <c r="S329" s="281"/>
      <c r="T329" s="272"/>
      <c r="U329" s="282"/>
      <c r="V329" s="283"/>
      <c r="W329" s="314"/>
      <c r="X329" s="280"/>
      <c r="Y329" s="284"/>
      <c r="Z329" s="272"/>
      <c r="AA329" s="281"/>
      <c r="AB329" s="284"/>
      <c r="AC329" s="272"/>
      <c r="AD329" s="312"/>
      <c r="AE329" s="285" t="str">
        <f t="shared" si="47"/>
        <v>0x0 ~ 0xFF (0~255 -)
0x0: No issue
0x1: Protection active
0x2: Not used
0x3: SNA</v>
      </c>
      <c r="AF329" s="312"/>
      <c r="AG329" s="1258">
        <v>0</v>
      </c>
      <c r="AH329" s="1259">
        <v>1</v>
      </c>
      <c r="AI329" s="328">
        <v>0</v>
      </c>
      <c r="AJ329" s="1253" t="s">
        <v>2509</v>
      </c>
      <c r="AK329" s="337">
        <f t="shared" si="50"/>
        <v>0</v>
      </c>
      <c r="AL329" s="1273">
        <f t="shared" si="51"/>
        <v>255</v>
      </c>
      <c r="AM329" s="1259" t="s">
        <v>2516</v>
      </c>
      <c r="AN329" s="285" t="s">
        <v>826</v>
      </c>
      <c r="AO329" s="312"/>
      <c r="AP329" s="310" t="s">
        <v>1125</v>
      </c>
      <c r="AQ329" s="913" t="s">
        <v>2324</v>
      </c>
      <c r="AS329" s="507" t="s">
        <v>1866</v>
      </c>
      <c r="AT329" s="310" t="s">
        <v>1519</v>
      </c>
      <c r="AU329" s="310" t="s">
        <v>2021</v>
      </c>
      <c r="AV329" s="507" t="s">
        <v>1866</v>
      </c>
    </row>
    <row r="330" spans="2:48" s="252" customFormat="1" ht="66" hidden="1">
      <c r="B330" s="1218" t="s">
        <v>2454</v>
      </c>
      <c r="C330" s="684" t="s">
        <v>1712</v>
      </c>
      <c r="D330" s="299" t="s">
        <v>134</v>
      </c>
      <c r="E330" s="312"/>
      <c r="F330" s="1226" t="s">
        <v>2481</v>
      </c>
      <c r="G330" s="1615"/>
      <c r="H330" s="268" t="s">
        <v>299</v>
      </c>
      <c r="I330" s="268" t="s">
        <v>200</v>
      </c>
      <c r="J330" s="499" t="s">
        <v>681</v>
      </c>
      <c r="K330" s="312"/>
      <c r="L330" s="273" t="s">
        <v>134</v>
      </c>
      <c r="M330" s="274"/>
      <c r="N330" s="314"/>
      <c r="O330" s="278"/>
      <c r="P330" s="314"/>
      <c r="Q330" s="290" t="s">
        <v>134</v>
      </c>
      <c r="R330" s="274" t="s">
        <v>134</v>
      </c>
      <c r="S330" s="291"/>
      <c r="T330" s="274"/>
      <c r="U330" s="292"/>
      <c r="V330" s="293"/>
      <c r="W330" s="314"/>
      <c r="X330" s="290"/>
      <c r="Y330" s="294"/>
      <c r="Z330" s="274"/>
      <c r="AA330" s="291"/>
      <c r="AB330" s="294"/>
      <c r="AC330" s="274"/>
      <c r="AD330" s="312"/>
      <c r="AE330" s="295" t="str">
        <f t="shared" si="47"/>
        <v>0x0 ~ 0xFF (0~255 -)
0x0: No issue
0x1: Protection active
0x2: Not used
0x3: SNA</v>
      </c>
      <c r="AF330" s="312"/>
      <c r="AG330" s="1260">
        <v>0</v>
      </c>
      <c r="AH330" s="1261">
        <v>1</v>
      </c>
      <c r="AI330" s="330">
        <v>0</v>
      </c>
      <c r="AJ330" s="1270" t="s">
        <v>2509</v>
      </c>
      <c r="AK330" s="339">
        <f t="shared" si="50"/>
        <v>0</v>
      </c>
      <c r="AL330" s="1274">
        <f t="shared" si="51"/>
        <v>255</v>
      </c>
      <c r="AM330" s="1261" t="s">
        <v>2516</v>
      </c>
      <c r="AN330" s="295" t="s">
        <v>826</v>
      </c>
      <c r="AO330" s="312"/>
      <c r="AP330" s="486" t="s">
        <v>1126</v>
      </c>
      <c r="AQ330" s="623" t="s">
        <v>440</v>
      </c>
      <c r="AS330" s="501" t="s">
        <v>1406</v>
      </c>
      <c r="AT330" s="501" t="s">
        <v>1406</v>
      </c>
      <c r="AU330" s="501" t="s">
        <v>1406</v>
      </c>
      <c r="AV330" s="501" t="s">
        <v>1406</v>
      </c>
    </row>
    <row r="331" spans="2:48" s="252" customFormat="1" ht="66" hidden="1">
      <c r="B331" s="1218" t="s">
        <v>2454</v>
      </c>
      <c r="C331" s="689" t="s">
        <v>1712</v>
      </c>
      <c r="D331" s="309" t="s">
        <v>134</v>
      </c>
      <c r="E331" s="312"/>
      <c r="F331" s="1227" t="s">
        <v>2481</v>
      </c>
      <c r="G331" s="1615"/>
      <c r="H331" s="270" t="s">
        <v>287</v>
      </c>
      <c r="I331" s="270" t="s">
        <v>200</v>
      </c>
      <c r="J331" s="497" t="s">
        <v>682</v>
      </c>
      <c r="K331" s="312"/>
      <c r="L331" s="275" t="s">
        <v>134</v>
      </c>
      <c r="M331" s="276"/>
      <c r="N331" s="314"/>
      <c r="O331" s="279"/>
      <c r="P331" s="314"/>
      <c r="Q331" s="300" t="s">
        <v>134</v>
      </c>
      <c r="R331" s="276" t="s">
        <v>134</v>
      </c>
      <c r="S331" s="301"/>
      <c r="T331" s="276"/>
      <c r="U331" s="302"/>
      <c r="V331" s="303"/>
      <c r="W331" s="314"/>
      <c r="X331" s="300"/>
      <c r="Y331" s="304"/>
      <c r="Z331" s="276"/>
      <c r="AA331" s="301"/>
      <c r="AB331" s="304"/>
      <c r="AC331" s="276"/>
      <c r="AD331" s="312"/>
      <c r="AE331" s="305" t="str">
        <f t="shared" si="47"/>
        <v>0x0 ~ 0xFF (0~255 -)
0x0: No issue
0x1: Protection active
0x2: Not used
0x3: SNA</v>
      </c>
      <c r="AF331" s="312"/>
      <c r="AG331" s="1262">
        <v>0</v>
      </c>
      <c r="AH331" s="1263">
        <v>1</v>
      </c>
      <c r="AI331" s="332">
        <v>0</v>
      </c>
      <c r="AJ331" s="1271" t="s">
        <v>2509</v>
      </c>
      <c r="AK331" s="341">
        <f t="shared" si="50"/>
        <v>0</v>
      </c>
      <c r="AL331" s="1275">
        <f t="shared" si="51"/>
        <v>255</v>
      </c>
      <c r="AM331" s="1263" t="s">
        <v>2516</v>
      </c>
      <c r="AN331" s="305" t="s">
        <v>826</v>
      </c>
      <c r="AO331" s="312"/>
      <c r="AP331" s="487" t="s">
        <v>1126</v>
      </c>
      <c r="AQ331" s="935" t="s">
        <v>440</v>
      </c>
      <c r="AS331" s="500" t="s">
        <v>1406</v>
      </c>
      <c r="AT331" s="500" t="s">
        <v>1406</v>
      </c>
      <c r="AU331" s="500" t="s">
        <v>1406</v>
      </c>
      <c r="AV331" s="500" t="s">
        <v>1406</v>
      </c>
    </row>
    <row r="332" spans="2:48" s="252" customFormat="1" ht="145.19999999999999" hidden="1">
      <c r="B332" s="1218" t="s">
        <v>2454</v>
      </c>
      <c r="C332" s="289" t="s">
        <v>134</v>
      </c>
      <c r="D332" s="289" t="s">
        <v>134</v>
      </c>
      <c r="E332" s="312"/>
      <c r="F332" s="1225" t="s">
        <v>1150</v>
      </c>
      <c r="G332" s="1614" t="s">
        <v>683</v>
      </c>
      <c r="H332" s="266">
        <v>1</v>
      </c>
      <c r="I332" s="266" t="s">
        <v>200</v>
      </c>
      <c r="J332" s="498" t="s">
        <v>684</v>
      </c>
      <c r="K332" s="312"/>
      <c r="L332" s="271" t="s">
        <v>134</v>
      </c>
      <c r="M332" s="272"/>
      <c r="N332" s="314"/>
      <c r="O332" s="277"/>
      <c r="P332" s="314"/>
      <c r="Q332" s="280" t="s">
        <v>134</v>
      </c>
      <c r="R332" s="272" t="s">
        <v>134</v>
      </c>
      <c r="S332" s="281"/>
      <c r="T332" s="272"/>
      <c r="U332" s="282"/>
      <c r="V332" s="283"/>
      <c r="W332" s="314"/>
      <c r="X332" s="280"/>
      <c r="Y332" s="284"/>
      <c r="Z332" s="272"/>
      <c r="AA332" s="281"/>
      <c r="AB332" s="284"/>
      <c r="AC332" s="272"/>
      <c r="AD332" s="312"/>
      <c r="AE332" s="285" t="str">
        <f t="shared" si="47"/>
        <v>0x0 ~ 0xFF (0~255 -)
0x0: No issue
0x1: Defect
0x2: Not used
0x3: SNA</v>
      </c>
      <c r="AF332" s="312"/>
      <c r="AG332" s="1258">
        <v>0</v>
      </c>
      <c r="AH332" s="1259">
        <v>1</v>
      </c>
      <c r="AI332" s="328">
        <v>0</v>
      </c>
      <c r="AJ332" s="1253" t="s">
        <v>2509</v>
      </c>
      <c r="AK332" s="337">
        <f t="shared" si="50"/>
        <v>0</v>
      </c>
      <c r="AL332" s="1273">
        <f t="shared" si="51"/>
        <v>255</v>
      </c>
      <c r="AM332" s="1259" t="s">
        <v>2516</v>
      </c>
      <c r="AN332" s="285" t="s">
        <v>827</v>
      </c>
      <c r="AO332" s="312"/>
      <c r="AP332" s="310" t="s">
        <v>1125</v>
      </c>
      <c r="AQ332" s="913" t="s">
        <v>2325</v>
      </c>
      <c r="AS332" s="507" t="s">
        <v>1866</v>
      </c>
      <c r="AT332" s="310" t="s">
        <v>1519</v>
      </c>
      <c r="AU332" s="310" t="s">
        <v>2022</v>
      </c>
      <c r="AV332" s="507" t="s">
        <v>1866</v>
      </c>
    </row>
    <row r="333" spans="2:48" s="252" customFormat="1" ht="66" hidden="1">
      <c r="B333" s="1218" t="s">
        <v>2454</v>
      </c>
      <c r="C333" s="684" t="s">
        <v>1712</v>
      </c>
      <c r="D333" s="299" t="s">
        <v>134</v>
      </c>
      <c r="E333" s="312"/>
      <c r="F333" s="1226" t="s">
        <v>1150</v>
      </c>
      <c r="G333" s="1615"/>
      <c r="H333" s="268" t="s">
        <v>299</v>
      </c>
      <c r="I333" s="268" t="s">
        <v>200</v>
      </c>
      <c r="J333" s="499" t="s">
        <v>685</v>
      </c>
      <c r="K333" s="312"/>
      <c r="L333" s="273" t="s">
        <v>134</v>
      </c>
      <c r="M333" s="274"/>
      <c r="N333" s="314"/>
      <c r="O333" s="278"/>
      <c r="P333" s="314"/>
      <c r="Q333" s="290" t="s">
        <v>134</v>
      </c>
      <c r="R333" s="274" t="s">
        <v>134</v>
      </c>
      <c r="S333" s="291"/>
      <c r="T333" s="274"/>
      <c r="U333" s="292"/>
      <c r="V333" s="293"/>
      <c r="W333" s="314"/>
      <c r="X333" s="290"/>
      <c r="Y333" s="294"/>
      <c r="Z333" s="274"/>
      <c r="AA333" s="291"/>
      <c r="AB333" s="294"/>
      <c r="AC333" s="274"/>
      <c r="AD333" s="312"/>
      <c r="AE333" s="295" t="str">
        <f t="shared" si="47"/>
        <v>0x0 ~ 0xFF (0~255 -)
0x0: No issue
0x1: Defect
0x2: Not used
0x3: SNA</v>
      </c>
      <c r="AF333" s="312"/>
      <c r="AG333" s="1260">
        <v>0</v>
      </c>
      <c r="AH333" s="1261">
        <v>1</v>
      </c>
      <c r="AI333" s="330">
        <v>0</v>
      </c>
      <c r="AJ333" s="1270" t="s">
        <v>2509</v>
      </c>
      <c r="AK333" s="339">
        <f t="shared" si="50"/>
        <v>0</v>
      </c>
      <c r="AL333" s="1274">
        <f t="shared" si="51"/>
        <v>255</v>
      </c>
      <c r="AM333" s="1261" t="s">
        <v>2516</v>
      </c>
      <c r="AN333" s="295" t="s">
        <v>827</v>
      </c>
      <c r="AO333" s="312"/>
      <c r="AP333" s="486" t="s">
        <v>1126</v>
      </c>
      <c r="AQ333" s="486" t="s">
        <v>440</v>
      </c>
      <c r="AS333" s="501" t="s">
        <v>1406</v>
      </c>
      <c r="AT333" s="501" t="s">
        <v>1406</v>
      </c>
      <c r="AU333" s="501" t="s">
        <v>1406</v>
      </c>
      <c r="AV333" s="501" t="s">
        <v>1406</v>
      </c>
    </row>
    <row r="334" spans="2:48" s="252" customFormat="1" ht="66" hidden="1">
      <c r="B334" s="1218" t="s">
        <v>2454</v>
      </c>
      <c r="C334" s="689" t="s">
        <v>1712</v>
      </c>
      <c r="D334" s="309" t="s">
        <v>134</v>
      </c>
      <c r="E334" s="312"/>
      <c r="F334" s="1227" t="s">
        <v>1150</v>
      </c>
      <c r="G334" s="1615"/>
      <c r="H334" s="270" t="s">
        <v>287</v>
      </c>
      <c r="I334" s="270" t="s">
        <v>200</v>
      </c>
      <c r="J334" s="497" t="s">
        <v>686</v>
      </c>
      <c r="K334" s="312"/>
      <c r="L334" s="275" t="s">
        <v>134</v>
      </c>
      <c r="M334" s="276"/>
      <c r="N334" s="314"/>
      <c r="O334" s="279"/>
      <c r="P334" s="314"/>
      <c r="Q334" s="300" t="s">
        <v>134</v>
      </c>
      <c r="R334" s="276" t="s">
        <v>134</v>
      </c>
      <c r="S334" s="301"/>
      <c r="T334" s="276"/>
      <c r="U334" s="302"/>
      <c r="V334" s="303"/>
      <c r="W334" s="314"/>
      <c r="X334" s="300"/>
      <c r="Y334" s="304"/>
      <c r="Z334" s="276"/>
      <c r="AA334" s="301"/>
      <c r="AB334" s="304"/>
      <c r="AC334" s="276"/>
      <c r="AD334" s="312"/>
      <c r="AE334" s="305" t="str">
        <f t="shared" si="47"/>
        <v>0x0 ~ 0xFF (0~255 -)
0x0: No issue
0x1: Defect
0x2: Not used
0x3: SNA</v>
      </c>
      <c r="AF334" s="312"/>
      <c r="AG334" s="1262">
        <v>0</v>
      </c>
      <c r="AH334" s="1263">
        <v>1</v>
      </c>
      <c r="AI334" s="332">
        <v>0</v>
      </c>
      <c r="AJ334" s="1271" t="s">
        <v>2509</v>
      </c>
      <c r="AK334" s="341">
        <f t="shared" si="50"/>
        <v>0</v>
      </c>
      <c r="AL334" s="1275">
        <f t="shared" si="51"/>
        <v>255</v>
      </c>
      <c r="AM334" s="1263" t="s">
        <v>2516</v>
      </c>
      <c r="AN334" s="305" t="s">
        <v>827</v>
      </c>
      <c r="AO334" s="312"/>
      <c r="AP334" s="487" t="s">
        <v>1126</v>
      </c>
      <c r="AQ334" s="487" t="s">
        <v>440</v>
      </c>
      <c r="AS334" s="500" t="s">
        <v>1406</v>
      </c>
      <c r="AT334" s="500" t="s">
        <v>1406</v>
      </c>
      <c r="AU334" s="500" t="s">
        <v>1406</v>
      </c>
      <c r="AV334" s="500" t="s">
        <v>1406</v>
      </c>
    </row>
    <row r="335" spans="2:48" s="252" customFormat="1" ht="145.19999999999999" hidden="1">
      <c r="B335" s="1218" t="s">
        <v>2454</v>
      </c>
      <c r="C335" s="289" t="s">
        <v>134</v>
      </c>
      <c r="D335" s="289" t="s">
        <v>134</v>
      </c>
      <c r="E335" s="312"/>
      <c r="F335" s="1225" t="s">
        <v>1151</v>
      </c>
      <c r="G335" s="1614" t="s">
        <v>687</v>
      </c>
      <c r="H335" s="266">
        <v>1</v>
      </c>
      <c r="I335" s="266" t="s">
        <v>200</v>
      </c>
      <c r="J335" s="498" t="s">
        <v>688</v>
      </c>
      <c r="K335" s="312"/>
      <c r="L335" s="271" t="s">
        <v>134</v>
      </c>
      <c r="M335" s="272"/>
      <c r="N335" s="314"/>
      <c r="O335" s="277"/>
      <c r="P335" s="314"/>
      <c r="Q335" s="280" t="s">
        <v>134</v>
      </c>
      <c r="R335" s="272" t="s">
        <v>134</v>
      </c>
      <c r="S335" s="281"/>
      <c r="T335" s="272"/>
      <c r="U335" s="282"/>
      <c r="V335" s="283"/>
      <c r="W335" s="314"/>
      <c r="X335" s="280"/>
      <c r="Y335" s="284"/>
      <c r="Z335" s="272"/>
      <c r="AA335" s="281"/>
      <c r="AB335" s="284"/>
      <c r="AC335" s="272"/>
      <c r="AD335" s="312"/>
      <c r="AE335" s="285" t="str">
        <f t="shared" si="47"/>
        <v>0x0 ~ 0xFF (0~255 -)
0x0: No issue
0x1: Defect
0x2: Not used
0x3: SNA</v>
      </c>
      <c r="AF335" s="312"/>
      <c r="AG335" s="1258">
        <v>0</v>
      </c>
      <c r="AH335" s="1259">
        <v>1</v>
      </c>
      <c r="AI335" s="328">
        <v>0</v>
      </c>
      <c r="AJ335" s="1253" t="s">
        <v>2509</v>
      </c>
      <c r="AK335" s="337">
        <f t="shared" si="50"/>
        <v>0</v>
      </c>
      <c r="AL335" s="1273">
        <f t="shared" si="51"/>
        <v>255</v>
      </c>
      <c r="AM335" s="1259" t="s">
        <v>2516</v>
      </c>
      <c r="AN335" s="285" t="s">
        <v>827</v>
      </c>
      <c r="AO335" s="312"/>
      <c r="AP335" s="310" t="s">
        <v>1125</v>
      </c>
      <c r="AQ335" s="913" t="s">
        <v>2326</v>
      </c>
      <c r="AS335" s="507" t="s">
        <v>1866</v>
      </c>
      <c r="AT335" s="310" t="s">
        <v>1519</v>
      </c>
      <c r="AU335" s="310" t="s">
        <v>2023</v>
      </c>
      <c r="AV335" s="507" t="s">
        <v>1866</v>
      </c>
    </row>
    <row r="336" spans="2:48" s="252" customFormat="1" ht="66" hidden="1">
      <c r="B336" s="1218" t="s">
        <v>2454</v>
      </c>
      <c r="C336" s="684" t="s">
        <v>1712</v>
      </c>
      <c r="D336" s="299" t="s">
        <v>134</v>
      </c>
      <c r="E336" s="312"/>
      <c r="F336" s="1226" t="s">
        <v>1151</v>
      </c>
      <c r="G336" s="1615"/>
      <c r="H336" s="268" t="s">
        <v>299</v>
      </c>
      <c r="I336" s="268" t="s">
        <v>200</v>
      </c>
      <c r="J336" s="499" t="s">
        <v>689</v>
      </c>
      <c r="K336" s="312"/>
      <c r="L336" s="273" t="s">
        <v>134</v>
      </c>
      <c r="M336" s="274"/>
      <c r="N336" s="314"/>
      <c r="O336" s="278"/>
      <c r="P336" s="314"/>
      <c r="Q336" s="290" t="s">
        <v>134</v>
      </c>
      <c r="R336" s="274" t="s">
        <v>134</v>
      </c>
      <c r="S336" s="291"/>
      <c r="T336" s="274"/>
      <c r="U336" s="292"/>
      <c r="V336" s="293"/>
      <c r="W336" s="314"/>
      <c r="X336" s="290"/>
      <c r="Y336" s="294"/>
      <c r="Z336" s="274"/>
      <c r="AA336" s="291"/>
      <c r="AB336" s="294"/>
      <c r="AC336" s="274"/>
      <c r="AD336" s="312"/>
      <c r="AE336" s="295" t="str">
        <f t="shared" si="47"/>
        <v>0x0 ~ 0xFF (0~255 -)
0x0: No issue
0x1: Defect
0x2: Not used
0x3: SNA</v>
      </c>
      <c r="AF336" s="312"/>
      <c r="AG336" s="1260">
        <v>0</v>
      </c>
      <c r="AH336" s="1261">
        <v>1</v>
      </c>
      <c r="AI336" s="330">
        <v>0</v>
      </c>
      <c r="AJ336" s="1270" t="s">
        <v>2509</v>
      </c>
      <c r="AK336" s="339">
        <f t="shared" si="50"/>
        <v>0</v>
      </c>
      <c r="AL336" s="1274">
        <f t="shared" si="51"/>
        <v>255</v>
      </c>
      <c r="AM336" s="1261" t="s">
        <v>2516</v>
      </c>
      <c r="AN336" s="295" t="s">
        <v>827</v>
      </c>
      <c r="AO336" s="312"/>
      <c r="AP336" s="486" t="s">
        <v>1126</v>
      </c>
      <c r="AQ336" s="623" t="s">
        <v>440</v>
      </c>
      <c r="AS336" s="501" t="s">
        <v>1406</v>
      </c>
      <c r="AT336" s="501" t="s">
        <v>1406</v>
      </c>
      <c r="AU336" s="501" t="s">
        <v>1406</v>
      </c>
      <c r="AV336" s="501" t="s">
        <v>1406</v>
      </c>
    </row>
    <row r="337" spans="2:48" s="252" customFormat="1" ht="66" hidden="1">
      <c r="B337" s="1218" t="s">
        <v>2454</v>
      </c>
      <c r="C337" s="689" t="s">
        <v>1712</v>
      </c>
      <c r="D337" s="309" t="s">
        <v>134</v>
      </c>
      <c r="E337" s="312"/>
      <c r="F337" s="1227" t="s">
        <v>1151</v>
      </c>
      <c r="G337" s="1615"/>
      <c r="H337" s="270" t="s">
        <v>287</v>
      </c>
      <c r="I337" s="270" t="s">
        <v>200</v>
      </c>
      <c r="J337" s="497" t="s">
        <v>690</v>
      </c>
      <c r="K337" s="312"/>
      <c r="L337" s="275" t="s">
        <v>134</v>
      </c>
      <c r="M337" s="276"/>
      <c r="N337" s="314"/>
      <c r="O337" s="279"/>
      <c r="P337" s="314"/>
      <c r="Q337" s="300" t="s">
        <v>134</v>
      </c>
      <c r="R337" s="276" t="s">
        <v>134</v>
      </c>
      <c r="S337" s="301"/>
      <c r="T337" s="276"/>
      <c r="U337" s="302"/>
      <c r="V337" s="303"/>
      <c r="W337" s="314"/>
      <c r="X337" s="300"/>
      <c r="Y337" s="304"/>
      <c r="Z337" s="276"/>
      <c r="AA337" s="301"/>
      <c r="AB337" s="304"/>
      <c r="AC337" s="276"/>
      <c r="AD337" s="312"/>
      <c r="AE337" s="305" t="str">
        <f t="shared" si="47"/>
        <v>0x0 ~ 0xFF (0~255 -)
0x0: No issue
0x1: Defect
0x2: Not used
0x3: SNA</v>
      </c>
      <c r="AF337" s="312"/>
      <c r="AG337" s="1262">
        <v>0</v>
      </c>
      <c r="AH337" s="1263">
        <v>1</v>
      </c>
      <c r="AI337" s="332">
        <v>0</v>
      </c>
      <c r="AJ337" s="1271" t="s">
        <v>2509</v>
      </c>
      <c r="AK337" s="341">
        <f t="shared" si="50"/>
        <v>0</v>
      </c>
      <c r="AL337" s="1275">
        <f t="shared" si="51"/>
        <v>255</v>
      </c>
      <c r="AM337" s="1263" t="s">
        <v>2516</v>
      </c>
      <c r="AN337" s="305" t="s">
        <v>827</v>
      </c>
      <c r="AO337" s="312"/>
      <c r="AP337" s="487" t="s">
        <v>1126</v>
      </c>
      <c r="AQ337" s="935" t="s">
        <v>440</v>
      </c>
      <c r="AS337" s="500" t="s">
        <v>1406</v>
      </c>
      <c r="AT337" s="500" t="s">
        <v>1406</v>
      </c>
      <c r="AU337" s="500" t="s">
        <v>1406</v>
      </c>
      <c r="AV337" s="500" t="s">
        <v>1406</v>
      </c>
    </row>
    <row r="338" spans="2:48" s="252" customFormat="1" ht="145.19999999999999" hidden="1">
      <c r="B338" s="1218" t="s">
        <v>2454</v>
      </c>
      <c r="C338" s="289" t="s">
        <v>134</v>
      </c>
      <c r="D338" s="289" t="s">
        <v>134</v>
      </c>
      <c r="E338" s="312"/>
      <c r="F338" s="1225" t="s">
        <v>1152</v>
      </c>
      <c r="G338" s="1614" t="s">
        <v>691</v>
      </c>
      <c r="H338" s="266">
        <v>1</v>
      </c>
      <c r="I338" s="266" t="s">
        <v>200</v>
      </c>
      <c r="J338" s="498" t="s">
        <v>692</v>
      </c>
      <c r="K338" s="312"/>
      <c r="L338" s="271" t="s">
        <v>134</v>
      </c>
      <c r="M338" s="272"/>
      <c r="N338" s="314"/>
      <c r="O338" s="277"/>
      <c r="P338" s="314"/>
      <c r="Q338" s="280" t="s">
        <v>134</v>
      </c>
      <c r="R338" s="272" t="s">
        <v>134</v>
      </c>
      <c r="S338" s="281"/>
      <c r="T338" s="272"/>
      <c r="U338" s="282"/>
      <c r="V338" s="283"/>
      <c r="W338" s="314"/>
      <c r="X338" s="280"/>
      <c r="Y338" s="284"/>
      <c r="Z338" s="272"/>
      <c r="AA338" s="281"/>
      <c r="AB338" s="284"/>
      <c r="AC338" s="272"/>
      <c r="AD338" s="312"/>
      <c r="AE338" s="285" t="str">
        <f t="shared" si="47"/>
        <v>0x0 ~ 0xFF (0~255 -)
0x0: No issue
0x1: Defect
0x2: Not used
0x3: SNA</v>
      </c>
      <c r="AF338" s="312"/>
      <c r="AG338" s="1258">
        <v>0</v>
      </c>
      <c r="AH338" s="1259">
        <v>1</v>
      </c>
      <c r="AI338" s="328">
        <v>0</v>
      </c>
      <c r="AJ338" s="1253" t="s">
        <v>2509</v>
      </c>
      <c r="AK338" s="337">
        <f t="shared" si="50"/>
        <v>0</v>
      </c>
      <c r="AL338" s="1273">
        <f t="shared" si="51"/>
        <v>255</v>
      </c>
      <c r="AM338" s="1259" t="s">
        <v>2516</v>
      </c>
      <c r="AN338" s="285" t="s">
        <v>827</v>
      </c>
      <c r="AO338" s="312"/>
      <c r="AP338" s="310" t="s">
        <v>1125</v>
      </c>
      <c r="AQ338" s="913" t="s">
        <v>2327</v>
      </c>
      <c r="AS338" s="507" t="s">
        <v>1866</v>
      </c>
      <c r="AT338" s="310" t="s">
        <v>1519</v>
      </c>
      <c r="AU338" s="310" t="s">
        <v>2024</v>
      </c>
      <c r="AV338" s="507" t="s">
        <v>1866</v>
      </c>
    </row>
    <row r="339" spans="2:48" s="252" customFormat="1" ht="66" hidden="1">
      <c r="B339" s="1218" t="s">
        <v>2454</v>
      </c>
      <c r="C339" s="684" t="s">
        <v>1712</v>
      </c>
      <c r="D339" s="299" t="s">
        <v>134</v>
      </c>
      <c r="E339" s="312"/>
      <c r="F339" s="1226" t="s">
        <v>1152</v>
      </c>
      <c r="G339" s="1615"/>
      <c r="H339" s="268" t="s">
        <v>299</v>
      </c>
      <c r="I339" s="268" t="s">
        <v>200</v>
      </c>
      <c r="J339" s="499" t="s">
        <v>693</v>
      </c>
      <c r="K339" s="312"/>
      <c r="L339" s="273" t="s">
        <v>134</v>
      </c>
      <c r="M339" s="274"/>
      <c r="N339" s="314"/>
      <c r="O339" s="278"/>
      <c r="P339" s="314"/>
      <c r="Q339" s="290" t="s">
        <v>134</v>
      </c>
      <c r="R339" s="274" t="s">
        <v>134</v>
      </c>
      <c r="S339" s="291"/>
      <c r="T339" s="274"/>
      <c r="U339" s="292"/>
      <c r="V339" s="293"/>
      <c r="W339" s="314"/>
      <c r="X339" s="290"/>
      <c r="Y339" s="294"/>
      <c r="Z339" s="274"/>
      <c r="AA339" s="291"/>
      <c r="AB339" s="294"/>
      <c r="AC339" s="274"/>
      <c r="AD339" s="312"/>
      <c r="AE339" s="295" t="str">
        <f t="shared" si="47"/>
        <v>0x0 ~ 0xFF (0~255 -)
0x0: No issue
0x1: Defect
0x2: Not used
0x3: SNA</v>
      </c>
      <c r="AF339" s="312"/>
      <c r="AG339" s="1260">
        <v>0</v>
      </c>
      <c r="AH339" s="1261">
        <v>1</v>
      </c>
      <c r="AI339" s="330">
        <v>0</v>
      </c>
      <c r="AJ339" s="1270" t="s">
        <v>2509</v>
      </c>
      <c r="AK339" s="339">
        <f t="shared" si="50"/>
        <v>0</v>
      </c>
      <c r="AL339" s="1274">
        <f t="shared" si="51"/>
        <v>255</v>
      </c>
      <c r="AM339" s="1261" t="s">
        <v>2516</v>
      </c>
      <c r="AN339" s="295" t="s">
        <v>827</v>
      </c>
      <c r="AO339" s="312"/>
      <c r="AP339" s="486" t="s">
        <v>1126</v>
      </c>
      <c r="AQ339" s="623" t="s">
        <v>440</v>
      </c>
      <c r="AS339" s="501" t="s">
        <v>1406</v>
      </c>
      <c r="AT339" s="501" t="s">
        <v>1406</v>
      </c>
      <c r="AU339" s="501" t="s">
        <v>1406</v>
      </c>
      <c r="AV339" s="501" t="s">
        <v>1406</v>
      </c>
    </row>
    <row r="340" spans="2:48" s="252" customFormat="1" ht="66" hidden="1">
      <c r="B340" s="1218" t="s">
        <v>2454</v>
      </c>
      <c r="C340" s="689" t="s">
        <v>1712</v>
      </c>
      <c r="D340" s="309" t="s">
        <v>134</v>
      </c>
      <c r="E340" s="312"/>
      <c r="F340" s="1227" t="s">
        <v>1152</v>
      </c>
      <c r="G340" s="1615"/>
      <c r="H340" s="270" t="s">
        <v>287</v>
      </c>
      <c r="I340" s="270" t="s">
        <v>200</v>
      </c>
      <c r="J340" s="497" t="s">
        <v>694</v>
      </c>
      <c r="K340" s="312"/>
      <c r="L340" s="275" t="s">
        <v>134</v>
      </c>
      <c r="M340" s="276"/>
      <c r="N340" s="314"/>
      <c r="O340" s="279"/>
      <c r="P340" s="314"/>
      <c r="Q340" s="300" t="s">
        <v>134</v>
      </c>
      <c r="R340" s="276" t="s">
        <v>134</v>
      </c>
      <c r="S340" s="301"/>
      <c r="T340" s="276"/>
      <c r="U340" s="302"/>
      <c r="V340" s="303"/>
      <c r="W340" s="314"/>
      <c r="X340" s="300"/>
      <c r="Y340" s="304"/>
      <c r="Z340" s="276"/>
      <c r="AA340" s="301"/>
      <c r="AB340" s="304"/>
      <c r="AC340" s="276"/>
      <c r="AD340" s="312"/>
      <c r="AE340" s="305" t="str">
        <f t="shared" si="47"/>
        <v>0x0 ~ 0xFF (0~255 -)
0x0: No issue
0x1: Defect
0x2: Not used
0x3: SNA</v>
      </c>
      <c r="AF340" s="312"/>
      <c r="AG340" s="1262">
        <v>0</v>
      </c>
      <c r="AH340" s="1263">
        <v>1</v>
      </c>
      <c r="AI340" s="332">
        <v>0</v>
      </c>
      <c r="AJ340" s="1271" t="s">
        <v>2509</v>
      </c>
      <c r="AK340" s="341">
        <f t="shared" si="50"/>
        <v>0</v>
      </c>
      <c r="AL340" s="1275">
        <f t="shared" si="51"/>
        <v>255</v>
      </c>
      <c r="AM340" s="1263" t="s">
        <v>2516</v>
      </c>
      <c r="AN340" s="305" t="s">
        <v>827</v>
      </c>
      <c r="AO340" s="312"/>
      <c r="AP340" s="487" t="s">
        <v>1126</v>
      </c>
      <c r="AQ340" s="935" t="s">
        <v>440</v>
      </c>
      <c r="AS340" s="500" t="s">
        <v>1406</v>
      </c>
      <c r="AT340" s="500" t="s">
        <v>1406</v>
      </c>
      <c r="AU340" s="500" t="s">
        <v>1406</v>
      </c>
      <c r="AV340" s="500" t="s">
        <v>1406</v>
      </c>
    </row>
    <row r="341" spans="2:48" s="252" customFormat="1" ht="132" hidden="1">
      <c r="B341" s="1218" t="s">
        <v>2454</v>
      </c>
      <c r="C341" s="289" t="s">
        <v>134</v>
      </c>
      <c r="D341" s="289" t="s">
        <v>134</v>
      </c>
      <c r="E341" s="312"/>
      <c r="F341" s="1225" t="s">
        <v>1153</v>
      </c>
      <c r="G341" s="1614" t="s">
        <v>695</v>
      </c>
      <c r="H341" s="266">
        <v>1</v>
      </c>
      <c r="I341" s="266" t="s">
        <v>200</v>
      </c>
      <c r="J341" s="498" t="s">
        <v>696</v>
      </c>
      <c r="K341" s="312"/>
      <c r="L341" s="271" t="s">
        <v>134</v>
      </c>
      <c r="M341" s="272"/>
      <c r="N341" s="314"/>
      <c r="O341" s="277"/>
      <c r="P341" s="314"/>
      <c r="Q341" s="280" t="s">
        <v>134</v>
      </c>
      <c r="R341" s="272" t="s">
        <v>134</v>
      </c>
      <c r="S341" s="281"/>
      <c r="T341" s="272"/>
      <c r="U341" s="282"/>
      <c r="V341" s="283"/>
      <c r="W341" s="314"/>
      <c r="X341" s="280"/>
      <c r="Y341" s="284"/>
      <c r="Z341" s="272"/>
      <c r="AA341" s="281"/>
      <c r="AB341" s="284"/>
      <c r="AC341" s="272"/>
      <c r="AD341" s="312"/>
      <c r="AE341" s="285" t="str">
        <f t="shared" si="47"/>
        <v>0x0 ~ 0xFF (0~255 -)
0x0: No issue
0x1: Defect
0x2: Not used
0x3: SNA</v>
      </c>
      <c r="AF341" s="312"/>
      <c r="AG341" s="1258">
        <v>0</v>
      </c>
      <c r="AH341" s="1259">
        <v>1</v>
      </c>
      <c r="AI341" s="328">
        <v>0</v>
      </c>
      <c r="AJ341" s="1253" t="s">
        <v>2509</v>
      </c>
      <c r="AK341" s="337">
        <f t="shared" si="50"/>
        <v>0</v>
      </c>
      <c r="AL341" s="1273">
        <f t="shared" si="51"/>
        <v>255</v>
      </c>
      <c r="AM341" s="1259" t="s">
        <v>2516</v>
      </c>
      <c r="AN341" s="285" t="s">
        <v>827</v>
      </c>
      <c r="AO341" s="312"/>
      <c r="AP341" s="310" t="s">
        <v>1125</v>
      </c>
      <c r="AQ341" s="913" t="s">
        <v>2328</v>
      </c>
      <c r="AS341" s="507" t="s">
        <v>1866</v>
      </c>
      <c r="AT341" s="310" t="s">
        <v>1519</v>
      </c>
      <c r="AU341" s="310" t="s">
        <v>2025</v>
      </c>
      <c r="AV341" s="507" t="s">
        <v>1866</v>
      </c>
    </row>
    <row r="342" spans="2:48" s="252" customFormat="1" ht="66" hidden="1">
      <c r="B342" s="1218" t="s">
        <v>2454</v>
      </c>
      <c r="C342" s="684" t="s">
        <v>1712</v>
      </c>
      <c r="D342" s="299" t="s">
        <v>134</v>
      </c>
      <c r="E342" s="312"/>
      <c r="F342" s="1226" t="s">
        <v>1153</v>
      </c>
      <c r="G342" s="1615"/>
      <c r="H342" s="268" t="s">
        <v>299</v>
      </c>
      <c r="I342" s="268" t="s">
        <v>200</v>
      </c>
      <c r="J342" s="499" t="s">
        <v>697</v>
      </c>
      <c r="K342" s="312"/>
      <c r="L342" s="273" t="s">
        <v>134</v>
      </c>
      <c r="M342" s="274"/>
      <c r="N342" s="314"/>
      <c r="O342" s="278"/>
      <c r="P342" s="314"/>
      <c r="Q342" s="290" t="s">
        <v>134</v>
      </c>
      <c r="R342" s="274" t="s">
        <v>134</v>
      </c>
      <c r="S342" s="291"/>
      <c r="T342" s="274"/>
      <c r="U342" s="292"/>
      <c r="V342" s="293"/>
      <c r="W342" s="314"/>
      <c r="X342" s="290"/>
      <c r="Y342" s="294"/>
      <c r="Z342" s="274"/>
      <c r="AA342" s="291"/>
      <c r="AB342" s="294"/>
      <c r="AC342" s="274"/>
      <c r="AD342" s="312"/>
      <c r="AE342" s="295" t="str">
        <f t="shared" si="47"/>
        <v>0x0 ~ 0xFF (0~255 -)
0x0: No issue
0x1: Defect
0x2: Not used
0x3: SNA</v>
      </c>
      <c r="AF342" s="312"/>
      <c r="AG342" s="1260">
        <v>0</v>
      </c>
      <c r="AH342" s="1261">
        <v>1</v>
      </c>
      <c r="AI342" s="330">
        <v>0</v>
      </c>
      <c r="AJ342" s="1270" t="s">
        <v>2509</v>
      </c>
      <c r="AK342" s="339">
        <f t="shared" si="50"/>
        <v>0</v>
      </c>
      <c r="AL342" s="1274">
        <f t="shared" si="51"/>
        <v>255</v>
      </c>
      <c r="AM342" s="1261" t="s">
        <v>2516</v>
      </c>
      <c r="AN342" s="295" t="s">
        <v>827</v>
      </c>
      <c r="AO342" s="312"/>
      <c r="AP342" s="486" t="s">
        <v>1126</v>
      </c>
      <c r="AQ342" s="486" t="s">
        <v>440</v>
      </c>
      <c r="AS342" s="501" t="s">
        <v>1406</v>
      </c>
      <c r="AT342" s="501" t="s">
        <v>1406</v>
      </c>
      <c r="AU342" s="501" t="s">
        <v>1406</v>
      </c>
      <c r="AV342" s="501" t="s">
        <v>1406</v>
      </c>
    </row>
    <row r="343" spans="2:48" s="252" customFormat="1" ht="66" hidden="1">
      <c r="B343" s="1218" t="s">
        <v>2454</v>
      </c>
      <c r="C343" s="689" t="s">
        <v>1712</v>
      </c>
      <c r="D343" s="309" t="s">
        <v>134</v>
      </c>
      <c r="E343" s="312"/>
      <c r="F343" s="1227" t="s">
        <v>1153</v>
      </c>
      <c r="G343" s="1615"/>
      <c r="H343" s="270" t="s">
        <v>287</v>
      </c>
      <c r="I343" s="270" t="s">
        <v>200</v>
      </c>
      <c r="J343" s="497" t="s">
        <v>698</v>
      </c>
      <c r="K343" s="312"/>
      <c r="L343" s="275" t="s">
        <v>134</v>
      </c>
      <c r="M343" s="276"/>
      <c r="N343" s="314"/>
      <c r="O343" s="279"/>
      <c r="P343" s="314"/>
      <c r="Q343" s="300" t="s">
        <v>134</v>
      </c>
      <c r="R343" s="276" t="s">
        <v>134</v>
      </c>
      <c r="S343" s="301"/>
      <c r="T343" s="276"/>
      <c r="U343" s="302"/>
      <c r="V343" s="303"/>
      <c r="W343" s="314"/>
      <c r="X343" s="300"/>
      <c r="Y343" s="304"/>
      <c r="Z343" s="276"/>
      <c r="AA343" s="301"/>
      <c r="AB343" s="304"/>
      <c r="AC343" s="276"/>
      <c r="AD343" s="312"/>
      <c r="AE343" s="305" t="str">
        <f t="shared" si="47"/>
        <v>0x0 ~ 0xFF (0~255 -)
0x0: No issue
0x1: Defect
0x2: Not used
0x3: SNA</v>
      </c>
      <c r="AF343" s="312"/>
      <c r="AG343" s="1262">
        <v>0</v>
      </c>
      <c r="AH343" s="1263">
        <v>1</v>
      </c>
      <c r="AI343" s="332">
        <v>0</v>
      </c>
      <c r="AJ343" s="1271" t="s">
        <v>2509</v>
      </c>
      <c r="AK343" s="341">
        <f t="shared" si="50"/>
        <v>0</v>
      </c>
      <c r="AL343" s="1275">
        <f t="shared" si="51"/>
        <v>255</v>
      </c>
      <c r="AM343" s="1263" t="s">
        <v>2516</v>
      </c>
      <c r="AN343" s="305" t="s">
        <v>827</v>
      </c>
      <c r="AO343" s="312"/>
      <c r="AP343" s="487" t="s">
        <v>1126</v>
      </c>
      <c r="AQ343" s="487" t="s">
        <v>440</v>
      </c>
      <c r="AS343" s="500" t="s">
        <v>1406</v>
      </c>
      <c r="AT343" s="500" t="s">
        <v>1406</v>
      </c>
      <c r="AU343" s="500" t="s">
        <v>1406</v>
      </c>
      <c r="AV343" s="500" t="s">
        <v>1406</v>
      </c>
    </row>
    <row r="344" spans="2:48" s="252" customFormat="1" ht="132" hidden="1">
      <c r="B344" s="1218" t="s">
        <v>2454</v>
      </c>
      <c r="C344" s="289" t="s">
        <v>134</v>
      </c>
      <c r="D344" s="289" t="s">
        <v>134</v>
      </c>
      <c r="E344" s="312"/>
      <c r="F344" s="1225" t="s">
        <v>1154</v>
      </c>
      <c r="G344" s="1614" t="s">
        <v>699</v>
      </c>
      <c r="H344" s="266">
        <v>1</v>
      </c>
      <c r="I344" s="266" t="s">
        <v>200</v>
      </c>
      <c r="J344" s="498" t="s">
        <v>700</v>
      </c>
      <c r="K344" s="312"/>
      <c r="L344" s="271" t="s">
        <v>134</v>
      </c>
      <c r="M344" s="272"/>
      <c r="N344" s="314"/>
      <c r="O344" s="277"/>
      <c r="P344" s="314"/>
      <c r="Q344" s="280" t="s">
        <v>134</v>
      </c>
      <c r="R344" s="272" t="s">
        <v>134</v>
      </c>
      <c r="S344" s="281"/>
      <c r="T344" s="272"/>
      <c r="U344" s="282"/>
      <c r="V344" s="283"/>
      <c r="W344" s="314"/>
      <c r="X344" s="280"/>
      <c r="Y344" s="284"/>
      <c r="Z344" s="272"/>
      <c r="AA344" s="281"/>
      <c r="AB344" s="284"/>
      <c r="AC344" s="272"/>
      <c r="AD344" s="312"/>
      <c r="AE344" s="285" t="str">
        <f t="shared" si="47"/>
        <v>0x0 ~ 0xFF (0~255 -)
0x0: No issue
0x1: Defect
0x2: Not used
0x3: SNA</v>
      </c>
      <c r="AF344" s="312"/>
      <c r="AG344" s="1258">
        <v>0</v>
      </c>
      <c r="AH344" s="1259">
        <v>1</v>
      </c>
      <c r="AI344" s="328">
        <v>0</v>
      </c>
      <c r="AJ344" s="1253" t="s">
        <v>2509</v>
      </c>
      <c r="AK344" s="337">
        <f t="shared" si="50"/>
        <v>0</v>
      </c>
      <c r="AL344" s="1273">
        <f t="shared" si="51"/>
        <v>255</v>
      </c>
      <c r="AM344" s="1259" t="s">
        <v>2516</v>
      </c>
      <c r="AN344" s="285" t="s">
        <v>827</v>
      </c>
      <c r="AO344" s="312"/>
      <c r="AP344" s="310" t="s">
        <v>1125</v>
      </c>
      <c r="AQ344" s="913" t="s">
        <v>2329</v>
      </c>
      <c r="AS344" s="507" t="s">
        <v>1866</v>
      </c>
      <c r="AT344" s="310" t="s">
        <v>1519</v>
      </c>
      <c r="AU344" s="913" t="s">
        <v>2026</v>
      </c>
      <c r="AV344" s="507" t="s">
        <v>1866</v>
      </c>
    </row>
    <row r="345" spans="2:48" s="252" customFormat="1" ht="66" hidden="1">
      <c r="B345" s="1218" t="s">
        <v>2454</v>
      </c>
      <c r="C345" s="684" t="s">
        <v>1712</v>
      </c>
      <c r="D345" s="299" t="s">
        <v>134</v>
      </c>
      <c r="E345" s="312"/>
      <c r="F345" s="1226" t="s">
        <v>1154</v>
      </c>
      <c r="G345" s="1615"/>
      <c r="H345" s="268" t="s">
        <v>299</v>
      </c>
      <c r="I345" s="268" t="s">
        <v>200</v>
      </c>
      <c r="J345" s="499" t="s">
        <v>701</v>
      </c>
      <c r="K345" s="312"/>
      <c r="L345" s="273" t="s">
        <v>134</v>
      </c>
      <c r="M345" s="274"/>
      <c r="N345" s="314"/>
      <c r="O345" s="278"/>
      <c r="P345" s="314"/>
      <c r="Q345" s="290" t="s">
        <v>134</v>
      </c>
      <c r="R345" s="274" t="s">
        <v>134</v>
      </c>
      <c r="S345" s="291"/>
      <c r="T345" s="274"/>
      <c r="U345" s="292"/>
      <c r="V345" s="293"/>
      <c r="W345" s="314"/>
      <c r="X345" s="290"/>
      <c r="Y345" s="294"/>
      <c r="Z345" s="274"/>
      <c r="AA345" s="291"/>
      <c r="AB345" s="294"/>
      <c r="AC345" s="274"/>
      <c r="AD345" s="312"/>
      <c r="AE345" s="295" t="str">
        <f t="shared" si="47"/>
        <v>0x0 ~ 0xFF (0~255 -)
0x0: No issue
0x1: Defect
0x2: Not used
0x3: SNA</v>
      </c>
      <c r="AF345" s="312"/>
      <c r="AG345" s="1260">
        <v>0</v>
      </c>
      <c r="AH345" s="1261">
        <v>1</v>
      </c>
      <c r="AI345" s="330">
        <v>0</v>
      </c>
      <c r="AJ345" s="1270" t="s">
        <v>2509</v>
      </c>
      <c r="AK345" s="339">
        <f t="shared" si="50"/>
        <v>0</v>
      </c>
      <c r="AL345" s="1274">
        <f t="shared" si="51"/>
        <v>255</v>
      </c>
      <c r="AM345" s="1261" t="s">
        <v>2516</v>
      </c>
      <c r="AN345" s="295" t="s">
        <v>827</v>
      </c>
      <c r="AO345" s="312"/>
      <c r="AP345" s="486" t="s">
        <v>1126</v>
      </c>
      <c r="AQ345" s="623" t="s">
        <v>440</v>
      </c>
      <c r="AS345" s="501" t="s">
        <v>1406</v>
      </c>
      <c r="AT345" s="501" t="s">
        <v>1406</v>
      </c>
      <c r="AU345" s="501" t="s">
        <v>1406</v>
      </c>
      <c r="AV345" s="501" t="s">
        <v>1406</v>
      </c>
    </row>
    <row r="346" spans="2:48" s="252" customFormat="1" ht="66" hidden="1">
      <c r="B346" s="1218" t="s">
        <v>2454</v>
      </c>
      <c r="C346" s="689" t="s">
        <v>1712</v>
      </c>
      <c r="D346" s="309" t="s">
        <v>134</v>
      </c>
      <c r="E346" s="312"/>
      <c r="F346" s="1227" t="s">
        <v>1154</v>
      </c>
      <c r="G346" s="1615"/>
      <c r="H346" s="270" t="s">
        <v>287</v>
      </c>
      <c r="I346" s="270" t="s">
        <v>200</v>
      </c>
      <c r="J346" s="497" t="s">
        <v>702</v>
      </c>
      <c r="K346" s="312"/>
      <c r="L346" s="275" t="s">
        <v>134</v>
      </c>
      <c r="M346" s="276"/>
      <c r="N346" s="314"/>
      <c r="O346" s="279"/>
      <c r="P346" s="314"/>
      <c r="Q346" s="300" t="s">
        <v>134</v>
      </c>
      <c r="R346" s="276" t="s">
        <v>134</v>
      </c>
      <c r="S346" s="301"/>
      <c r="T346" s="276"/>
      <c r="U346" s="302"/>
      <c r="V346" s="303"/>
      <c r="W346" s="314"/>
      <c r="X346" s="300"/>
      <c r="Y346" s="304"/>
      <c r="Z346" s="276"/>
      <c r="AA346" s="301"/>
      <c r="AB346" s="304"/>
      <c r="AC346" s="276"/>
      <c r="AD346" s="312"/>
      <c r="AE346" s="305" t="str">
        <f t="shared" si="47"/>
        <v>0x0 ~ 0xFF (0~255 -)
0x0: No issue
0x1: Defect
0x2: Not used
0x3: SNA</v>
      </c>
      <c r="AF346" s="312"/>
      <c r="AG346" s="1262">
        <v>0</v>
      </c>
      <c r="AH346" s="1263">
        <v>1</v>
      </c>
      <c r="AI346" s="332">
        <v>0</v>
      </c>
      <c r="AJ346" s="1271" t="s">
        <v>2509</v>
      </c>
      <c r="AK346" s="341">
        <f t="shared" si="50"/>
        <v>0</v>
      </c>
      <c r="AL346" s="1275">
        <f t="shared" si="51"/>
        <v>255</v>
      </c>
      <c r="AM346" s="1263" t="s">
        <v>2516</v>
      </c>
      <c r="AN346" s="305" t="s">
        <v>827</v>
      </c>
      <c r="AO346" s="312"/>
      <c r="AP346" s="487" t="s">
        <v>1126</v>
      </c>
      <c r="AQ346" s="935" t="s">
        <v>440</v>
      </c>
      <c r="AS346" s="500" t="s">
        <v>1406</v>
      </c>
      <c r="AT346" s="500" t="s">
        <v>1406</v>
      </c>
      <c r="AU346" s="500" t="s">
        <v>1406</v>
      </c>
      <c r="AV346" s="500" t="s">
        <v>1406</v>
      </c>
    </row>
    <row r="347" spans="2:48" s="252" customFormat="1" ht="132" hidden="1">
      <c r="B347" s="1218" t="s">
        <v>2454</v>
      </c>
      <c r="C347" s="289" t="s">
        <v>134</v>
      </c>
      <c r="D347" s="289" t="s">
        <v>134</v>
      </c>
      <c r="E347" s="312"/>
      <c r="F347" s="1225" t="s">
        <v>1155</v>
      </c>
      <c r="G347" s="1614" t="s">
        <v>703</v>
      </c>
      <c r="H347" s="266">
        <v>1</v>
      </c>
      <c r="I347" s="266" t="s">
        <v>200</v>
      </c>
      <c r="J347" s="498" t="s">
        <v>704</v>
      </c>
      <c r="K347" s="312"/>
      <c r="L347" s="271" t="s">
        <v>134</v>
      </c>
      <c r="M347" s="272"/>
      <c r="N347" s="314"/>
      <c r="O347" s="277"/>
      <c r="P347" s="314"/>
      <c r="Q347" s="280" t="s">
        <v>134</v>
      </c>
      <c r="R347" s="272" t="s">
        <v>134</v>
      </c>
      <c r="S347" s="281"/>
      <c r="T347" s="272"/>
      <c r="U347" s="282"/>
      <c r="V347" s="283"/>
      <c r="W347" s="314"/>
      <c r="X347" s="280"/>
      <c r="Y347" s="284"/>
      <c r="Z347" s="272"/>
      <c r="AA347" s="281"/>
      <c r="AB347" s="284"/>
      <c r="AC347" s="272"/>
      <c r="AD347" s="312"/>
      <c r="AE347" s="285" t="str">
        <f t="shared" si="47"/>
        <v>0x0 ~ 0xFF (0~255 -)
0x0: No issue
0x1: Defect
0x2: Not used
0x3: SNA</v>
      </c>
      <c r="AF347" s="312"/>
      <c r="AG347" s="1258">
        <v>0</v>
      </c>
      <c r="AH347" s="1259">
        <v>1</v>
      </c>
      <c r="AI347" s="328">
        <v>0</v>
      </c>
      <c r="AJ347" s="1253" t="s">
        <v>2509</v>
      </c>
      <c r="AK347" s="337">
        <f t="shared" si="50"/>
        <v>0</v>
      </c>
      <c r="AL347" s="1273">
        <f t="shared" si="51"/>
        <v>255</v>
      </c>
      <c r="AM347" s="1259" t="s">
        <v>2516</v>
      </c>
      <c r="AN347" s="285" t="s">
        <v>827</v>
      </c>
      <c r="AO347" s="312"/>
      <c r="AP347" s="310" t="s">
        <v>1125</v>
      </c>
      <c r="AQ347" s="913" t="s">
        <v>2330</v>
      </c>
      <c r="AS347" s="507" t="s">
        <v>1866</v>
      </c>
      <c r="AT347" s="310" t="s">
        <v>1519</v>
      </c>
      <c r="AU347" s="310" t="s">
        <v>2027</v>
      </c>
      <c r="AV347" s="507" t="s">
        <v>1866</v>
      </c>
    </row>
    <row r="348" spans="2:48" s="252" customFormat="1" ht="66" hidden="1">
      <c r="B348" s="1218" t="s">
        <v>2454</v>
      </c>
      <c r="C348" s="684" t="s">
        <v>1712</v>
      </c>
      <c r="D348" s="299" t="s">
        <v>134</v>
      </c>
      <c r="E348" s="312"/>
      <c r="F348" s="1226" t="s">
        <v>1155</v>
      </c>
      <c r="G348" s="1615"/>
      <c r="H348" s="268" t="s">
        <v>299</v>
      </c>
      <c r="I348" s="268" t="s">
        <v>200</v>
      </c>
      <c r="J348" s="499" t="s">
        <v>705</v>
      </c>
      <c r="K348" s="312"/>
      <c r="L348" s="273" t="s">
        <v>134</v>
      </c>
      <c r="M348" s="274"/>
      <c r="N348" s="314"/>
      <c r="O348" s="278"/>
      <c r="P348" s="314"/>
      <c r="Q348" s="290" t="s">
        <v>134</v>
      </c>
      <c r="R348" s="274" t="s">
        <v>134</v>
      </c>
      <c r="S348" s="291"/>
      <c r="T348" s="274"/>
      <c r="U348" s="292"/>
      <c r="V348" s="293"/>
      <c r="W348" s="314"/>
      <c r="X348" s="290"/>
      <c r="Y348" s="294"/>
      <c r="Z348" s="274"/>
      <c r="AA348" s="291"/>
      <c r="AB348" s="294"/>
      <c r="AC348" s="274"/>
      <c r="AD348" s="312"/>
      <c r="AE348" s="295" t="str">
        <f t="shared" si="47"/>
        <v>0x0 ~ 0xFF (0~255 -)
0x0: No issue
0x1: Defect
0x2: Not used
0x3: SNA</v>
      </c>
      <c r="AF348" s="312"/>
      <c r="AG348" s="1260">
        <v>0</v>
      </c>
      <c r="AH348" s="1261">
        <v>1</v>
      </c>
      <c r="AI348" s="330">
        <v>0</v>
      </c>
      <c r="AJ348" s="1270" t="s">
        <v>2509</v>
      </c>
      <c r="AK348" s="339">
        <f t="shared" si="50"/>
        <v>0</v>
      </c>
      <c r="AL348" s="1274">
        <f t="shared" si="51"/>
        <v>255</v>
      </c>
      <c r="AM348" s="1261" t="s">
        <v>2516</v>
      </c>
      <c r="AN348" s="295" t="s">
        <v>827</v>
      </c>
      <c r="AO348" s="312"/>
      <c r="AP348" s="486" t="s">
        <v>1126</v>
      </c>
      <c r="AQ348" s="623" t="s">
        <v>440</v>
      </c>
      <c r="AS348" s="501" t="s">
        <v>1406</v>
      </c>
      <c r="AT348" s="501" t="s">
        <v>1406</v>
      </c>
      <c r="AU348" s="501" t="s">
        <v>1406</v>
      </c>
      <c r="AV348" s="501" t="s">
        <v>1406</v>
      </c>
    </row>
    <row r="349" spans="2:48" s="252" customFormat="1" ht="66" hidden="1">
      <c r="B349" s="1218" t="s">
        <v>2454</v>
      </c>
      <c r="C349" s="689" t="s">
        <v>1712</v>
      </c>
      <c r="D349" s="309" t="s">
        <v>134</v>
      </c>
      <c r="E349" s="312"/>
      <c r="F349" s="1227" t="s">
        <v>1155</v>
      </c>
      <c r="G349" s="1615"/>
      <c r="H349" s="270" t="s">
        <v>287</v>
      </c>
      <c r="I349" s="270" t="s">
        <v>200</v>
      </c>
      <c r="J349" s="497" t="s">
        <v>706</v>
      </c>
      <c r="K349" s="312"/>
      <c r="L349" s="275" t="s">
        <v>134</v>
      </c>
      <c r="M349" s="276"/>
      <c r="N349" s="314"/>
      <c r="O349" s="279"/>
      <c r="P349" s="314"/>
      <c r="Q349" s="300" t="s">
        <v>134</v>
      </c>
      <c r="R349" s="276" t="s">
        <v>134</v>
      </c>
      <c r="S349" s="301"/>
      <c r="T349" s="276"/>
      <c r="U349" s="302"/>
      <c r="V349" s="303"/>
      <c r="W349" s="314"/>
      <c r="X349" s="300"/>
      <c r="Y349" s="304"/>
      <c r="Z349" s="276"/>
      <c r="AA349" s="301"/>
      <c r="AB349" s="304"/>
      <c r="AC349" s="276"/>
      <c r="AD349" s="312"/>
      <c r="AE349" s="305" t="str">
        <f t="shared" si="47"/>
        <v>0x0 ~ 0xFF (0~255 -)
0x0: No issue
0x1: Defect
0x2: Not used
0x3: SNA</v>
      </c>
      <c r="AF349" s="312"/>
      <c r="AG349" s="1262">
        <v>0</v>
      </c>
      <c r="AH349" s="1263">
        <v>1</v>
      </c>
      <c r="AI349" s="332">
        <v>0</v>
      </c>
      <c r="AJ349" s="1271" t="s">
        <v>2509</v>
      </c>
      <c r="AK349" s="341">
        <f t="shared" si="50"/>
        <v>0</v>
      </c>
      <c r="AL349" s="1275">
        <f t="shared" si="51"/>
        <v>255</v>
      </c>
      <c r="AM349" s="1263" t="s">
        <v>2516</v>
      </c>
      <c r="AN349" s="305" t="s">
        <v>827</v>
      </c>
      <c r="AO349" s="312"/>
      <c r="AP349" s="487" t="s">
        <v>1126</v>
      </c>
      <c r="AQ349" s="935" t="s">
        <v>440</v>
      </c>
      <c r="AS349" s="500" t="s">
        <v>1406</v>
      </c>
      <c r="AT349" s="500" t="s">
        <v>1406</v>
      </c>
      <c r="AU349" s="500" t="s">
        <v>1406</v>
      </c>
      <c r="AV349" s="500" t="s">
        <v>1406</v>
      </c>
    </row>
    <row r="350" spans="2:48" s="252" customFormat="1" ht="132" hidden="1">
      <c r="B350" s="1218" t="s">
        <v>2454</v>
      </c>
      <c r="C350" s="289" t="s">
        <v>134</v>
      </c>
      <c r="D350" s="289" t="s">
        <v>134</v>
      </c>
      <c r="E350" s="312"/>
      <c r="F350" s="1225" t="s">
        <v>1156</v>
      </c>
      <c r="G350" s="1614" t="s">
        <v>707</v>
      </c>
      <c r="H350" s="266">
        <v>1</v>
      </c>
      <c r="I350" s="266" t="s">
        <v>200</v>
      </c>
      <c r="J350" s="498" t="s">
        <v>708</v>
      </c>
      <c r="K350" s="312"/>
      <c r="L350" s="271" t="s">
        <v>134</v>
      </c>
      <c r="M350" s="272"/>
      <c r="N350" s="314"/>
      <c r="O350" s="277"/>
      <c r="P350" s="314"/>
      <c r="Q350" s="280" t="s">
        <v>134</v>
      </c>
      <c r="R350" s="272" t="s">
        <v>134</v>
      </c>
      <c r="S350" s="281"/>
      <c r="T350" s="272"/>
      <c r="U350" s="282"/>
      <c r="V350" s="283"/>
      <c r="W350" s="314"/>
      <c r="X350" s="280"/>
      <c r="Y350" s="284"/>
      <c r="Z350" s="272"/>
      <c r="AA350" s="281"/>
      <c r="AB350" s="284"/>
      <c r="AC350" s="272"/>
      <c r="AD350" s="312"/>
      <c r="AE350" s="285" t="str">
        <f t="shared" si="47"/>
        <v>0x0 ~ 0xFF (0~255 -)
0x0: No issue
0x1: Defect
0x2: Not used
0x3: SNA</v>
      </c>
      <c r="AF350" s="312"/>
      <c r="AG350" s="1258">
        <v>0</v>
      </c>
      <c r="AH350" s="1259">
        <v>1</v>
      </c>
      <c r="AI350" s="328">
        <v>0</v>
      </c>
      <c r="AJ350" s="1253" t="s">
        <v>2509</v>
      </c>
      <c r="AK350" s="337">
        <f t="shared" si="50"/>
        <v>0</v>
      </c>
      <c r="AL350" s="1273">
        <f t="shared" si="51"/>
        <v>255</v>
      </c>
      <c r="AM350" s="1259" t="s">
        <v>2516</v>
      </c>
      <c r="AN350" s="285" t="s">
        <v>827</v>
      </c>
      <c r="AO350" s="312"/>
      <c r="AP350" s="310" t="s">
        <v>1125</v>
      </c>
      <c r="AQ350" s="913" t="s">
        <v>2331</v>
      </c>
      <c r="AS350" s="507" t="s">
        <v>1866</v>
      </c>
      <c r="AT350" s="310" t="s">
        <v>1519</v>
      </c>
      <c r="AU350" s="310" t="s">
        <v>2028</v>
      </c>
      <c r="AV350" s="507" t="s">
        <v>1866</v>
      </c>
    </row>
    <row r="351" spans="2:48" s="252" customFormat="1" ht="66" hidden="1">
      <c r="B351" s="1218" t="s">
        <v>2454</v>
      </c>
      <c r="C351" s="684" t="s">
        <v>1712</v>
      </c>
      <c r="D351" s="299" t="s">
        <v>134</v>
      </c>
      <c r="E351" s="312"/>
      <c r="F351" s="1226" t="s">
        <v>1156</v>
      </c>
      <c r="G351" s="1615"/>
      <c r="H351" s="268" t="s">
        <v>299</v>
      </c>
      <c r="I351" s="268" t="s">
        <v>200</v>
      </c>
      <c r="J351" s="499" t="s">
        <v>709</v>
      </c>
      <c r="K351" s="312"/>
      <c r="L351" s="273" t="s">
        <v>134</v>
      </c>
      <c r="M351" s="274"/>
      <c r="N351" s="314"/>
      <c r="O351" s="278"/>
      <c r="P351" s="314"/>
      <c r="Q351" s="290" t="s">
        <v>134</v>
      </c>
      <c r="R351" s="274" t="s">
        <v>134</v>
      </c>
      <c r="S351" s="291"/>
      <c r="T351" s="274"/>
      <c r="U351" s="292"/>
      <c r="V351" s="293"/>
      <c r="W351" s="314"/>
      <c r="X351" s="290"/>
      <c r="Y351" s="294"/>
      <c r="Z351" s="274"/>
      <c r="AA351" s="291"/>
      <c r="AB351" s="294"/>
      <c r="AC351" s="274"/>
      <c r="AD351" s="312"/>
      <c r="AE351" s="295" t="str">
        <f t="shared" si="47"/>
        <v>0x0 ~ 0xFF (0~255 -)
0x0: No issue
0x1: Defect
0x2: Not used
0x3: SNA</v>
      </c>
      <c r="AF351" s="312"/>
      <c r="AG351" s="1260">
        <v>0</v>
      </c>
      <c r="AH351" s="1261">
        <v>1</v>
      </c>
      <c r="AI351" s="330">
        <v>0</v>
      </c>
      <c r="AJ351" s="1270" t="s">
        <v>2509</v>
      </c>
      <c r="AK351" s="339">
        <f t="shared" si="50"/>
        <v>0</v>
      </c>
      <c r="AL351" s="1274">
        <f t="shared" si="51"/>
        <v>255</v>
      </c>
      <c r="AM351" s="1261" t="s">
        <v>2516</v>
      </c>
      <c r="AN351" s="295" t="s">
        <v>827</v>
      </c>
      <c r="AO351" s="312"/>
      <c r="AP351" s="486" t="s">
        <v>1126</v>
      </c>
      <c r="AQ351" s="486" t="s">
        <v>440</v>
      </c>
      <c r="AS351" s="501" t="s">
        <v>1406</v>
      </c>
      <c r="AT351" s="501" t="s">
        <v>1406</v>
      </c>
      <c r="AU351" s="501" t="s">
        <v>1406</v>
      </c>
      <c r="AV351" s="501" t="s">
        <v>1406</v>
      </c>
    </row>
    <row r="352" spans="2:48" s="252" customFormat="1" ht="66" hidden="1">
      <c r="B352" s="1218" t="s">
        <v>2454</v>
      </c>
      <c r="C352" s="689" t="s">
        <v>1712</v>
      </c>
      <c r="D352" s="309" t="s">
        <v>134</v>
      </c>
      <c r="E352" s="312"/>
      <c r="F352" s="1227" t="s">
        <v>1156</v>
      </c>
      <c r="G352" s="1615"/>
      <c r="H352" s="270" t="s">
        <v>287</v>
      </c>
      <c r="I352" s="270" t="s">
        <v>200</v>
      </c>
      <c r="J352" s="497" t="s">
        <v>710</v>
      </c>
      <c r="K352" s="312"/>
      <c r="L352" s="275" t="s">
        <v>134</v>
      </c>
      <c r="M352" s="276"/>
      <c r="N352" s="314"/>
      <c r="O352" s="279"/>
      <c r="P352" s="314"/>
      <c r="Q352" s="300" t="s">
        <v>134</v>
      </c>
      <c r="R352" s="276" t="s">
        <v>134</v>
      </c>
      <c r="S352" s="301"/>
      <c r="T352" s="276"/>
      <c r="U352" s="302"/>
      <c r="V352" s="303"/>
      <c r="W352" s="314"/>
      <c r="X352" s="300"/>
      <c r="Y352" s="304"/>
      <c r="Z352" s="276"/>
      <c r="AA352" s="301"/>
      <c r="AB352" s="304"/>
      <c r="AC352" s="276"/>
      <c r="AD352" s="312"/>
      <c r="AE352" s="305" t="str">
        <f t="shared" si="47"/>
        <v>0x0 ~ 0xFF (0~255 -)
0x0: No issue
0x1: Defect
0x2: Not used
0x3: SNA</v>
      </c>
      <c r="AF352" s="312"/>
      <c r="AG352" s="1262">
        <v>0</v>
      </c>
      <c r="AH352" s="1263">
        <v>1</v>
      </c>
      <c r="AI352" s="332">
        <v>0</v>
      </c>
      <c r="AJ352" s="1271" t="s">
        <v>2509</v>
      </c>
      <c r="AK352" s="341">
        <f t="shared" si="50"/>
        <v>0</v>
      </c>
      <c r="AL352" s="1275">
        <f t="shared" si="51"/>
        <v>255</v>
      </c>
      <c r="AM352" s="1263" t="s">
        <v>2516</v>
      </c>
      <c r="AN352" s="305" t="s">
        <v>827</v>
      </c>
      <c r="AO352" s="312"/>
      <c r="AP352" s="487" t="s">
        <v>1126</v>
      </c>
      <c r="AQ352" s="487" t="s">
        <v>440</v>
      </c>
      <c r="AS352" s="500" t="s">
        <v>1406</v>
      </c>
      <c r="AT352" s="500" t="s">
        <v>1406</v>
      </c>
      <c r="AU352" s="500" t="s">
        <v>1406</v>
      </c>
      <c r="AV352" s="500" t="s">
        <v>1406</v>
      </c>
    </row>
    <row r="353" spans="2:49" hidden="1">
      <c r="B353" s="813" t="s">
        <v>2052</v>
      </c>
      <c r="C353" s="456" t="s">
        <v>1337</v>
      </c>
      <c r="D353" s="456" t="s">
        <v>1337</v>
      </c>
      <c r="F353" s="265" t="s">
        <v>1209</v>
      </c>
      <c r="G353" s="264" t="s">
        <v>1201</v>
      </c>
      <c r="H353" s="456" t="s">
        <v>1590</v>
      </c>
      <c r="I353" s="456" t="s">
        <v>1590</v>
      </c>
      <c r="J353" s="559" t="s">
        <v>1590</v>
      </c>
      <c r="K353" s="313"/>
      <c r="L353" s="560" t="s">
        <v>1590</v>
      </c>
      <c r="M353" s="560" t="s">
        <v>1590</v>
      </c>
      <c r="N353" s="176"/>
      <c r="O353" s="561" t="s">
        <v>1590</v>
      </c>
      <c r="P353" s="176"/>
      <c r="Q353" s="562" t="s">
        <v>1590</v>
      </c>
      <c r="R353" s="562" t="s">
        <v>1590</v>
      </c>
      <c r="S353" s="563" t="s">
        <v>1590</v>
      </c>
      <c r="T353" s="562" t="s">
        <v>1590</v>
      </c>
      <c r="U353" s="563" t="s">
        <v>1590</v>
      </c>
      <c r="V353" s="562" t="s">
        <v>1590</v>
      </c>
      <c r="W353" s="360"/>
      <c r="X353" s="562" t="s">
        <v>1590</v>
      </c>
      <c r="Y353" s="562" t="s">
        <v>1590</v>
      </c>
      <c r="Z353" s="562" t="s">
        <v>1590</v>
      </c>
      <c r="AA353" s="562" t="s">
        <v>1590</v>
      </c>
      <c r="AB353" s="562" t="s">
        <v>1590</v>
      </c>
      <c r="AC353" s="562" t="s">
        <v>1590</v>
      </c>
      <c r="AD353" s="235"/>
      <c r="AE353" s="456" t="s">
        <v>1590</v>
      </c>
      <c r="AG353" s="559" t="s">
        <v>1591</v>
      </c>
      <c r="AH353" s="559" t="s">
        <v>1591</v>
      </c>
      <c r="AI353" s="559" t="s">
        <v>1591</v>
      </c>
      <c r="AJ353" s="559" t="s">
        <v>1591</v>
      </c>
      <c r="AK353" s="559" t="s">
        <v>1591</v>
      </c>
      <c r="AL353" s="559" t="s">
        <v>1591</v>
      </c>
      <c r="AM353" s="559" t="s">
        <v>1591</v>
      </c>
      <c r="AN353" s="559" t="s">
        <v>1591</v>
      </c>
      <c r="AP353" s="456" t="s">
        <v>1590</v>
      </c>
      <c r="AQ353" s="456" t="s">
        <v>1590</v>
      </c>
      <c r="AS353" s="456" t="s">
        <v>1222</v>
      </c>
      <c r="AT353" s="456" t="s">
        <v>1222</v>
      </c>
      <c r="AU353" s="456" t="s">
        <v>1222</v>
      </c>
      <c r="AV353" s="456" t="s">
        <v>1222</v>
      </c>
    </row>
    <row r="354" spans="2:49" s="252" customFormat="1" ht="39.6" hidden="1">
      <c r="B354" s="1218" t="s">
        <v>2454</v>
      </c>
      <c r="C354" s="248" t="s">
        <v>134</v>
      </c>
      <c r="D354" s="248" t="s">
        <v>134</v>
      </c>
      <c r="E354" s="312"/>
      <c r="F354" s="233" t="s">
        <v>1157</v>
      </c>
      <c r="G354" s="249" t="s">
        <v>711</v>
      </c>
      <c r="H354" s="243" t="s">
        <v>281</v>
      </c>
      <c r="I354" s="243" t="s">
        <v>200</v>
      </c>
      <c r="J354" s="493" t="s">
        <v>711</v>
      </c>
      <c r="K354" s="312"/>
      <c r="L354" s="236" t="s">
        <v>134</v>
      </c>
      <c r="M354" s="253"/>
      <c r="N354" s="314"/>
      <c r="O354" s="233"/>
      <c r="P354" s="314"/>
      <c r="Q354" s="254" t="s">
        <v>134</v>
      </c>
      <c r="R354" s="253" t="s">
        <v>134</v>
      </c>
      <c r="S354" s="255"/>
      <c r="T354" s="253"/>
      <c r="U354" s="237"/>
      <c r="V354" s="261"/>
      <c r="W354" s="314"/>
      <c r="X354" s="254"/>
      <c r="Y354" s="256"/>
      <c r="Z354" s="253"/>
      <c r="AA354" s="255"/>
      <c r="AB354" s="256"/>
      <c r="AC354" s="253"/>
      <c r="AD354" s="312"/>
      <c r="AE354" s="242" t="str">
        <f>IF(AM354&lt;&gt;"",
       "0x" &amp; AI354 &amp;" ~ 0x" &amp; AJ354 &amp; " (" &amp; AK354 &amp;"~" &amp; AL354 &amp; AM354 &amp; ")","")&amp;IF(AN354&lt;&gt;"",IF(AM354&lt;&gt;"",CHAR(10)&amp;AN354,AN354),
       "")</f>
        <v>0x0 ~ 0xFF (0~255 -)
0x0: Standby
0x1: Charge</v>
      </c>
      <c r="AF354" s="312"/>
      <c r="AG354" s="1264">
        <v>0</v>
      </c>
      <c r="AH354" s="1265">
        <v>1</v>
      </c>
      <c r="AI354" s="326">
        <v>0</v>
      </c>
      <c r="AJ354" s="1268" t="s">
        <v>2509</v>
      </c>
      <c r="AK354" s="334">
        <f>HEX2DEC(AI354)*AH354+AG354</f>
        <v>0</v>
      </c>
      <c r="AL354" s="1272">
        <f>HEX2DEC(AJ354)*AH354+AG354</f>
        <v>255</v>
      </c>
      <c r="AM354" s="1265" t="s">
        <v>2516</v>
      </c>
      <c r="AN354" s="242" t="s">
        <v>829</v>
      </c>
      <c r="AO354" s="312"/>
      <c r="AP354" s="482" t="s">
        <v>1087</v>
      </c>
      <c r="AQ354" s="482" t="s">
        <v>712</v>
      </c>
      <c r="AR354" s="506"/>
      <c r="AS354" s="930" t="s">
        <v>1246</v>
      </c>
      <c r="AT354" s="594" t="s">
        <v>1942</v>
      </c>
      <c r="AU354" s="594" t="s">
        <v>2029</v>
      </c>
      <c r="AV354" s="930" t="s">
        <v>1246</v>
      </c>
    </row>
    <row r="355" spans="2:49" s="252" customFormat="1" ht="52.8" hidden="1">
      <c r="B355" s="1218" t="s">
        <v>2454</v>
      </c>
      <c r="C355" s="248" t="s">
        <v>134</v>
      </c>
      <c r="D355" s="248" t="s">
        <v>134</v>
      </c>
      <c r="E355" s="312"/>
      <c r="F355" s="233" t="s">
        <v>1158</v>
      </c>
      <c r="G355" s="249" t="s">
        <v>713</v>
      </c>
      <c r="H355" s="243" t="s">
        <v>281</v>
      </c>
      <c r="I355" s="243" t="s">
        <v>200</v>
      </c>
      <c r="J355" s="493" t="s">
        <v>713</v>
      </c>
      <c r="K355" s="312"/>
      <c r="L355" s="236" t="s">
        <v>134</v>
      </c>
      <c r="M355" s="253"/>
      <c r="N355" s="314"/>
      <c r="O355" s="233"/>
      <c r="P355" s="314"/>
      <c r="Q355" s="254" t="s">
        <v>134</v>
      </c>
      <c r="R355" s="253" t="s">
        <v>134</v>
      </c>
      <c r="S355" s="255"/>
      <c r="T355" s="253"/>
      <c r="U355" s="237"/>
      <c r="V355" s="261"/>
      <c r="W355" s="314"/>
      <c r="X355" s="254"/>
      <c r="Y355" s="256"/>
      <c r="Z355" s="253"/>
      <c r="AA355" s="255"/>
      <c r="AB355" s="256"/>
      <c r="AC355" s="253"/>
      <c r="AD355" s="312"/>
      <c r="AE355" s="242" t="str">
        <f>IF(AM355&lt;&gt;"",
       "0x" &amp; AI355 &amp;" ~ 0x" &amp; AJ355 &amp; " (" &amp; AK355 &amp;"~" &amp; AL355 &amp; AM355 &amp; ")","")&amp;IF(AN355&lt;&gt;"",IF(AM355&lt;&gt;"",CHAR(10)&amp;AN355,AN355),
       "")</f>
        <v>0x0 ~ 0xFF (0~255 -)
0x0: Not detect
0x1: Open
0x2: Close</v>
      </c>
      <c r="AF355" s="312"/>
      <c r="AG355" s="1264">
        <v>0</v>
      </c>
      <c r="AH355" s="1265">
        <v>1</v>
      </c>
      <c r="AI355" s="326">
        <v>0</v>
      </c>
      <c r="AJ355" s="1268" t="s">
        <v>2509</v>
      </c>
      <c r="AK355" s="334">
        <f>HEX2DEC(AI355)*AH355+AG355</f>
        <v>0</v>
      </c>
      <c r="AL355" s="1272">
        <f>HEX2DEC(AJ355)*AH355+AG355</f>
        <v>255</v>
      </c>
      <c r="AM355" s="1265" t="s">
        <v>2516</v>
      </c>
      <c r="AN355" s="242" t="s">
        <v>830</v>
      </c>
      <c r="AO355" s="312"/>
      <c r="AP355" s="482" t="s">
        <v>1087</v>
      </c>
      <c r="AQ355" s="482" t="s">
        <v>1512</v>
      </c>
      <c r="AR355" s="506"/>
      <c r="AS355" s="930" t="s">
        <v>1246</v>
      </c>
      <c r="AT355" s="594" t="s">
        <v>2030</v>
      </c>
      <c r="AU355" s="594" t="s">
        <v>2031</v>
      </c>
      <c r="AV355" s="930" t="s">
        <v>1246</v>
      </c>
    </row>
    <row r="356" spans="2:49" s="252" customFormat="1" ht="26.4" hidden="1">
      <c r="B356" s="1218" t="s">
        <v>2454</v>
      </c>
      <c r="C356" s="248" t="s">
        <v>134</v>
      </c>
      <c r="D356" s="248" t="s">
        <v>134</v>
      </c>
      <c r="E356" s="312"/>
      <c r="F356" s="233" t="s">
        <v>1159</v>
      </c>
      <c r="G356" s="249" t="s">
        <v>714</v>
      </c>
      <c r="H356" s="243" t="s">
        <v>279</v>
      </c>
      <c r="I356" s="243" t="s">
        <v>200</v>
      </c>
      <c r="J356" s="493" t="s">
        <v>714</v>
      </c>
      <c r="K356" s="312"/>
      <c r="L356" s="236" t="s">
        <v>134</v>
      </c>
      <c r="M356" s="253"/>
      <c r="N356" s="314"/>
      <c r="O356" s="233"/>
      <c r="P356" s="314"/>
      <c r="Q356" s="254" t="s">
        <v>134</v>
      </c>
      <c r="R356" s="253" t="s">
        <v>134</v>
      </c>
      <c r="S356" s="255"/>
      <c r="T356" s="253"/>
      <c r="U356" s="237"/>
      <c r="V356" s="261"/>
      <c r="W356" s="314"/>
      <c r="X356" s="254"/>
      <c r="Y356" s="256"/>
      <c r="Z356" s="253"/>
      <c r="AA356" s="255"/>
      <c r="AB356" s="256"/>
      <c r="AC356" s="253"/>
      <c r="AD356" s="312"/>
      <c r="AE356" s="1276" t="str">
        <f>IF(AM356&lt;&gt;"",
       "0x" &amp; AI356 &amp;" ~ 0x" &amp; AJ356 &amp; " (" &amp; AK356 &amp;"~" &amp; AL356 &amp; AM356 &amp; ")","")&amp;IF(AN356&lt;&gt;"",IF(AM356&lt;&gt;"",CHAR(10)&amp;AN356,AN356),
       "")</f>
        <v>0x0 ~ 0x27FF (0~1023.9A)
0x3FF: SNA</v>
      </c>
      <c r="AF356" s="312"/>
      <c r="AG356" s="245">
        <v>0</v>
      </c>
      <c r="AH356" s="246">
        <v>0.1</v>
      </c>
      <c r="AI356" s="326">
        <v>0</v>
      </c>
      <c r="AJ356" s="1268" t="s">
        <v>2513</v>
      </c>
      <c r="AK356" s="334">
        <f>HEX2DEC(AI356)*AH356+AG356</f>
        <v>0</v>
      </c>
      <c r="AL356" s="1272">
        <f>HEX2DEC(AJ356)*AH356+AG356</f>
        <v>1023.9000000000001</v>
      </c>
      <c r="AM356" s="246" t="s">
        <v>777</v>
      </c>
      <c r="AN356" s="242" t="s">
        <v>822</v>
      </c>
      <c r="AO356" s="312"/>
      <c r="AP356" s="482" t="s">
        <v>1087</v>
      </c>
      <c r="AQ356" s="482" t="s">
        <v>715</v>
      </c>
      <c r="AR356" s="506"/>
      <c r="AS356" s="930" t="s">
        <v>1246</v>
      </c>
      <c r="AT356" s="594" t="s">
        <v>2032</v>
      </c>
      <c r="AU356" s="594" t="s">
        <v>2033</v>
      </c>
      <c r="AV356" s="930" t="s">
        <v>1246</v>
      </c>
    </row>
    <row r="357" spans="2:49" hidden="1">
      <c r="B357" s="813" t="s">
        <v>2052</v>
      </c>
      <c r="C357" s="456" t="s">
        <v>1337</v>
      </c>
      <c r="D357" s="456" t="s">
        <v>1337</v>
      </c>
      <c r="F357" s="265" t="s">
        <v>1209</v>
      </c>
      <c r="G357" s="264" t="s">
        <v>1202</v>
      </c>
      <c r="H357" s="456" t="s">
        <v>1590</v>
      </c>
      <c r="I357" s="456" t="s">
        <v>1590</v>
      </c>
      <c r="J357" s="559" t="s">
        <v>1590</v>
      </c>
      <c r="K357" s="313"/>
      <c r="L357" s="560" t="s">
        <v>1590</v>
      </c>
      <c r="M357" s="560" t="s">
        <v>1590</v>
      </c>
      <c r="N357" s="176"/>
      <c r="O357" s="561" t="s">
        <v>1590</v>
      </c>
      <c r="P357" s="176"/>
      <c r="Q357" s="562" t="s">
        <v>1590</v>
      </c>
      <c r="R357" s="562" t="s">
        <v>1590</v>
      </c>
      <c r="S357" s="563" t="s">
        <v>1590</v>
      </c>
      <c r="T357" s="562" t="s">
        <v>1590</v>
      </c>
      <c r="U357" s="563" t="s">
        <v>1590</v>
      </c>
      <c r="V357" s="562" t="s">
        <v>1590</v>
      </c>
      <c r="W357" s="360"/>
      <c r="X357" s="562" t="s">
        <v>1590</v>
      </c>
      <c r="Y357" s="562" t="s">
        <v>1590</v>
      </c>
      <c r="Z357" s="562" t="s">
        <v>1590</v>
      </c>
      <c r="AA357" s="562" t="s">
        <v>1590</v>
      </c>
      <c r="AB357" s="562" t="s">
        <v>1590</v>
      </c>
      <c r="AC357" s="562" t="s">
        <v>1590</v>
      </c>
      <c r="AD357" s="235"/>
      <c r="AE357" s="456" t="s">
        <v>1590</v>
      </c>
      <c r="AG357" s="559" t="s">
        <v>1591</v>
      </c>
      <c r="AH357" s="559" t="s">
        <v>1591</v>
      </c>
      <c r="AI357" s="559" t="s">
        <v>1591</v>
      </c>
      <c r="AJ357" s="559" t="s">
        <v>1591</v>
      </c>
      <c r="AK357" s="559" t="s">
        <v>1591</v>
      </c>
      <c r="AL357" s="559" t="s">
        <v>1591</v>
      </c>
      <c r="AM357" s="559" t="s">
        <v>1591</v>
      </c>
      <c r="AN357" s="559" t="s">
        <v>1591</v>
      </c>
      <c r="AP357" s="456" t="s">
        <v>1590</v>
      </c>
      <c r="AQ357" s="456" t="s">
        <v>1590</v>
      </c>
      <c r="AS357" s="456" t="s">
        <v>1222</v>
      </c>
      <c r="AT357" s="456" t="s">
        <v>1222</v>
      </c>
      <c r="AU357" s="456" t="s">
        <v>1222</v>
      </c>
      <c r="AV357" s="456" t="s">
        <v>1222</v>
      </c>
    </row>
    <row r="358" spans="2:49" s="252" customFormat="1" ht="79.2">
      <c r="B358" s="810" t="s">
        <v>2050</v>
      </c>
      <c r="C358" s="248" t="s">
        <v>134</v>
      </c>
      <c r="D358" s="248" t="s">
        <v>134</v>
      </c>
      <c r="E358" s="312"/>
      <c r="F358" s="233" t="s">
        <v>1160</v>
      </c>
      <c r="G358" s="242" t="s">
        <v>716</v>
      </c>
      <c r="H358" s="243" t="s">
        <v>279</v>
      </c>
      <c r="I358" s="243" t="s">
        <v>200</v>
      </c>
      <c r="J358" s="493" t="s">
        <v>716</v>
      </c>
      <c r="K358" s="312"/>
      <c r="L358" s="236" t="s">
        <v>134</v>
      </c>
      <c r="M358" s="253"/>
      <c r="N358" s="314"/>
      <c r="O358" s="233"/>
      <c r="P358" s="314"/>
      <c r="Q358" s="254" t="s">
        <v>134</v>
      </c>
      <c r="R358" s="253" t="s">
        <v>134</v>
      </c>
      <c r="S358" s="255"/>
      <c r="T358" s="253"/>
      <c r="U358" s="237"/>
      <c r="V358" s="261"/>
      <c r="W358" s="314"/>
      <c r="X358" s="254"/>
      <c r="Y358" s="256"/>
      <c r="Z358" s="253"/>
      <c r="AA358" s="255"/>
      <c r="AB358" s="256"/>
      <c r="AC358" s="253"/>
      <c r="AD358" s="312"/>
      <c r="AE358" s="242" t="str">
        <f t="shared" ref="AE358:AE363" si="52">IF(AM358&lt;&gt;"",
       "0x" &amp; AI358 &amp;" ~ 0x" &amp; AJ358 &amp; " (" &amp; AK358 &amp;"~" &amp; AL358 &amp; AM358 &amp; ")","")&amp;IF(AN358&lt;&gt;"",IF(AM358&lt;&gt;"",CHAR(10)&amp;AN358,AN358),
       "")</f>
        <v>0x0 ~ 0x258 (0~600V)
0xFFF: Initial or SNA</v>
      </c>
      <c r="AF358" s="312"/>
      <c r="AG358" s="245">
        <v>0</v>
      </c>
      <c r="AH358" s="246">
        <v>1</v>
      </c>
      <c r="AI358" s="326">
        <v>0</v>
      </c>
      <c r="AJ358" s="327">
        <v>258</v>
      </c>
      <c r="AK358" s="334">
        <f t="shared" ref="AK358:AK362" si="53">HEX2DEC(AI358)*AH358+AG358</f>
        <v>0</v>
      </c>
      <c r="AL358" s="336">
        <f t="shared" ref="AL358:AL362" si="54">HEX2DEC(AJ358)*AH358+AG358</f>
        <v>600</v>
      </c>
      <c r="AM358" s="246" t="s">
        <v>752</v>
      </c>
      <c r="AN358" s="242" t="s">
        <v>831</v>
      </c>
      <c r="AO358" s="312"/>
      <c r="AP358" s="482" t="s">
        <v>1058</v>
      </c>
      <c r="AQ358" s="482" t="s">
        <v>1496</v>
      </c>
      <c r="AS358" s="930" t="s">
        <v>2408</v>
      </c>
      <c r="AT358" s="594" t="s">
        <v>2406</v>
      </c>
      <c r="AU358" s="1297" t="s">
        <v>2545</v>
      </c>
      <c r="AV358" s="930" t="s">
        <v>2407</v>
      </c>
    </row>
    <row r="359" spans="2:49" s="252" customFormat="1" ht="79.2">
      <c r="B359" s="810" t="s">
        <v>2050</v>
      </c>
      <c r="C359" s="248" t="s">
        <v>134</v>
      </c>
      <c r="D359" s="248" t="s">
        <v>134</v>
      </c>
      <c r="E359" s="312"/>
      <c r="F359" s="233" t="s">
        <v>1161</v>
      </c>
      <c r="G359" s="242" t="s">
        <v>717</v>
      </c>
      <c r="H359" s="243" t="s">
        <v>279</v>
      </c>
      <c r="I359" s="243" t="s">
        <v>200</v>
      </c>
      <c r="J359" s="493" t="s">
        <v>717</v>
      </c>
      <c r="K359" s="312"/>
      <c r="L359" s="236" t="s">
        <v>134</v>
      </c>
      <c r="M359" s="253"/>
      <c r="N359" s="314"/>
      <c r="O359" s="233"/>
      <c r="P359" s="314"/>
      <c r="Q359" s="254" t="s">
        <v>134</v>
      </c>
      <c r="R359" s="253" t="s">
        <v>134</v>
      </c>
      <c r="S359" s="255"/>
      <c r="T359" s="253"/>
      <c r="U359" s="237"/>
      <c r="V359" s="261"/>
      <c r="W359" s="314"/>
      <c r="X359" s="254"/>
      <c r="Y359" s="256"/>
      <c r="Z359" s="253"/>
      <c r="AA359" s="255"/>
      <c r="AB359" s="256"/>
      <c r="AC359" s="253"/>
      <c r="AD359" s="312"/>
      <c r="AE359" s="242" t="str">
        <f t="shared" si="52"/>
        <v>0x0 ~ 0x3FF (0~1023A)
0xFFF: Initial or SNA</v>
      </c>
      <c r="AF359" s="312"/>
      <c r="AG359" s="245">
        <v>0</v>
      </c>
      <c r="AH359" s="246">
        <v>1</v>
      </c>
      <c r="AI359" s="326">
        <v>0</v>
      </c>
      <c r="AJ359" s="327" t="s">
        <v>832</v>
      </c>
      <c r="AK359" s="334">
        <f t="shared" si="53"/>
        <v>0</v>
      </c>
      <c r="AL359" s="336">
        <f t="shared" si="54"/>
        <v>1023</v>
      </c>
      <c r="AM359" s="246" t="s">
        <v>777</v>
      </c>
      <c r="AN359" s="242" t="s">
        <v>831</v>
      </c>
      <c r="AO359" s="312"/>
      <c r="AP359" s="482" t="s">
        <v>1058</v>
      </c>
      <c r="AQ359" s="482" t="s">
        <v>718</v>
      </c>
      <c r="AS359" s="930" t="s">
        <v>2408</v>
      </c>
      <c r="AT359" s="594" t="s">
        <v>2406</v>
      </c>
      <c r="AU359" s="1297" t="s">
        <v>2546</v>
      </c>
      <c r="AV359" s="930" t="s">
        <v>2407</v>
      </c>
    </row>
    <row r="360" spans="2:49" s="252" customFormat="1" ht="79.2">
      <c r="B360" s="810" t="s">
        <v>2050</v>
      </c>
      <c r="C360" s="248" t="s">
        <v>134</v>
      </c>
      <c r="D360" s="248" t="s">
        <v>134</v>
      </c>
      <c r="E360" s="312"/>
      <c r="F360" s="233" t="s">
        <v>1162</v>
      </c>
      <c r="G360" s="242" t="s">
        <v>719</v>
      </c>
      <c r="H360" s="243" t="s">
        <v>279</v>
      </c>
      <c r="I360" s="243" t="s">
        <v>200</v>
      </c>
      <c r="J360" s="493" t="s">
        <v>719</v>
      </c>
      <c r="K360" s="312"/>
      <c r="L360" s="236" t="s">
        <v>134</v>
      </c>
      <c r="M360" s="253"/>
      <c r="N360" s="314"/>
      <c r="O360" s="233"/>
      <c r="P360" s="314"/>
      <c r="Q360" s="254" t="s">
        <v>134</v>
      </c>
      <c r="R360" s="253" t="s">
        <v>134</v>
      </c>
      <c r="S360" s="255"/>
      <c r="T360" s="253"/>
      <c r="U360" s="237"/>
      <c r="V360" s="261"/>
      <c r="W360" s="314"/>
      <c r="X360" s="254"/>
      <c r="Y360" s="256"/>
      <c r="Z360" s="253"/>
      <c r="AA360" s="255"/>
      <c r="AB360" s="256"/>
      <c r="AC360" s="253"/>
      <c r="AD360" s="312"/>
      <c r="AE360" s="242" t="str">
        <f t="shared" si="52"/>
        <v>0x0 ~ 0x3FF (0~1023A)
0xFFF: Initial or SNA</v>
      </c>
      <c r="AF360" s="312"/>
      <c r="AG360" s="245">
        <v>0</v>
      </c>
      <c r="AH360" s="246">
        <v>1</v>
      </c>
      <c r="AI360" s="326">
        <v>0</v>
      </c>
      <c r="AJ360" s="327" t="s">
        <v>832</v>
      </c>
      <c r="AK360" s="334">
        <f t="shared" si="53"/>
        <v>0</v>
      </c>
      <c r="AL360" s="336">
        <f t="shared" si="54"/>
        <v>1023</v>
      </c>
      <c r="AM360" s="246" t="s">
        <v>777</v>
      </c>
      <c r="AN360" s="242" t="s">
        <v>831</v>
      </c>
      <c r="AO360" s="312"/>
      <c r="AP360" s="482" t="s">
        <v>1058</v>
      </c>
      <c r="AQ360" s="482" t="s">
        <v>720</v>
      </c>
      <c r="AS360" s="930" t="s">
        <v>2408</v>
      </c>
      <c r="AT360" s="594" t="s">
        <v>2406</v>
      </c>
      <c r="AU360" s="1297" t="s">
        <v>2547</v>
      </c>
      <c r="AV360" s="930" t="s">
        <v>2407</v>
      </c>
    </row>
    <row r="361" spans="2:49" s="252" customFormat="1" ht="79.2">
      <c r="B361" s="810" t="s">
        <v>2050</v>
      </c>
      <c r="C361" s="248" t="s">
        <v>134</v>
      </c>
      <c r="D361" s="248" t="s">
        <v>134</v>
      </c>
      <c r="E361" s="312"/>
      <c r="F361" s="233" t="s">
        <v>1163</v>
      </c>
      <c r="G361" s="242" t="s">
        <v>721</v>
      </c>
      <c r="H361" s="243" t="s">
        <v>279</v>
      </c>
      <c r="I361" s="243" t="s">
        <v>200</v>
      </c>
      <c r="J361" s="493" t="s">
        <v>1164</v>
      </c>
      <c r="K361" s="312"/>
      <c r="L361" s="236" t="s">
        <v>134</v>
      </c>
      <c r="M361" s="253"/>
      <c r="N361" s="314"/>
      <c r="O361" s="233"/>
      <c r="P361" s="314"/>
      <c r="Q361" s="254" t="s">
        <v>134</v>
      </c>
      <c r="R361" s="253" t="s">
        <v>134</v>
      </c>
      <c r="S361" s="255"/>
      <c r="T361" s="253"/>
      <c r="U361" s="237"/>
      <c r="V361" s="261"/>
      <c r="W361" s="314"/>
      <c r="X361" s="254"/>
      <c r="Y361" s="256"/>
      <c r="Z361" s="253"/>
      <c r="AA361" s="255"/>
      <c r="AB361" s="256"/>
      <c r="AC361" s="253"/>
      <c r="AD361" s="312"/>
      <c r="AE361" s="242" t="str">
        <f t="shared" si="52"/>
        <v>0x0 ~ 0x3FF (0~1023A)
0xFFF: Initial or SNA</v>
      </c>
      <c r="AF361" s="312"/>
      <c r="AG361" s="245">
        <v>0</v>
      </c>
      <c r="AH361" s="246">
        <v>1</v>
      </c>
      <c r="AI361" s="326">
        <v>0</v>
      </c>
      <c r="AJ361" s="327" t="s">
        <v>832</v>
      </c>
      <c r="AK361" s="334">
        <f t="shared" si="53"/>
        <v>0</v>
      </c>
      <c r="AL361" s="336">
        <f t="shared" si="54"/>
        <v>1023</v>
      </c>
      <c r="AM361" s="246" t="s">
        <v>777</v>
      </c>
      <c r="AN361" s="242" t="s">
        <v>831</v>
      </c>
      <c r="AO361" s="312"/>
      <c r="AP361" s="482" t="s">
        <v>1058</v>
      </c>
      <c r="AQ361" s="482" t="s">
        <v>1503</v>
      </c>
      <c r="AS361" s="930" t="s">
        <v>2408</v>
      </c>
      <c r="AT361" s="594" t="s">
        <v>2406</v>
      </c>
      <c r="AU361" s="1297" t="s">
        <v>2548</v>
      </c>
      <c r="AV361" s="930" t="s">
        <v>2407</v>
      </c>
    </row>
    <row r="362" spans="2:49" s="252" customFormat="1" ht="79.2" hidden="1">
      <c r="B362" s="1218" t="s">
        <v>2450</v>
      </c>
      <c r="C362" s="248" t="s">
        <v>1167</v>
      </c>
      <c r="D362" s="248" t="s">
        <v>134</v>
      </c>
      <c r="E362" s="312"/>
      <c r="F362" s="233" t="s">
        <v>1165</v>
      </c>
      <c r="G362" s="242" t="s">
        <v>722</v>
      </c>
      <c r="H362" s="243" t="s">
        <v>281</v>
      </c>
      <c r="I362" s="243" t="s">
        <v>200</v>
      </c>
      <c r="J362" s="493" t="s">
        <v>722</v>
      </c>
      <c r="K362" s="312"/>
      <c r="L362" s="236" t="s">
        <v>134</v>
      </c>
      <c r="M362" s="253"/>
      <c r="N362" s="314"/>
      <c r="O362" s="233"/>
      <c r="P362" s="314"/>
      <c r="Q362" s="254" t="s">
        <v>134</v>
      </c>
      <c r="R362" s="253" t="s">
        <v>134</v>
      </c>
      <c r="S362" s="255"/>
      <c r="T362" s="253"/>
      <c r="U362" s="237"/>
      <c r="V362" s="261"/>
      <c r="W362" s="314"/>
      <c r="X362" s="254"/>
      <c r="Y362" s="256"/>
      <c r="Z362" s="253"/>
      <c r="AA362" s="255"/>
      <c r="AB362" s="256"/>
      <c r="AC362" s="253"/>
      <c r="AD362" s="312"/>
      <c r="AE362" s="242" t="str">
        <f t="shared" si="52"/>
        <v>0x0 ~ 0xFF (0~255-)
0x00: Before version 0.9
0x01: Version 0.9
0x02: Version 1.0 to 1.2
0x03～0xFE: After version 1.2 (0x**) 
0xFF: Charger not connected</v>
      </c>
      <c r="AF362" s="312"/>
      <c r="AG362" s="1264">
        <v>0</v>
      </c>
      <c r="AH362" s="1265">
        <v>1</v>
      </c>
      <c r="AI362" s="326">
        <v>0</v>
      </c>
      <c r="AJ362" s="327" t="s">
        <v>751</v>
      </c>
      <c r="AK362" s="334">
        <f t="shared" si="53"/>
        <v>0</v>
      </c>
      <c r="AL362" s="1272">
        <f t="shared" si="54"/>
        <v>255</v>
      </c>
      <c r="AM362" s="1265" t="s">
        <v>1666</v>
      </c>
      <c r="AN362" s="242" t="s">
        <v>1178</v>
      </c>
      <c r="AO362" s="312"/>
      <c r="AP362" s="482" t="s">
        <v>1166</v>
      </c>
      <c r="AQ362" s="482" t="s">
        <v>723</v>
      </c>
      <c r="AS362" s="930" t="s">
        <v>1246</v>
      </c>
      <c r="AT362" s="594" t="s">
        <v>1734</v>
      </c>
      <c r="AU362" s="594" t="s">
        <v>1735</v>
      </c>
      <c r="AV362" s="930" t="s">
        <v>1246</v>
      </c>
      <c r="AW362" s="929"/>
    </row>
    <row r="363" spans="2:49" s="252" customFormat="1" ht="79.2" hidden="1">
      <c r="B363" s="1218" t="s">
        <v>2450</v>
      </c>
      <c r="C363" s="248" t="s">
        <v>1167</v>
      </c>
      <c r="D363" s="248" t="s">
        <v>134</v>
      </c>
      <c r="E363" s="312"/>
      <c r="F363" s="233" t="s">
        <v>1168</v>
      </c>
      <c r="G363" s="242" t="s">
        <v>724</v>
      </c>
      <c r="H363" s="243" t="s">
        <v>281</v>
      </c>
      <c r="I363" s="243" t="s">
        <v>200</v>
      </c>
      <c r="J363" s="493" t="s">
        <v>724</v>
      </c>
      <c r="K363" s="312"/>
      <c r="L363" s="236" t="s">
        <v>134</v>
      </c>
      <c r="M363" s="253"/>
      <c r="N363" s="314"/>
      <c r="O363" s="233"/>
      <c r="P363" s="314"/>
      <c r="Q363" s="254" t="s">
        <v>134</v>
      </c>
      <c r="R363" s="253" t="s">
        <v>134</v>
      </c>
      <c r="S363" s="255"/>
      <c r="T363" s="253"/>
      <c r="U363" s="237"/>
      <c r="V363" s="261"/>
      <c r="W363" s="314"/>
      <c r="X363" s="254"/>
      <c r="Y363" s="256"/>
      <c r="Z363" s="253"/>
      <c r="AA363" s="255"/>
      <c r="AB363" s="256"/>
      <c r="AC363" s="253"/>
      <c r="AD363" s="312"/>
      <c r="AE363" s="242" t="str">
        <f t="shared" si="52"/>
        <v>0x0 ~ 0xFF (0~255-)
0x00: Before version 2.0
0x01: Version 2.0 (Annex A)
0x02: Version 2.0 (Annex B)
0x03～0xFE: After version 2.0 (0x**) 
0xFF: EVPS not connected</v>
      </c>
      <c r="AF363" s="312"/>
      <c r="AG363" s="1264">
        <v>0</v>
      </c>
      <c r="AH363" s="1265">
        <v>1</v>
      </c>
      <c r="AI363" s="326">
        <v>0</v>
      </c>
      <c r="AJ363" s="327" t="s">
        <v>751</v>
      </c>
      <c r="AK363" s="334">
        <f t="shared" ref="AK363" si="55">HEX2DEC(AI363)*AH363+AG363</f>
        <v>0</v>
      </c>
      <c r="AL363" s="1272">
        <f t="shared" ref="AL363" si="56">HEX2DEC(AJ363)*AH363+AG363</f>
        <v>255</v>
      </c>
      <c r="AM363" s="1265" t="s">
        <v>1666</v>
      </c>
      <c r="AN363" s="242" t="s">
        <v>1179</v>
      </c>
      <c r="AO363" s="312"/>
      <c r="AP363" s="482" t="s">
        <v>1166</v>
      </c>
      <c r="AQ363" s="482" t="s">
        <v>725</v>
      </c>
      <c r="AS363" s="930" t="s">
        <v>1246</v>
      </c>
      <c r="AT363" s="594" t="s">
        <v>1734</v>
      </c>
      <c r="AU363" s="594" t="s">
        <v>1736</v>
      </c>
      <c r="AV363" s="930" t="s">
        <v>1246</v>
      </c>
      <c r="AW363" s="929"/>
    </row>
    <row r="364" spans="2:49" hidden="1">
      <c r="B364" s="813" t="s">
        <v>2052</v>
      </c>
      <c r="C364" s="456" t="s">
        <v>1337</v>
      </c>
      <c r="D364" s="456" t="s">
        <v>1337</v>
      </c>
      <c r="F364" s="265" t="s">
        <v>1209</v>
      </c>
      <c r="G364" s="264" t="s">
        <v>1203</v>
      </c>
      <c r="H364" s="456" t="s">
        <v>1590</v>
      </c>
      <c r="I364" s="456" t="s">
        <v>1590</v>
      </c>
      <c r="J364" s="559" t="s">
        <v>1590</v>
      </c>
      <c r="K364" s="313"/>
      <c r="L364" s="560" t="s">
        <v>1590</v>
      </c>
      <c r="M364" s="560" t="s">
        <v>1590</v>
      </c>
      <c r="N364" s="176"/>
      <c r="O364" s="561" t="s">
        <v>1590</v>
      </c>
      <c r="P364" s="176"/>
      <c r="Q364" s="562" t="s">
        <v>1590</v>
      </c>
      <c r="R364" s="562" t="s">
        <v>1590</v>
      </c>
      <c r="S364" s="563" t="s">
        <v>1590</v>
      </c>
      <c r="T364" s="562" t="s">
        <v>1590</v>
      </c>
      <c r="U364" s="563" t="s">
        <v>1590</v>
      </c>
      <c r="V364" s="562" t="s">
        <v>1590</v>
      </c>
      <c r="W364" s="360"/>
      <c r="X364" s="562" t="s">
        <v>1590</v>
      </c>
      <c r="Y364" s="562" t="s">
        <v>1590</v>
      </c>
      <c r="Z364" s="562" t="s">
        <v>1590</v>
      </c>
      <c r="AA364" s="562" t="s">
        <v>1590</v>
      </c>
      <c r="AB364" s="562" t="s">
        <v>1590</v>
      </c>
      <c r="AC364" s="562" t="s">
        <v>1590</v>
      </c>
      <c r="AD364" s="235"/>
      <c r="AE364" s="456" t="s">
        <v>1590</v>
      </c>
      <c r="AG364" s="559" t="s">
        <v>1591</v>
      </c>
      <c r="AH364" s="559" t="s">
        <v>1591</v>
      </c>
      <c r="AI364" s="559" t="s">
        <v>1591</v>
      </c>
      <c r="AJ364" s="559" t="s">
        <v>1591</v>
      </c>
      <c r="AK364" s="559" t="s">
        <v>1591</v>
      </c>
      <c r="AL364" s="559" t="s">
        <v>1591</v>
      </c>
      <c r="AM364" s="559" t="s">
        <v>1591</v>
      </c>
      <c r="AN364" s="559" t="s">
        <v>1591</v>
      </c>
      <c r="AP364" s="456" t="s">
        <v>1590</v>
      </c>
      <c r="AQ364" s="456" t="s">
        <v>1590</v>
      </c>
      <c r="AS364" s="456" t="s">
        <v>1222</v>
      </c>
      <c r="AT364" s="456" t="s">
        <v>1222</v>
      </c>
      <c r="AU364" s="456" t="s">
        <v>1222</v>
      </c>
      <c r="AV364" s="456" t="s">
        <v>1222</v>
      </c>
    </row>
    <row r="365" spans="2:49" s="252" customFormat="1" ht="250.8" hidden="1">
      <c r="B365" s="1218" t="s">
        <v>2450</v>
      </c>
      <c r="C365" s="248" t="s">
        <v>134</v>
      </c>
      <c r="D365" s="502"/>
      <c r="E365" s="312"/>
      <c r="F365" s="233" t="s">
        <v>1169</v>
      </c>
      <c r="G365" s="242" t="s">
        <v>726</v>
      </c>
      <c r="H365" s="243" t="s">
        <v>281</v>
      </c>
      <c r="I365" s="243" t="s">
        <v>200</v>
      </c>
      <c r="J365" s="493" t="s">
        <v>726</v>
      </c>
      <c r="K365" s="312"/>
      <c r="L365" s="236" t="s">
        <v>134</v>
      </c>
      <c r="M365" s="253"/>
      <c r="N365" s="314"/>
      <c r="O365" s="233"/>
      <c r="P365" s="314"/>
      <c r="Q365" s="254" t="s">
        <v>134</v>
      </c>
      <c r="R365" s="253" t="s">
        <v>134</v>
      </c>
      <c r="S365" s="255"/>
      <c r="T365" s="253"/>
      <c r="U365" s="237"/>
      <c r="V365" s="261"/>
      <c r="W365" s="314"/>
      <c r="X365" s="254"/>
      <c r="Y365" s="256"/>
      <c r="Z365" s="253"/>
      <c r="AA365" s="255"/>
      <c r="AB365" s="256"/>
      <c r="AC365" s="253"/>
      <c r="AD365" s="312"/>
      <c r="AE365" s="242" t="str">
        <f>IF(AM365&lt;&gt;"",
       "0x" &amp; AI365 &amp;" ~ 0x" &amp; AJ365 &amp; " (" &amp; AK365 &amp;"~" &amp; AL365 &amp; AM365 &amp; ")","")&amp;IF(AN365&lt;&gt;"",IF(AM365&lt;&gt;"",CHAR(10)&amp;AN365,AN365),
       "")</f>
        <v xml:space="preserve">0x0 ~ 0xFF (0~255-)
0x01: Standby &amp; Judge KASO Type
0x02: KASO Maintenance Mode
0x03: Waiting Driver's Action
0x14: Waiting KASO Request
0x15: EPTO Relay Connection
0x16: Power Supply
0x17: Power Supply Suspended
0x18: Power Supply (Extension)
0x19: Power Supply (Charging)
0x1A: KASO Stop Waiting
0x1B: EPTO Relay Disconnect
0x28: Vehicle Serious Error Action
0x29: KASO Error Action
0x2A: Vehicle Error Action
0x2B: Error Waiting
0xFF: KASO Finish
</v>
      </c>
      <c r="AF365" s="312"/>
      <c r="AG365" s="1264">
        <v>0</v>
      </c>
      <c r="AH365" s="1265">
        <v>1</v>
      </c>
      <c r="AI365" s="1266">
        <v>0</v>
      </c>
      <c r="AJ365" s="327" t="s">
        <v>751</v>
      </c>
      <c r="AK365" s="334">
        <f>HEX2DEC(AI365)*AH365+AG365</f>
        <v>0</v>
      </c>
      <c r="AL365" s="1272">
        <f>HEX2DEC(AJ365)*AH365+AG365</f>
        <v>255</v>
      </c>
      <c r="AM365" s="1265" t="s">
        <v>1666</v>
      </c>
      <c r="AN365" s="242" t="s">
        <v>833</v>
      </c>
      <c r="AO365" s="312"/>
      <c r="AP365" s="482" t="s">
        <v>1170</v>
      </c>
      <c r="AQ365" s="482" t="s">
        <v>1502</v>
      </c>
      <c r="AS365" s="930" t="s">
        <v>1866</v>
      </c>
      <c r="AT365" s="594" t="s">
        <v>1867</v>
      </c>
      <c r="AU365" s="594" t="s">
        <v>2386</v>
      </c>
      <c r="AV365" s="594" t="s">
        <v>1868</v>
      </c>
    </row>
    <row r="366" spans="2:49" s="252" customFormat="1" hidden="1">
      <c r="B366" s="1218" t="s">
        <v>2450</v>
      </c>
      <c r="C366" s="248" t="s">
        <v>134</v>
      </c>
      <c r="D366" s="502"/>
      <c r="E366" s="312"/>
      <c r="F366" s="233" t="s">
        <v>1171</v>
      </c>
      <c r="G366" s="242" t="s">
        <v>727</v>
      </c>
      <c r="H366" s="243" t="s">
        <v>281</v>
      </c>
      <c r="I366" s="243" t="s">
        <v>200</v>
      </c>
      <c r="J366" s="493" t="s">
        <v>727</v>
      </c>
      <c r="K366" s="312"/>
      <c r="L366" s="236" t="s">
        <v>134</v>
      </c>
      <c r="M366" s="253"/>
      <c r="N366" s="314"/>
      <c r="O366" s="233"/>
      <c r="P366" s="314"/>
      <c r="Q366" s="254" t="s">
        <v>134</v>
      </c>
      <c r="R366" s="253" t="s">
        <v>134</v>
      </c>
      <c r="S366" s="255"/>
      <c r="T366" s="253"/>
      <c r="U366" s="237"/>
      <c r="V366" s="261"/>
      <c r="W366" s="314"/>
      <c r="X366" s="254"/>
      <c r="Y366" s="256"/>
      <c r="Z366" s="253"/>
      <c r="AA366" s="255"/>
      <c r="AB366" s="256"/>
      <c r="AC366" s="253"/>
      <c r="AD366" s="312"/>
      <c r="AE366" s="1276" t="str">
        <f>IF(AM366&lt;&gt;"",
       "0x" &amp; AI366 &amp;" ~ 0x" &amp; AJ366 &amp; " (" &amp; AK366 &amp;"~" &amp; AL366 &amp; AM366 &amp; ")","")&amp;IF(AN366&lt;&gt;"",IF(AM366&lt;&gt;"",CHAR(10)&amp;AN366,AN366),
       "")</f>
        <v>0x0 ~ 0xFF (0~25.5kW)</v>
      </c>
      <c r="AF366" s="312"/>
      <c r="AG366" s="245">
        <v>0</v>
      </c>
      <c r="AH366" s="246">
        <v>0.1</v>
      </c>
      <c r="AI366" s="326">
        <v>0</v>
      </c>
      <c r="AJ366" s="1268" t="s">
        <v>2509</v>
      </c>
      <c r="AK366" s="334">
        <f>HEX2DEC(AI366)*AH366+AG366</f>
        <v>0</v>
      </c>
      <c r="AL366" s="1272">
        <f>HEX2DEC(AJ366)*AH366+AG366</f>
        <v>25.5</v>
      </c>
      <c r="AM366" s="246" t="s">
        <v>794</v>
      </c>
      <c r="AN366" s="242"/>
      <c r="AO366" s="312"/>
      <c r="AP366" s="482" t="s">
        <v>1170</v>
      </c>
      <c r="AQ366" s="482" t="s">
        <v>1529</v>
      </c>
      <c r="AS366" s="930" t="s">
        <v>1866</v>
      </c>
      <c r="AT366" s="594" t="s">
        <v>1867</v>
      </c>
      <c r="AU366" s="594" t="s">
        <v>2387</v>
      </c>
      <c r="AV366" s="594" t="s">
        <v>1868</v>
      </c>
    </row>
    <row r="367" spans="2:49" s="252" customFormat="1" ht="92.4" hidden="1">
      <c r="B367" s="1218" t="s">
        <v>2450</v>
      </c>
      <c r="C367" s="248" t="s">
        <v>134</v>
      </c>
      <c r="D367" s="502"/>
      <c r="E367" s="312"/>
      <c r="F367" s="233" t="s">
        <v>1172</v>
      </c>
      <c r="G367" s="242" t="s">
        <v>728</v>
      </c>
      <c r="H367" s="243" t="s">
        <v>281</v>
      </c>
      <c r="I367" s="243" t="s">
        <v>200</v>
      </c>
      <c r="J367" s="493" t="s">
        <v>728</v>
      </c>
      <c r="K367" s="312"/>
      <c r="L367" s="236" t="s">
        <v>134</v>
      </c>
      <c r="M367" s="253"/>
      <c r="N367" s="314"/>
      <c r="O367" s="233"/>
      <c r="P367" s="314"/>
      <c r="Q367" s="254" t="s">
        <v>134</v>
      </c>
      <c r="R367" s="253" t="s">
        <v>134</v>
      </c>
      <c r="S367" s="255"/>
      <c r="T367" s="253"/>
      <c r="U367" s="237"/>
      <c r="V367" s="261"/>
      <c r="W367" s="314"/>
      <c r="X367" s="254"/>
      <c r="Y367" s="256"/>
      <c r="Z367" s="253"/>
      <c r="AA367" s="255"/>
      <c r="AB367" s="256"/>
      <c r="AC367" s="253"/>
      <c r="AD367" s="312"/>
      <c r="AE367" s="242" t="str">
        <f>IF(AM367&lt;&gt;"",
       "0x" &amp; AI367 &amp;" ~ 0x" &amp; AJ367 &amp; " (" &amp; AK367 &amp;"~" &amp; AL367 &amp; AM367 &amp; ")","")&amp;IF(AN367&lt;&gt;"",IF(AM367&lt;&gt;"",CHAR(10)&amp;AN367,AN367),
       "")</f>
        <v>0x0 ~ 0xFF (0~255-)
0x00: Init/SNA
0x01: KASO maintenance mode
0x02: KASO maintenance mode cancel
0x0A: Refrigator_A
0x0B: Refrigator_B
0x14: K-Morter</v>
      </c>
      <c r="AF367" s="312"/>
      <c r="AG367" s="1264">
        <v>0</v>
      </c>
      <c r="AH367" s="1265">
        <v>1</v>
      </c>
      <c r="AI367" s="326">
        <v>0</v>
      </c>
      <c r="AJ367" s="1268" t="s">
        <v>2509</v>
      </c>
      <c r="AK367" s="334">
        <f>HEX2DEC(AI367)*AH367+AG367</f>
        <v>0</v>
      </c>
      <c r="AL367" s="1272">
        <f>HEX2DEC(AJ367)*AH367+AG367</f>
        <v>255</v>
      </c>
      <c r="AM367" s="1265" t="s">
        <v>1666</v>
      </c>
      <c r="AN367" s="242" t="s">
        <v>834</v>
      </c>
      <c r="AO367" s="312"/>
      <c r="AP367" s="482" t="s">
        <v>1170</v>
      </c>
      <c r="AQ367" s="482" t="s">
        <v>1589</v>
      </c>
      <c r="AS367" s="930" t="s">
        <v>1866</v>
      </c>
      <c r="AT367" s="594" t="s">
        <v>1869</v>
      </c>
      <c r="AU367" s="594" t="s">
        <v>1870</v>
      </c>
      <c r="AV367" s="594" t="s">
        <v>1868</v>
      </c>
    </row>
    <row r="368" spans="2:49" s="252" customFormat="1" ht="66" hidden="1">
      <c r="B368" s="1218" t="s">
        <v>2450</v>
      </c>
      <c r="C368" s="248" t="s">
        <v>134</v>
      </c>
      <c r="D368" s="502"/>
      <c r="E368" s="312"/>
      <c r="F368" s="233" t="s">
        <v>1173</v>
      </c>
      <c r="G368" s="242" t="s">
        <v>729</v>
      </c>
      <c r="H368" s="243" t="s">
        <v>281</v>
      </c>
      <c r="I368" s="243" t="s">
        <v>200</v>
      </c>
      <c r="J368" s="493" t="s">
        <v>1174</v>
      </c>
      <c r="K368" s="312"/>
      <c r="L368" s="236" t="s">
        <v>134</v>
      </c>
      <c r="M368" s="253"/>
      <c r="N368" s="314"/>
      <c r="O368" s="233"/>
      <c r="P368" s="314"/>
      <c r="Q368" s="254" t="s">
        <v>134</v>
      </c>
      <c r="R368" s="253" t="s">
        <v>134</v>
      </c>
      <c r="S368" s="255"/>
      <c r="T368" s="253"/>
      <c r="U368" s="237"/>
      <c r="V368" s="261"/>
      <c r="W368" s="314"/>
      <c r="X368" s="254"/>
      <c r="Y368" s="256"/>
      <c r="Z368" s="253"/>
      <c r="AA368" s="255"/>
      <c r="AB368" s="256"/>
      <c r="AC368" s="253"/>
      <c r="AD368" s="312"/>
      <c r="AE368" s="242" t="str">
        <f>IF(AM368&lt;&gt;"",
       "0x" &amp; AI368 &amp;" ~ 0x" &amp; AJ368 &amp; " (" &amp; AK368 &amp;"~" &amp; AL368 &amp; AM368 &amp; ")","")&amp;IF(AN368&lt;&gt;"",IF(AM368&lt;&gt;"",CHAR(10)&amp;AN368,AN368),
       "")</f>
        <v>0x0 ~ 0xFF (0~255-)
0x0：Init/SNA
0x1：Off(DisConnect)
0x2：On(Connect)
0x3：Error(Weld/Malfunction)</v>
      </c>
      <c r="AF368" s="312"/>
      <c r="AG368" s="1264">
        <v>0</v>
      </c>
      <c r="AH368" s="1265">
        <v>1</v>
      </c>
      <c r="AI368" s="326">
        <v>0</v>
      </c>
      <c r="AJ368" s="1268" t="s">
        <v>2509</v>
      </c>
      <c r="AK368" s="334">
        <f>HEX2DEC(AI368)*AH368+AG368</f>
        <v>0</v>
      </c>
      <c r="AL368" s="1272">
        <f t="shared" ref="AL368:AL369" si="57">HEX2DEC(AJ368)*AH368+AG368</f>
        <v>255</v>
      </c>
      <c r="AM368" s="1265" t="s">
        <v>1666</v>
      </c>
      <c r="AN368" s="242" t="s">
        <v>1180</v>
      </c>
      <c r="AO368" s="312"/>
      <c r="AP368" s="482" t="s">
        <v>1170</v>
      </c>
      <c r="AQ368" s="482" t="s">
        <v>730</v>
      </c>
      <c r="AS368" s="930" t="s">
        <v>1866</v>
      </c>
      <c r="AT368" s="594" t="s">
        <v>1869</v>
      </c>
      <c r="AU368" s="594" t="s">
        <v>2365</v>
      </c>
      <c r="AV368" s="930" t="s">
        <v>1868</v>
      </c>
    </row>
    <row r="369" spans="2:16375" s="252" customFormat="1" hidden="1">
      <c r="B369" s="1218" t="s">
        <v>2450</v>
      </c>
      <c r="C369" s="248" t="s">
        <v>134</v>
      </c>
      <c r="D369" s="502"/>
      <c r="E369" s="312"/>
      <c r="F369" s="233" t="s">
        <v>1175</v>
      </c>
      <c r="G369" s="242" t="s">
        <v>731</v>
      </c>
      <c r="H369" s="243" t="s">
        <v>281</v>
      </c>
      <c r="I369" s="243" t="s">
        <v>200</v>
      </c>
      <c r="J369" s="493" t="s">
        <v>1176</v>
      </c>
      <c r="K369" s="312"/>
      <c r="L369" s="236" t="s">
        <v>134</v>
      </c>
      <c r="M369" s="253"/>
      <c r="N369" s="314"/>
      <c r="O369" s="233"/>
      <c r="P369" s="314"/>
      <c r="Q369" s="254" t="s">
        <v>134</v>
      </c>
      <c r="R369" s="253" t="s">
        <v>134</v>
      </c>
      <c r="S369" s="255"/>
      <c r="T369" s="253"/>
      <c r="U369" s="237"/>
      <c r="V369" s="261"/>
      <c r="W369" s="314"/>
      <c r="X369" s="254"/>
      <c r="Y369" s="256"/>
      <c r="Z369" s="253"/>
      <c r="AA369" s="255"/>
      <c r="AB369" s="256"/>
      <c r="AC369" s="253"/>
      <c r="AD369" s="312"/>
      <c r="AE369" s="1276" t="str">
        <f>IF(AM369&lt;&gt;"",
       "0x" &amp; AI369 &amp;" ~ 0x" &amp; AJ369 &amp; " (" &amp; AK369 &amp;"~" &amp; AL369 &amp; AM369 &amp; ")","")&amp;IF(AN369&lt;&gt;"",IF(AM369&lt;&gt;"",CHAR(10)&amp;AN369,AN369),
       "")</f>
        <v>0x0 ~ 0xFF (0~25.5kW)</v>
      </c>
      <c r="AF369" s="312"/>
      <c r="AG369" s="245">
        <v>0</v>
      </c>
      <c r="AH369" s="246">
        <v>0.1</v>
      </c>
      <c r="AI369" s="326">
        <v>0</v>
      </c>
      <c r="AJ369" s="1268" t="s">
        <v>2509</v>
      </c>
      <c r="AK369" s="334">
        <f>HEX2DEC(AI369)*AH369+AG369</f>
        <v>0</v>
      </c>
      <c r="AL369" s="1272">
        <f t="shared" si="57"/>
        <v>25.5</v>
      </c>
      <c r="AM369" s="246" t="s">
        <v>794</v>
      </c>
      <c r="AN369" s="242"/>
      <c r="AO369" s="312"/>
      <c r="AP369" s="482" t="s">
        <v>1170</v>
      </c>
      <c r="AQ369" s="482" t="s">
        <v>1504</v>
      </c>
      <c r="AS369" s="930" t="s">
        <v>1866</v>
      </c>
      <c r="AT369" s="594" t="s">
        <v>1869</v>
      </c>
      <c r="AU369" s="930" t="s">
        <v>1871</v>
      </c>
      <c r="AV369" s="930" t="s">
        <v>1868</v>
      </c>
    </row>
    <row r="370" spans="2:16375" hidden="1">
      <c r="B370" s="813" t="s">
        <v>2052</v>
      </c>
      <c r="C370" s="456" t="s">
        <v>1337</v>
      </c>
      <c r="D370" s="456" t="s">
        <v>1337</v>
      </c>
      <c r="F370" s="265" t="s">
        <v>1210</v>
      </c>
      <c r="G370" s="264" t="s">
        <v>1192</v>
      </c>
      <c r="H370" s="456" t="s">
        <v>1590</v>
      </c>
      <c r="I370" s="456" t="s">
        <v>1590</v>
      </c>
      <c r="J370" s="559" t="s">
        <v>1590</v>
      </c>
      <c r="K370" s="313"/>
      <c r="L370" s="560" t="s">
        <v>1590</v>
      </c>
      <c r="M370" s="560" t="s">
        <v>1590</v>
      </c>
      <c r="N370" s="176"/>
      <c r="O370" s="561" t="s">
        <v>1590</v>
      </c>
      <c r="P370" s="176"/>
      <c r="Q370" s="562" t="s">
        <v>1590</v>
      </c>
      <c r="R370" s="562" t="s">
        <v>1590</v>
      </c>
      <c r="S370" s="563" t="s">
        <v>1590</v>
      </c>
      <c r="T370" s="562" t="s">
        <v>1590</v>
      </c>
      <c r="U370" s="563" t="s">
        <v>1590</v>
      </c>
      <c r="V370" s="562" t="s">
        <v>1590</v>
      </c>
      <c r="W370" s="360"/>
      <c r="X370" s="562" t="s">
        <v>1590</v>
      </c>
      <c r="Y370" s="562" t="s">
        <v>1590</v>
      </c>
      <c r="Z370" s="562" t="s">
        <v>1590</v>
      </c>
      <c r="AA370" s="562" t="s">
        <v>1590</v>
      </c>
      <c r="AB370" s="562" t="s">
        <v>1590</v>
      </c>
      <c r="AC370" s="562" t="s">
        <v>1590</v>
      </c>
      <c r="AD370" s="235"/>
      <c r="AE370" s="456" t="s">
        <v>1590</v>
      </c>
      <c r="AG370" s="559" t="s">
        <v>1591</v>
      </c>
      <c r="AH370" s="559" t="s">
        <v>1591</v>
      </c>
      <c r="AI370" s="559" t="s">
        <v>1591</v>
      </c>
      <c r="AJ370" s="559" t="s">
        <v>1591</v>
      </c>
      <c r="AK370" s="559" t="s">
        <v>1591</v>
      </c>
      <c r="AL370" s="559" t="s">
        <v>1591</v>
      </c>
      <c r="AM370" s="559" t="s">
        <v>1591</v>
      </c>
      <c r="AN370" s="559" t="s">
        <v>1591</v>
      </c>
      <c r="AP370" s="456" t="s">
        <v>1590</v>
      </c>
      <c r="AQ370" s="456" t="s">
        <v>1590</v>
      </c>
      <c r="AS370" s="456" t="s">
        <v>1222</v>
      </c>
      <c r="AT370" s="456" t="s">
        <v>1222</v>
      </c>
      <c r="AU370" s="456" t="s">
        <v>1222</v>
      </c>
      <c r="AV370" s="456" t="s">
        <v>1222</v>
      </c>
    </row>
    <row r="371" spans="2:16375" hidden="1">
      <c r="B371" s="813" t="s">
        <v>2052</v>
      </c>
      <c r="C371" s="456" t="s">
        <v>1337</v>
      </c>
      <c r="D371" s="456" t="s">
        <v>1337</v>
      </c>
      <c r="F371" s="265" t="s">
        <v>1208</v>
      </c>
      <c r="G371" s="264" t="s">
        <v>1204</v>
      </c>
      <c r="H371" s="456" t="s">
        <v>1590</v>
      </c>
      <c r="I371" s="456" t="s">
        <v>1590</v>
      </c>
      <c r="J371" s="559" t="s">
        <v>1590</v>
      </c>
      <c r="K371" s="313"/>
      <c r="L371" s="560" t="s">
        <v>1590</v>
      </c>
      <c r="M371" s="560" t="s">
        <v>1590</v>
      </c>
      <c r="N371" s="176"/>
      <c r="O371" s="561" t="s">
        <v>1590</v>
      </c>
      <c r="P371" s="176"/>
      <c r="Q371" s="562" t="s">
        <v>1590</v>
      </c>
      <c r="R371" s="562" t="s">
        <v>1590</v>
      </c>
      <c r="S371" s="563" t="s">
        <v>1590</v>
      </c>
      <c r="T371" s="562" t="s">
        <v>1590</v>
      </c>
      <c r="U371" s="563" t="s">
        <v>1590</v>
      </c>
      <c r="V371" s="562" t="s">
        <v>1590</v>
      </c>
      <c r="W371" s="360"/>
      <c r="X371" s="562" t="s">
        <v>1590</v>
      </c>
      <c r="Y371" s="562" t="s">
        <v>1590</v>
      </c>
      <c r="Z371" s="562" t="s">
        <v>1590</v>
      </c>
      <c r="AA371" s="562" t="s">
        <v>1590</v>
      </c>
      <c r="AB371" s="562" t="s">
        <v>1590</v>
      </c>
      <c r="AC371" s="562" t="s">
        <v>1590</v>
      </c>
      <c r="AD371" s="235"/>
      <c r="AE371" s="456" t="s">
        <v>1590</v>
      </c>
      <c r="AG371" s="559" t="s">
        <v>1591</v>
      </c>
      <c r="AH371" s="559" t="s">
        <v>1591</v>
      </c>
      <c r="AI371" s="559" t="s">
        <v>1591</v>
      </c>
      <c r="AJ371" s="559" t="s">
        <v>1591</v>
      </c>
      <c r="AK371" s="559" t="s">
        <v>1591</v>
      </c>
      <c r="AL371" s="559" t="s">
        <v>1591</v>
      </c>
      <c r="AM371" s="559" t="s">
        <v>1591</v>
      </c>
      <c r="AN371" s="559" t="s">
        <v>1591</v>
      </c>
      <c r="AP371" s="456" t="s">
        <v>1590</v>
      </c>
      <c r="AQ371" s="456" t="s">
        <v>1590</v>
      </c>
      <c r="AS371" s="456" t="s">
        <v>1222</v>
      </c>
      <c r="AT371" s="456" t="s">
        <v>1222</v>
      </c>
      <c r="AU371" s="456" t="s">
        <v>1222</v>
      </c>
      <c r="AV371" s="456" t="s">
        <v>1222</v>
      </c>
    </row>
    <row r="372" spans="2:16375" s="252" customFormat="1" hidden="1">
      <c r="B372" s="808"/>
      <c r="C372" s="248" t="s">
        <v>134</v>
      </c>
      <c r="D372" s="502"/>
      <c r="E372" s="312"/>
      <c r="F372" s="476"/>
      <c r="G372" s="244" t="s">
        <v>1401</v>
      </c>
      <c r="H372" s="478"/>
      <c r="I372" s="478"/>
      <c r="J372" s="492"/>
      <c r="K372" s="312"/>
      <c r="L372" s="236"/>
      <c r="M372" s="253"/>
      <c r="N372" s="314"/>
      <c r="O372" s="476"/>
      <c r="P372" s="314"/>
      <c r="Q372" s="254" t="s">
        <v>1402</v>
      </c>
      <c r="R372" s="253" t="s">
        <v>1402</v>
      </c>
      <c r="S372" s="255"/>
      <c r="T372" s="253" t="s">
        <v>1402</v>
      </c>
      <c r="U372" s="237"/>
      <c r="V372" s="253"/>
      <c r="W372" s="314"/>
      <c r="X372" s="254"/>
      <c r="Y372" s="256"/>
      <c r="Z372" s="253"/>
      <c r="AA372" s="255"/>
      <c r="AB372" s="256"/>
      <c r="AC372" s="253"/>
      <c r="AD372" s="312"/>
      <c r="AE372" s="242"/>
      <c r="AF372" s="312"/>
      <c r="AG372" s="245"/>
      <c r="AH372" s="246"/>
      <c r="AI372" s="318"/>
      <c r="AJ372" s="319"/>
      <c r="AK372" s="334"/>
      <c r="AL372" s="336"/>
      <c r="AM372" s="246"/>
      <c r="AN372" s="242"/>
      <c r="AO372" s="312"/>
      <c r="AP372" s="482"/>
      <c r="AQ372" s="482"/>
      <c r="AS372" s="488" t="s">
        <v>1522</v>
      </c>
      <c r="AT372" s="488" t="s">
        <v>1522</v>
      </c>
      <c r="AU372" s="488" t="s">
        <v>1522</v>
      </c>
      <c r="AV372" s="488" t="s">
        <v>1522</v>
      </c>
    </row>
    <row r="373" spans="2:16375" hidden="1">
      <c r="B373" s="813" t="s">
        <v>2052</v>
      </c>
      <c r="C373" s="456" t="s">
        <v>1337</v>
      </c>
      <c r="D373" s="456" t="s">
        <v>1337</v>
      </c>
      <c r="F373" s="265" t="s">
        <v>1208</v>
      </c>
      <c r="G373" s="264" t="s">
        <v>1205</v>
      </c>
      <c r="H373" s="456" t="s">
        <v>1590</v>
      </c>
      <c r="I373" s="456" t="s">
        <v>1590</v>
      </c>
      <c r="J373" s="559" t="s">
        <v>1590</v>
      </c>
      <c r="K373" s="313"/>
      <c r="L373" s="560" t="s">
        <v>1590</v>
      </c>
      <c r="M373" s="560" t="s">
        <v>1590</v>
      </c>
      <c r="N373" s="176"/>
      <c r="O373" s="561" t="s">
        <v>1590</v>
      </c>
      <c r="P373" s="176"/>
      <c r="Q373" s="562" t="s">
        <v>1590</v>
      </c>
      <c r="R373" s="562" t="s">
        <v>1590</v>
      </c>
      <c r="S373" s="563" t="s">
        <v>1590</v>
      </c>
      <c r="T373" s="562" t="s">
        <v>1590</v>
      </c>
      <c r="U373" s="563" t="s">
        <v>1590</v>
      </c>
      <c r="V373" s="562" t="s">
        <v>1590</v>
      </c>
      <c r="W373" s="360"/>
      <c r="X373" s="562" t="s">
        <v>1590</v>
      </c>
      <c r="Y373" s="562" t="s">
        <v>1590</v>
      </c>
      <c r="Z373" s="562" t="s">
        <v>1590</v>
      </c>
      <c r="AA373" s="562" t="s">
        <v>1590</v>
      </c>
      <c r="AB373" s="562" t="s">
        <v>1590</v>
      </c>
      <c r="AC373" s="562" t="s">
        <v>1590</v>
      </c>
      <c r="AD373" s="235"/>
      <c r="AE373" s="456" t="s">
        <v>1590</v>
      </c>
      <c r="AG373" s="559" t="s">
        <v>1591</v>
      </c>
      <c r="AH373" s="559" t="s">
        <v>1591</v>
      </c>
      <c r="AI373" s="559" t="s">
        <v>1591</v>
      </c>
      <c r="AJ373" s="559" t="s">
        <v>1591</v>
      </c>
      <c r="AK373" s="559" t="s">
        <v>1591</v>
      </c>
      <c r="AL373" s="559" t="s">
        <v>1591</v>
      </c>
      <c r="AM373" s="559" t="s">
        <v>1591</v>
      </c>
      <c r="AN373" s="559" t="s">
        <v>1591</v>
      </c>
      <c r="AP373" s="456" t="s">
        <v>1590</v>
      </c>
      <c r="AQ373" s="456" t="s">
        <v>1590</v>
      </c>
      <c r="AS373" s="456" t="s">
        <v>1222</v>
      </c>
      <c r="AT373" s="456" t="s">
        <v>1222</v>
      </c>
      <c r="AU373" s="456" t="s">
        <v>1222</v>
      </c>
      <c r="AV373" s="456" t="s">
        <v>1222</v>
      </c>
      <c r="BA373" s="252"/>
      <c r="BB373" s="252"/>
      <c r="BC373" s="252"/>
      <c r="BD373" s="252"/>
    </row>
    <row r="374" spans="2:16375" s="252" customFormat="1" hidden="1">
      <c r="B374" s="809"/>
      <c r="C374" s="248" t="s">
        <v>134</v>
      </c>
      <c r="D374" s="502"/>
      <c r="E374" s="312"/>
      <c r="F374" s="476"/>
      <c r="G374" s="244" t="s">
        <v>1404</v>
      </c>
      <c r="H374" s="478"/>
      <c r="I374" s="478"/>
      <c r="J374" s="492"/>
      <c r="K374" s="312"/>
      <c r="L374" s="236"/>
      <c r="M374" s="253"/>
      <c r="N374" s="314"/>
      <c r="O374" s="476"/>
      <c r="P374" s="314"/>
      <c r="Q374" s="254" t="s">
        <v>1402</v>
      </c>
      <c r="R374" s="253" t="s">
        <v>1402</v>
      </c>
      <c r="S374" s="255"/>
      <c r="T374" s="253" t="s">
        <v>1402</v>
      </c>
      <c r="U374" s="237"/>
      <c r="V374" s="253"/>
      <c r="W374" s="314"/>
      <c r="X374" s="254"/>
      <c r="Y374" s="256"/>
      <c r="Z374" s="253"/>
      <c r="AA374" s="255"/>
      <c r="AB374" s="256"/>
      <c r="AC374" s="253"/>
      <c r="AD374" s="312"/>
      <c r="AE374" s="242"/>
      <c r="AF374" s="312"/>
      <c r="AG374" s="245"/>
      <c r="AH374" s="246"/>
      <c r="AI374" s="318"/>
      <c r="AJ374" s="319"/>
      <c r="AK374" s="334"/>
      <c r="AL374" s="336"/>
      <c r="AM374" s="246"/>
      <c r="AN374" s="242"/>
      <c r="AO374" s="312"/>
      <c r="AP374" s="967"/>
      <c r="AQ374" s="967"/>
      <c r="AS374" s="488" t="s">
        <v>1522</v>
      </c>
      <c r="AT374" s="488" t="s">
        <v>1522</v>
      </c>
      <c r="AU374" s="488" t="s">
        <v>1522</v>
      </c>
      <c r="AV374" s="488" t="s">
        <v>1522</v>
      </c>
    </row>
    <row r="375" spans="2:16375" s="252" customFormat="1" ht="158.4" hidden="1">
      <c r="B375" s="1218" t="s">
        <v>2450</v>
      </c>
      <c r="C375" s="248" t="s">
        <v>134</v>
      </c>
      <c r="D375" s="248" t="s">
        <v>134</v>
      </c>
      <c r="F375" s="964" t="s">
        <v>1216</v>
      </c>
      <c r="G375" s="242" t="s">
        <v>1596</v>
      </c>
      <c r="H375" s="965" t="s">
        <v>279</v>
      </c>
      <c r="I375" s="965" t="s">
        <v>1222</v>
      </c>
      <c r="J375" s="242" t="s">
        <v>1620</v>
      </c>
      <c r="K375" s="312"/>
      <c r="L375" s="398" t="s">
        <v>136</v>
      </c>
      <c r="M375" s="580"/>
      <c r="N375" s="966"/>
      <c r="O375" s="697" t="s">
        <v>2066</v>
      </c>
      <c r="P375" s="966"/>
      <c r="Q375" s="576" t="s">
        <v>1231</v>
      </c>
      <c r="R375" s="577" t="s">
        <v>1231</v>
      </c>
      <c r="S375" s="582"/>
      <c r="T375" s="940"/>
      <c r="U375" s="582"/>
      <c r="V375" s="940"/>
      <c r="W375" s="941" t="s">
        <v>2064</v>
      </c>
      <c r="X375" s="254"/>
      <c r="Y375" s="256"/>
      <c r="Z375" s="253"/>
      <c r="AA375" s="255"/>
      <c r="AB375" s="256"/>
      <c r="AC375" s="253"/>
      <c r="AE375" s="1276" t="str">
        <f t="shared" ref="AE375:AE377" si="58">IF(AM375&lt;&gt;"",
       "0x" &amp; AI375 &amp;" ~ 0x" &amp; AJ375 &amp; " (" &amp; AK375 &amp;"~" &amp; AL375 &amp; AM375 &amp; ")","")&amp;IF(AN375&lt;&gt;"",IF(AM375&lt;&gt;"",CHAR(10)&amp;AN375,AN375),
       "")</f>
        <v>0x0000 ~ 0xFFFF (0~65.535-)</v>
      </c>
      <c r="AF375" s="312"/>
      <c r="AG375" s="245">
        <v>0</v>
      </c>
      <c r="AH375" s="246">
        <v>1E-3</v>
      </c>
      <c r="AI375" s="326" t="s">
        <v>780</v>
      </c>
      <c r="AJ375" s="1268" t="s">
        <v>2510</v>
      </c>
      <c r="AK375" s="334">
        <f t="shared" ref="AK375:AK377" si="59">AG375</f>
        <v>0</v>
      </c>
      <c r="AL375" s="1272">
        <f t="shared" ref="AL375:AL377" si="60">HEX2DEC(AJ375)*AH375+AG375</f>
        <v>65.534999999999997</v>
      </c>
      <c r="AM375" s="898" t="s">
        <v>1666</v>
      </c>
      <c r="AN375" s="242"/>
      <c r="AO375" s="382"/>
      <c r="AP375" s="593"/>
      <c r="AQ375" s="593"/>
      <c r="AR375" s="382"/>
      <c r="AS375" s="930" t="s">
        <v>1222</v>
      </c>
      <c r="AT375" s="593" t="s">
        <v>2366</v>
      </c>
      <c r="AU375" s="593" t="s">
        <v>2362</v>
      </c>
      <c r="AV375" s="930" t="s">
        <v>1222</v>
      </c>
    </row>
    <row r="376" spans="2:16375" s="252" customFormat="1" ht="158.4" hidden="1">
      <c r="B376" s="1218" t="s">
        <v>2450</v>
      </c>
      <c r="C376" s="248" t="s">
        <v>134</v>
      </c>
      <c r="D376" s="248" t="s">
        <v>134</v>
      </c>
      <c r="F376" s="964" t="s">
        <v>1217</v>
      </c>
      <c r="G376" s="242" t="s">
        <v>1597</v>
      </c>
      <c r="H376" s="965" t="s">
        <v>279</v>
      </c>
      <c r="I376" s="965" t="s">
        <v>1222</v>
      </c>
      <c r="J376" s="242" t="s">
        <v>1597</v>
      </c>
      <c r="K376" s="312"/>
      <c r="L376" s="398" t="s">
        <v>136</v>
      </c>
      <c r="M376" s="580"/>
      <c r="N376" s="966"/>
      <c r="O376" s="697" t="s">
        <v>2066</v>
      </c>
      <c r="P376" s="966"/>
      <c r="Q376" s="576" t="s">
        <v>1231</v>
      </c>
      <c r="R376" s="577" t="s">
        <v>1231</v>
      </c>
      <c r="S376" s="582"/>
      <c r="T376" s="940"/>
      <c r="U376" s="582"/>
      <c r="V376" s="940"/>
      <c r="W376" s="941" t="s">
        <v>2064</v>
      </c>
      <c r="X376" s="254"/>
      <c r="Y376" s="256"/>
      <c r="Z376" s="253"/>
      <c r="AA376" s="255"/>
      <c r="AB376" s="256"/>
      <c r="AC376" s="253"/>
      <c r="AE376" s="1276" t="str">
        <f t="shared" si="58"/>
        <v>0x0000 ~ 0xFFFF (0~65.535-)</v>
      </c>
      <c r="AF376" s="312"/>
      <c r="AG376" s="245">
        <v>0</v>
      </c>
      <c r="AH376" s="246">
        <v>1E-3</v>
      </c>
      <c r="AI376" s="326" t="s">
        <v>780</v>
      </c>
      <c r="AJ376" s="1268" t="s">
        <v>2510</v>
      </c>
      <c r="AK376" s="334">
        <f t="shared" si="59"/>
        <v>0</v>
      </c>
      <c r="AL376" s="1272">
        <f t="shared" si="60"/>
        <v>65.534999999999997</v>
      </c>
      <c r="AM376" s="898" t="s">
        <v>1666</v>
      </c>
      <c r="AN376" s="242"/>
      <c r="AO376" s="508"/>
      <c r="AP376" s="593"/>
      <c r="AQ376" s="593"/>
      <c r="AR376" s="508"/>
      <c r="AS376" s="930" t="s">
        <v>1222</v>
      </c>
      <c r="AT376" s="593" t="s">
        <v>2366</v>
      </c>
      <c r="AU376" s="593" t="s">
        <v>2363</v>
      </c>
      <c r="AV376" s="930" t="s">
        <v>1222</v>
      </c>
    </row>
    <row r="377" spans="2:16375" s="252" customFormat="1" ht="158.4" hidden="1">
      <c r="B377" s="1218" t="s">
        <v>2450</v>
      </c>
      <c r="C377" s="248" t="s">
        <v>134</v>
      </c>
      <c r="D377" s="248" t="s">
        <v>134</v>
      </c>
      <c r="F377" s="964" t="s">
        <v>1229</v>
      </c>
      <c r="G377" s="242" t="s">
        <v>1598</v>
      </c>
      <c r="H377" s="965" t="s">
        <v>279</v>
      </c>
      <c r="I377" s="965" t="s">
        <v>1222</v>
      </c>
      <c r="J377" s="242" t="s">
        <v>1598</v>
      </c>
      <c r="K377" s="312"/>
      <c r="L377" s="398" t="s">
        <v>136</v>
      </c>
      <c r="M377" s="580"/>
      <c r="N377" s="966"/>
      <c r="O377" s="697" t="s">
        <v>2066</v>
      </c>
      <c r="P377" s="966"/>
      <c r="Q377" s="576" t="s">
        <v>1231</v>
      </c>
      <c r="R377" s="577" t="s">
        <v>1231</v>
      </c>
      <c r="S377" s="582"/>
      <c r="T377" s="940"/>
      <c r="U377" s="582"/>
      <c r="V377" s="940"/>
      <c r="W377" s="941" t="s">
        <v>2064</v>
      </c>
      <c r="X377" s="254"/>
      <c r="Y377" s="256"/>
      <c r="Z377" s="253"/>
      <c r="AA377" s="255"/>
      <c r="AB377" s="256"/>
      <c r="AC377" s="253"/>
      <c r="AE377" s="1276" t="str">
        <f t="shared" si="58"/>
        <v>0x0000 ~ 0x145F (0~5.215m)</v>
      </c>
      <c r="AF377" s="312"/>
      <c r="AG377" s="245">
        <v>0</v>
      </c>
      <c r="AH377" s="246">
        <v>1E-3</v>
      </c>
      <c r="AI377" s="326" t="s">
        <v>780</v>
      </c>
      <c r="AJ377" s="1268" t="s">
        <v>2514</v>
      </c>
      <c r="AK377" s="334">
        <f t="shared" si="59"/>
        <v>0</v>
      </c>
      <c r="AL377" s="1272">
        <f t="shared" si="60"/>
        <v>5.2149999999999999</v>
      </c>
      <c r="AM377" s="246" t="s">
        <v>1226</v>
      </c>
      <c r="AN377" s="242"/>
      <c r="AO377" s="508"/>
      <c r="AP377" s="593"/>
      <c r="AQ377" s="593"/>
      <c r="AR377" s="508"/>
      <c r="AS377" s="930" t="s">
        <v>1222</v>
      </c>
      <c r="AT377" s="593" t="s">
        <v>2366</v>
      </c>
      <c r="AU377" s="593" t="s">
        <v>2364</v>
      </c>
      <c r="AV377" s="1250" t="s">
        <v>2515</v>
      </c>
    </row>
    <row r="378" spans="2:16375" hidden="1">
      <c r="B378" s="1141" t="s">
        <v>2052</v>
      </c>
      <c r="C378" s="456" t="s">
        <v>1337</v>
      </c>
      <c r="D378" s="456" t="s">
        <v>1337</v>
      </c>
      <c r="F378" s="265" t="s">
        <v>1208</v>
      </c>
      <c r="G378" s="264" t="s">
        <v>1206</v>
      </c>
      <c r="H378" s="456" t="s">
        <v>1590</v>
      </c>
      <c r="I378" s="456" t="s">
        <v>1590</v>
      </c>
      <c r="J378" s="559" t="s">
        <v>1590</v>
      </c>
      <c r="K378" s="313"/>
      <c r="L378" s="560" t="s">
        <v>1590</v>
      </c>
      <c r="M378" s="560" t="s">
        <v>1590</v>
      </c>
      <c r="N378" s="176"/>
      <c r="O378" s="561" t="s">
        <v>1590</v>
      </c>
      <c r="P378" s="176"/>
      <c r="Q378" s="562" t="s">
        <v>1590</v>
      </c>
      <c r="R378" s="562" t="s">
        <v>1590</v>
      </c>
      <c r="S378" s="563" t="s">
        <v>1590</v>
      </c>
      <c r="T378" s="562" t="s">
        <v>1590</v>
      </c>
      <c r="U378" s="563" t="s">
        <v>1590</v>
      </c>
      <c r="V378" s="562" t="s">
        <v>1590</v>
      </c>
      <c r="W378" s="360"/>
      <c r="X378" s="562" t="s">
        <v>1590</v>
      </c>
      <c r="Y378" s="562" t="s">
        <v>1590</v>
      </c>
      <c r="Z378" s="562" t="s">
        <v>1590</v>
      </c>
      <c r="AA378" s="562" t="s">
        <v>1590</v>
      </c>
      <c r="AB378" s="562" t="s">
        <v>1590</v>
      </c>
      <c r="AC378" s="562" t="s">
        <v>1590</v>
      </c>
      <c r="AD378" s="235"/>
      <c r="AE378" s="456" t="s">
        <v>1590</v>
      </c>
      <c r="AG378" s="559" t="s">
        <v>1591</v>
      </c>
      <c r="AH378" s="559" t="s">
        <v>1591</v>
      </c>
      <c r="AI378" s="559" t="s">
        <v>1591</v>
      </c>
      <c r="AJ378" s="559" t="s">
        <v>1591</v>
      </c>
      <c r="AK378" s="559" t="s">
        <v>1591</v>
      </c>
      <c r="AL378" s="559" t="s">
        <v>1591</v>
      </c>
      <c r="AM378" s="559" t="s">
        <v>1591</v>
      </c>
      <c r="AN378" s="559" t="s">
        <v>1591</v>
      </c>
      <c r="AP378" s="456" t="s">
        <v>1590</v>
      </c>
      <c r="AQ378" s="456" t="s">
        <v>1590</v>
      </c>
      <c r="AS378" s="456" t="s">
        <v>1222</v>
      </c>
      <c r="AT378" s="456" t="s">
        <v>1222</v>
      </c>
      <c r="AU378" s="456" t="s">
        <v>1222</v>
      </c>
      <c r="AV378" s="456" t="s">
        <v>1222</v>
      </c>
      <c r="AW378" s="252"/>
      <c r="AX378" s="252"/>
      <c r="AY378" s="252"/>
      <c r="AZ378" s="252"/>
      <c r="BA378" s="252"/>
      <c r="BB378" s="252"/>
      <c r="BC378" s="252"/>
      <c r="BD378" s="252"/>
    </row>
    <row r="379" spans="2:16375" hidden="1">
      <c r="B379" s="1141" t="s">
        <v>2052</v>
      </c>
      <c r="C379" s="456" t="s">
        <v>1337</v>
      </c>
      <c r="D379" s="456" t="s">
        <v>1337</v>
      </c>
      <c r="F379" s="265" t="s">
        <v>1207</v>
      </c>
      <c r="G379" s="264" t="s">
        <v>1211</v>
      </c>
      <c r="H379" s="456" t="s">
        <v>1590</v>
      </c>
      <c r="I379" s="456" t="s">
        <v>1590</v>
      </c>
      <c r="J379" s="559" t="s">
        <v>1590</v>
      </c>
      <c r="K379" s="313"/>
      <c r="L379" s="560" t="s">
        <v>1590</v>
      </c>
      <c r="M379" s="560" t="s">
        <v>1590</v>
      </c>
      <c r="N379" s="176"/>
      <c r="O379" s="561" t="s">
        <v>1590</v>
      </c>
      <c r="P379" s="176"/>
      <c r="Q379" s="562" t="s">
        <v>1590</v>
      </c>
      <c r="R379" s="562" t="s">
        <v>1590</v>
      </c>
      <c r="S379" s="563" t="s">
        <v>1590</v>
      </c>
      <c r="T379" s="562" t="s">
        <v>1590</v>
      </c>
      <c r="U379" s="563" t="s">
        <v>1590</v>
      </c>
      <c r="V379" s="562" t="s">
        <v>1590</v>
      </c>
      <c r="W379" s="360"/>
      <c r="X379" s="562" t="s">
        <v>1590</v>
      </c>
      <c r="Y379" s="562" t="s">
        <v>1590</v>
      </c>
      <c r="Z379" s="562" t="s">
        <v>1590</v>
      </c>
      <c r="AA379" s="562" t="s">
        <v>1590</v>
      </c>
      <c r="AB379" s="562" t="s">
        <v>1590</v>
      </c>
      <c r="AC379" s="562" t="s">
        <v>1590</v>
      </c>
      <c r="AD379" s="235"/>
      <c r="AE379" s="456" t="s">
        <v>1590</v>
      </c>
      <c r="AG379" s="559" t="s">
        <v>1591</v>
      </c>
      <c r="AH379" s="559" t="s">
        <v>1591</v>
      </c>
      <c r="AI379" s="559" t="s">
        <v>1591</v>
      </c>
      <c r="AJ379" s="559" t="s">
        <v>1591</v>
      </c>
      <c r="AK379" s="559" t="s">
        <v>1591</v>
      </c>
      <c r="AL379" s="559" t="s">
        <v>1591</v>
      </c>
      <c r="AM379" s="559" t="s">
        <v>1591</v>
      </c>
      <c r="AN379" s="559" t="s">
        <v>1591</v>
      </c>
      <c r="AP379" s="456" t="s">
        <v>1590</v>
      </c>
      <c r="AQ379" s="456" t="s">
        <v>1590</v>
      </c>
      <c r="AS379" s="456" t="s">
        <v>1222</v>
      </c>
      <c r="AT379" s="456" t="s">
        <v>1222</v>
      </c>
      <c r="AU379" s="456" t="s">
        <v>1222</v>
      </c>
      <c r="AV379" s="456" t="s">
        <v>1222</v>
      </c>
      <c r="AW379" s="252"/>
      <c r="AX379" s="252"/>
      <c r="AY379" s="252"/>
      <c r="AZ379" s="252"/>
      <c r="BA379" s="252"/>
      <c r="BB379" s="252"/>
      <c r="BC379" s="252"/>
      <c r="BD379" s="252"/>
    </row>
    <row r="380" spans="2:16375" ht="26.4" hidden="1">
      <c r="B380" s="811"/>
      <c r="C380" s="248" t="s">
        <v>134</v>
      </c>
      <c r="D380" s="248" t="s">
        <v>134</v>
      </c>
      <c r="E380" s="312"/>
      <c r="F380" s="962" t="s">
        <v>1000</v>
      </c>
      <c r="G380" s="244" t="s">
        <v>1569</v>
      </c>
      <c r="H380" s="963">
        <v>1</v>
      </c>
      <c r="I380" s="963" t="s">
        <v>200</v>
      </c>
      <c r="J380" s="244" t="s">
        <v>1688</v>
      </c>
      <c r="K380" s="312"/>
      <c r="L380" s="601" t="s">
        <v>134</v>
      </c>
      <c r="M380" s="580"/>
      <c r="N380" s="961"/>
      <c r="O380" s="907"/>
      <c r="P380" s="961"/>
      <c r="Q380" s="604" t="s">
        <v>134</v>
      </c>
      <c r="R380" s="580" t="s">
        <v>136</v>
      </c>
      <c r="S380" s="605"/>
      <c r="T380" s="616"/>
      <c r="U380" s="605"/>
      <c r="V380" s="616"/>
      <c r="W380" s="312"/>
      <c r="X380" s="254"/>
      <c r="Y380" s="256"/>
      <c r="Z380" s="253"/>
      <c r="AA380" s="255"/>
      <c r="AB380" s="256"/>
      <c r="AC380" s="253"/>
      <c r="AE380" s="242" t="str">
        <f t="shared" ref="AE380:AE386" si="61">IF(AM380&lt;&gt;"",
       "0x" &amp; AI380 &amp;" ~ 0x" &amp; AJ380 &amp; " (" &amp; AK380 &amp;"~" &amp; AL380 &amp; AM380 &amp; ")","")&amp;IF(AN380&lt;&gt;"",IF(AM380&lt;&gt;"",CHAR(10)&amp;AN380,AN380),
       "")</f>
        <v>0x0: OFF
0x1: ON</v>
      </c>
      <c r="AF380" s="312"/>
      <c r="AG380" s="969"/>
      <c r="AH380" s="970"/>
      <c r="AI380" s="1022" t="s">
        <v>764</v>
      </c>
      <c r="AJ380" s="971" t="s">
        <v>281</v>
      </c>
      <c r="AK380" s="1025">
        <f t="shared" ref="AK380" si="62">HEX2DEC(AI380)*AH380+AG380</f>
        <v>0</v>
      </c>
      <c r="AL380" s="972">
        <f t="shared" ref="AL380" si="63">HEX2DEC(AJ380)*AH380+AG380</f>
        <v>0</v>
      </c>
      <c r="AM380" s="968"/>
      <c r="AN380" s="973" t="s">
        <v>771</v>
      </c>
      <c r="AP380" s="974" t="s">
        <v>855</v>
      </c>
      <c r="AQ380" s="974" t="s">
        <v>337</v>
      </c>
      <c r="AS380" s="593"/>
      <c r="AT380" s="593" t="s">
        <v>1364</v>
      </c>
      <c r="AU380" s="619"/>
      <c r="AV380" s="619" t="s">
        <v>1366</v>
      </c>
      <c r="AW380" s="252"/>
      <c r="AX380" s="252"/>
      <c r="AY380" s="252"/>
      <c r="AZ380" s="252"/>
      <c r="BA380" s="252"/>
      <c r="BB380" s="252"/>
      <c r="BC380" s="252"/>
      <c r="BD380" s="252"/>
      <c r="BE380" s="252"/>
      <c r="BF380" s="252"/>
      <c r="BG380" s="252"/>
      <c r="BH380" s="252"/>
      <c r="BI380" s="252"/>
      <c r="BJ380" s="252"/>
      <c r="BK380" s="252"/>
      <c r="BL380" s="252"/>
      <c r="BM380" s="252"/>
      <c r="BN380" s="252"/>
      <c r="BO380" s="252"/>
      <c r="BP380" s="252"/>
      <c r="BQ380" s="252"/>
      <c r="BR380" s="252"/>
      <c r="BS380" s="252"/>
      <c r="BT380" s="252"/>
      <c r="BU380" s="252"/>
      <c r="BV380" s="252"/>
      <c r="BW380" s="252"/>
      <c r="BX380" s="252"/>
      <c r="BY380" s="252"/>
      <c r="BZ380" s="252"/>
      <c r="CA380" s="252"/>
      <c r="CB380" s="252"/>
      <c r="CC380" s="252"/>
      <c r="CD380" s="252"/>
      <c r="CE380" s="252"/>
      <c r="CF380" s="252"/>
      <c r="CG380" s="252"/>
      <c r="CH380" s="252"/>
      <c r="CI380" s="252"/>
      <c r="CJ380" s="252"/>
      <c r="CK380" s="252"/>
      <c r="CL380" s="252"/>
      <c r="CM380" s="252"/>
      <c r="CN380" s="252"/>
      <c r="CO380" s="252"/>
      <c r="CP380" s="252"/>
      <c r="CQ380" s="252"/>
      <c r="CR380" s="252"/>
      <c r="CS380" s="252"/>
      <c r="CT380" s="252"/>
      <c r="CU380" s="252"/>
      <c r="CV380" s="252"/>
      <c r="CW380" s="252"/>
      <c r="CX380" s="252"/>
      <c r="CY380" s="252"/>
      <c r="CZ380" s="252"/>
      <c r="DA380" s="252"/>
      <c r="DB380" s="252"/>
      <c r="DC380" s="252"/>
      <c r="DD380" s="252"/>
      <c r="DE380" s="252"/>
      <c r="DF380" s="252"/>
      <c r="DG380" s="252"/>
      <c r="DH380" s="252"/>
      <c r="DI380" s="252"/>
      <c r="DJ380" s="252"/>
      <c r="DK380" s="252"/>
      <c r="DL380" s="252"/>
      <c r="DM380" s="252"/>
      <c r="DN380" s="252"/>
      <c r="DO380" s="252"/>
      <c r="DP380" s="252"/>
      <c r="DQ380" s="252"/>
      <c r="DR380" s="252"/>
      <c r="DS380" s="252"/>
      <c r="DT380" s="252"/>
      <c r="DU380" s="252"/>
      <c r="DV380" s="252"/>
      <c r="DW380" s="252"/>
      <c r="DX380" s="252"/>
      <c r="DY380" s="252"/>
      <c r="DZ380" s="252"/>
      <c r="EA380" s="252"/>
      <c r="EB380" s="252"/>
      <c r="EC380" s="252"/>
      <c r="ED380" s="252"/>
      <c r="EE380" s="252"/>
      <c r="EF380" s="252"/>
      <c r="EG380" s="252"/>
      <c r="EH380" s="252"/>
      <c r="EI380" s="252"/>
      <c r="EJ380" s="252"/>
      <c r="EK380" s="252"/>
      <c r="EL380" s="252"/>
      <c r="EM380" s="252"/>
      <c r="EN380" s="252"/>
      <c r="EO380" s="252"/>
      <c r="EP380" s="252"/>
      <c r="EQ380" s="252"/>
      <c r="ER380" s="252"/>
      <c r="ES380" s="252"/>
      <c r="ET380" s="252"/>
      <c r="EU380" s="252"/>
      <c r="EV380" s="252"/>
      <c r="EW380" s="252"/>
      <c r="EX380" s="252"/>
      <c r="EY380" s="252"/>
      <c r="EZ380" s="252"/>
      <c r="FA380" s="252"/>
      <c r="FB380" s="252"/>
      <c r="FC380" s="252"/>
      <c r="FD380" s="252"/>
      <c r="FE380" s="252"/>
      <c r="FF380" s="252"/>
      <c r="FG380" s="252"/>
      <c r="FH380" s="252"/>
      <c r="FI380" s="252"/>
      <c r="FJ380" s="252"/>
      <c r="FK380" s="252"/>
      <c r="FL380" s="252"/>
      <c r="FM380" s="252"/>
      <c r="FN380" s="252"/>
      <c r="FO380" s="252"/>
      <c r="FP380" s="252"/>
      <c r="FQ380" s="252"/>
      <c r="FR380" s="252"/>
      <c r="FS380" s="252"/>
      <c r="FT380" s="252"/>
      <c r="FU380" s="252"/>
      <c r="FV380" s="252"/>
      <c r="FW380" s="252"/>
      <c r="FX380" s="252"/>
      <c r="FY380" s="252"/>
      <c r="FZ380" s="252"/>
      <c r="GA380" s="252"/>
      <c r="GB380" s="252"/>
      <c r="GC380" s="252"/>
      <c r="GD380" s="252"/>
      <c r="GE380" s="252"/>
      <c r="GF380" s="252"/>
      <c r="GG380" s="252"/>
      <c r="GH380" s="252"/>
      <c r="GI380" s="252"/>
      <c r="GJ380" s="252"/>
      <c r="GK380" s="252"/>
      <c r="GL380" s="252"/>
      <c r="GM380" s="252"/>
      <c r="GN380" s="252"/>
      <c r="GO380" s="252"/>
      <c r="GP380" s="252"/>
      <c r="GQ380" s="252"/>
      <c r="GR380" s="252"/>
      <c r="GS380" s="252"/>
      <c r="GT380" s="252"/>
      <c r="GU380" s="252"/>
      <c r="GV380" s="252"/>
      <c r="GW380" s="252"/>
      <c r="GX380" s="252"/>
      <c r="GY380" s="252"/>
      <c r="GZ380" s="252"/>
      <c r="HA380" s="252"/>
      <c r="HB380" s="252"/>
      <c r="HC380" s="252"/>
      <c r="HD380" s="252"/>
      <c r="HE380" s="252"/>
      <c r="HF380" s="252"/>
      <c r="HG380" s="252"/>
      <c r="HH380" s="252"/>
      <c r="HI380" s="252"/>
      <c r="HJ380" s="252"/>
      <c r="HK380" s="252"/>
      <c r="HL380" s="252"/>
      <c r="HM380" s="252"/>
      <c r="HN380" s="252"/>
      <c r="HO380" s="252"/>
      <c r="HP380" s="252"/>
      <c r="HQ380" s="252"/>
      <c r="HR380" s="252"/>
      <c r="HS380" s="252"/>
      <c r="HT380" s="252"/>
      <c r="HU380" s="252"/>
      <c r="HV380" s="252"/>
      <c r="HW380" s="252"/>
      <c r="HX380" s="252"/>
      <c r="HY380" s="252"/>
      <c r="HZ380" s="252"/>
      <c r="IA380" s="252"/>
      <c r="IB380" s="252"/>
      <c r="IC380" s="252"/>
      <c r="ID380" s="252"/>
      <c r="IE380" s="252"/>
      <c r="IF380" s="252"/>
      <c r="IG380" s="252"/>
      <c r="IH380" s="252"/>
      <c r="II380" s="252"/>
      <c r="IJ380" s="252"/>
      <c r="IK380" s="252"/>
      <c r="IL380" s="252"/>
      <c r="IM380" s="252"/>
      <c r="IN380" s="252"/>
      <c r="IO380" s="252"/>
      <c r="IP380" s="252"/>
      <c r="IQ380" s="252"/>
      <c r="IR380" s="252"/>
      <c r="IS380" s="252"/>
      <c r="IT380" s="252"/>
      <c r="IU380" s="252"/>
      <c r="IV380" s="252"/>
      <c r="IW380" s="252"/>
      <c r="IX380" s="252"/>
      <c r="IY380" s="252"/>
      <c r="IZ380" s="252"/>
      <c r="JA380" s="252"/>
      <c r="JB380" s="252"/>
      <c r="JC380" s="252"/>
      <c r="JD380" s="252"/>
      <c r="JE380" s="252"/>
      <c r="JF380" s="252"/>
      <c r="JG380" s="252"/>
      <c r="JH380" s="252"/>
      <c r="JI380" s="252"/>
      <c r="JJ380" s="252"/>
      <c r="JK380" s="252"/>
      <c r="JL380" s="252"/>
      <c r="JM380" s="252"/>
      <c r="JN380" s="252"/>
      <c r="JO380" s="252"/>
      <c r="JP380" s="252"/>
      <c r="JQ380" s="252"/>
      <c r="JR380" s="252"/>
      <c r="JS380" s="252"/>
      <c r="JT380" s="252"/>
      <c r="JU380" s="252"/>
      <c r="JV380" s="252"/>
      <c r="JW380" s="252"/>
      <c r="JX380" s="252"/>
      <c r="JY380" s="252"/>
      <c r="JZ380" s="252"/>
      <c r="KA380" s="252"/>
      <c r="KB380" s="252"/>
      <c r="KC380" s="252"/>
      <c r="KD380" s="252"/>
      <c r="KE380" s="252"/>
      <c r="KF380" s="252"/>
      <c r="KG380" s="252"/>
      <c r="KH380" s="252"/>
      <c r="KI380" s="252"/>
      <c r="KJ380" s="252"/>
      <c r="KK380" s="252"/>
      <c r="KL380" s="252"/>
      <c r="KM380" s="252"/>
      <c r="KN380" s="252"/>
      <c r="KO380" s="252"/>
      <c r="KP380" s="252"/>
      <c r="KQ380" s="252"/>
      <c r="KR380" s="252"/>
      <c r="KS380" s="252"/>
      <c r="KT380" s="252"/>
      <c r="KU380" s="252"/>
      <c r="KV380" s="252"/>
      <c r="KW380" s="252"/>
      <c r="KX380" s="252"/>
      <c r="KY380" s="252"/>
      <c r="KZ380" s="252"/>
      <c r="LA380" s="252"/>
      <c r="LB380" s="252"/>
      <c r="LC380" s="252"/>
      <c r="LD380" s="252"/>
      <c r="LE380" s="252"/>
      <c r="LF380" s="252"/>
      <c r="LG380" s="252"/>
      <c r="LH380" s="252"/>
      <c r="LI380" s="252"/>
      <c r="LJ380" s="252"/>
      <c r="LK380" s="252"/>
      <c r="LL380" s="252"/>
      <c r="LM380" s="252"/>
      <c r="LN380" s="252"/>
      <c r="LO380" s="252"/>
      <c r="LP380" s="252"/>
      <c r="LQ380" s="252"/>
      <c r="LR380" s="252"/>
      <c r="LS380" s="252"/>
      <c r="LT380" s="252"/>
      <c r="LU380" s="252"/>
      <c r="LV380" s="252"/>
      <c r="LW380" s="252"/>
      <c r="LX380" s="252"/>
      <c r="LY380" s="252"/>
      <c r="LZ380" s="252"/>
      <c r="MA380" s="252"/>
      <c r="MB380" s="252"/>
      <c r="MC380" s="252"/>
      <c r="MD380" s="252"/>
      <c r="ME380" s="252"/>
      <c r="MF380" s="252"/>
      <c r="MG380" s="252"/>
      <c r="MH380" s="252"/>
      <c r="MI380" s="252"/>
      <c r="MJ380" s="252"/>
      <c r="MK380" s="252"/>
      <c r="ML380" s="252"/>
      <c r="MM380" s="252"/>
      <c r="MN380" s="252"/>
      <c r="MO380" s="252"/>
      <c r="MP380" s="252"/>
      <c r="MQ380" s="252"/>
      <c r="MR380" s="252"/>
      <c r="MS380" s="252"/>
      <c r="MT380" s="252"/>
      <c r="MU380" s="252"/>
      <c r="MV380" s="252"/>
      <c r="MW380" s="252"/>
      <c r="MX380" s="252"/>
      <c r="MY380" s="252"/>
      <c r="MZ380" s="252"/>
      <c r="NA380" s="252"/>
      <c r="NB380" s="252"/>
      <c r="NC380" s="252"/>
      <c r="ND380" s="252"/>
      <c r="NE380" s="252"/>
      <c r="NF380" s="252"/>
      <c r="NG380" s="252"/>
      <c r="NH380" s="252"/>
      <c r="NI380" s="252"/>
      <c r="NJ380" s="252"/>
      <c r="NK380" s="252"/>
      <c r="NL380" s="252"/>
      <c r="NM380" s="252"/>
      <c r="NN380" s="252"/>
      <c r="NO380" s="252"/>
      <c r="NP380" s="252"/>
      <c r="NQ380" s="252"/>
      <c r="NR380" s="252"/>
      <c r="NS380" s="252"/>
      <c r="NT380" s="252"/>
      <c r="NU380" s="252"/>
      <c r="NV380" s="252"/>
      <c r="NW380" s="252"/>
      <c r="NX380" s="252"/>
      <c r="NY380" s="252"/>
      <c r="NZ380" s="252"/>
      <c r="OA380" s="252"/>
      <c r="OB380" s="252"/>
      <c r="OC380" s="252"/>
      <c r="OD380" s="252"/>
      <c r="OE380" s="252"/>
      <c r="OF380" s="252"/>
      <c r="OG380" s="252"/>
      <c r="OH380" s="252"/>
      <c r="OI380" s="252"/>
      <c r="OJ380" s="252"/>
      <c r="OK380" s="252"/>
      <c r="OL380" s="252"/>
      <c r="OM380" s="252"/>
      <c r="ON380" s="252"/>
      <c r="OO380" s="252"/>
      <c r="OP380" s="252"/>
      <c r="OQ380" s="252"/>
      <c r="OR380" s="252"/>
      <c r="OS380" s="252"/>
      <c r="OT380" s="252"/>
      <c r="OU380" s="252"/>
      <c r="OV380" s="252"/>
      <c r="OW380" s="252"/>
      <c r="OX380" s="252"/>
      <c r="OY380" s="252"/>
      <c r="OZ380" s="252"/>
      <c r="PA380" s="252"/>
      <c r="PB380" s="252"/>
      <c r="PC380" s="252"/>
      <c r="PD380" s="252"/>
      <c r="PE380" s="252"/>
      <c r="PF380" s="252"/>
      <c r="PG380" s="252"/>
      <c r="PH380" s="252"/>
      <c r="PI380" s="252"/>
      <c r="PJ380" s="252"/>
      <c r="PK380" s="252"/>
      <c r="PL380" s="252"/>
      <c r="PM380" s="252"/>
      <c r="PN380" s="252"/>
      <c r="PO380" s="252"/>
      <c r="PP380" s="252"/>
      <c r="PQ380" s="252"/>
      <c r="PR380" s="252"/>
      <c r="PS380" s="252"/>
      <c r="PT380" s="252"/>
      <c r="PU380" s="252"/>
      <c r="PV380" s="252"/>
      <c r="PW380" s="252"/>
      <c r="PX380" s="252"/>
      <c r="PY380" s="252"/>
      <c r="PZ380" s="252"/>
      <c r="QA380" s="252"/>
      <c r="QB380" s="252"/>
      <c r="QC380" s="252"/>
      <c r="QD380" s="252"/>
      <c r="QE380" s="252"/>
      <c r="QF380" s="252"/>
      <c r="QG380" s="252"/>
      <c r="QH380" s="252"/>
      <c r="QI380" s="252"/>
      <c r="QJ380" s="252"/>
      <c r="QK380" s="252"/>
      <c r="QL380" s="252"/>
      <c r="QM380" s="252"/>
      <c r="QN380" s="252"/>
      <c r="QO380" s="252"/>
      <c r="QP380" s="252"/>
      <c r="QQ380" s="252"/>
      <c r="QR380" s="252"/>
      <c r="QS380" s="252"/>
      <c r="QT380" s="252"/>
      <c r="QU380" s="252"/>
      <c r="QV380" s="252"/>
      <c r="QW380" s="252"/>
      <c r="QX380" s="252"/>
      <c r="QY380" s="252"/>
      <c r="QZ380" s="252"/>
      <c r="RA380" s="252"/>
      <c r="RB380" s="252"/>
      <c r="RC380" s="252"/>
      <c r="RD380" s="252"/>
      <c r="RE380" s="252"/>
      <c r="RF380" s="252"/>
      <c r="RG380" s="252"/>
      <c r="RH380" s="252"/>
      <c r="RI380" s="252"/>
      <c r="RJ380" s="252"/>
      <c r="RK380" s="252"/>
      <c r="RL380" s="252"/>
      <c r="RM380" s="252"/>
      <c r="RN380" s="252"/>
      <c r="RO380" s="252"/>
      <c r="RP380" s="252"/>
      <c r="RQ380" s="252"/>
      <c r="RR380" s="252"/>
      <c r="RS380" s="252"/>
      <c r="RT380" s="252"/>
      <c r="RU380" s="252"/>
      <c r="RV380" s="252"/>
      <c r="RW380" s="252"/>
      <c r="RX380" s="252"/>
      <c r="RY380" s="252"/>
      <c r="RZ380" s="252"/>
      <c r="SA380" s="252"/>
      <c r="SB380" s="252"/>
      <c r="SC380" s="252"/>
      <c r="SD380" s="252"/>
      <c r="SE380" s="252"/>
      <c r="SF380" s="252"/>
      <c r="SG380" s="252"/>
      <c r="SH380" s="252"/>
      <c r="SI380" s="252"/>
      <c r="SJ380" s="252"/>
      <c r="SK380" s="252"/>
      <c r="SL380" s="252"/>
      <c r="SM380" s="252"/>
      <c r="SN380" s="252"/>
      <c r="SO380" s="252"/>
      <c r="SP380" s="252"/>
      <c r="SQ380" s="252"/>
      <c r="SR380" s="252"/>
      <c r="SS380" s="252"/>
      <c r="ST380" s="252"/>
      <c r="SU380" s="252"/>
      <c r="SV380" s="252"/>
      <c r="SW380" s="252"/>
      <c r="SX380" s="252"/>
      <c r="SY380" s="252"/>
      <c r="SZ380" s="252"/>
      <c r="TA380" s="252"/>
      <c r="TB380" s="252"/>
      <c r="TC380" s="252"/>
      <c r="TD380" s="252"/>
      <c r="TE380" s="252"/>
      <c r="TF380" s="252"/>
      <c r="TG380" s="252"/>
      <c r="TH380" s="252"/>
      <c r="TI380" s="252"/>
      <c r="TJ380" s="252"/>
      <c r="TK380" s="252"/>
      <c r="TL380" s="252"/>
      <c r="TM380" s="252"/>
      <c r="TN380" s="252"/>
      <c r="TO380" s="252"/>
      <c r="TP380" s="252"/>
      <c r="TQ380" s="252"/>
      <c r="TR380" s="252"/>
      <c r="TS380" s="252"/>
      <c r="TT380" s="252"/>
      <c r="TU380" s="252"/>
      <c r="TV380" s="252"/>
      <c r="TW380" s="252"/>
      <c r="TX380" s="252"/>
      <c r="TY380" s="252"/>
      <c r="TZ380" s="252"/>
      <c r="UA380" s="252"/>
      <c r="UB380" s="252"/>
      <c r="UC380" s="252"/>
      <c r="UD380" s="252"/>
      <c r="UE380" s="252"/>
      <c r="UF380" s="252"/>
      <c r="UG380" s="252"/>
      <c r="UH380" s="252"/>
      <c r="UI380" s="252"/>
      <c r="UJ380" s="252"/>
      <c r="UK380" s="252"/>
      <c r="UL380" s="252"/>
      <c r="UM380" s="252"/>
      <c r="UN380" s="252"/>
      <c r="UO380" s="252"/>
      <c r="UP380" s="252"/>
      <c r="UQ380" s="252"/>
      <c r="UR380" s="252"/>
      <c r="US380" s="252"/>
      <c r="UT380" s="252"/>
      <c r="UU380" s="252"/>
      <c r="UV380" s="252"/>
      <c r="UW380" s="252"/>
      <c r="UX380" s="252"/>
      <c r="UY380" s="252"/>
      <c r="UZ380" s="252"/>
      <c r="VA380" s="252"/>
      <c r="VB380" s="252"/>
      <c r="VC380" s="252"/>
      <c r="VD380" s="252"/>
      <c r="VE380" s="252"/>
      <c r="VF380" s="252"/>
      <c r="VG380" s="252"/>
      <c r="VH380" s="252"/>
      <c r="VI380" s="252"/>
      <c r="VJ380" s="252"/>
      <c r="VK380" s="252"/>
      <c r="VL380" s="252"/>
      <c r="VM380" s="252"/>
      <c r="VN380" s="252"/>
      <c r="VO380" s="252"/>
      <c r="VP380" s="252"/>
      <c r="VQ380" s="252"/>
      <c r="VR380" s="252"/>
      <c r="VS380" s="252"/>
      <c r="VT380" s="252"/>
      <c r="VU380" s="252"/>
      <c r="VV380" s="252"/>
      <c r="VW380" s="252"/>
      <c r="VX380" s="252"/>
      <c r="VY380" s="252"/>
      <c r="VZ380" s="252"/>
      <c r="WA380" s="252"/>
      <c r="WB380" s="252"/>
      <c r="WC380" s="252"/>
      <c r="WD380" s="252"/>
      <c r="WE380" s="252"/>
      <c r="WF380" s="252"/>
      <c r="WG380" s="252"/>
      <c r="WH380" s="252"/>
      <c r="WI380" s="252"/>
      <c r="WJ380" s="252"/>
      <c r="WK380" s="252"/>
      <c r="WL380" s="252"/>
      <c r="WM380" s="252"/>
      <c r="WN380" s="252"/>
      <c r="WO380" s="252"/>
      <c r="WP380" s="252"/>
      <c r="WQ380" s="252"/>
      <c r="WR380" s="252"/>
      <c r="WS380" s="252"/>
      <c r="WT380" s="252"/>
      <c r="WU380" s="252"/>
      <c r="WV380" s="252"/>
      <c r="WW380" s="252"/>
      <c r="WX380" s="252"/>
      <c r="WY380" s="252"/>
      <c r="WZ380" s="252"/>
      <c r="XA380" s="252"/>
      <c r="XB380" s="252"/>
      <c r="XC380" s="252"/>
      <c r="XD380" s="252"/>
      <c r="XE380" s="252"/>
      <c r="XF380" s="252"/>
      <c r="XG380" s="252"/>
      <c r="XH380" s="252"/>
      <c r="XI380" s="252"/>
      <c r="XJ380" s="252"/>
      <c r="XK380" s="252"/>
      <c r="XL380" s="252"/>
      <c r="XM380" s="252"/>
      <c r="XN380" s="252"/>
      <c r="XO380" s="252"/>
      <c r="XP380" s="252"/>
      <c r="XQ380" s="252"/>
      <c r="XR380" s="252"/>
      <c r="XS380" s="252"/>
      <c r="XT380" s="252"/>
      <c r="XU380" s="252"/>
      <c r="XV380" s="252"/>
      <c r="XW380" s="252"/>
      <c r="XX380" s="252"/>
      <c r="XY380" s="252"/>
      <c r="XZ380" s="252"/>
      <c r="YA380" s="252"/>
      <c r="YB380" s="252"/>
      <c r="YC380" s="252"/>
      <c r="YD380" s="252"/>
      <c r="YE380" s="252"/>
      <c r="YF380" s="252"/>
      <c r="YG380" s="252"/>
      <c r="YH380" s="252"/>
      <c r="YI380" s="252"/>
      <c r="YJ380" s="252"/>
      <c r="YK380" s="252"/>
      <c r="YL380" s="252"/>
      <c r="YM380" s="252"/>
      <c r="YN380" s="252"/>
      <c r="YO380" s="252"/>
      <c r="YP380" s="252"/>
      <c r="YQ380" s="252"/>
      <c r="YR380" s="252"/>
      <c r="YS380" s="252"/>
      <c r="YT380" s="252"/>
      <c r="YU380" s="252"/>
      <c r="YV380" s="252"/>
      <c r="YW380" s="252"/>
      <c r="YX380" s="252"/>
      <c r="YY380" s="252"/>
      <c r="YZ380" s="252"/>
      <c r="ZA380" s="252"/>
      <c r="ZB380" s="252"/>
      <c r="ZC380" s="252"/>
      <c r="ZD380" s="252"/>
      <c r="ZE380" s="252"/>
      <c r="ZF380" s="252"/>
      <c r="ZG380" s="252"/>
      <c r="ZH380" s="252"/>
      <c r="ZI380" s="252"/>
      <c r="ZJ380" s="252"/>
      <c r="ZK380" s="252"/>
      <c r="ZL380" s="252"/>
      <c r="ZM380" s="252"/>
      <c r="ZN380" s="252"/>
      <c r="ZO380" s="252"/>
      <c r="ZP380" s="252"/>
      <c r="ZQ380" s="252"/>
      <c r="ZR380" s="252"/>
      <c r="ZS380" s="252"/>
      <c r="ZT380" s="252"/>
      <c r="ZU380" s="252"/>
      <c r="ZV380" s="252"/>
      <c r="ZW380" s="252"/>
      <c r="ZX380" s="252"/>
      <c r="ZY380" s="252"/>
      <c r="ZZ380" s="252"/>
      <c r="AAA380" s="252"/>
      <c r="AAB380" s="252"/>
      <c r="AAC380" s="252"/>
      <c r="AAD380" s="252"/>
      <c r="AAE380" s="252"/>
      <c r="AAF380" s="252"/>
      <c r="AAG380" s="252"/>
      <c r="AAH380" s="252"/>
      <c r="AAI380" s="252"/>
      <c r="AAJ380" s="252"/>
      <c r="AAK380" s="252"/>
      <c r="AAL380" s="252"/>
      <c r="AAM380" s="252"/>
      <c r="AAN380" s="252"/>
      <c r="AAO380" s="252"/>
      <c r="AAP380" s="252"/>
      <c r="AAQ380" s="252"/>
      <c r="AAR380" s="252"/>
      <c r="AAS380" s="252"/>
      <c r="AAT380" s="252"/>
      <c r="AAU380" s="252"/>
      <c r="AAV380" s="252"/>
      <c r="AAW380" s="252"/>
      <c r="AAX380" s="252"/>
      <c r="AAY380" s="252"/>
      <c r="AAZ380" s="252"/>
      <c r="ABA380" s="252"/>
      <c r="ABB380" s="252"/>
      <c r="ABC380" s="252"/>
      <c r="ABD380" s="252"/>
      <c r="ABE380" s="252"/>
      <c r="ABF380" s="252"/>
      <c r="ABG380" s="252"/>
      <c r="ABH380" s="252"/>
      <c r="ABI380" s="252"/>
      <c r="ABJ380" s="252"/>
      <c r="ABK380" s="252"/>
      <c r="ABL380" s="252"/>
      <c r="ABM380" s="252"/>
      <c r="ABN380" s="252"/>
      <c r="ABO380" s="252"/>
      <c r="ABP380" s="252"/>
      <c r="ABQ380" s="252"/>
      <c r="ABR380" s="252"/>
      <c r="ABS380" s="252"/>
      <c r="ABT380" s="252"/>
      <c r="ABU380" s="252"/>
      <c r="ABV380" s="252"/>
      <c r="ABW380" s="252"/>
      <c r="ABX380" s="252"/>
      <c r="ABY380" s="252"/>
      <c r="ABZ380" s="252"/>
      <c r="ACA380" s="252"/>
      <c r="ACB380" s="252"/>
      <c r="ACC380" s="252"/>
      <c r="ACD380" s="252"/>
      <c r="ACE380" s="252"/>
      <c r="ACF380" s="252"/>
      <c r="ACG380" s="252"/>
      <c r="ACH380" s="252"/>
      <c r="ACI380" s="252"/>
      <c r="ACJ380" s="252"/>
      <c r="ACK380" s="252"/>
      <c r="ACL380" s="252"/>
      <c r="ACM380" s="252"/>
      <c r="ACN380" s="252"/>
      <c r="ACO380" s="252"/>
      <c r="ACP380" s="252"/>
      <c r="ACQ380" s="252"/>
      <c r="ACR380" s="252"/>
      <c r="ACS380" s="252"/>
      <c r="ACT380" s="252"/>
      <c r="ACU380" s="252"/>
      <c r="ACV380" s="252"/>
      <c r="ACW380" s="252"/>
      <c r="ACX380" s="252"/>
      <c r="ACY380" s="252"/>
      <c r="ACZ380" s="252"/>
      <c r="ADA380" s="252"/>
      <c r="ADB380" s="252"/>
      <c r="ADC380" s="252"/>
      <c r="ADD380" s="252"/>
      <c r="ADE380" s="252"/>
      <c r="ADF380" s="252"/>
      <c r="ADG380" s="252"/>
      <c r="ADH380" s="252"/>
      <c r="ADI380" s="252"/>
      <c r="ADJ380" s="252"/>
      <c r="ADK380" s="252"/>
      <c r="ADL380" s="252"/>
      <c r="ADM380" s="252"/>
      <c r="ADN380" s="252"/>
      <c r="ADO380" s="252"/>
      <c r="ADP380" s="252"/>
      <c r="ADQ380" s="252"/>
      <c r="ADR380" s="252"/>
      <c r="ADS380" s="252"/>
      <c r="ADT380" s="252"/>
      <c r="ADU380" s="252"/>
      <c r="ADV380" s="252"/>
      <c r="ADW380" s="252"/>
      <c r="ADX380" s="252"/>
      <c r="ADY380" s="252"/>
      <c r="ADZ380" s="252"/>
      <c r="AEA380" s="252"/>
      <c r="AEB380" s="252"/>
      <c r="AEC380" s="252"/>
      <c r="AED380" s="252"/>
      <c r="AEE380" s="252"/>
      <c r="AEF380" s="252"/>
      <c r="AEG380" s="252"/>
      <c r="AEH380" s="252"/>
      <c r="AEI380" s="252"/>
      <c r="AEJ380" s="252"/>
      <c r="AEK380" s="252"/>
      <c r="AEL380" s="252"/>
      <c r="AEM380" s="252"/>
      <c r="AEN380" s="252"/>
      <c r="AEO380" s="252"/>
      <c r="AEP380" s="252"/>
      <c r="AEQ380" s="252"/>
      <c r="AER380" s="252"/>
      <c r="AES380" s="252"/>
      <c r="AET380" s="252"/>
      <c r="AEU380" s="252"/>
      <c r="AEV380" s="252"/>
      <c r="AEW380" s="252"/>
      <c r="AEX380" s="252"/>
      <c r="AEY380" s="252"/>
      <c r="AEZ380" s="252"/>
      <c r="AFA380" s="252"/>
      <c r="AFB380" s="252"/>
      <c r="AFC380" s="252"/>
      <c r="AFD380" s="252"/>
      <c r="AFE380" s="252"/>
      <c r="AFF380" s="252"/>
      <c r="AFG380" s="252"/>
      <c r="AFH380" s="252"/>
      <c r="AFI380" s="252"/>
      <c r="AFJ380" s="252"/>
      <c r="AFK380" s="252"/>
      <c r="AFL380" s="252"/>
      <c r="AFM380" s="252"/>
      <c r="AFN380" s="252"/>
      <c r="AFO380" s="252"/>
      <c r="AFP380" s="252"/>
      <c r="AFQ380" s="252"/>
      <c r="AFR380" s="252"/>
      <c r="AFS380" s="252"/>
      <c r="AFT380" s="252"/>
      <c r="AFU380" s="252"/>
      <c r="AFV380" s="252"/>
      <c r="AFW380" s="252"/>
      <c r="AFX380" s="252"/>
      <c r="AFY380" s="252"/>
      <c r="AFZ380" s="252"/>
      <c r="AGA380" s="252"/>
      <c r="AGB380" s="252"/>
      <c r="AGC380" s="252"/>
      <c r="AGD380" s="252"/>
      <c r="AGE380" s="252"/>
      <c r="AGF380" s="252"/>
      <c r="AGG380" s="252"/>
      <c r="AGH380" s="252"/>
      <c r="AGI380" s="252"/>
      <c r="AGJ380" s="252"/>
      <c r="AGK380" s="252"/>
      <c r="AGL380" s="252"/>
      <c r="AGM380" s="252"/>
      <c r="AGN380" s="252"/>
      <c r="AGO380" s="252"/>
      <c r="AGP380" s="252"/>
      <c r="AGQ380" s="252"/>
      <c r="AGR380" s="252"/>
      <c r="AGS380" s="252"/>
      <c r="AGT380" s="252"/>
      <c r="AGU380" s="252"/>
      <c r="AGV380" s="252"/>
      <c r="AGW380" s="252"/>
      <c r="AGX380" s="252"/>
      <c r="AGY380" s="252"/>
      <c r="AGZ380" s="252"/>
      <c r="AHA380" s="252"/>
      <c r="AHB380" s="252"/>
      <c r="AHC380" s="252"/>
      <c r="AHD380" s="252"/>
      <c r="AHE380" s="252"/>
      <c r="AHF380" s="252"/>
      <c r="AHG380" s="252"/>
      <c r="AHH380" s="252"/>
      <c r="AHI380" s="252"/>
      <c r="AHJ380" s="252"/>
      <c r="AHK380" s="252"/>
      <c r="AHL380" s="252"/>
      <c r="AHM380" s="252"/>
      <c r="AHN380" s="252"/>
      <c r="AHO380" s="252"/>
      <c r="AHP380" s="252"/>
      <c r="AHQ380" s="252"/>
      <c r="AHR380" s="252"/>
      <c r="AHS380" s="252"/>
      <c r="AHT380" s="252"/>
      <c r="AHU380" s="252"/>
      <c r="AHV380" s="252"/>
      <c r="AHW380" s="252"/>
      <c r="AHX380" s="252"/>
      <c r="AHY380" s="252"/>
      <c r="AHZ380" s="252"/>
      <c r="AIA380" s="252"/>
      <c r="AIB380" s="252"/>
      <c r="AIC380" s="252"/>
      <c r="AID380" s="252"/>
      <c r="AIE380" s="252"/>
      <c r="AIF380" s="252"/>
      <c r="AIG380" s="252"/>
      <c r="AIH380" s="252"/>
      <c r="AII380" s="252"/>
      <c r="AIJ380" s="252"/>
      <c r="AIK380" s="252"/>
      <c r="AIL380" s="252"/>
      <c r="AIM380" s="252"/>
      <c r="AIN380" s="252"/>
      <c r="AIO380" s="252"/>
      <c r="AIP380" s="252"/>
      <c r="AIQ380" s="252"/>
      <c r="AIR380" s="252"/>
      <c r="AIS380" s="252"/>
      <c r="AIT380" s="252"/>
      <c r="AIU380" s="252"/>
      <c r="AIV380" s="252"/>
      <c r="AIW380" s="252"/>
      <c r="AIX380" s="252"/>
      <c r="AIY380" s="252"/>
      <c r="AIZ380" s="252"/>
      <c r="AJA380" s="252"/>
      <c r="AJB380" s="252"/>
      <c r="AJC380" s="252"/>
      <c r="AJD380" s="252"/>
      <c r="AJE380" s="252"/>
      <c r="AJF380" s="252"/>
      <c r="AJG380" s="252"/>
      <c r="AJH380" s="252"/>
      <c r="AJI380" s="252"/>
      <c r="AJJ380" s="252"/>
      <c r="AJK380" s="252"/>
      <c r="AJL380" s="252"/>
      <c r="AJM380" s="252"/>
      <c r="AJN380" s="252"/>
      <c r="AJO380" s="252"/>
      <c r="AJP380" s="252"/>
      <c r="AJQ380" s="252"/>
      <c r="AJR380" s="252"/>
      <c r="AJS380" s="252"/>
      <c r="AJT380" s="252"/>
      <c r="AJU380" s="252"/>
      <c r="AJV380" s="252"/>
      <c r="AJW380" s="252"/>
      <c r="AJX380" s="252"/>
      <c r="AJY380" s="252"/>
      <c r="AJZ380" s="252"/>
      <c r="AKA380" s="252"/>
      <c r="AKB380" s="252"/>
      <c r="AKC380" s="252"/>
      <c r="AKD380" s="252"/>
      <c r="AKE380" s="252"/>
      <c r="AKF380" s="252"/>
      <c r="AKG380" s="252"/>
      <c r="AKH380" s="252"/>
      <c r="AKI380" s="252"/>
      <c r="AKJ380" s="252"/>
      <c r="AKK380" s="252"/>
      <c r="AKL380" s="252"/>
      <c r="AKM380" s="252"/>
      <c r="AKN380" s="252"/>
      <c r="AKO380" s="252"/>
      <c r="AKP380" s="252"/>
      <c r="AKQ380" s="252"/>
      <c r="AKR380" s="252"/>
      <c r="AKS380" s="252"/>
      <c r="AKT380" s="252"/>
      <c r="AKU380" s="252"/>
      <c r="AKV380" s="252"/>
      <c r="AKW380" s="252"/>
      <c r="AKX380" s="252"/>
      <c r="AKY380" s="252"/>
      <c r="AKZ380" s="252"/>
      <c r="ALA380" s="252"/>
      <c r="ALB380" s="252"/>
      <c r="ALC380" s="252"/>
      <c r="ALD380" s="252"/>
      <c r="ALE380" s="252"/>
      <c r="ALF380" s="252"/>
      <c r="ALG380" s="252"/>
      <c r="ALH380" s="252"/>
      <c r="ALI380" s="252"/>
      <c r="ALJ380" s="252"/>
      <c r="ALK380" s="252"/>
      <c r="ALL380" s="252"/>
      <c r="ALM380" s="252"/>
      <c r="ALN380" s="252"/>
      <c r="ALO380" s="252"/>
      <c r="ALP380" s="252"/>
      <c r="ALQ380" s="252"/>
      <c r="ALR380" s="252"/>
      <c r="ALS380" s="252"/>
      <c r="ALT380" s="252"/>
      <c r="ALU380" s="252"/>
      <c r="ALV380" s="252"/>
      <c r="ALW380" s="252"/>
      <c r="ALX380" s="252"/>
      <c r="ALY380" s="252"/>
      <c r="ALZ380" s="252"/>
      <c r="AMA380" s="252"/>
      <c r="AMB380" s="252"/>
      <c r="AMC380" s="252"/>
      <c r="AMD380" s="252"/>
      <c r="AME380" s="252"/>
      <c r="AMF380" s="252"/>
      <c r="AMG380" s="252"/>
      <c r="AMH380" s="252"/>
      <c r="AMI380" s="252"/>
      <c r="AMJ380" s="252"/>
      <c r="AMK380" s="252"/>
      <c r="AML380" s="252"/>
      <c r="AMM380" s="252"/>
      <c r="AMN380" s="252"/>
      <c r="AMO380" s="252"/>
      <c r="AMP380" s="252"/>
      <c r="AMQ380" s="252"/>
      <c r="AMR380" s="252"/>
      <c r="AMS380" s="252"/>
      <c r="AMT380" s="252"/>
      <c r="AMU380" s="252"/>
      <c r="AMV380" s="252"/>
      <c r="AMW380" s="252"/>
      <c r="AMX380" s="252"/>
      <c r="AMY380" s="252"/>
      <c r="AMZ380" s="252"/>
      <c r="ANA380" s="252"/>
      <c r="ANB380" s="252"/>
      <c r="ANC380" s="252"/>
      <c r="AND380" s="252"/>
      <c r="ANE380" s="252"/>
      <c r="ANF380" s="252"/>
      <c r="ANG380" s="252"/>
      <c r="ANH380" s="252"/>
      <c r="ANI380" s="252"/>
      <c r="ANJ380" s="252"/>
      <c r="ANK380" s="252"/>
      <c r="ANL380" s="252"/>
      <c r="ANM380" s="252"/>
      <c r="ANN380" s="252"/>
      <c r="ANO380" s="252"/>
      <c r="ANP380" s="252"/>
      <c r="ANQ380" s="252"/>
      <c r="ANR380" s="252"/>
      <c r="ANS380" s="252"/>
      <c r="ANT380" s="252"/>
      <c r="ANU380" s="252"/>
      <c r="ANV380" s="252"/>
      <c r="ANW380" s="252"/>
      <c r="ANX380" s="252"/>
      <c r="ANY380" s="252"/>
      <c r="ANZ380" s="252"/>
      <c r="AOA380" s="252"/>
      <c r="AOB380" s="252"/>
      <c r="AOC380" s="252"/>
      <c r="AOD380" s="252"/>
      <c r="AOE380" s="252"/>
      <c r="AOF380" s="252"/>
      <c r="AOG380" s="252"/>
      <c r="AOH380" s="252"/>
      <c r="AOI380" s="252"/>
      <c r="AOJ380" s="252"/>
      <c r="AOK380" s="252"/>
      <c r="AOL380" s="252"/>
      <c r="AOM380" s="252"/>
      <c r="AON380" s="252"/>
      <c r="AOO380" s="252"/>
      <c r="AOP380" s="252"/>
      <c r="AOQ380" s="252"/>
      <c r="AOR380" s="252"/>
      <c r="AOS380" s="252"/>
      <c r="AOT380" s="252"/>
      <c r="AOU380" s="252"/>
      <c r="AOV380" s="252"/>
      <c r="AOW380" s="252"/>
      <c r="AOX380" s="252"/>
      <c r="AOY380" s="252"/>
      <c r="AOZ380" s="252"/>
      <c r="APA380" s="252"/>
      <c r="APB380" s="252"/>
      <c r="APC380" s="252"/>
      <c r="APD380" s="252"/>
      <c r="APE380" s="252"/>
      <c r="APF380" s="252"/>
      <c r="APG380" s="252"/>
      <c r="APH380" s="252"/>
      <c r="API380" s="252"/>
      <c r="APJ380" s="252"/>
      <c r="APK380" s="252"/>
      <c r="APL380" s="252"/>
      <c r="APM380" s="252"/>
      <c r="APN380" s="252"/>
      <c r="APO380" s="252"/>
      <c r="APP380" s="252"/>
      <c r="APQ380" s="252"/>
      <c r="APR380" s="252"/>
      <c r="APS380" s="252"/>
      <c r="APT380" s="252"/>
      <c r="APU380" s="252"/>
      <c r="APV380" s="252"/>
      <c r="APW380" s="252"/>
      <c r="APX380" s="252"/>
      <c r="APY380" s="252"/>
      <c r="APZ380" s="252"/>
      <c r="AQA380" s="252"/>
      <c r="AQB380" s="252"/>
      <c r="AQC380" s="252"/>
      <c r="AQD380" s="252"/>
      <c r="AQE380" s="252"/>
      <c r="AQF380" s="252"/>
      <c r="AQG380" s="252"/>
      <c r="AQH380" s="252"/>
      <c r="AQI380" s="252"/>
      <c r="AQJ380" s="252"/>
      <c r="AQK380" s="252"/>
      <c r="AQL380" s="252"/>
      <c r="AQM380" s="252"/>
      <c r="AQN380" s="252"/>
      <c r="AQO380" s="252"/>
      <c r="AQP380" s="252"/>
      <c r="AQQ380" s="252"/>
      <c r="AQR380" s="252"/>
      <c r="AQS380" s="252"/>
      <c r="AQT380" s="252"/>
      <c r="AQU380" s="252"/>
      <c r="AQV380" s="252"/>
      <c r="AQW380" s="252"/>
      <c r="AQX380" s="252"/>
      <c r="AQY380" s="252"/>
      <c r="AQZ380" s="252"/>
      <c r="ARA380" s="252"/>
      <c r="ARB380" s="252"/>
      <c r="ARC380" s="252"/>
      <c r="ARD380" s="252"/>
      <c r="ARE380" s="252"/>
      <c r="ARF380" s="252"/>
      <c r="ARG380" s="252"/>
      <c r="ARH380" s="252"/>
      <c r="ARI380" s="252"/>
      <c r="ARJ380" s="252"/>
      <c r="ARK380" s="252"/>
      <c r="ARL380" s="252"/>
      <c r="ARM380" s="252"/>
      <c r="ARN380" s="252"/>
      <c r="ARO380" s="252"/>
      <c r="ARP380" s="252"/>
      <c r="ARQ380" s="252"/>
      <c r="ARR380" s="252"/>
      <c r="ARS380" s="252"/>
      <c r="ART380" s="252"/>
      <c r="ARU380" s="252"/>
      <c r="ARV380" s="252"/>
      <c r="ARW380" s="252"/>
      <c r="ARX380" s="252"/>
      <c r="ARY380" s="252"/>
      <c r="ARZ380" s="252"/>
      <c r="ASA380" s="252"/>
      <c r="ASB380" s="252"/>
      <c r="ASC380" s="252"/>
      <c r="ASD380" s="252"/>
      <c r="ASE380" s="252"/>
      <c r="ASF380" s="252"/>
      <c r="ASG380" s="252"/>
      <c r="ASH380" s="252"/>
      <c r="ASI380" s="252"/>
      <c r="ASJ380" s="252"/>
      <c r="ASK380" s="252"/>
      <c r="ASL380" s="252"/>
      <c r="ASM380" s="252"/>
      <c r="ASN380" s="252"/>
      <c r="ASO380" s="252"/>
      <c r="ASP380" s="252"/>
      <c r="ASQ380" s="252"/>
      <c r="ASR380" s="252"/>
      <c r="ASS380" s="252"/>
      <c r="AST380" s="252"/>
      <c r="ASU380" s="252"/>
      <c r="ASV380" s="252"/>
      <c r="ASW380" s="252"/>
      <c r="ASX380" s="252"/>
      <c r="ASY380" s="252"/>
      <c r="ASZ380" s="252"/>
      <c r="ATA380" s="252"/>
      <c r="ATB380" s="252"/>
      <c r="ATC380" s="252"/>
      <c r="ATD380" s="252"/>
      <c r="ATE380" s="252"/>
      <c r="ATF380" s="252"/>
      <c r="ATG380" s="252"/>
      <c r="ATH380" s="252"/>
      <c r="ATI380" s="252"/>
      <c r="ATJ380" s="252"/>
      <c r="ATK380" s="252"/>
      <c r="ATL380" s="252"/>
      <c r="ATM380" s="252"/>
      <c r="ATN380" s="252"/>
      <c r="ATO380" s="252"/>
      <c r="ATP380" s="252"/>
      <c r="ATQ380" s="252"/>
      <c r="ATR380" s="252"/>
      <c r="ATS380" s="252"/>
      <c r="ATT380" s="252"/>
      <c r="ATU380" s="252"/>
      <c r="ATV380" s="252"/>
      <c r="ATW380" s="252"/>
      <c r="ATX380" s="252"/>
      <c r="ATY380" s="252"/>
      <c r="ATZ380" s="252"/>
      <c r="AUA380" s="252"/>
      <c r="AUB380" s="252"/>
      <c r="AUC380" s="252"/>
      <c r="AUD380" s="252"/>
      <c r="AUE380" s="252"/>
      <c r="AUF380" s="252"/>
      <c r="AUG380" s="252"/>
      <c r="AUH380" s="252"/>
      <c r="AUI380" s="252"/>
      <c r="AUJ380" s="252"/>
      <c r="AUK380" s="252"/>
      <c r="AUL380" s="252"/>
      <c r="AUM380" s="252"/>
      <c r="AUN380" s="252"/>
      <c r="AUO380" s="252"/>
      <c r="AUP380" s="252"/>
      <c r="AUQ380" s="252"/>
      <c r="AUR380" s="252"/>
      <c r="AUS380" s="252"/>
      <c r="AUT380" s="252"/>
      <c r="AUU380" s="252"/>
      <c r="AUV380" s="252"/>
      <c r="AUW380" s="252"/>
      <c r="AUX380" s="252"/>
      <c r="AUY380" s="252"/>
      <c r="AUZ380" s="252"/>
      <c r="AVA380" s="252"/>
      <c r="AVB380" s="252"/>
      <c r="AVC380" s="252"/>
      <c r="AVD380" s="252"/>
      <c r="AVE380" s="252"/>
      <c r="AVF380" s="252"/>
      <c r="AVG380" s="252"/>
      <c r="AVH380" s="252"/>
      <c r="AVI380" s="252"/>
      <c r="AVJ380" s="252"/>
      <c r="AVK380" s="252"/>
      <c r="AVL380" s="252"/>
      <c r="AVM380" s="252"/>
      <c r="AVN380" s="252"/>
      <c r="AVO380" s="252"/>
      <c r="AVP380" s="252"/>
      <c r="AVQ380" s="252"/>
      <c r="AVR380" s="252"/>
      <c r="AVS380" s="252"/>
      <c r="AVT380" s="252"/>
      <c r="AVU380" s="252"/>
      <c r="AVV380" s="252"/>
      <c r="AVW380" s="252"/>
      <c r="AVX380" s="252"/>
      <c r="AVY380" s="252"/>
      <c r="AVZ380" s="252"/>
      <c r="AWA380" s="252"/>
      <c r="AWB380" s="252"/>
      <c r="AWC380" s="252"/>
      <c r="AWD380" s="252"/>
      <c r="AWE380" s="252"/>
      <c r="AWF380" s="252"/>
      <c r="AWG380" s="252"/>
      <c r="AWH380" s="252"/>
      <c r="AWI380" s="252"/>
      <c r="AWJ380" s="252"/>
      <c r="AWK380" s="252"/>
      <c r="AWL380" s="252"/>
      <c r="AWM380" s="252"/>
      <c r="AWN380" s="252"/>
      <c r="AWO380" s="252"/>
      <c r="AWP380" s="252"/>
      <c r="AWQ380" s="252"/>
      <c r="AWR380" s="252"/>
      <c r="AWS380" s="252"/>
      <c r="AWT380" s="252"/>
      <c r="AWU380" s="252"/>
      <c r="AWV380" s="252"/>
      <c r="AWW380" s="252"/>
      <c r="AWX380" s="252"/>
      <c r="AWY380" s="252"/>
      <c r="AWZ380" s="252"/>
      <c r="AXA380" s="252"/>
      <c r="AXB380" s="252"/>
      <c r="AXC380" s="252"/>
      <c r="AXD380" s="252"/>
      <c r="AXE380" s="252"/>
      <c r="AXF380" s="252"/>
      <c r="AXG380" s="252"/>
      <c r="AXH380" s="252"/>
      <c r="AXI380" s="252"/>
      <c r="AXJ380" s="252"/>
      <c r="AXK380" s="252"/>
      <c r="AXL380" s="252"/>
      <c r="AXM380" s="252"/>
      <c r="AXN380" s="252"/>
      <c r="AXO380" s="252"/>
      <c r="AXP380" s="252"/>
      <c r="AXQ380" s="252"/>
      <c r="AXR380" s="252"/>
      <c r="AXS380" s="252"/>
      <c r="AXT380" s="252"/>
      <c r="AXU380" s="252"/>
      <c r="AXV380" s="252"/>
      <c r="AXW380" s="252"/>
      <c r="AXX380" s="252"/>
      <c r="AXY380" s="252"/>
      <c r="AXZ380" s="252"/>
      <c r="AYA380" s="252"/>
      <c r="AYB380" s="252"/>
      <c r="AYC380" s="252"/>
      <c r="AYD380" s="252"/>
      <c r="AYE380" s="252"/>
      <c r="AYF380" s="252"/>
      <c r="AYG380" s="252"/>
      <c r="AYH380" s="252"/>
      <c r="AYI380" s="252"/>
      <c r="AYJ380" s="252"/>
      <c r="AYK380" s="252"/>
      <c r="AYL380" s="252"/>
      <c r="AYM380" s="252"/>
      <c r="AYN380" s="252"/>
      <c r="AYO380" s="252"/>
      <c r="AYP380" s="252"/>
      <c r="AYQ380" s="252"/>
      <c r="AYR380" s="252"/>
      <c r="AYS380" s="252"/>
      <c r="AYT380" s="252"/>
      <c r="AYU380" s="252"/>
      <c r="AYV380" s="252"/>
      <c r="AYW380" s="252"/>
      <c r="AYX380" s="252"/>
      <c r="AYY380" s="252"/>
      <c r="AYZ380" s="252"/>
      <c r="AZA380" s="252"/>
      <c r="AZB380" s="252"/>
      <c r="AZC380" s="252"/>
      <c r="AZD380" s="252"/>
      <c r="AZE380" s="252"/>
      <c r="AZF380" s="252"/>
      <c r="AZG380" s="252"/>
      <c r="AZH380" s="252"/>
      <c r="AZI380" s="252"/>
      <c r="AZJ380" s="252"/>
      <c r="AZK380" s="252"/>
      <c r="AZL380" s="252"/>
      <c r="AZM380" s="252"/>
      <c r="AZN380" s="252"/>
      <c r="AZO380" s="252"/>
      <c r="AZP380" s="252"/>
      <c r="AZQ380" s="252"/>
      <c r="AZR380" s="252"/>
      <c r="AZS380" s="252"/>
      <c r="AZT380" s="252"/>
      <c r="AZU380" s="252"/>
      <c r="AZV380" s="252"/>
      <c r="AZW380" s="252"/>
      <c r="AZX380" s="252"/>
      <c r="AZY380" s="252"/>
      <c r="AZZ380" s="252"/>
      <c r="BAA380" s="252"/>
      <c r="BAB380" s="252"/>
      <c r="BAC380" s="252"/>
      <c r="BAD380" s="252"/>
      <c r="BAE380" s="252"/>
      <c r="BAF380" s="252"/>
      <c r="BAG380" s="252"/>
      <c r="BAH380" s="252"/>
      <c r="BAI380" s="252"/>
      <c r="BAJ380" s="252"/>
      <c r="BAK380" s="252"/>
      <c r="BAL380" s="252"/>
      <c r="BAM380" s="252"/>
      <c r="BAN380" s="252"/>
      <c r="BAO380" s="252"/>
      <c r="BAP380" s="252"/>
      <c r="BAQ380" s="252"/>
      <c r="BAR380" s="252"/>
      <c r="BAS380" s="252"/>
      <c r="BAT380" s="252"/>
      <c r="BAU380" s="252"/>
      <c r="BAV380" s="252"/>
      <c r="BAW380" s="252"/>
      <c r="BAX380" s="252"/>
      <c r="BAY380" s="252"/>
      <c r="BAZ380" s="252"/>
      <c r="BBA380" s="252"/>
      <c r="BBB380" s="252"/>
      <c r="BBC380" s="252"/>
      <c r="BBD380" s="252"/>
      <c r="BBE380" s="252"/>
      <c r="BBF380" s="252"/>
      <c r="BBG380" s="252"/>
      <c r="BBH380" s="252"/>
      <c r="BBI380" s="252"/>
      <c r="BBJ380" s="252"/>
      <c r="BBK380" s="252"/>
      <c r="BBL380" s="252"/>
      <c r="BBM380" s="252"/>
      <c r="BBN380" s="252"/>
      <c r="BBO380" s="252"/>
      <c r="BBP380" s="252"/>
      <c r="BBQ380" s="252"/>
      <c r="BBR380" s="252"/>
      <c r="BBS380" s="252"/>
      <c r="BBT380" s="252"/>
      <c r="BBU380" s="252"/>
      <c r="BBV380" s="252"/>
      <c r="BBW380" s="252"/>
      <c r="BBX380" s="252"/>
      <c r="BBY380" s="252"/>
      <c r="BBZ380" s="252"/>
      <c r="BCA380" s="252"/>
      <c r="BCB380" s="252"/>
      <c r="BCC380" s="252"/>
      <c r="BCD380" s="252"/>
      <c r="BCE380" s="252"/>
      <c r="BCF380" s="252"/>
      <c r="BCG380" s="252"/>
      <c r="BCH380" s="252"/>
      <c r="BCI380" s="252"/>
      <c r="BCJ380" s="252"/>
      <c r="BCK380" s="252"/>
      <c r="BCL380" s="252"/>
      <c r="BCM380" s="252"/>
      <c r="BCN380" s="252"/>
      <c r="BCO380" s="252"/>
      <c r="BCP380" s="252"/>
      <c r="BCQ380" s="252"/>
      <c r="BCR380" s="252"/>
      <c r="BCS380" s="252"/>
      <c r="BCT380" s="252"/>
      <c r="BCU380" s="252"/>
      <c r="BCV380" s="252"/>
      <c r="BCW380" s="252"/>
      <c r="BCX380" s="252"/>
      <c r="BCY380" s="252"/>
      <c r="BCZ380" s="252"/>
      <c r="BDA380" s="252"/>
      <c r="BDB380" s="252"/>
      <c r="BDC380" s="252"/>
      <c r="BDD380" s="252"/>
      <c r="BDE380" s="252"/>
      <c r="BDF380" s="252"/>
      <c r="BDG380" s="252"/>
      <c r="BDH380" s="252"/>
      <c r="BDI380" s="252"/>
      <c r="BDJ380" s="252"/>
      <c r="BDK380" s="252"/>
      <c r="BDL380" s="252"/>
      <c r="BDM380" s="252"/>
      <c r="BDN380" s="252"/>
      <c r="BDO380" s="252"/>
      <c r="BDP380" s="252"/>
      <c r="BDQ380" s="252"/>
      <c r="BDR380" s="252"/>
      <c r="BDS380" s="252"/>
      <c r="BDT380" s="252"/>
      <c r="BDU380" s="252"/>
      <c r="BDV380" s="252"/>
      <c r="BDW380" s="252"/>
      <c r="BDX380" s="252"/>
      <c r="BDY380" s="252"/>
      <c r="BDZ380" s="252"/>
      <c r="BEA380" s="252"/>
      <c r="BEB380" s="252"/>
      <c r="BEC380" s="252"/>
      <c r="BED380" s="252"/>
      <c r="BEE380" s="252"/>
      <c r="BEF380" s="252"/>
      <c r="BEG380" s="252"/>
      <c r="BEH380" s="252"/>
      <c r="BEI380" s="252"/>
      <c r="BEJ380" s="252"/>
      <c r="BEK380" s="252"/>
      <c r="BEL380" s="252"/>
      <c r="BEM380" s="252"/>
      <c r="BEN380" s="252"/>
      <c r="BEO380" s="252"/>
      <c r="BEP380" s="252"/>
      <c r="BEQ380" s="252"/>
      <c r="BER380" s="252"/>
      <c r="BES380" s="252"/>
      <c r="BET380" s="252"/>
      <c r="BEU380" s="252"/>
      <c r="BEV380" s="252"/>
      <c r="BEW380" s="252"/>
      <c r="BEX380" s="252"/>
      <c r="BEY380" s="252"/>
      <c r="BEZ380" s="252"/>
      <c r="BFA380" s="252"/>
      <c r="BFB380" s="252"/>
      <c r="BFC380" s="252"/>
      <c r="BFD380" s="252"/>
      <c r="BFE380" s="252"/>
      <c r="BFF380" s="252"/>
      <c r="BFG380" s="252"/>
      <c r="BFH380" s="252"/>
      <c r="BFI380" s="252"/>
      <c r="BFJ380" s="252"/>
      <c r="BFK380" s="252"/>
      <c r="BFL380" s="252"/>
      <c r="BFM380" s="252"/>
      <c r="BFN380" s="252"/>
      <c r="BFO380" s="252"/>
      <c r="BFP380" s="252"/>
      <c r="BFQ380" s="252"/>
      <c r="BFR380" s="252"/>
      <c r="BFS380" s="252"/>
      <c r="BFT380" s="252"/>
      <c r="BFU380" s="252"/>
      <c r="BFV380" s="252"/>
      <c r="BFW380" s="252"/>
      <c r="BFX380" s="252"/>
      <c r="BFY380" s="252"/>
      <c r="BFZ380" s="252"/>
      <c r="BGA380" s="252"/>
      <c r="BGB380" s="252"/>
      <c r="BGC380" s="252"/>
      <c r="BGD380" s="252"/>
      <c r="BGE380" s="252"/>
      <c r="BGF380" s="252"/>
      <c r="BGG380" s="252"/>
      <c r="BGH380" s="252"/>
      <c r="BGI380" s="252"/>
      <c r="BGJ380" s="252"/>
      <c r="BGK380" s="252"/>
      <c r="BGL380" s="252"/>
      <c r="BGM380" s="252"/>
      <c r="BGN380" s="252"/>
      <c r="BGO380" s="252"/>
      <c r="BGP380" s="252"/>
      <c r="BGQ380" s="252"/>
      <c r="BGR380" s="252"/>
      <c r="BGS380" s="252"/>
      <c r="BGT380" s="252"/>
      <c r="BGU380" s="252"/>
      <c r="BGV380" s="252"/>
      <c r="BGW380" s="252"/>
      <c r="BGX380" s="252"/>
      <c r="BGY380" s="252"/>
      <c r="BGZ380" s="252"/>
      <c r="BHA380" s="252"/>
      <c r="BHB380" s="252"/>
      <c r="BHC380" s="252"/>
      <c r="BHD380" s="252"/>
      <c r="BHE380" s="252"/>
      <c r="BHF380" s="252"/>
      <c r="BHG380" s="252"/>
      <c r="BHH380" s="252"/>
      <c r="BHI380" s="252"/>
      <c r="BHJ380" s="252"/>
      <c r="BHK380" s="252"/>
      <c r="BHL380" s="252"/>
      <c r="BHM380" s="252"/>
      <c r="BHN380" s="252"/>
      <c r="BHO380" s="252"/>
      <c r="BHP380" s="252"/>
      <c r="BHQ380" s="252"/>
      <c r="BHR380" s="252"/>
      <c r="BHS380" s="252"/>
      <c r="BHT380" s="252"/>
      <c r="BHU380" s="252"/>
      <c r="BHV380" s="252"/>
      <c r="BHW380" s="252"/>
      <c r="BHX380" s="252"/>
      <c r="BHY380" s="252"/>
      <c r="BHZ380" s="252"/>
      <c r="BIA380" s="252"/>
      <c r="BIB380" s="252"/>
      <c r="BIC380" s="252"/>
      <c r="BID380" s="252"/>
      <c r="BIE380" s="252"/>
      <c r="BIF380" s="252"/>
      <c r="BIG380" s="252"/>
      <c r="BIH380" s="252"/>
      <c r="BII380" s="252"/>
      <c r="BIJ380" s="252"/>
      <c r="BIK380" s="252"/>
      <c r="BIL380" s="252"/>
      <c r="BIM380" s="252"/>
      <c r="BIN380" s="252"/>
      <c r="BIO380" s="252"/>
      <c r="BIP380" s="252"/>
      <c r="BIQ380" s="252"/>
      <c r="BIR380" s="252"/>
      <c r="BIS380" s="252"/>
      <c r="BIT380" s="252"/>
      <c r="BIU380" s="252"/>
      <c r="BIV380" s="252"/>
      <c r="BIW380" s="252"/>
      <c r="BIX380" s="252"/>
      <c r="BIY380" s="252"/>
      <c r="BIZ380" s="252"/>
      <c r="BJA380" s="252"/>
      <c r="BJB380" s="252"/>
      <c r="BJC380" s="252"/>
      <c r="BJD380" s="252"/>
      <c r="BJE380" s="252"/>
      <c r="BJF380" s="252"/>
      <c r="BJG380" s="252"/>
      <c r="BJH380" s="252"/>
      <c r="BJI380" s="252"/>
      <c r="BJJ380" s="252"/>
      <c r="BJK380" s="252"/>
      <c r="BJL380" s="252"/>
      <c r="BJM380" s="252"/>
      <c r="BJN380" s="252"/>
      <c r="BJO380" s="252"/>
      <c r="BJP380" s="252"/>
      <c r="BJQ380" s="252"/>
      <c r="BJR380" s="252"/>
      <c r="BJS380" s="252"/>
      <c r="BJT380" s="252"/>
      <c r="BJU380" s="252"/>
      <c r="BJV380" s="252"/>
      <c r="BJW380" s="252"/>
      <c r="BJX380" s="252"/>
      <c r="BJY380" s="252"/>
      <c r="BJZ380" s="252"/>
      <c r="BKA380" s="252"/>
      <c r="BKB380" s="252"/>
      <c r="BKC380" s="252"/>
      <c r="BKD380" s="252"/>
      <c r="BKE380" s="252"/>
      <c r="BKF380" s="252"/>
      <c r="BKG380" s="252"/>
      <c r="BKH380" s="252"/>
      <c r="BKI380" s="252"/>
      <c r="BKJ380" s="252"/>
      <c r="BKK380" s="252"/>
      <c r="BKL380" s="252"/>
      <c r="BKM380" s="252"/>
      <c r="BKN380" s="252"/>
      <c r="BKO380" s="252"/>
      <c r="BKP380" s="252"/>
      <c r="BKQ380" s="252"/>
      <c r="BKR380" s="252"/>
      <c r="BKS380" s="252"/>
      <c r="BKT380" s="252"/>
      <c r="BKU380" s="252"/>
      <c r="BKV380" s="252"/>
      <c r="BKW380" s="252"/>
      <c r="BKX380" s="252"/>
      <c r="BKY380" s="252"/>
      <c r="BKZ380" s="252"/>
      <c r="BLA380" s="252"/>
      <c r="BLB380" s="252"/>
      <c r="BLC380" s="252"/>
      <c r="BLD380" s="252"/>
      <c r="BLE380" s="252"/>
      <c r="BLF380" s="252"/>
      <c r="BLG380" s="252"/>
      <c r="BLH380" s="252"/>
      <c r="BLI380" s="252"/>
      <c r="BLJ380" s="252"/>
      <c r="BLK380" s="252"/>
      <c r="BLL380" s="252"/>
      <c r="BLM380" s="252"/>
      <c r="BLN380" s="252"/>
      <c r="BLO380" s="252"/>
      <c r="BLP380" s="252"/>
      <c r="BLQ380" s="252"/>
      <c r="BLR380" s="252"/>
      <c r="BLS380" s="252"/>
      <c r="BLT380" s="252"/>
      <c r="BLU380" s="252"/>
      <c r="BLV380" s="252"/>
      <c r="BLW380" s="252"/>
      <c r="BLX380" s="252"/>
      <c r="BLY380" s="252"/>
      <c r="BLZ380" s="252"/>
      <c r="BMA380" s="252"/>
      <c r="BMB380" s="252"/>
      <c r="BMC380" s="252"/>
      <c r="BMD380" s="252"/>
      <c r="BME380" s="252"/>
      <c r="BMF380" s="252"/>
      <c r="BMG380" s="252"/>
      <c r="BMH380" s="252"/>
      <c r="BMI380" s="252"/>
      <c r="BMJ380" s="252"/>
      <c r="BMK380" s="252"/>
      <c r="BML380" s="252"/>
      <c r="BMM380" s="252"/>
      <c r="BMN380" s="252"/>
      <c r="BMO380" s="252"/>
      <c r="BMP380" s="252"/>
      <c r="BMQ380" s="252"/>
      <c r="BMR380" s="252"/>
      <c r="BMS380" s="252"/>
      <c r="BMT380" s="252"/>
      <c r="BMU380" s="252"/>
      <c r="BMV380" s="252"/>
      <c r="BMW380" s="252"/>
      <c r="BMX380" s="252"/>
      <c r="BMY380" s="252"/>
      <c r="BMZ380" s="252"/>
      <c r="BNA380" s="252"/>
      <c r="BNB380" s="252"/>
      <c r="BNC380" s="252"/>
      <c r="BND380" s="252"/>
      <c r="BNE380" s="252"/>
      <c r="BNF380" s="252"/>
      <c r="BNG380" s="252"/>
      <c r="BNH380" s="252"/>
      <c r="BNI380" s="252"/>
      <c r="BNJ380" s="252"/>
      <c r="BNK380" s="252"/>
      <c r="BNL380" s="252"/>
      <c r="BNM380" s="252"/>
      <c r="BNN380" s="252"/>
      <c r="BNO380" s="252"/>
      <c r="BNP380" s="252"/>
      <c r="BNQ380" s="252"/>
      <c r="BNR380" s="252"/>
      <c r="BNS380" s="252"/>
      <c r="BNT380" s="252"/>
      <c r="BNU380" s="252"/>
      <c r="BNV380" s="252"/>
      <c r="BNW380" s="252"/>
      <c r="BNX380" s="252"/>
      <c r="BNY380" s="252"/>
      <c r="BNZ380" s="252"/>
      <c r="BOA380" s="252"/>
      <c r="BOB380" s="252"/>
      <c r="BOC380" s="252"/>
      <c r="BOD380" s="252"/>
      <c r="BOE380" s="252"/>
      <c r="BOF380" s="252"/>
      <c r="BOG380" s="252"/>
      <c r="BOH380" s="252"/>
      <c r="BOI380" s="252"/>
      <c r="BOJ380" s="252"/>
      <c r="BOK380" s="252"/>
      <c r="BOL380" s="252"/>
      <c r="BOM380" s="252"/>
      <c r="BON380" s="252"/>
      <c r="BOO380" s="252"/>
      <c r="BOP380" s="252"/>
      <c r="BOQ380" s="252"/>
      <c r="BOR380" s="252"/>
      <c r="BOS380" s="252"/>
      <c r="BOT380" s="252"/>
      <c r="BOU380" s="252"/>
      <c r="BOV380" s="252"/>
      <c r="BOW380" s="252"/>
      <c r="BOX380" s="252"/>
      <c r="BOY380" s="252"/>
      <c r="BOZ380" s="252"/>
      <c r="BPA380" s="252"/>
      <c r="BPB380" s="252"/>
      <c r="BPC380" s="252"/>
      <c r="BPD380" s="252"/>
      <c r="BPE380" s="252"/>
      <c r="BPF380" s="252"/>
      <c r="BPG380" s="252"/>
      <c r="BPH380" s="252"/>
      <c r="BPI380" s="252"/>
      <c r="BPJ380" s="252"/>
      <c r="BPK380" s="252"/>
      <c r="BPL380" s="252"/>
      <c r="BPM380" s="252"/>
      <c r="BPN380" s="252"/>
      <c r="BPO380" s="252"/>
      <c r="BPP380" s="252"/>
      <c r="BPQ380" s="252"/>
      <c r="BPR380" s="252"/>
      <c r="BPS380" s="252"/>
      <c r="BPT380" s="252"/>
      <c r="BPU380" s="252"/>
      <c r="BPV380" s="252"/>
      <c r="BPW380" s="252"/>
      <c r="BPX380" s="252"/>
      <c r="BPY380" s="252"/>
      <c r="BPZ380" s="252"/>
      <c r="BQA380" s="252"/>
      <c r="BQB380" s="252"/>
      <c r="BQC380" s="252"/>
      <c r="BQD380" s="252"/>
      <c r="BQE380" s="252"/>
      <c r="BQF380" s="252"/>
      <c r="BQG380" s="252"/>
      <c r="BQH380" s="252"/>
      <c r="BQI380" s="252"/>
      <c r="BQJ380" s="252"/>
      <c r="BQK380" s="252"/>
      <c r="BQL380" s="252"/>
      <c r="BQM380" s="252"/>
      <c r="BQN380" s="252"/>
      <c r="BQO380" s="252"/>
      <c r="BQP380" s="252"/>
      <c r="BQQ380" s="252"/>
      <c r="BQR380" s="252"/>
      <c r="BQS380" s="252"/>
      <c r="BQT380" s="252"/>
      <c r="BQU380" s="252"/>
      <c r="BQV380" s="252"/>
      <c r="BQW380" s="252"/>
      <c r="BQX380" s="252"/>
      <c r="BQY380" s="252"/>
      <c r="BQZ380" s="252"/>
      <c r="BRA380" s="252"/>
      <c r="BRB380" s="252"/>
      <c r="BRC380" s="252"/>
      <c r="BRD380" s="252"/>
      <c r="BRE380" s="252"/>
      <c r="BRF380" s="252"/>
      <c r="BRG380" s="252"/>
      <c r="BRH380" s="252"/>
      <c r="BRI380" s="252"/>
      <c r="BRJ380" s="252"/>
      <c r="BRK380" s="252"/>
      <c r="BRL380" s="252"/>
      <c r="BRM380" s="252"/>
      <c r="BRN380" s="252"/>
      <c r="BRO380" s="252"/>
      <c r="BRP380" s="252"/>
      <c r="BRQ380" s="252"/>
      <c r="BRR380" s="252"/>
      <c r="BRS380" s="252"/>
      <c r="BRT380" s="252"/>
      <c r="BRU380" s="252"/>
      <c r="BRV380" s="252"/>
      <c r="BRW380" s="252"/>
      <c r="BRX380" s="252"/>
      <c r="BRY380" s="252"/>
      <c r="BRZ380" s="252"/>
      <c r="BSA380" s="252"/>
      <c r="BSB380" s="252"/>
      <c r="BSC380" s="252"/>
      <c r="BSD380" s="252"/>
      <c r="BSE380" s="252"/>
      <c r="BSF380" s="252"/>
      <c r="BSG380" s="252"/>
      <c r="BSH380" s="252"/>
      <c r="BSI380" s="252"/>
      <c r="BSJ380" s="252"/>
      <c r="BSK380" s="252"/>
      <c r="BSL380" s="252"/>
      <c r="BSM380" s="252"/>
      <c r="BSN380" s="252"/>
      <c r="BSO380" s="252"/>
      <c r="BSP380" s="252"/>
      <c r="BSQ380" s="252"/>
      <c r="BSR380" s="252"/>
      <c r="BSS380" s="252"/>
      <c r="BST380" s="252"/>
      <c r="BSU380" s="252"/>
      <c r="BSV380" s="252"/>
      <c r="BSW380" s="252"/>
      <c r="BSX380" s="252"/>
      <c r="BSY380" s="252"/>
      <c r="BSZ380" s="252"/>
      <c r="BTA380" s="252"/>
      <c r="BTB380" s="252"/>
      <c r="BTC380" s="252"/>
      <c r="BTD380" s="252"/>
      <c r="BTE380" s="252"/>
      <c r="BTF380" s="252"/>
      <c r="BTG380" s="252"/>
      <c r="BTH380" s="252"/>
      <c r="BTI380" s="252"/>
      <c r="BTJ380" s="252"/>
      <c r="BTK380" s="252"/>
      <c r="BTL380" s="252"/>
      <c r="BTM380" s="252"/>
      <c r="BTN380" s="252"/>
      <c r="BTO380" s="252"/>
      <c r="BTP380" s="252"/>
      <c r="BTQ380" s="252"/>
      <c r="BTR380" s="252"/>
      <c r="BTS380" s="252"/>
      <c r="BTT380" s="252"/>
      <c r="BTU380" s="252"/>
      <c r="BTV380" s="252"/>
      <c r="BTW380" s="252"/>
      <c r="BTX380" s="252"/>
      <c r="BTY380" s="252"/>
      <c r="BTZ380" s="252"/>
      <c r="BUA380" s="252"/>
      <c r="BUB380" s="252"/>
      <c r="BUC380" s="252"/>
      <c r="BUD380" s="252"/>
      <c r="BUE380" s="252"/>
      <c r="BUF380" s="252"/>
      <c r="BUG380" s="252"/>
      <c r="BUH380" s="252"/>
      <c r="BUI380" s="252"/>
      <c r="BUJ380" s="252"/>
      <c r="BUK380" s="252"/>
      <c r="BUL380" s="252"/>
      <c r="BUM380" s="252"/>
      <c r="BUN380" s="252"/>
      <c r="BUO380" s="252"/>
      <c r="BUP380" s="252"/>
      <c r="BUQ380" s="252"/>
      <c r="BUR380" s="252"/>
      <c r="BUS380" s="252"/>
      <c r="BUT380" s="252"/>
      <c r="BUU380" s="252"/>
      <c r="BUV380" s="252"/>
      <c r="BUW380" s="252"/>
      <c r="BUX380" s="252"/>
      <c r="BUY380" s="252"/>
      <c r="BUZ380" s="252"/>
      <c r="BVA380" s="252"/>
      <c r="BVB380" s="252"/>
      <c r="BVC380" s="252"/>
      <c r="BVD380" s="252"/>
      <c r="BVE380" s="252"/>
      <c r="BVF380" s="252"/>
      <c r="BVG380" s="252"/>
      <c r="BVH380" s="252"/>
      <c r="BVI380" s="252"/>
      <c r="BVJ380" s="252"/>
      <c r="BVK380" s="252"/>
      <c r="BVL380" s="252"/>
      <c r="BVM380" s="252"/>
      <c r="BVN380" s="252"/>
      <c r="BVO380" s="252"/>
      <c r="BVP380" s="252"/>
      <c r="BVQ380" s="252"/>
      <c r="BVR380" s="252"/>
      <c r="BVS380" s="252"/>
      <c r="BVT380" s="252"/>
      <c r="BVU380" s="252"/>
      <c r="BVV380" s="252"/>
      <c r="BVW380" s="252"/>
      <c r="BVX380" s="252"/>
      <c r="BVY380" s="252"/>
      <c r="BVZ380" s="252"/>
      <c r="BWA380" s="252"/>
      <c r="BWB380" s="252"/>
      <c r="BWC380" s="252"/>
      <c r="BWD380" s="252"/>
      <c r="BWE380" s="252"/>
      <c r="BWF380" s="252"/>
      <c r="BWG380" s="252"/>
      <c r="BWH380" s="252"/>
      <c r="BWI380" s="252"/>
      <c r="BWJ380" s="252"/>
      <c r="BWK380" s="252"/>
      <c r="BWL380" s="252"/>
      <c r="BWM380" s="252"/>
      <c r="BWN380" s="252"/>
      <c r="BWO380" s="252"/>
      <c r="BWP380" s="252"/>
      <c r="BWQ380" s="252"/>
      <c r="BWR380" s="252"/>
      <c r="BWS380" s="252"/>
      <c r="BWT380" s="252"/>
      <c r="BWU380" s="252"/>
      <c r="BWV380" s="252"/>
      <c r="BWW380" s="252"/>
      <c r="BWX380" s="252"/>
      <c r="BWY380" s="252"/>
      <c r="BWZ380" s="252"/>
      <c r="BXA380" s="252"/>
      <c r="BXB380" s="252"/>
      <c r="BXC380" s="252"/>
      <c r="BXD380" s="252"/>
      <c r="BXE380" s="252"/>
      <c r="BXF380" s="252"/>
      <c r="BXG380" s="252"/>
      <c r="BXH380" s="252"/>
      <c r="BXI380" s="252"/>
      <c r="BXJ380" s="252"/>
      <c r="BXK380" s="252"/>
      <c r="BXL380" s="252"/>
      <c r="BXM380" s="252"/>
      <c r="BXN380" s="252"/>
      <c r="BXO380" s="252"/>
      <c r="BXP380" s="252"/>
      <c r="BXQ380" s="252"/>
      <c r="BXR380" s="252"/>
      <c r="BXS380" s="252"/>
      <c r="BXT380" s="252"/>
      <c r="BXU380" s="252"/>
      <c r="BXV380" s="252"/>
      <c r="BXW380" s="252"/>
      <c r="BXX380" s="252"/>
      <c r="BXY380" s="252"/>
      <c r="BXZ380" s="252"/>
      <c r="BYA380" s="252"/>
      <c r="BYB380" s="252"/>
      <c r="BYC380" s="252"/>
      <c r="BYD380" s="252"/>
      <c r="BYE380" s="252"/>
      <c r="BYF380" s="252"/>
      <c r="BYG380" s="252"/>
      <c r="BYH380" s="252"/>
      <c r="BYI380" s="252"/>
      <c r="BYJ380" s="252"/>
      <c r="BYK380" s="252"/>
      <c r="BYL380" s="252"/>
      <c r="BYM380" s="252"/>
      <c r="BYN380" s="252"/>
      <c r="BYO380" s="252"/>
      <c r="BYP380" s="252"/>
      <c r="BYQ380" s="252"/>
      <c r="BYR380" s="252"/>
      <c r="BYS380" s="252"/>
      <c r="BYT380" s="252"/>
      <c r="BYU380" s="252"/>
      <c r="BYV380" s="252"/>
      <c r="BYW380" s="252"/>
      <c r="BYX380" s="252"/>
      <c r="BYY380" s="252"/>
      <c r="BYZ380" s="252"/>
      <c r="BZA380" s="252"/>
      <c r="BZB380" s="252"/>
      <c r="BZC380" s="252"/>
      <c r="BZD380" s="252"/>
      <c r="BZE380" s="252"/>
      <c r="BZF380" s="252"/>
      <c r="BZG380" s="252"/>
      <c r="BZH380" s="252"/>
      <c r="BZI380" s="252"/>
      <c r="BZJ380" s="252"/>
      <c r="BZK380" s="252"/>
      <c r="BZL380" s="252"/>
      <c r="BZM380" s="252"/>
      <c r="BZN380" s="252"/>
      <c r="BZO380" s="252"/>
      <c r="BZP380" s="252"/>
      <c r="BZQ380" s="252"/>
      <c r="BZR380" s="252"/>
      <c r="BZS380" s="252"/>
      <c r="BZT380" s="252"/>
      <c r="BZU380" s="252"/>
      <c r="BZV380" s="252"/>
      <c r="BZW380" s="252"/>
      <c r="BZX380" s="252"/>
      <c r="BZY380" s="252"/>
      <c r="BZZ380" s="252"/>
      <c r="CAA380" s="252"/>
      <c r="CAB380" s="252"/>
      <c r="CAC380" s="252"/>
      <c r="CAD380" s="252"/>
      <c r="CAE380" s="252"/>
      <c r="CAF380" s="252"/>
      <c r="CAG380" s="252"/>
      <c r="CAH380" s="252"/>
      <c r="CAI380" s="252"/>
      <c r="CAJ380" s="252"/>
      <c r="CAK380" s="252"/>
      <c r="CAL380" s="252"/>
      <c r="CAM380" s="252"/>
      <c r="CAN380" s="252"/>
      <c r="CAO380" s="252"/>
      <c r="CAP380" s="252"/>
      <c r="CAQ380" s="252"/>
      <c r="CAR380" s="252"/>
      <c r="CAS380" s="252"/>
      <c r="CAT380" s="252"/>
      <c r="CAU380" s="252"/>
      <c r="CAV380" s="252"/>
      <c r="CAW380" s="252"/>
      <c r="CAX380" s="252"/>
      <c r="CAY380" s="252"/>
      <c r="CAZ380" s="252"/>
      <c r="CBA380" s="252"/>
      <c r="CBB380" s="252"/>
      <c r="CBC380" s="252"/>
      <c r="CBD380" s="252"/>
      <c r="CBE380" s="252"/>
      <c r="CBF380" s="252"/>
      <c r="CBG380" s="252"/>
      <c r="CBH380" s="252"/>
      <c r="CBI380" s="252"/>
      <c r="CBJ380" s="252"/>
      <c r="CBK380" s="252"/>
      <c r="CBL380" s="252"/>
      <c r="CBM380" s="252"/>
      <c r="CBN380" s="252"/>
      <c r="CBO380" s="252"/>
      <c r="CBP380" s="252"/>
      <c r="CBQ380" s="252"/>
      <c r="CBR380" s="252"/>
      <c r="CBS380" s="252"/>
      <c r="CBT380" s="252"/>
      <c r="CBU380" s="252"/>
      <c r="CBV380" s="252"/>
      <c r="CBW380" s="252"/>
      <c r="CBX380" s="252"/>
      <c r="CBY380" s="252"/>
      <c r="CBZ380" s="252"/>
      <c r="CCA380" s="252"/>
      <c r="CCB380" s="252"/>
      <c r="CCC380" s="252"/>
      <c r="CCD380" s="252"/>
      <c r="CCE380" s="252"/>
      <c r="CCF380" s="252"/>
      <c r="CCG380" s="252"/>
      <c r="CCH380" s="252"/>
      <c r="CCI380" s="252"/>
      <c r="CCJ380" s="252"/>
      <c r="CCK380" s="252"/>
      <c r="CCL380" s="252"/>
      <c r="CCM380" s="252"/>
      <c r="CCN380" s="252"/>
      <c r="CCO380" s="252"/>
      <c r="CCP380" s="252"/>
      <c r="CCQ380" s="252"/>
      <c r="CCR380" s="252"/>
      <c r="CCS380" s="252"/>
      <c r="CCT380" s="252"/>
      <c r="CCU380" s="252"/>
      <c r="CCV380" s="252"/>
      <c r="CCW380" s="252"/>
      <c r="CCX380" s="252"/>
      <c r="CCY380" s="252"/>
      <c r="CCZ380" s="252"/>
      <c r="CDA380" s="252"/>
      <c r="CDB380" s="252"/>
      <c r="CDC380" s="252"/>
      <c r="CDD380" s="252"/>
      <c r="CDE380" s="252"/>
      <c r="CDF380" s="252"/>
      <c r="CDG380" s="252"/>
      <c r="CDH380" s="252"/>
      <c r="CDI380" s="252"/>
      <c r="CDJ380" s="252"/>
      <c r="CDK380" s="252"/>
      <c r="CDL380" s="252"/>
      <c r="CDM380" s="252"/>
      <c r="CDN380" s="252"/>
      <c r="CDO380" s="252"/>
      <c r="CDP380" s="252"/>
      <c r="CDQ380" s="252"/>
      <c r="CDR380" s="252"/>
      <c r="CDS380" s="252"/>
      <c r="CDT380" s="252"/>
      <c r="CDU380" s="252"/>
      <c r="CDV380" s="252"/>
      <c r="CDW380" s="252"/>
      <c r="CDX380" s="252"/>
      <c r="CDY380" s="252"/>
      <c r="CDZ380" s="252"/>
      <c r="CEA380" s="252"/>
      <c r="CEB380" s="252"/>
      <c r="CEC380" s="252"/>
      <c r="CED380" s="252"/>
      <c r="CEE380" s="252"/>
      <c r="CEF380" s="252"/>
      <c r="CEG380" s="252"/>
      <c r="CEH380" s="252"/>
      <c r="CEI380" s="252"/>
      <c r="CEJ380" s="252"/>
      <c r="CEK380" s="252"/>
      <c r="CEL380" s="252"/>
      <c r="CEM380" s="252"/>
      <c r="CEN380" s="252"/>
      <c r="CEO380" s="252"/>
      <c r="CEP380" s="252"/>
      <c r="CEQ380" s="252"/>
      <c r="CER380" s="252"/>
      <c r="CES380" s="252"/>
      <c r="CET380" s="252"/>
      <c r="CEU380" s="252"/>
      <c r="CEV380" s="252"/>
      <c r="CEW380" s="252"/>
      <c r="CEX380" s="252"/>
      <c r="CEY380" s="252"/>
      <c r="CEZ380" s="252"/>
      <c r="CFA380" s="252"/>
      <c r="CFB380" s="252"/>
      <c r="CFC380" s="252"/>
      <c r="CFD380" s="252"/>
      <c r="CFE380" s="252"/>
      <c r="CFF380" s="252"/>
      <c r="CFG380" s="252"/>
      <c r="CFH380" s="252"/>
      <c r="CFI380" s="252"/>
      <c r="CFJ380" s="252"/>
      <c r="CFK380" s="252"/>
      <c r="CFL380" s="252"/>
      <c r="CFM380" s="252"/>
      <c r="CFN380" s="252"/>
      <c r="CFO380" s="252"/>
      <c r="CFP380" s="252"/>
      <c r="CFQ380" s="252"/>
      <c r="CFR380" s="252"/>
      <c r="CFS380" s="252"/>
      <c r="CFT380" s="252"/>
      <c r="CFU380" s="252"/>
      <c r="CFV380" s="252"/>
      <c r="CFW380" s="252"/>
      <c r="CFX380" s="252"/>
      <c r="CFY380" s="252"/>
      <c r="CFZ380" s="252"/>
      <c r="CGA380" s="252"/>
      <c r="CGB380" s="252"/>
      <c r="CGC380" s="252"/>
      <c r="CGD380" s="252"/>
      <c r="CGE380" s="252"/>
      <c r="CGF380" s="252"/>
      <c r="CGG380" s="252"/>
      <c r="CGH380" s="252"/>
      <c r="CGI380" s="252"/>
      <c r="CGJ380" s="252"/>
      <c r="CGK380" s="252"/>
      <c r="CGL380" s="252"/>
      <c r="CGM380" s="252"/>
      <c r="CGN380" s="252"/>
      <c r="CGO380" s="252"/>
      <c r="CGP380" s="252"/>
      <c r="CGQ380" s="252"/>
      <c r="CGR380" s="252"/>
      <c r="CGS380" s="252"/>
      <c r="CGT380" s="252"/>
      <c r="CGU380" s="252"/>
      <c r="CGV380" s="252"/>
      <c r="CGW380" s="252"/>
      <c r="CGX380" s="252"/>
      <c r="CGY380" s="252"/>
      <c r="CGZ380" s="252"/>
      <c r="CHA380" s="252"/>
      <c r="CHB380" s="252"/>
      <c r="CHC380" s="252"/>
      <c r="CHD380" s="252"/>
      <c r="CHE380" s="252"/>
      <c r="CHF380" s="252"/>
      <c r="CHG380" s="252"/>
      <c r="CHH380" s="252"/>
      <c r="CHI380" s="252"/>
      <c r="CHJ380" s="252"/>
      <c r="CHK380" s="252"/>
      <c r="CHL380" s="252"/>
      <c r="CHM380" s="252"/>
      <c r="CHN380" s="252"/>
      <c r="CHO380" s="252"/>
      <c r="CHP380" s="252"/>
      <c r="CHQ380" s="252"/>
      <c r="CHR380" s="252"/>
      <c r="CHS380" s="252"/>
      <c r="CHT380" s="252"/>
      <c r="CHU380" s="252"/>
      <c r="CHV380" s="252"/>
      <c r="CHW380" s="252"/>
      <c r="CHX380" s="252"/>
      <c r="CHY380" s="252"/>
      <c r="CHZ380" s="252"/>
      <c r="CIA380" s="252"/>
      <c r="CIB380" s="252"/>
      <c r="CIC380" s="252"/>
      <c r="CID380" s="252"/>
      <c r="CIE380" s="252"/>
      <c r="CIF380" s="252"/>
      <c r="CIG380" s="252"/>
      <c r="CIH380" s="252"/>
      <c r="CII380" s="252"/>
      <c r="CIJ380" s="252"/>
      <c r="CIK380" s="252"/>
      <c r="CIL380" s="252"/>
      <c r="CIM380" s="252"/>
      <c r="CIN380" s="252"/>
      <c r="CIO380" s="252"/>
      <c r="CIP380" s="252"/>
      <c r="CIQ380" s="252"/>
      <c r="CIR380" s="252"/>
      <c r="CIS380" s="252"/>
      <c r="CIT380" s="252"/>
      <c r="CIU380" s="252"/>
      <c r="CIV380" s="252"/>
      <c r="CIW380" s="252"/>
      <c r="CIX380" s="252"/>
      <c r="CIY380" s="252"/>
      <c r="CIZ380" s="252"/>
      <c r="CJA380" s="252"/>
      <c r="CJB380" s="252"/>
      <c r="CJC380" s="252"/>
      <c r="CJD380" s="252"/>
      <c r="CJE380" s="252"/>
      <c r="CJF380" s="252"/>
      <c r="CJG380" s="252"/>
      <c r="CJH380" s="252"/>
      <c r="CJI380" s="252"/>
      <c r="CJJ380" s="252"/>
      <c r="CJK380" s="252"/>
      <c r="CJL380" s="252"/>
      <c r="CJM380" s="252"/>
      <c r="CJN380" s="252"/>
      <c r="CJO380" s="252"/>
      <c r="CJP380" s="252"/>
      <c r="CJQ380" s="252"/>
      <c r="CJR380" s="252"/>
      <c r="CJS380" s="252"/>
      <c r="CJT380" s="252"/>
      <c r="CJU380" s="252"/>
      <c r="CJV380" s="252"/>
      <c r="CJW380" s="252"/>
      <c r="CJX380" s="252"/>
      <c r="CJY380" s="252"/>
      <c r="CJZ380" s="252"/>
      <c r="CKA380" s="252"/>
      <c r="CKB380" s="252"/>
      <c r="CKC380" s="252"/>
      <c r="CKD380" s="252"/>
      <c r="CKE380" s="252"/>
      <c r="CKF380" s="252"/>
      <c r="CKG380" s="252"/>
      <c r="CKH380" s="252"/>
      <c r="CKI380" s="252"/>
      <c r="CKJ380" s="252"/>
      <c r="CKK380" s="252"/>
      <c r="CKL380" s="252"/>
      <c r="CKM380" s="252"/>
      <c r="CKN380" s="252"/>
      <c r="CKO380" s="252"/>
      <c r="CKP380" s="252"/>
      <c r="CKQ380" s="252"/>
      <c r="CKR380" s="252"/>
      <c r="CKS380" s="252"/>
      <c r="CKT380" s="252"/>
      <c r="CKU380" s="252"/>
      <c r="CKV380" s="252"/>
      <c r="CKW380" s="252"/>
      <c r="CKX380" s="252"/>
      <c r="CKY380" s="252"/>
      <c r="CKZ380" s="252"/>
      <c r="CLA380" s="252"/>
      <c r="CLB380" s="252"/>
      <c r="CLC380" s="252"/>
      <c r="CLD380" s="252"/>
      <c r="CLE380" s="252"/>
      <c r="CLF380" s="252"/>
      <c r="CLG380" s="252"/>
      <c r="CLH380" s="252"/>
      <c r="CLI380" s="252"/>
      <c r="CLJ380" s="252"/>
      <c r="CLK380" s="252"/>
      <c r="CLL380" s="252"/>
      <c r="CLM380" s="252"/>
      <c r="CLN380" s="252"/>
      <c r="CLO380" s="252"/>
      <c r="CLP380" s="252"/>
      <c r="CLQ380" s="252"/>
      <c r="CLR380" s="252"/>
      <c r="CLS380" s="252"/>
      <c r="CLT380" s="252"/>
      <c r="CLU380" s="252"/>
      <c r="CLV380" s="252"/>
      <c r="CLW380" s="252"/>
      <c r="CLX380" s="252"/>
      <c r="CLY380" s="252"/>
      <c r="CLZ380" s="252"/>
      <c r="CMA380" s="252"/>
      <c r="CMB380" s="252"/>
      <c r="CMC380" s="252"/>
      <c r="CMD380" s="252"/>
      <c r="CME380" s="252"/>
      <c r="CMF380" s="252"/>
      <c r="CMG380" s="252"/>
      <c r="CMH380" s="252"/>
      <c r="CMI380" s="252"/>
      <c r="CMJ380" s="252"/>
      <c r="CMK380" s="252"/>
      <c r="CML380" s="252"/>
      <c r="CMM380" s="252"/>
      <c r="CMN380" s="252"/>
      <c r="CMO380" s="252"/>
      <c r="CMP380" s="252"/>
      <c r="CMQ380" s="252"/>
      <c r="CMR380" s="252"/>
      <c r="CMS380" s="252"/>
      <c r="CMT380" s="252"/>
      <c r="CMU380" s="252"/>
      <c r="CMV380" s="252"/>
      <c r="CMW380" s="252"/>
      <c r="CMX380" s="252"/>
      <c r="CMY380" s="252"/>
      <c r="CMZ380" s="252"/>
      <c r="CNA380" s="252"/>
      <c r="CNB380" s="252"/>
      <c r="CNC380" s="252"/>
      <c r="CND380" s="252"/>
      <c r="CNE380" s="252"/>
      <c r="CNF380" s="252"/>
      <c r="CNG380" s="252"/>
      <c r="CNH380" s="252"/>
      <c r="CNI380" s="252"/>
      <c r="CNJ380" s="252"/>
      <c r="CNK380" s="252"/>
      <c r="CNL380" s="252"/>
      <c r="CNM380" s="252"/>
      <c r="CNN380" s="252"/>
      <c r="CNO380" s="252"/>
      <c r="CNP380" s="252"/>
      <c r="CNQ380" s="252"/>
      <c r="CNR380" s="252"/>
      <c r="CNS380" s="252"/>
      <c r="CNT380" s="252"/>
      <c r="CNU380" s="252"/>
      <c r="CNV380" s="252"/>
      <c r="CNW380" s="252"/>
      <c r="CNX380" s="252"/>
      <c r="CNY380" s="252"/>
      <c r="CNZ380" s="252"/>
      <c r="COA380" s="252"/>
      <c r="COB380" s="252"/>
      <c r="COC380" s="252"/>
      <c r="COD380" s="252"/>
      <c r="COE380" s="252"/>
      <c r="COF380" s="252"/>
      <c r="COG380" s="252"/>
      <c r="COH380" s="252"/>
      <c r="COI380" s="252"/>
      <c r="COJ380" s="252"/>
      <c r="COK380" s="252"/>
      <c r="COL380" s="252"/>
      <c r="COM380" s="252"/>
      <c r="CON380" s="252"/>
      <c r="COO380" s="252"/>
      <c r="COP380" s="252"/>
      <c r="COQ380" s="252"/>
      <c r="COR380" s="252"/>
      <c r="COS380" s="252"/>
      <c r="COT380" s="252"/>
      <c r="COU380" s="252"/>
      <c r="COV380" s="252"/>
      <c r="COW380" s="252"/>
      <c r="COX380" s="252"/>
      <c r="COY380" s="252"/>
      <c r="COZ380" s="252"/>
      <c r="CPA380" s="252"/>
      <c r="CPB380" s="252"/>
      <c r="CPC380" s="252"/>
      <c r="CPD380" s="252"/>
      <c r="CPE380" s="252"/>
      <c r="CPF380" s="252"/>
      <c r="CPG380" s="252"/>
      <c r="CPH380" s="252"/>
      <c r="CPI380" s="252"/>
      <c r="CPJ380" s="252"/>
      <c r="CPK380" s="252"/>
      <c r="CPL380" s="252"/>
      <c r="CPM380" s="252"/>
      <c r="CPN380" s="252"/>
      <c r="CPO380" s="252"/>
      <c r="CPP380" s="252"/>
      <c r="CPQ380" s="252"/>
      <c r="CPR380" s="252"/>
      <c r="CPS380" s="252"/>
      <c r="CPT380" s="252"/>
      <c r="CPU380" s="252"/>
      <c r="CPV380" s="252"/>
      <c r="CPW380" s="252"/>
      <c r="CPX380" s="252"/>
      <c r="CPY380" s="252"/>
      <c r="CPZ380" s="252"/>
      <c r="CQA380" s="252"/>
      <c r="CQB380" s="252"/>
      <c r="CQC380" s="252"/>
      <c r="CQD380" s="252"/>
      <c r="CQE380" s="252"/>
      <c r="CQF380" s="252"/>
      <c r="CQG380" s="252"/>
      <c r="CQH380" s="252"/>
      <c r="CQI380" s="252"/>
      <c r="CQJ380" s="252"/>
      <c r="CQK380" s="252"/>
      <c r="CQL380" s="252"/>
      <c r="CQM380" s="252"/>
      <c r="CQN380" s="252"/>
      <c r="CQO380" s="252"/>
      <c r="CQP380" s="252"/>
      <c r="CQQ380" s="252"/>
      <c r="CQR380" s="252"/>
      <c r="CQS380" s="252"/>
      <c r="CQT380" s="252"/>
      <c r="CQU380" s="252"/>
      <c r="CQV380" s="252"/>
      <c r="CQW380" s="252"/>
      <c r="CQX380" s="252"/>
      <c r="CQY380" s="252"/>
      <c r="CQZ380" s="252"/>
      <c r="CRA380" s="252"/>
      <c r="CRB380" s="252"/>
      <c r="CRC380" s="252"/>
      <c r="CRD380" s="252"/>
      <c r="CRE380" s="252"/>
      <c r="CRF380" s="252"/>
      <c r="CRG380" s="252"/>
      <c r="CRH380" s="252"/>
      <c r="CRI380" s="252"/>
      <c r="CRJ380" s="252"/>
      <c r="CRK380" s="252"/>
      <c r="CRL380" s="252"/>
      <c r="CRM380" s="252"/>
      <c r="CRN380" s="252"/>
      <c r="CRO380" s="252"/>
      <c r="CRP380" s="252"/>
      <c r="CRQ380" s="252"/>
      <c r="CRR380" s="252"/>
      <c r="CRS380" s="252"/>
      <c r="CRT380" s="252"/>
      <c r="CRU380" s="252"/>
      <c r="CRV380" s="252"/>
      <c r="CRW380" s="252"/>
      <c r="CRX380" s="252"/>
      <c r="CRY380" s="252"/>
      <c r="CRZ380" s="252"/>
      <c r="CSA380" s="252"/>
      <c r="CSB380" s="252"/>
      <c r="CSC380" s="252"/>
      <c r="CSD380" s="252"/>
      <c r="CSE380" s="252"/>
      <c r="CSF380" s="252"/>
      <c r="CSG380" s="252"/>
      <c r="CSH380" s="252"/>
      <c r="CSI380" s="252"/>
      <c r="CSJ380" s="252"/>
      <c r="CSK380" s="252"/>
      <c r="CSL380" s="252"/>
      <c r="CSM380" s="252"/>
      <c r="CSN380" s="252"/>
      <c r="CSO380" s="252"/>
      <c r="CSP380" s="252"/>
      <c r="CSQ380" s="252"/>
      <c r="CSR380" s="252"/>
      <c r="CSS380" s="252"/>
      <c r="CST380" s="252"/>
      <c r="CSU380" s="252"/>
      <c r="CSV380" s="252"/>
      <c r="CSW380" s="252"/>
      <c r="CSX380" s="252"/>
      <c r="CSY380" s="252"/>
      <c r="CSZ380" s="252"/>
      <c r="CTA380" s="252"/>
      <c r="CTB380" s="252"/>
      <c r="CTC380" s="252"/>
      <c r="CTD380" s="252"/>
      <c r="CTE380" s="252"/>
      <c r="CTF380" s="252"/>
      <c r="CTG380" s="252"/>
      <c r="CTH380" s="252"/>
      <c r="CTI380" s="252"/>
      <c r="CTJ380" s="252"/>
      <c r="CTK380" s="252"/>
      <c r="CTL380" s="252"/>
      <c r="CTM380" s="252"/>
      <c r="CTN380" s="252"/>
      <c r="CTO380" s="252"/>
      <c r="CTP380" s="252"/>
      <c r="CTQ380" s="252"/>
      <c r="CTR380" s="252"/>
      <c r="CTS380" s="252"/>
      <c r="CTT380" s="252"/>
      <c r="CTU380" s="252"/>
      <c r="CTV380" s="252"/>
      <c r="CTW380" s="252"/>
      <c r="CTX380" s="252"/>
      <c r="CTY380" s="252"/>
      <c r="CTZ380" s="252"/>
      <c r="CUA380" s="252"/>
      <c r="CUB380" s="252"/>
      <c r="CUC380" s="252"/>
      <c r="CUD380" s="252"/>
      <c r="CUE380" s="252"/>
      <c r="CUF380" s="252"/>
      <c r="CUG380" s="252"/>
      <c r="CUH380" s="252"/>
      <c r="CUI380" s="252"/>
      <c r="CUJ380" s="252"/>
      <c r="CUK380" s="252"/>
      <c r="CUL380" s="252"/>
      <c r="CUM380" s="252"/>
      <c r="CUN380" s="252"/>
      <c r="CUO380" s="252"/>
      <c r="CUP380" s="252"/>
      <c r="CUQ380" s="252"/>
      <c r="CUR380" s="252"/>
      <c r="CUS380" s="252"/>
      <c r="CUT380" s="252"/>
      <c r="CUU380" s="252"/>
      <c r="CUV380" s="252"/>
      <c r="CUW380" s="252"/>
      <c r="CUX380" s="252"/>
      <c r="CUY380" s="252"/>
      <c r="CUZ380" s="252"/>
      <c r="CVA380" s="252"/>
      <c r="CVB380" s="252"/>
      <c r="CVC380" s="252"/>
      <c r="CVD380" s="252"/>
      <c r="CVE380" s="252"/>
      <c r="CVF380" s="252"/>
      <c r="CVG380" s="252"/>
      <c r="CVH380" s="252"/>
      <c r="CVI380" s="252"/>
      <c r="CVJ380" s="252"/>
      <c r="CVK380" s="252"/>
      <c r="CVL380" s="252"/>
      <c r="CVM380" s="252"/>
      <c r="CVN380" s="252"/>
      <c r="CVO380" s="252"/>
      <c r="CVP380" s="252"/>
      <c r="CVQ380" s="252"/>
      <c r="CVR380" s="252"/>
      <c r="CVS380" s="252"/>
      <c r="CVT380" s="252"/>
      <c r="CVU380" s="252"/>
      <c r="CVV380" s="252"/>
      <c r="CVW380" s="252"/>
      <c r="CVX380" s="252"/>
      <c r="CVY380" s="252"/>
      <c r="CVZ380" s="252"/>
      <c r="CWA380" s="252"/>
      <c r="CWB380" s="252"/>
      <c r="CWC380" s="252"/>
      <c r="CWD380" s="252"/>
      <c r="CWE380" s="252"/>
      <c r="CWF380" s="252"/>
      <c r="CWG380" s="252"/>
      <c r="CWH380" s="252"/>
      <c r="CWI380" s="252"/>
      <c r="CWJ380" s="252"/>
      <c r="CWK380" s="252"/>
      <c r="CWL380" s="252"/>
      <c r="CWM380" s="252"/>
      <c r="CWN380" s="252"/>
      <c r="CWO380" s="252"/>
      <c r="CWP380" s="252"/>
      <c r="CWQ380" s="252"/>
      <c r="CWR380" s="252"/>
      <c r="CWS380" s="252"/>
      <c r="CWT380" s="252"/>
      <c r="CWU380" s="252"/>
      <c r="CWV380" s="252"/>
      <c r="CWW380" s="252"/>
      <c r="CWX380" s="252"/>
      <c r="CWY380" s="252"/>
      <c r="CWZ380" s="252"/>
      <c r="CXA380" s="252"/>
      <c r="CXB380" s="252"/>
      <c r="CXC380" s="252"/>
      <c r="CXD380" s="252"/>
      <c r="CXE380" s="252"/>
      <c r="CXF380" s="252"/>
      <c r="CXG380" s="252"/>
      <c r="CXH380" s="252"/>
      <c r="CXI380" s="252"/>
      <c r="CXJ380" s="252"/>
      <c r="CXK380" s="252"/>
      <c r="CXL380" s="252"/>
      <c r="CXM380" s="252"/>
      <c r="CXN380" s="252"/>
      <c r="CXO380" s="252"/>
      <c r="CXP380" s="252"/>
      <c r="CXQ380" s="252"/>
      <c r="CXR380" s="252"/>
      <c r="CXS380" s="252"/>
      <c r="CXT380" s="252"/>
      <c r="CXU380" s="252"/>
      <c r="CXV380" s="252"/>
      <c r="CXW380" s="252"/>
      <c r="CXX380" s="252"/>
      <c r="CXY380" s="252"/>
      <c r="CXZ380" s="252"/>
      <c r="CYA380" s="252"/>
      <c r="CYB380" s="252"/>
      <c r="CYC380" s="252"/>
      <c r="CYD380" s="252"/>
      <c r="CYE380" s="252"/>
      <c r="CYF380" s="252"/>
      <c r="CYG380" s="252"/>
      <c r="CYH380" s="252"/>
      <c r="CYI380" s="252"/>
      <c r="CYJ380" s="252"/>
      <c r="CYK380" s="252"/>
      <c r="CYL380" s="252"/>
      <c r="CYM380" s="252"/>
      <c r="CYN380" s="252"/>
      <c r="CYO380" s="252"/>
      <c r="CYP380" s="252"/>
      <c r="CYQ380" s="252"/>
      <c r="CYR380" s="252"/>
      <c r="CYS380" s="252"/>
      <c r="CYT380" s="252"/>
      <c r="CYU380" s="252"/>
      <c r="CYV380" s="252"/>
      <c r="CYW380" s="252"/>
      <c r="CYX380" s="252"/>
      <c r="CYY380" s="252"/>
      <c r="CYZ380" s="252"/>
      <c r="CZA380" s="252"/>
      <c r="CZB380" s="252"/>
      <c r="CZC380" s="252"/>
      <c r="CZD380" s="252"/>
      <c r="CZE380" s="252"/>
      <c r="CZF380" s="252"/>
      <c r="CZG380" s="252"/>
      <c r="CZH380" s="252"/>
      <c r="CZI380" s="252"/>
      <c r="CZJ380" s="252"/>
      <c r="CZK380" s="252"/>
      <c r="CZL380" s="252"/>
      <c r="CZM380" s="252"/>
      <c r="CZN380" s="252"/>
      <c r="CZO380" s="252"/>
      <c r="CZP380" s="252"/>
      <c r="CZQ380" s="252"/>
      <c r="CZR380" s="252"/>
      <c r="CZS380" s="252"/>
      <c r="CZT380" s="252"/>
      <c r="CZU380" s="252"/>
      <c r="CZV380" s="252"/>
      <c r="CZW380" s="252"/>
      <c r="CZX380" s="252"/>
      <c r="CZY380" s="252"/>
      <c r="CZZ380" s="252"/>
      <c r="DAA380" s="252"/>
      <c r="DAB380" s="252"/>
      <c r="DAC380" s="252"/>
      <c r="DAD380" s="252"/>
      <c r="DAE380" s="252"/>
      <c r="DAF380" s="252"/>
      <c r="DAG380" s="252"/>
      <c r="DAH380" s="252"/>
      <c r="DAI380" s="252"/>
      <c r="DAJ380" s="252"/>
      <c r="DAK380" s="252"/>
      <c r="DAL380" s="252"/>
      <c r="DAM380" s="252"/>
      <c r="DAN380" s="252"/>
      <c r="DAO380" s="252"/>
      <c r="DAP380" s="252"/>
      <c r="DAQ380" s="252"/>
      <c r="DAR380" s="252"/>
      <c r="DAS380" s="252"/>
      <c r="DAT380" s="252"/>
      <c r="DAU380" s="252"/>
      <c r="DAV380" s="252"/>
      <c r="DAW380" s="252"/>
      <c r="DAX380" s="252"/>
      <c r="DAY380" s="252"/>
      <c r="DAZ380" s="252"/>
      <c r="DBA380" s="252"/>
      <c r="DBB380" s="252"/>
      <c r="DBC380" s="252"/>
      <c r="DBD380" s="252"/>
      <c r="DBE380" s="252"/>
      <c r="DBF380" s="252"/>
      <c r="DBG380" s="252"/>
      <c r="DBH380" s="252"/>
      <c r="DBI380" s="252"/>
      <c r="DBJ380" s="252"/>
      <c r="DBK380" s="252"/>
      <c r="DBL380" s="252"/>
      <c r="DBM380" s="252"/>
      <c r="DBN380" s="252"/>
      <c r="DBO380" s="252"/>
      <c r="DBP380" s="252"/>
      <c r="DBQ380" s="252"/>
      <c r="DBR380" s="252"/>
      <c r="DBS380" s="252"/>
      <c r="DBT380" s="252"/>
      <c r="DBU380" s="252"/>
      <c r="DBV380" s="252"/>
      <c r="DBW380" s="252"/>
      <c r="DBX380" s="252"/>
      <c r="DBY380" s="252"/>
      <c r="DBZ380" s="252"/>
      <c r="DCA380" s="252"/>
      <c r="DCB380" s="252"/>
      <c r="DCC380" s="252"/>
      <c r="DCD380" s="252"/>
      <c r="DCE380" s="252"/>
      <c r="DCF380" s="252"/>
      <c r="DCG380" s="252"/>
      <c r="DCH380" s="252"/>
      <c r="DCI380" s="252"/>
      <c r="DCJ380" s="252"/>
      <c r="DCK380" s="252"/>
      <c r="DCL380" s="252"/>
      <c r="DCM380" s="252"/>
      <c r="DCN380" s="252"/>
      <c r="DCO380" s="252"/>
      <c r="DCP380" s="252"/>
      <c r="DCQ380" s="252"/>
      <c r="DCR380" s="252"/>
      <c r="DCS380" s="252"/>
      <c r="DCT380" s="252"/>
      <c r="DCU380" s="252"/>
      <c r="DCV380" s="252"/>
      <c r="DCW380" s="252"/>
      <c r="DCX380" s="252"/>
      <c r="DCY380" s="252"/>
      <c r="DCZ380" s="252"/>
      <c r="DDA380" s="252"/>
      <c r="DDB380" s="252"/>
      <c r="DDC380" s="252"/>
      <c r="DDD380" s="252"/>
      <c r="DDE380" s="252"/>
      <c r="DDF380" s="252"/>
      <c r="DDG380" s="252"/>
      <c r="DDH380" s="252"/>
      <c r="DDI380" s="252"/>
      <c r="DDJ380" s="252"/>
      <c r="DDK380" s="252"/>
      <c r="DDL380" s="252"/>
      <c r="DDM380" s="252"/>
      <c r="DDN380" s="252"/>
      <c r="DDO380" s="252"/>
      <c r="DDP380" s="252"/>
      <c r="DDQ380" s="252"/>
      <c r="DDR380" s="252"/>
      <c r="DDS380" s="252"/>
      <c r="DDT380" s="252"/>
      <c r="DDU380" s="252"/>
      <c r="DDV380" s="252"/>
      <c r="DDW380" s="252"/>
      <c r="DDX380" s="252"/>
      <c r="DDY380" s="252"/>
      <c r="DDZ380" s="252"/>
      <c r="DEA380" s="252"/>
      <c r="DEB380" s="252"/>
      <c r="DEC380" s="252"/>
      <c r="DED380" s="252"/>
      <c r="DEE380" s="252"/>
      <c r="DEF380" s="252"/>
      <c r="DEG380" s="252"/>
      <c r="DEH380" s="252"/>
      <c r="DEI380" s="252"/>
      <c r="DEJ380" s="252"/>
      <c r="DEK380" s="252"/>
      <c r="DEL380" s="252"/>
      <c r="DEM380" s="252"/>
      <c r="DEN380" s="252"/>
      <c r="DEO380" s="252"/>
      <c r="DEP380" s="252"/>
      <c r="DEQ380" s="252"/>
      <c r="DER380" s="252"/>
      <c r="DES380" s="252"/>
      <c r="DET380" s="252"/>
      <c r="DEU380" s="252"/>
      <c r="DEV380" s="252"/>
      <c r="DEW380" s="252"/>
      <c r="DEX380" s="252"/>
      <c r="DEY380" s="252"/>
      <c r="DEZ380" s="252"/>
      <c r="DFA380" s="252"/>
      <c r="DFB380" s="252"/>
      <c r="DFC380" s="252"/>
      <c r="DFD380" s="252"/>
      <c r="DFE380" s="252"/>
      <c r="DFF380" s="252"/>
      <c r="DFG380" s="252"/>
      <c r="DFH380" s="252"/>
      <c r="DFI380" s="252"/>
      <c r="DFJ380" s="252"/>
      <c r="DFK380" s="252"/>
      <c r="DFL380" s="252"/>
      <c r="DFM380" s="252"/>
      <c r="DFN380" s="252"/>
      <c r="DFO380" s="252"/>
      <c r="DFP380" s="252"/>
      <c r="DFQ380" s="252"/>
      <c r="DFR380" s="252"/>
      <c r="DFS380" s="252"/>
      <c r="DFT380" s="252"/>
      <c r="DFU380" s="252"/>
      <c r="DFV380" s="252"/>
      <c r="DFW380" s="252"/>
      <c r="DFX380" s="252"/>
      <c r="DFY380" s="252"/>
      <c r="DFZ380" s="252"/>
      <c r="DGA380" s="252"/>
      <c r="DGB380" s="252"/>
      <c r="DGC380" s="252"/>
      <c r="DGD380" s="252"/>
      <c r="DGE380" s="252"/>
      <c r="DGF380" s="252"/>
      <c r="DGG380" s="252"/>
      <c r="DGH380" s="252"/>
      <c r="DGI380" s="252"/>
      <c r="DGJ380" s="252"/>
      <c r="DGK380" s="252"/>
      <c r="DGL380" s="252"/>
      <c r="DGM380" s="252"/>
      <c r="DGN380" s="252"/>
      <c r="DGO380" s="252"/>
      <c r="DGP380" s="252"/>
      <c r="DGQ380" s="252"/>
      <c r="DGR380" s="252"/>
      <c r="DGS380" s="252"/>
      <c r="DGT380" s="252"/>
      <c r="DGU380" s="252"/>
      <c r="DGV380" s="252"/>
      <c r="DGW380" s="252"/>
      <c r="DGX380" s="252"/>
      <c r="DGY380" s="252"/>
      <c r="DGZ380" s="252"/>
      <c r="DHA380" s="252"/>
      <c r="DHB380" s="252"/>
      <c r="DHC380" s="252"/>
      <c r="DHD380" s="252"/>
      <c r="DHE380" s="252"/>
      <c r="DHF380" s="252"/>
      <c r="DHG380" s="252"/>
      <c r="DHH380" s="252"/>
      <c r="DHI380" s="252"/>
      <c r="DHJ380" s="252"/>
      <c r="DHK380" s="252"/>
      <c r="DHL380" s="252"/>
      <c r="DHM380" s="252"/>
      <c r="DHN380" s="252"/>
      <c r="DHO380" s="252"/>
      <c r="DHP380" s="252"/>
      <c r="DHQ380" s="252"/>
      <c r="DHR380" s="252"/>
      <c r="DHS380" s="252"/>
      <c r="DHT380" s="252"/>
      <c r="DHU380" s="252"/>
      <c r="DHV380" s="252"/>
      <c r="DHW380" s="252"/>
      <c r="DHX380" s="252"/>
      <c r="DHY380" s="252"/>
      <c r="DHZ380" s="252"/>
      <c r="DIA380" s="252"/>
      <c r="DIB380" s="252"/>
      <c r="DIC380" s="252"/>
      <c r="DID380" s="252"/>
      <c r="DIE380" s="252"/>
      <c r="DIF380" s="252"/>
      <c r="DIG380" s="252"/>
      <c r="DIH380" s="252"/>
      <c r="DII380" s="252"/>
      <c r="DIJ380" s="252"/>
      <c r="DIK380" s="252"/>
      <c r="DIL380" s="252"/>
      <c r="DIM380" s="252"/>
      <c r="DIN380" s="252"/>
      <c r="DIO380" s="252"/>
      <c r="DIP380" s="252"/>
      <c r="DIQ380" s="252"/>
      <c r="DIR380" s="252"/>
      <c r="DIS380" s="252"/>
      <c r="DIT380" s="252"/>
      <c r="DIU380" s="252"/>
      <c r="DIV380" s="252"/>
      <c r="DIW380" s="252"/>
      <c r="DIX380" s="252"/>
      <c r="DIY380" s="252"/>
      <c r="DIZ380" s="252"/>
      <c r="DJA380" s="252"/>
      <c r="DJB380" s="252"/>
      <c r="DJC380" s="252"/>
      <c r="DJD380" s="252"/>
      <c r="DJE380" s="252"/>
      <c r="DJF380" s="252"/>
      <c r="DJG380" s="252"/>
      <c r="DJH380" s="252"/>
      <c r="DJI380" s="252"/>
      <c r="DJJ380" s="252"/>
      <c r="DJK380" s="252"/>
      <c r="DJL380" s="252"/>
      <c r="DJM380" s="252"/>
      <c r="DJN380" s="252"/>
      <c r="DJO380" s="252"/>
      <c r="DJP380" s="252"/>
      <c r="DJQ380" s="252"/>
      <c r="DJR380" s="252"/>
      <c r="DJS380" s="252"/>
      <c r="DJT380" s="252"/>
      <c r="DJU380" s="252"/>
      <c r="DJV380" s="252"/>
      <c r="DJW380" s="252"/>
      <c r="DJX380" s="252"/>
      <c r="DJY380" s="252"/>
      <c r="DJZ380" s="252"/>
      <c r="DKA380" s="252"/>
      <c r="DKB380" s="252"/>
      <c r="DKC380" s="252"/>
      <c r="DKD380" s="252"/>
      <c r="DKE380" s="252"/>
      <c r="DKF380" s="252"/>
      <c r="DKG380" s="252"/>
      <c r="DKH380" s="252"/>
      <c r="DKI380" s="252"/>
      <c r="DKJ380" s="252"/>
      <c r="DKK380" s="252"/>
      <c r="DKL380" s="252"/>
      <c r="DKM380" s="252"/>
      <c r="DKN380" s="252"/>
      <c r="DKO380" s="252"/>
      <c r="DKP380" s="252"/>
      <c r="DKQ380" s="252"/>
      <c r="DKR380" s="252"/>
      <c r="DKS380" s="252"/>
      <c r="DKT380" s="252"/>
      <c r="DKU380" s="252"/>
      <c r="DKV380" s="252"/>
      <c r="DKW380" s="252"/>
      <c r="DKX380" s="252"/>
      <c r="DKY380" s="252"/>
      <c r="DKZ380" s="252"/>
      <c r="DLA380" s="252"/>
      <c r="DLB380" s="252"/>
      <c r="DLC380" s="252"/>
      <c r="DLD380" s="252"/>
      <c r="DLE380" s="252"/>
      <c r="DLF380" s="252"/>
      <c r="DLG380" s="252"/>
      <c r="DLH380" s="252"/>
      <c r="DLI380" s="252"/>
      <c r="DLJ380" s="252"/>
      <c r="DLK380" s="252"/>
      <c r="DLL380" s="252"/>
      <c r="DLM380" s="252"/>
      <c r="DLN380" s="252"/>
      <c r="DLO380" s="252"/>
      <c r="DLP380" s="252"/>
      <c r="DLQ380" s="252"/>
      <c r="DLR380" s="252"/>
      <c r="DLS380" s="252"/>
      <c r="DLT380" s="252"/>
      <c r="DLU380" s="252"/>
      <c r="DLV380" s="252"/>
      <c r="DLW380" s="252"/>
      <c r="DLX380" s="252"/>
      <c r="DLY380" s="252"/>
      <c r="DLZ380" s="252"/>
      <c r="DMA380" s="252"/>
      <c r="DMB380" s="252"/>
      <c r="DMC380" s="252"/>
      <c r="DMD380" s="252"/>
      <c r="DME380" s="252"/>
      <c r="DMF380" s="252"/>
      <c r="DMG380" s="252"/>
      <c r="DMH380" s="252"/>
      <c r="DMI380" s="252"/>
      <c r="DMJ380" s="252"/>
      <c r="DMK380" s="252"/>
      <c r="DML380" s="252"/>
      <c r="DMM380" s="252"/>
      <c r="DMN380" s="252"/>
      <c r="DMO380" s="252"/>
      <c r="DMP380" s="252"/>
      <c r="DMQ380" s="252"/>
      <c r="DMR380" s="252"/>
      <c r="DMS380" s="252"/>
      <c r="DMT380" s="252"/>
      <c r="DMU380" s="252"/>
      <c r="DMV380" s="252"/>
      <c r="DMW380" s="252"/>
      <c r="DMX380" s="252"/>
      <c r="DMY380" s="252"/>
      <c r="DMZ380" s="252"/>
      <c r="DNA380" s="252"/>
      <c r="DNB380" s="252"/>
      <c r="DNC380" s="252"/>
      <c r="DND380" s="252"/>
      <c r="DNE380" s="252"/>
      <c r="DNF380" s="252"/>
      <c r="DNG380" s="252"/>
      <c r="DNH380" s="252"/>
      <c r="DNI380" s="252"/>
      <c r="DNJ380" s="252"/>
      <c r="DNK380" s="252"/>
      <c r="DNL380" s="252"/>
      <c r="DNM380" s="252"/>
      <c r="DNN380" s="252"/>
      <c r="DNO380" s="252"/>
      <c r="DNP380" s="252"/>
      <c r="DNQ380" s="252"/>
      <c r="DNR380" s="252"/>
      <c r="DNS380" s="252"/>
      <c r="DNT380" s="252"/>
      <c r="DNU380" s="252"/>
      <c r="DNV380" s="252"/>
      <c r="DNW380" s="252"/>
      <c r="DNX380" s="252"/>
      <c r="DNY380" s="252"/>
      <c r="DNZ380" s="252"/>
      <c r="DOA380" s="252"/>
      <c r="DOB380" s="252"/>
      <c r="DOC380" s="252"/>
      <c r="DOD380" s="252"/>
      <c r="DOE380" s="252"/>
      <c r="DOF380" s="252"/>
      <c r="DOG380" s="252"/>
      <c r="DOH380" s="252"/>
      <c r="DOI380" s="252"/>
      <c r="DOJ380" s="252"/>
      <c r="DOK380" s="252"/>
      <c r="DOL380" s="252"/>
      <c r="DOM380" s="252"/>
      <c r="DON380" s="252"/>
      <c r="DOO380" s="252"/>
      <c r="DOP380" s="252"/>
      <c r="DOQ380" s="252"/>
      <c r="DOR380" s="252"/>
      <c r="DOS380" s="252"/>
      <c r="DOT380" s="252"/>
      <c r="DOU380" s="252"/>
      <c r="DOV380" s="252"/>
      <c r="DOW380" s="252"/>
      <c r="DOX380" s="252"/>
      <c r="DOY380" s="252"/>
      <c r="DOZ380" s="252"/>
      <c r="DPA380" s="252"/>
      <c r="DPB380" s="252"/>
      <c r="DPC380" s="252"/>
      <c r="DPD380" s="252"/>
      <c r="DPE380" s="252"/>
      <c r="DPF380" s="252"/>
      <c r="DPG380" s="252"/>
      <c r="DPH380" s="252"/>
      <c r="DPI380" s="252"/>
      <c r="DPJ380" s="252"/>
      <c r="DPK380" s="252"/>
      <c r="DPL380" s="252"/>
      <c r="DPM380" s="252"/>
      <c r="DPN380" s="252"/>
      <c r="DPO380" s="252"/>
      <c r="DPP380" s="252"/>
      <c r="DPQ380" s="252"/>
      <c r="DPR380" s="252"/>
      <c r="DPS380" s="252"/>
      <c r="DPT380" s="252"/>
      <c r="DPU380" s="252"/>
      <c r="DPV380" s="252"/>
      <c r="DPW380" s="252"/>
      <c r="DPX380" s="252"/>
      <c r="DPY380" s="252"/>
      <c r="DPZ380" s="252"/>
      <c r="DQA380" s="252"/>
      <c r="DQB380" s="252"/>
      <c r="DQC380" s="252"/>
      <c r="DQD380" s="252"/>
      <c r="DQE380" s="252"/>
      <c r="DQF380" s="252"/>
      <c r="DQG380" s="252"/>
      <c r="DQH380" s="252"/>
      <c r="DQI380" s="252"/>
      <c r="DQJ380" s="252"/>
      <c r="DQK380" s="252"/>
      <c r="DQL380" s="252"/>
      <c r="DQM380" s="252"/>
      <c r="DQN380" s="252"/>
      <c r="DQO380" s="252"/>
      <c r="DQP380" s="252"/>
      <c r="DQQ380" s="252"/>
      <c r="DQR380" s="252"/>
      <c r="DQS380" s="252"/>
      <c r="DQT380" s="252"/>
      <c r="DQU380" s="252"/>
      <c r="DQV380" s="252"/>
      <c r="DQW380" s="252"/>
      <c r="DQX380" s="252"/>
      <c r="DQY380" s="252"/>
      <c r="DQZ380" s="252"/>
      <c r="DRA380" s="252"/>
      <c r="DRB380" s="252"/>
      <c r="DRC380" s="252"/>
      <c r="DRD380" s="252"/>
      <c r="DRE380" s="252"/>
      <c r="DRF380" s="252"/>
      <c r="DRG380" s="252"/>
      <c r="DRH380" s="252"/>
      <c r="DRI380" s="252"/>
      <c r="DRJ380" s="252"/>
      <c r="DRK380" s="252"/>
      <c r="DRL380" s="252"/>
      <c r="DRM380" s="252"/>
      <c r="DRN380" s="252"/>
      <c r="DRO380" s="252"/>
      <c r="DRP380" s="252"/>
      <c r="DRQ380" s="252"/>
      <c r="DRR380" s="252"/>
      <c r="DRS380" s="252"/>
      <c r="DRT380" s="252"/>
      <c r="DRU380" s="252"/>
      <c r="DRV380" s="252"/>
      <c r="DRW380" s="252"/>
      <c r="DRX380" s="252"/>
      <c r="DRY380" s="252"/>
      <c r="DRZ380" s="252"/>
      <c r="DSA380" s="252"/>
      <c r="DSB380" s="252"/>
      <c r="DSC380" s="252"/>
      <c r="DSD380" s="252"/>
      <c r="DSE380" s="252"/>
      <c r="DSF380" s="252"/>
      <c r="DSG380" s="252"/>
      <c r="DSH380" s="252"/>
      <c r="DSI380" s="252"/>
      <c r="DSJ380" s="252"/>
      <c r="DSK380" s="252"/>
      <c r="DSL380" s="252"/>
      <c r="DSM380" s="252"/>
      <c r="DSN380" s="252"/>
      <c r="DSO380" s="252"/>
      <c r="DSP380" s="252"/>
      <c r="DSQ380" s="252"/>
      <c r="DSR380" s="252"/>
      <c r="DSS380" s="252"/>
      <c r="DST380" s="252"/>
      <c r="DSU380" s="252"/>
      <c r="DSV380" s="252"/>
      <c r="DSW380" s="252"/>
      <c r="DSX380" s="252"/>
      <c r="DSY380" s="252"/>
      <c r="DSZ380" s="252"/>
      <c r="DTA380" s="252"/>
      <c r="DTB380" s="252"/>
      <c r="DTC380" s="252"/>
      <c r="DTD380" s="252"/>
      <c r="DTE380" s="252"/>
      <c r="DTF380" s="252"/>
      <c r="DTG380" s="252"/>
      <c r="DTH380" s="252"/>
      <c r="DTI380" s="252"/>
      <c r="DTJ380" s="252"/>
      <c r="DTK380" s="252"/>
      <c r="DTL380" s="252"/>
      <c r="DTM380" s="252"/>
      <c r="DTN380" s="252"/>
      <c r="DTO380" s="252"/>
      <c r="DTP380" s="252"/>
      <c r="DTQ380" s="252"/>
      <c r="DTR380" s="252"/>
      <c r="DTS380" s="252"/>
      <c r="DTT380" s="252"/>
      <c r="DTU380" s="252"/>
      <c r="DTV380" s="252"/>
      <c r="DTW380" s="252"/>
      <c r="DTX380" s="252"/>
      <c r="DTY380" s="252"/>
      <c r="DTZ380" s="252"/>
      <c r="DUA380" s="252"/>
      <c r="DUB380" s="252"/>
      <c r="DUC380" s="252"/>
      <c r="DUD380" s="252"/>
      <c r="DUE380" s="252"/>
      <c r="DUF380" s="252"/>
      <c r="DUG380" s="252"/>
      <c r="DUH380" s="252"/>
      <c r="DUI380" s="252"/>
      <c r="DUJ380" s="252"/>
      <c r="DUK380" s="252"/>
      <c r="DUL380" s="252"/>
      <c r="DUM380" s="252"/>
      <c r="DUN380" s="252"/>
      <c r="DUO380" s="252"/>
      <c r="DUP380" s="252"/>
      <c r="DUQ380" s="252"/>
      <c r="DUR380" s="252"/>
      <c r="DUS380" s="252"/>
      <c r="DUT380" s="252"/>
      <c r="DUU380" s="252"/>
      <c r="DUV380" s="252"/>
      <c r="DUW380" s="252"/>
      <c r="DUX380" s="252"/>
      <c r="DUY380" s="252"/>
      <c r="DUZ380" s="252"/>
      <c r="DVA380" s="252"/>
      <c r="DVB380" s="252"/>
      <c r="DVC380" s="252"/>
      <c r="DVD380" s="252"/>
      <c r="DVE380" s="252"/>
      <c r="DVF380" s="252"/>
      <c r="DVG380" s="252"/>
      <c r="DVH380" s="252"/>
      <c r="DVI380" s="252"/>
      <c r="DVJ380" s="252"/>
      <c r="DVK380" s="252"/>
      <c r="DVL380" s="252"/>
      <c r="DVM380" s="252"/>
      <c r="DVN380" s="252"/>
      <c r="DVO380" s="252"/>
      <c r="DVP380" s="252"/>
      <c r="DVQ380" s="252"/>
      <c r="DVR380" s="252"/>
      <c r="DVS380" s="252"/>
      <c r="DVT380" s="252"/>
      <c r="DVU380" s="252"/>
      <c r="DVV380" s="252"/>
      <c r="DVW380" s="252"/>
      <c r="DVX380" s="252"/>
      <c r="DVY380" s="252"/>
      <c r="DVZ380" s="252"/>
      <c r="DWA380" s="252"/>
      <c r="DWB380" s="252"/>
      <c r="DWC380" s="252"/>
      <c r="DWD380" s="252"/>
      <c r="DWE380" s="252"/>
      <c r="DWF380" s="252"/>
      <c r="DWG380" s="252"/>
      <c r="DWH380" s="252"/>
      <c r="DWI380" s="252"/>
      <c r="DWJ380" s="252"/>
      <c r="DWK380" s="252"/>
      <c r="DWL380" s="252"/>
      <c r="DWM380" s="252"/>
      <c r="DWN380" s="252"/>
      <c r="DWO380" s="252"/>
      <c r="DWP380" s="252"/>
      <c r="DWQ380" s="252"/>
      <c r="DWR380" s="252"/>
      <c r="DWS380" s="252"/>
      <c r="DWT380" s="252"/>
      <c r="DWU380" s="252"/>
      <c r="DWV380" s="252"/>
      <c r="DWW380" s="252"/>
      <c r="DWX380" s="252"/>
      <c r="DWY380" s="252"/>
      <c r="DWZ380" s="252"/>
      <c r="DXA380" s="252"/>
      <c r="DXB380" s="252"/>
      <c r="DXC380" s="252"/>
      <c r="DXD380" s="252"/>
      <c r="DXE380" s="252"/>
      <c r="DXF380" s="252"/>
      <c r="DXG380" s="252"/>
      <c r="DXH380" s="252"/>
      <c r="DXI380" s="252"/>
      <c r="DXJ380" s="252"/>
      <c r="DXK380" s="252"/>
      <c r="DXL380" s="252"/>
      <c r="DXM380" s="252"/>
      <c r="DXN380" s="252"/>
      <c r="DXO380" s="252"/>
      <c r="DXP380" s="252"/>
      <c r="DXQ380" s="252"/>
      <c r="DXR380" s="252"/>
      <c r="DXS380" s="252"/>
      <c r="DXT380" s="252"/>
      <c r="DXU380" s="252"/>
      <c r="DXV380" s="252"/>
      <c r="DXW380" s="252"/>
      <c r="DXX380" s="252"/>
      <c r="DXY380" s="252"/>
      <c r="DXZ380" s="252"/>
      <c r="DYA380" s="252"/>
      <c r="DYB380" s="252"/>
      <c r="DYC380" s="252"/>
      <c r="DYD380" s="252"/>
      <c r="DYE380" s="252"/>
      <c r="DYF380" s="252"/>
      <c r="DYG380" s="252"/>
      <c r="DYH380" s="252"/>
      <c r="DYI380" s="252"/>
      <c r="DYJ380" s="252"/>
      <c r="DYK380" s="252"/>
      <c r="DYL380" s="252"/>
      <c r="DYM380" s="252"/>
      <c r="DYN380" s="252"/>
      <c r="DYO380" s="252"/>
      <c r="DYP380" s="252"/>
      <c r="DYQ380" s="252"/>
      <c r="DYR380" s="252"/>
      <c r="DYS380" s="252"/>
      <c r="DYT380" s="252"/>
      <c r="DYU380" s="252"/>
      <c r="DYV380" s="252"/>
      <c r="DYW380" s="252"/>
      <c r="DYX380" s="252"/>
      <c r="DYY380" s="252"/>
      <c r="DYZ380" s="252"/>
      <c r="DZA380" s="252"/>
      <c r="DZB380" s="252"/>
      <c r="DZC380" s="252"/>
      <c r="DZD380" s="252"/>
      <c r="DZE380" s="252"/>
      <c r="DZF380" s="252"/>
      <c r="DZG380" s="252"/>
      <c r="DZH380" s="252"/>
      <c r="DZI380" s="252"/>
      <c r="DZJ380" s="252"/>
      <c r="DZK380" s="252"/>
      <c r="DZL380" s="252"/>
      <c r="DZM380" s="252"/>
      <c r="DZN380" s="252"/>
      <c r="DZO380" s="252"/>
      <c r="DZP380" s="252"/>
      <c r="DZQ380" s="252"/>
      <c r="DZR380" s="252"/>
      <c r="DZS380" s="252"/>
      <c r="DZT380" s="252"/>
      <c r="DZU380" s="252"/>
      <c r="DZV380" s="252"/>
      <c r="DZW380" s="252"/>
      <c r="DZX380" s="252"/>
      <c r="DZY380" s="252"/>
      <c r="DZZ380" s="252"/>
      <c r="EAA380" s="252"/>
      <c r="EAB380" s="252"/>
      <c r="EAC380" s="252"/>
      <c r="EAD380" s="252"/>
      <c r="EAE380" s="252"/>
      <c r="EAF380" s="252"/>
      <c r="EAG380" s="252"/>
      <c r="EAH380" s="252"/>
      <c r="EAI380" s="252"/>
      <c r="EAJ380" s="252"/>
      <c r="EAK380" s="252"/>
      <c r="EAL380" s="252"/>
      <c r="EAM380" s="252"/>
      <c r="EAN380" s="252"/>
      <c r="EAO380" s="252"/>
      <c r="EAP380" s="252"/>
      <c r="EAQ380" s="252"/>
      <c r="EAR380" s="252"/>
      <c r="EAS380" s="252"/>
      <c r="EAT380" s="252"/>
      <c r="EAU380" s="252"/>
      <c r="EAV380" s="252"/>
      <c r="EAW380" s="252"/>
      <c r="EAX380" s="252"/>
      <c r="EAY380" s="252"/>
      <c r="EAZ380" s="252"/>
      <c r="EBA380" s="252"/>
      <c r="EBB380" s="252"/>
      <c r="EBC380" s="252"/>
      <c r="EBD380" s="252"/>
      <c r="EBE380" s="252"/>
      <c r="EBF380" s="252"/>
      <c r="EBG380" s="252"/>
      <c r="EBH380" s="252"/>
      <c r="EBI380" s="252"/>
      <c r="EBJ380" s="252"/>
      <c r="EBK380" s="252"/>
      <c r="EBL380" s="252"/>
      <c r="EBM380" s="252"/>
      <c r="EBN380" s="252"/>
      <c r="EBO380" s="252"/>
      <c r="EBP380" s="252"/>
      <c r="EBQ380" s="252"/>
      <c r="EBR380" s="252"/>
      <c r="EBS380" s="252"/>
      <c r="EBT380" s="252"/>
      <c r="EBU380" s="252"/>
      <c r="EBV380" s="252"/>
      <c r="EBW380" s="252"/>
      <c r="EBX380" s="252"/>
      <c r="EBY380" s="252"/>
      <c r="EBZ380" s="252"/>
      <c r="ECA380" s="252"/>
      <c r="ECB380" s="252"/>
      <c r="ECC380" s="252"/>
      <c r="ECD380" s="252"/>
      <c r="ECE380" s="252"/>
      <c r="ECF380" s="252"/>
      <c r="ECG380" s="252"/>
      <c r="ECH380" s="252"/>
      <c r="ECI380" s="252"/>
      <c r="ECJ380" s="252"/>
      <c r="ECK380" s="252"/>
      <c r="ECL380" s="252"/>
      <c r="ECM380" s="252"/>
      <c r="ECN380" s="252"/>
      <c r="ECO380" s="252"/>
      <c r="ECP380" s="252"/>
      <c r="ECQ380" s="252"/>
      <c r="ECR380" s="252"/>
      <c r="ECS380" s="252"/>
      <c r="ECT380" s="252"/>
      <c r="ECU380" s="252"/>
      <c r="ECV380" s="252"/>
      <c r="ECW380" s="252"/>
      <c r="ECX380" s="252"/>
      <c r="ECY380" s="252"/>
      <c r="ECZ380" s="252"/>
      <c r="EDA380" s="252"/>
      <c r="EDB380" s="252"/>
      <c r="EDC380" s="252"/>
      <c r="EDD380" s="252"/>
      <c r="EDE380" s="252"/>
      <c r="EDF380" s="252"/>
      <c r="EDG380" s="252"/>
      <c r="EDH380" s="252"/>
      <c r="EDI380" s="252"/>
      <c r="EDJ380" s="252"/>
      <c r="EDK380" s="252"/>
      <c r="EDL380" s="252"/>
      <c r="EDM380" s="252"/>
      <c r="EDN380" s="252"/>
      <c r="EDO380" s="252"/>
      <c r="EDP380" s="252"/>
      <c r="EDQ380" s="252"/>
      <c r="EDR380" s="252"/>
      <c r="EDS380" s="252"/>
      <c r="EDT380" s="252"/>
      <c r="EDU380" s="252"/>
      <c r="EDV380" s="252"/>
      <c r="EDW380" s="252"/>
      <c r="EDX380" s="252"/>
      <c r="EDY380" s="252"/>
      <c r="EDZ380" s="252"/>
      <c r="EEA380" s="252"/>
      <c r="EEB380" s="252"/>
      <c r="EEC380" s="252"/>
      <c r="EED380" s="252"/>
      <c r="EEE380" s="252"/>
      <c r="EEF380" s="252"/>
      <c r="EEG380" s="252"/>
      <c r="EEH380" s="252"/>
      <c r="EEI380" s="252"/>
      <c r="EEJ380" s="252"/>
      <c r="EEK380" s="252"/>
      <c r="EEL380" s="252"/>
      <c r="EEM380" s="252"/>
      <c r="EEN380" s="252"/>
      <c r="EEO380" s="252"/>
      <c r="EEP380" s="252"/>
      <c r="EEQ380" s="252"/>
      <c r="EER380" s="252"/>
      <c r="EES380" s="252"/>
      <c r="EET380" s="252"/>
      <c r="EEU380" s="252"/>
      <c r="EEV380" s="252"/>
      <c r="EEW380" s="252"/>
      <c r="EEX380" s="252"/>
      <c r="EEY380" s="252"/>
      <c r="EEZ380" s="252"/>
      <c r="EFA380" s="252"/>
      <c r="EFB380" s="252"/>
      <c r="EFC380" s="252"/>
      <c r="EFD380" s="252"/>
      <c r="EFE380" s="252"/>
      <c r="EFF380" s="252"/>
      <c r="EFG380" s="252"/>
      <c r="EFH380" s="252"/>
      <c r="EFI380" s="252"/>
      <c r="EFJ380" s="252"/>
      <c r="EFK380" s="252"/>
      <c r="EFL380" s="252"/>
      <c r="EFM380" s="252"/>
      <c r="EFN380" s="252"/>
      <c r="EFO380" s="252"/>
      <c r="EFP380" s="252"/>
      <c r="EFQ380" s="252"/>
      <c r="EFR380" s="252"/>
      <c r="EFS380" s="252"/>
      <c r="EFT380" s="252"/>
      <c r="EFU380" s="252"/>
      <c r="EFV380" s="252"/>
      <c r="EFW380" s="252"/>
      <c r="EFX380" s="252"/>
      <c r="EFY380" s="252"/>
      <c r="EFZ380" s="252"/>
      <c r="EGA380" s="252"/>
      <c r="EGB380" s="252"/>
      <c r="EGC380" s="252"/>
      <c r="EGD380" s="252"/>
      <c r="EGE380" s="252"/>
      <c r="EGF380" s="252"/>
      <c r="EGG380" s="252"/>
      <c r="EGH380" s="252"/>
      <c r="EGI380" s="252"/>
      <c r="EGJ380" s="252"/>
      <c r="EGK380" s="252"/>
      <c r="EGL380" s="252"/>
      <c r="EGM380" s="252"/>
      <c r="EGN380" s="252"/>
      <c r="EGO380" s="252"/>
      <c r="EGP380" s="252"/>
      <c r="EGQ380" s="252"/>
      <c r="EGR380" s="252"/>
      <c r="EGS380" s="252"/>
      <c r="EGT380" s="252"/>
      <c r="EGU380" s="252"/>
      <c r="EGV380" s="252"/>
      <c r="EGW380" s="252"/>
      <c r="EGX380" s="252"/>
      <c r="EGY380" s="252"/>
      <c r="EGZ380" s="252"/>
      <c r="EHA380" s="252"/>
      <c r="EHB380" s="252"/>
      <c r="EHC380" s="252"/>
      <c r="EHD380" s="252"/>
      <c r="EHE380" s="252"/>
      <c r="EHF380" s="252"/>
      <c r="EHG380" s="252"/>
      <c r="EHH380" s="252"/>
      <c r="EHI380" s="252"/>
      <c r="EHJ380" s="252"/>
      <c r="EHK380" s="252"/>
      <c r="EHL380" s="252"/>
      <c r="EHM380" s="252"/>
      <c r="EHN380" s="252"/>
      <c r="EHO380" s="252"/>
      <c r="EHP380" s="252"/>
      <c r="EHQ380" s="252"/>
      <c r="EHR380" s="252"/>
      <c r="EHS380" s="252"/>
      <c r="EHT380" s="252"/>
      <c r="EHU380" s="252"/>
      <c r="EHV380" s="252"/>
      <c r="EHW380" s="252"/>
      <c r="EHX380" s="252"/>
      <c r="EHY380" s="252"/>
      <c r="EHZ380" s="252"/>
      <c r="EIA380" s="252"/>
      <c r="EIB380" s="252"/>
      <c r="EIC380" s="252"/>
      <c r="EID380" s="252"/>
      <c r="EIE380" s="252"/>
      <c r="EIF380" s="252"/>
      <c r="EIG380" s="252"/>
      <c r="EIH380" s="252"/>
      <c r="EII380" s="252"/>
      <c r="EIJ380" s="252"/>
      <c r="EIK380" s="252"/>
      <c r="EIL380" s="252"/>
      <c r="EIM380" s="252"/>
      <c r="EIN380" s="252"/>
      <c r="EIO380" s="252"/>
      <c r="EIP380" s="252"/>
      <c r="EIQ380" s="252"/>
      <c r="EIR380" s="252"/>
      <c r="EIS380" s="252"/>
      <c r="EIT380" s="252"/>
      <c r="EIU380" s="252"/>
      <c r="EIV380" s="252"/>
      <c r="EIW380" s="252"/>
      <c r="EIX380" s="252"/>
      <c r="EIY380" s="252"/>
      <c r="EIZ380" s="252"/>
      <c r="EJA380" s="252"/>
      <c r="EJB380" s="252"/>
      <c r="EJC380" s="252"/>
      <c r="EJD380" s="252"/>
      <c r="EJE380" s="252"/>
      <c r="EJF380" s="252"/>
      <c r="EJG380" s="252"/>
      <c r="EJH380" s="252"/>
      <c r="EJI380" s="252"/>
      <c r="EJJ380" s="252"/>
      <c r="EJK380" s="252"/>
      <c r="EJL380" s="252"/>
      <c r="EJM380" s="252"/>
      <c r="EJN380" s="252"/>
      <c r="EJO380" s="252"/>
      <c r="EJP380" s="252"/>
      <c r="EJQ380" s="252"/>
      <c r="EJR380" s="252"/>
      <c r="EJS380" s="252"/>
      <c r="EJT380" s="252"/>
      <c r="EJU380" s="252"/>
      <c r="EJV380" s="252"/>
      <c r="EJW380" s="252"/>
      <c r="EJX380" s="252"/>
      <c r="EJY380" s="252"/>
      <c r="EJZ380" s="252"/>
      <c r="EKA380" s="252"/>
      <c r="EKB380" s="252"/>
      <c r="EKC380" s="252"/>
      <c r="EKD380" s="252"/>
      <c r="EKE380" s="252"/>
      <c r="EKF380" s="252"/>
      <c r="EKG380" s="252"/>
      <c r="EKH380" s="252"/>
      <c r="EKI380" s="252"/>
      <c r="EKJ380" s="252"/>
      <c r="EKK380" s="252"/>
      <c r="EKL380" s="252"/>
      <c r="EKM380" s="252"/>
      <c r="EKN380" s="252"/>
      <c r="EKO380" s="252"/>
      <c r="EKP380" s="252"/>
      <c r="EKQ380" s="252"/>
      <c r="EKR380" s="252"/>
      <c r="EKS380" s="252"/>
      <c r="EKT380" s="252"/>
      <c r="EKU380" s="252"/>
      <c r="EKV380" s="252"/>
      <c r="EKW380" s="252"/>
      <c r="EKX380" s="252"/>
      <c r="EKY380" s="252"/>
      <c r="EKZ380" s="252"/>
      <c r="ELA380" s="252"/>
      <c r="ELB380" s="252"/>
      <c r="ELC380" s="252"/>
      <c r="ELD380" s="252"/>
      <c r="ELE380" s="252"/>
      <c r="ELF380" s="252"/>
      <c r="ELG380" s="252"/>
      <c r="ELH380" s="252"/>
      <c r="ELI380" s="252"/>
      <c r="ELJ380" s="252"/>
      <c r="ELK380" s="252"/>
      <c r="ELL380" s="252"/>
      <c r="ELM380" s="252"/>
      <c r="ELN380" s="252"/>
      <c r="ELO380" s="252"/>
      <c r="ELP380" s="252"/>
      <c r="ELQ380" s="252"/>
      <c r="ELR380" s="252"/>
      <c r="ELS380" s="252"/>
      <c r="ELT380" s="252"/>
      <c r="ELU380" s="252"/>
      <c r="ELV380" s="252"/>
      <c r="ELW380" s="252"/>
      <c r="ELX380" s="252"/>
      <c r="ELY380" s="252"/>
      <c r="ELZ380" s="252"/>
      <c r="EMA380" s="252"/>
      <c r="EMB380" s="252"/>
      <c r="EMC380" s="252"/>
      <c r="EMD380" s="252"/>
      <c r="EME380" s="252"/>
      <c r="EMF380" s="252"/>
      <c r="EMG380" s="252"/>
      <c r="EMH380" s="252"/>
      <c r="EMI380" s="252"/>
      <c r="EMJ380" s="252"/>
      <c r="EMK380" s="252"/>
      <c r="EML380" s="252"/>
      <c r="EMM380" s="252"/>
      <c r="EMN380" s="252"/>
      <c r="EMO380" s="252"/>
      <c r="EMP380" s="252"/>
      <c r="EMQ380" s="252"/>
      <c r="EMR380" s="252"/>
      <c r="EMS380" s="252"/>
      <c r="EMT380" s="252"/>
      <c r="EMU380" s="252"/>
      <c r="EMV380" s="252"/>
      <c r="EMW380" s="252"/>
      <c r="EMX380" s="252"/>
      <c r="EMY380" s="252"/>
      <c r="EMZ380" s="252"/>
      <c r="ENA380" s="252"/>
      <c r="ENB380" s="252"/>
      <c r="ENC380" s="252"/>
      <c r="END380" s="252"/>
      <c r="ENE380" s="252"/>
      <c r="ENF380" s="252"/>
      <c r="ENG380" s="252"/>
      <c r="ENH380" s="252"/>
      <c r="ENI380" s="252"/>
      <c r="ENJ380" s="252"/>
      <c r="ENK380" s="252"/>
      <c r="ENL380" s="252"/>
      <c r="ENM380" s="252"/>
      <c r="ENN380" s="252"/>
      <c r="ENO380" s="252"/>
      <c r="ENP380" s="252"/>
      <c r="ENQ380" s="252"/>
      <c r="ENR380" s="252"/>
      <c r="ENS380" s="252"/>
      <c r="ENT380" s="252"/>
      <c r="ENU380" s="252"/>
      <c r="ENV380" s="252"/>
      <c r="ENW380" s="252"/>
      <c r="ENX380" s="252"/>
      <c r="ENY380" s="252"/>
      <c r="ENZ380" s="252"/>
      <c r="EOA380" s="252"/>
      <c r="EOB380" s="252"/>
      <c r="EOC380" s="252"/>
      <c r="EOD380" s="252"/>
      <c r="EOE380" s="252"/>
      <c r="EOF380" s="252"/>
      <c r="EOG380" s="252"/>
      <c r="EOH380" s="252"/>
      <c r="EOI380" s="252"/>
      <c r="EOJ380" s="252"/>
      <c r="EOK380" s="252"/>
      <c r="EOL380" s="252"/>
      <c r="EOM380" s="252"/>
      <c r="EON380" s="252"/>
      <c r="EOO380" s="252"/>
      <c r="EOP380" s="252"/>
      <c r="EOQ380" s="252"/>
      <c r="EOR380" s="252"/>
      <c r="EOS380" s="252"/>
      <c r="EOT380" s="252"/>
      <c r="EOU380" s="252"/>
      <c r="EOV380" s="252"/>
      <c r="EOW380" s="252"/>
      <c r="EOX380" s="252"/>
      <c r="EOY380" s="252"/>
      <c r="EOZ380" s="252"/>
      <c r="EPA380" s="252"/>
      <c r="EPB380" s="252"/>
      <c r="EPC380" s="252"/>
      <c r="EPD380" s="252"/>
      <c r="EPE380" s="252"/>
      <c r="EPF380" s="252"/>
      <c r="EPG380" s="252"/>
      <c r="EPH380" s="252"/>
      <c r="EPI380" s="252"/>
      <c r="EPJ380" s="252"/>
      <c r="EPK380" s="252"/>
      <c r="EPL380" s="252"/>
      <c r="EPM380" s="252"/>
      <c r="EPN380" s="252"/>
      <c r="EPO380" s="252"/>
      <c r="EPP380" s="252"/>
      <c r="EPQ380" s="252"/>
      <c r="EPR380" s="252"/>
      <c r="EPS380" s="252"/>
      <c r="EPT380" s="252"/>
      <c r="EPU380" s="252"/>
      <c r="EPV380" s="252"/>
      <c r="EPW380" s="252"/>
      <c r="EPX380" s="252"/>
      <c r="EPY380" s="252"/>
      <c r="EPZ380" s="252"/>
      <c r="EQA380" s="252"/>
      <c r="EQB380" s="252"/>
      <c r="EQC380" s="252"/>
      <c r="EQD380" s="252"/>
      <c r="EQE380" s="252"/>
      <c r="EQF380" s="252"/>
      <c r="EQG380" s="252"/>
      <c r="EQH380" s="252"/>
      <c r="EQI380" s="252"/>
      <c r="EQJ380" s="252"/>
      <c r="EQK380" s="252"/>
      <c r="EQL380" s="252"/>
      <c r="EQM380" s="252"/>
      <c r="EQN380" s="252"/>
      <c r="EQO380" s="252"/>
      <c r="EQP380" s="252"/>
      <c r="EQQ380" s="252"/>
      <c r="EQR380" s="252"/>
      <c r="EQS380" s="252"/>
      <c r="EQT380" s="252"/>
      <c r="EQU380" s="252"/>
      <c r="EQV380" s="252"/>
      <c r="EQW380" s="252"/>
      <c r="EQX380" s="252"/>
      <c r="EQY380" s="252"/>
      <c r="EQZ380" s="252"/>
      <c r="ERA380" s="252"/>
      <c r="ERB380" s="252"/>
      <c r="ERC380" s="252"/>
      <c r="ERD380" s="252"/>
      <c r="ERE380" s="252"/>
      <c r="ERF380" s="252"/>
      <c r="ERG380" s="252"/>
      <c r="ERH380" s="252"/>
      <c r="ERI380" s="252"/>
      <c r="ERJ380" s="252"/>
      <c r="ERK380" s="252"/>
      <c r="ERL380" s="252"/>
      <c r="ERM380" s="252"/>
      <c r="ERN380" s="252"/>
      <c r="ERO380" s="252"/>
      <c r="ERP380" s="252"/>
      <c r="ERQ380" s="252"/>
      <c r="ERR380" s="252"/>
      <c r="ERS380" s="252"/>
      <c r="ERT380" s="252"/>
      <c r="ERU380" s="252"/>
      <c r="ERV380" s="252"/>
      <c r="ERW380" s="252"/>
      <c r="ERX380" s="252"/>
      <c r="ERY380" s="252"/>
      <c r="ERZ380" s="252"/>
      <c r="ESA380" s="252"/>
      <c r="ESB380" s="252"/>
      <c r="ESC380" s="252"/>
      <c r="ESD380" s="252"/>
      <c r="ESE380" s="252"/>
      <c r="ESF380" s="252"/>
      <c r="ESG380" s="252"/>
      <c r="ESH380" s="252"/>
      <c r="ESI380" s="252"/>
      <c r="ESJ380" s="252"/>
      <c r="ESK380" s="252"/>
      <c r="ESL380" s="252"/>
      <c r="ESM380" s="252"/>
      <c r="ESN380" s="252"/>
      <c r="ESO380" s="252"/>
      <c r="ESP380" s="252"/>
      <c r="ESQ380" s="252"/>
      <c r="ESR380" s="252"/>
      <c r="ESS380" s="252"/>
      <c r="EST380" s="252"/>
      <c r="ESU380" s="252"/>
      <c r="ESV380" s="252"/>
      <c r="ESW380" s="252"/>
      <c r="ESX380" s="252"/>
      <c r="ESY380" s="252"/>
      <c r="ESZ380" s="252"/>
      <c r="ETA380" s="252"/>
      <c r="ETB380" s="252"/>
      <c r="ETC380" s="252"/>
      <c r="ETD380" s="252"/>
      <c r="ETE380" s="252"/>
      <c r="ETF380" s="252"/>
      <c r="ETG380" s="252"/>
      <c r="ETH380" s="252"/>
      <c r="ETI380" s="252"/>
      <c r="ETJ380" s="252"/>
      <c r="ETK380" s="252"/>
      <c r="ETL380" s="252"/>
      <c r="ETM380" s="252"/>
      <c r="ETN380" s="252"/>
      <c r="ETO380" s="252"/>
      <c r="ETP380" s="252"/>
      <c r="ETQ380" s="252"/>
      <c r="ETR380" s="252"/>
      <c r="ETS380" s="252"/>
      <c r="ETT380" s="252"/>
      <c r="ETU380" s="252"/>
      <c r="ETV380" s="252"/>
      <c r="ETW380" s="252"/>
      <c r="ETX380" s="252"/>
      <c r="ETY380" s="252"/>
      <c r="ETZ380" s="252"/>
      <c r="EUA380" s="252"/>
      <c r="EUB380" s="252"/>
      <c r="EUC380" s="252"/>
      <c r="EUD380" s="252"/>
      <c r="EUE380" s="252"/>
      <c r="EUF380" s="252"/>
      <c r="EUG380" s="252"/>
      <c r="EUH380" s="252"/>
      <c r="EUI380" s="252"/>
      <c r="EUJ380" s="252"/>
      <c r="EUK380" s="252"/>
      <c r="EUL380" s="252"/>
      <c r="EUM380" s="252"/>
      <c r="EUN380" s="252"/>
      <c r="EUO380" s="252"/>
      <c r="EUP380" s="252"/>
      <c r="EUQ380" s="252"/>
      <c r="EUR380" s="252"/>
      <c r="EUS380" s="252"/>
      <c r="EUT380" s="252"/>
      <c r="EUU380" s="252"/>
      <c r="EUV380" s="252"/>
      <c r="EUW380" s="252"/>
      <c r="EUX380" s="252"/>
      <c r="EUY380" s="252"/>
      <c r="EUZ380" s="252"/>
      <c r="EVA380" s="252"/>
      <c r="EVB380" s="252"/>
      <c r="EVC380" s="252"/>
      <c r="EVD380" s="252"/>
      <c r="EVE380" s="252"/>
      <c r="EVF380" s="252"/>
      <c r="EVG380" s="252"/>
      <c r="EVH380" s="252"/>
      <c r="EVI380" s="252"/>
      <c r="EVJ380" s="252"/>
      <c r="EVK380" s="252"/>
      <c r="EVL380" s="252"/>
      <c r="EVM380" s="252"/>
      <c r="EVN380" s="252"/>
      <c r="EVO380" s="252"/>
      <c r="EVP380" s="252"/>
      <c r="EVQ380" s="252"/>
      <c r="EVR380" s="252"/>
      <c r="EVS380" s="252"/>
      <c r="EVT380" s="252"/>
      <c r="EVU380" s="252"/>
      <c r="EVV380" s="252"/>
      <c r="EVW380" s="252"/>
      <c r="EVX380" s="252"/>
      <c r="EVY380" s="252"/>
      <c r="EVZ380" s="252"/>
      <c r="EWA380" s="252"/>
      <c r="EWB380" s="252"/>
      <c r="EWC380" s="252"/>
      <c r="EWD380" s="252"/>
      <c r="EWE380" s="252"/>
      <c r="EWF380" s="252"/>
      <c r="EWG380" s="252"/>
      <c r="EWH380" s="252"/>
      <c r="EWI380" s="252"/>
      <c r="EWJ380" s="252"/>
      <c r="EWK380" s="252"/>
      <c r="EWL380" s="252"/>
      <c r="EWM380" s="252"/>
      <c r="EWN380" s="252"/>
      <c r="EWO380" s="252"/>
      <c r="EWP380" s="252"/>
      <c r="EWQ380" s="252"/>
      <c r="EWR380" s="252"/>
      <c r="EWS380" s="252"/>
      <c r="EWT380" s="252"/>
      <c r="EWU380" s="252"/>
      <c r="EWV380" s="252"/>
      <c r="EWW380" s="252"/>
      <c r="EWX380" s="252"/>
      <c r="EWY380" s="252"/>
      <c r="EWZ380" s="252"/>
      <c r="EXA380" s="252"/>
      <c r="EXB380" s="252"/>
      <c r="EXC380" s="252"/>
      <c r="EXD380" s="252"/>
      <c r="EXE380" s="252"/>
      <c r="EXF380" s="252"/>
      <c r="EXG380" s="252"/>
      <c r="EXH380" s="252"/>
      <c r="EXI380" s="252"/>
      <c r="EXJ380" s="252"/>
      <c r="EXK380" s="252"/>
      <c r="EXL380" s="252"/>
      <c r="EXM380" s="252"/>
      <c r="EXN380" s="252"/>
      <c r="EXO380" s="252"/>
      <c r="EXP380" s="252"/>
      <c r="EXQ380" s="252"/>
      <c r="EXR380" s="252"/>
      <c r="EXS380" s="252"/>
      <c r="EXT380" s="252"/>
      <c r="EXU380" s="252"/>
      <c r="EXV380" s="252"/>
      <c r="EXW380" s="252"/>
      <c r="EXX380" s="252"/>
      <c r="EXY380" s="252"/>
      <c r="EXZ380" s="252"/>
      <c r="EYA380" s="252"/>
      <c r="EYB380" s="252"/>
      <c r="EYC380" s="252"/>
      <c r="EYD380" s="252"/>
      <c r="EYE380" s="252"/>
      <c r="EYF380" s="252"/>
      <c r="EYG380" s="252"/>
      <c r="EYH380" s="252"/>
      <c r="EYI380" s="252"/>
      <c r="EYJ380" s="252"/>
      <c r="EYK380" s="252"/>
      <c r="EYL380" s="252"/>
      <c r="EYM380" s="252"/>
      <c r="EYN380" s="252"/>
      <c r="EYO380" s="252"/>
      <c r="EYP380" s="252"/>
      <c r="EYQ380" s="252"/>
      <c r="EYR380" s="252"/>
      <c r="EYS380" s="252"/>
      <c r="EYT380" s="252"/>
      <c r="EYU380" s="252"/>
      <c r="EYV380" s="252"/>
      <c r="EYW380" s="252"/>
      <c r="EYX380" s="252"/>
      <c r="EYY380" s="252"/>
      <c r="EYZ380" s="252"/>
      <c r="EZA380" s="252"/>
      <c r="EZB380" s="252"/>
      <c r="EZC380" s="252"/>
      <c r="EZD380" s="252"/>
      <c r="EZE380" s="252"/>
      <c r="EZF380" s="252"/>
      <c r="EZG380" s="252"/>
      <c r="EZH380" s="252"/>
      <c r="EZI380" s="252"/>
      <c r="EZJ380" s="252"/>
      <c r="EZK380" s="252"/>
      <c r="EZL380" s="252"/>
      <c r="EZM380" s="252"/>
      <c r="EZN380" s="252"/>
      <c r="EZO380" s="252"/>
      <c r="EZP380" s="252"/>
      <c r="EZQ380" s="252"/>
      <c r="EZR380" s="252"/>
      <c r="EZS380" s="252"/>
      <c r="EZT380" s="252"/>
      <c r="EZU380" s="252"/>
      <c r="EZV380" s="252"/>
      <c r="EZW380" s="252"/>
      <c r="EZX380" s="252"/>
      <c r="EZY380" s="252"/>
      <c r="EZZ380" s="252"/>
      <c r="FAA380" s="252"/>
      <c r="FAB380" s="252"/>
      <c r="FAC380" s="252"/>
      <c r="FAD380" s="252"/>
      <c r="FAE380" s="252"/>
      <c r="FAF380" s="252"/>
      <c r="FAG380" s="252"/>
      <c r="FAH380" s="252"/>
      <c r="FAI380" s="252"/>
      <c r="FAJ380" s="252"/>
      <c r="FAK380" s="252"/>
      <c r="FAL380" s="252"/>
      <c r="FAM380" s="252"/>
      <c r="FAN380" s="252"/>
      <c r="FAO380" s="252"/>
      <c r="FAP380" s="252"/>
      <c r="FAQ380" s="252"/>
      <c r="FAR380" s="252"/>
      <c r="FAS380" s="252"/>
      <c r="FAT380" s="252"/>
      <c r="FAU380" s="252"/>
      <c r="FAV380" s="252"/>
      <c r="FAW380" s="252"/>
      <c r="FAX380" s="252"/>
      <c r="FAY380" s="252"/>
      <c r="FAZ380" s="252"/>
      <c r="FBA380" s="252"/>
      <c r="FBB380" s="252"/>
      <c r="FBC380" s="252"/>
      <c r="FBD380" s="252"/>
      <c r="FBE380" s="252"/>
      <c r="FBF380" s="252"/>
      <c r="FBG380" s="252"/>
      <c r="FBH380" s="252"/>
      <c r="FBI380" s="252"/>
      <c r="FBJ380" s="252"/>
      <c r="FBK380" s="252"/>
      <c r="FBL380" s="252"/>
      <c r="FBM380" s="252"/>
      <c r="FBN380" s="252"/>
      <c r="FBO380" s="252"/>
      <c r="FBP380" s="252"/>
      <c r="FBQ380" s="252"/>
      <c r="FBR380" s="252"/>
      <c r="FBS380" s="252"/>
      <c r="FBT380" s="252"/>
      <c r="FBU380" s="252"/>
      <c r="FBV380" s="252"/>
      <c r="FBW380" s="252"/>
      <c r="FBX380" s="252"/>
      <c r="FBY380" s="252"/>
      <c r="FBZ380" s="252"/>
      <c r="FCA380" s="252"/>
      <c r="FCB380" s="252"/>
      <c r="FCC380" s="252"/>
      <c r="FCD380" s="252"/>
      <c r="FCE380" s="252"/>
      <c r="FCF380" s="252"/>
      <c r="FCG380" s="252"/>
      <c r="FCH380" s="252"/>
      <c r="FCI380" s="252"/>
      <c r="FCJ380" s="252"/>
      <c r="FCK380" s="252"/>
      <c r="FCL380" s="252"/>
      <c r="FCM380" s="252"/>
      <c r="FCN380" s="252"/>
      <c r="FCO380" s="252"/>
      <c r="FCP380" s="252"/>
      <c r="FCQ380" s="252"/>
      <c r="FCR380" s="252"/>
      <c r="FCS380" s="252"/>
      <c r="FCT380" s="252"/>
      <c r="FCU380" s="252"/>
      <c r="FCV380" s="252"/>
      <c r="FCW380" s="252"/>
      <c r="FCX380" s="252"/>
      <c r="FCY380" s="252"/>
      <c r="FCZ380" s="252"/>
      <c r="FDA380" s="252"/>
      <c r="FDB380" s="252"/>
      <c r="FDC380" s="252"/>
      <c r="FDD380" s="252"/>
      <c r="FDE380" s="252"/>
      <c r="FDF380" s="252"/>
      <c r="FDG380" s="252"/>
      <c r="FDH380" s="252"/>
      <c r="FDI380" s="252"/>
      <c r="FDJ380" s="252"/>
      <c r="FDK380" s="252"/>
      <c r="FDL380" s="252"/>
      <c r="FDM380" s="252"/>
      <c r="FDN380" s="252"/>
      <c r="FDO380" s="252"/>
      <c r="FDP380" s="252"/>
      <c r="FDQ380" s="252"/>
      <c r="FDR380" s="252"/>
      <c r="FDS380" s="252"/>
      <c r="FDT380" s="252"/>
      <c r="FDU380" s="252"/>
      <c r="FDV380" s="252"/>
      <c r="FDW380" s="252"/>
      <c r="FDX380" s="252"/>
      <c r="FDY380" s="252"/>
      <c r="FDZ380" s="252"/>
      <c r="FEA380" s="252"/>
      <c r="FEB380" s="252"/>
      <c r="FEC380" s="252"/>
      <c r="FED380" s="252"/>
      <c r="FEE380" s="252"/>
      <c r="FEF380" s="252"/>
      <c r="FEG380" s="252"/>
      <c r="FEH380" s="252"/>
      <c r="FEI380" s="252"/>
      <c r="FEJ380" s="252"/>
      <c r="FEK380" s="252"/>
      <c r="FEL380" s="252"/>
      <c r="FEM380" s="252"/>
      <c r="FEN380" s="252"/>
      <c r="FEO380" s="252"/>
      <c r="FEP380" s="252"/>
      <c r="FEQ380" s="252"/>
      <c r="FER380" s="252"/>
      <c r="FES380" s="252"/>
      <c r="FET380" s="252"/>
      <c r="FEU380" s="252"/>
      <c r="FEV380" s="252"/>
      <c r="FEW380" s="252"/>
      <c r="FEX380" s="252"/>
      <c r="FEY380" s="252"/>
      <c r="FEZ380" s="252"/>
      <c r="FFA380" s="252"/>
      <c r="FFB380" s="252"/>
      <c r="FFC380" s="252"/>
      <c r="FFD380" s="252"/>
      <c r="FFE380" s="252"/>
      <c r="FFF380" s="252"/>
      <c r="FFG380" s="252"/>
      <c r="FFH380" s="252"/>
      <c r="FFI380" s="252"/>
      <c r="FFJ380" s="252"/>
      <c r="FFK380" s="252"/>
      <c r="FFL380" s="252"/>
      <c r="FFM380" s="252"/>
      <c r="FFN380" s="252"/>
      <c r="FFO380" s="252"/>
      <c r="FFP380" s="252"/>
      <c r="FFQ380" s="252"/>
      <c r="FFR380" s="252"/>
      <c r="FFS380" s="252"/>
      <c r="FFT380" s="252"/>
      <c r="FFU380" s="252"/>
      <c r="FFV380" s="252"/>
      <c r="FFW380" s="252"/>
      <c r="FFX380" s="252"/>
      <c r="FFY380" s="252"/>
      <c r="FFZ380" s="252"/>
      <c r="FGA380" s="252"/>
      <c r="FGB380" s="252"/>
      <c r="FGC380" s="252"/>
      <c r="FGD380" s="252"/>
      <c r="FGE380" s="252"/>
      <c r="FGF380" s="252"/>
      <c r="FGG380" s="252"/>
      <c r="FGH380" s="252"/>
      <c r="FGI380" s="252"/>
      <c r="FGJ380" s="252"/>
      <c r="FGK380" s="252"/>
      <c r="FGL380" s="252"/>
      <c r="FGM380" s="252"/>
      <c r="FGN380" s="252"/>
      <c r="FGO380" s="252"/>
      <c r="FGP380" s="252"/>
      <c r="FGQ380" s="252"/>
      <c r="FGR380" s="252"/>
      <c r="FGS380" s="252"/>
      <c r="FGT380" s="252"/>
      <c r="FGU380" s="252"/>
      <c r="FGV380" s="252"/>
      <c r="FGW380" s="252"/>
      <c r="FGX380" s="252"/>
      <c r="FGY380" s="252"/>
      <c r="FGZ380" s="252"/>
      <c r="FHA380" s="252"/>
      <c r="FHB380" s="252"/>
      <c r="FHC380" s="252"/>
      <c r="FHD380" s="252"/>
      <c r="FHE380" s="252"/>
      <c r="FHF380" s="252"/>
      <c r="FHG380" s="252"/>
      <c r="FHH380" s="252"/>
      <c r="FHI380" s="252"/>
      <c r="FHJ380" s="252"/>
      <c r="FHK380" s="252"/>
      <c r="FHL380" s="252"/>
      <c r="FHM380" s="252"/>
      <c r="FHN380" s="252"/>
      <c r="FHO380" s="252"/>
      <c r="FHP380" s="252"/>
      <c r="FHQ380" s="252"/>
      <c r="FHR380" s="252"/>
      <c r="FHS380" s="252"/>
      <c r="FHT380" s="252"/>
      <c r="FHU380" s="252"/>
      <c r="FHV380" s="252"/>
      <c r="FHW380" s="252"/>
      <c r="FHX380" s="252"/>
      <c r="FHY380" s="252"/>
      <c r="FHZ380" s="252"/>
      <c r="FIA380" s="252"/>
      <c r="FIB380" s="252"/>
      <c r="FIC380" s="252"/>
      <c r="FID380" s="252"/>
      <c r="FIE380" s="252"/>
      <c r="FIF380" s="252"/>
      <c r="FIG380" s="252"/>
      <c r="FIH380" s="252"/>
      <c r="FII380" s="252"/>
      <c r="FIJ380" s="252"/>
      <c r="FIK380" s="252"/>
      <c r="FIL380" s="252"/>
      <c r="FIM380" s="252"/>
      <c r="FIN380" s="252"/>
      <c r="FIO380" s="252"/>
      <c r="FIP380" s="252"/>
      <c r="FIQ380" s="252"/>
      <c r="FIR380" s="252"/>
      <c r="FIS380" s="252"/>
      <c r="FIT380" s="252"/>
      <c r="FIU380" s="252"/>
      <c r="FIV380" s="252"/>
      <c r="FIW380" s="252"/>
      <c r="FIX380" s="252"/>
      <c r="FIY380" s="252"/>
      <c r="FIZ380" s="252"/>
      <c r="FJA380" s="252"/>
      <c r="FJB380" s="252"/>
      <c r="FJC380" s="252"/>
      <c r="FJD380" s="252"/>
      <c r="FJE380" s="252"/>
      <c r="FJF380" s="252"/>
      <c r="FJG380" s="252"/>
      <c r="FJH380" s="252"/>
      <c r="FJI380" s="252"/>
      <c r="FJJ380" s="252"/>
      <c r="FJK380" s="252"/>
      <c r="FJL380" s="252"/>
      <c r="FJM380" s="252"/>
      <c r="FJN380" s="252"/>
      <c r="FJO380" s="252"/>
      <c r="FJP380" s="252"/>
      <c r="FJQ380" s="252"/>
      <c r="FJR380" s="252"/>
      <c r="FJS380" s="252"/>
      <c r="FJT380" s="252"/>
      <c r="FJU380" s="252"/>
      <c r="FJV380" s="252"/>
      <c r="FJW380" s="252"/>
      <c r="FJX380" s="252"/>
      <c r="FJY380" s="252"/>
      <c r="FJZ380" s="252"/>
      <c r="FKA380" s="252"/>
      <c r="FKB380" s="252"/>
      <c r="FKC380" s="252"/>
      <c r="FKD380" s="252"/>
      <c r="FKE380" s="252"/>
      <c r="FKF380" s="252"/>
      <c r="FKG380" s="252"/>
      <c r="FKH380" s="252"/>
      <c r="FKI380" s="252"/>
      <c r="FKJ380" s="252"/>
      <c r="FKK380" s="252"/>
      <c r="FKL380" s="252"/>
      <c r="FKM380" s="252"/>
      <c r="FKN380" s="252"/>
      <c r="FKO380" s="252"/>
      <c r="FKP380" s="252"/>
      <c r="FKQ380" s="252"/>
      <c r="FKR380" s="252"/>
      <c r="FKS380" s="252"/>
      <c r="FKT380" s="252"/>
      <c r="FKU380" s="252"/>
      <c r="FKV380" s="252"/>
      <c r="FKW380" s="252"/>
      <c r="FKX380" s="252"/>
      <c r="FKY380" s="252"/>
      <c r="FKZ380" s="252"/>
      <c r="FLA380" s="252"/>
      <c r="FLB380" s="252"/>
      <c r="FLC380" s="252"/>
      <c r="FLD380" s="252"/>
      <c r="FLE380" s="252"/>
      <c r="FLF380" s="252"/>
      <c r="FLG380" s="252"/>
      <c r="FLH380" s="252"/>
      <c r="FLI380" s="252"/>
      <c r="FLJ380" s="252"/>
      <c r="FLK380" s="252"/>
      <c r="FLL380" s="252"/>
      <c r="FLM380" s="252"/>
      <c r="FLN380" s="252"/>
      <c r="FLO380" s="252"/>
      <c r="FLP380" s="252"/>
      <c r="FLQ380" s="252"/>
      <c r="FLR380" s="252"/>
      <c r="FLS380" s="252"/>
      <c r="FLT380" s="252"/>
      <c r="FLU380" s="252"/>
      <c r="FLV380" s="252"/>
      <c r="FLW380" s="252"/>
      <c r="FLX380" s="252"/>
      <c r="FLY380" s="252"/>
      <c r="FLZ380" s="252"/>
      <c r="FMA380" s="252"/>
      <c r="FMB380" s="252"/>
      <c r="FMC380" s="252"/>
      <c r="FMD380" s="252"/>
      <c r="FME380" s="252"/>
      <c r="FMF380" s="252"/>
      <c r="FMG380" s="252"/>
      <c r="FMH380" s="252"/>
      <c r="FMI380" s="252"/>
      <c r="FMJ380" s="252"/>
      <c r="FMK380" s="252"/>
      <c r="FML380" s="252"/>
      <c r="FMM380" s="252"/>
      <c r="FMN380" s="252"/>
      <c r="FMO380" s="252"/>
      <c r="FMP380" s="252"/>
      <c r="FMQ380" s="252"/>
      <c r="FMR380" s="252"/>
      <c r="FMS380" s="252"/>
      <c r="FMT380" s="252"/>
      <c r="FMU380" s="252"/>
      <c r="FMV380" s="252"/>
      <c r="FMW380" s="252"/>
      <c r="FMX380" s="252"/>
      <c r="FMY380" s="252"/>
      <c r="FMZ380" s="252"/>
      <c r="FNA380" s="252"/>
      <c r="FNB380" s="252"/>
      <c r="FNC380" s="252"/>
      <c r="FND380" s="252"/>
      <c r="FNE380" s="252"/>
      <c r="FNF380" s="252"/>
      <c r="FNG380" s="252"/>
      <c r="FNH380" s="252"/>
      <c r="FNI380" s="252"/>
      <c r="FNJ380" s="252"/>
      <c r="FNK380" s="252"/>
      <c r="FNL380" s="252"/>
      <c r="FNM380" s="252"/>
      <c r="FNN380" s="252"/>
      <c r="FNO380" s="252"/>
      <c r="FNP380" s="252"/>
      <c r="FNQ380" s="252"/>
      <c r="FNR380" s="252"/>
      <c r="FNS380" s="252"/>
      <c r="FNT380" s="252"/>
      <c r="FNU380" s="252"/>
      <c r="FNV380" s="252"/>
      <c r="FNW380" s="252"/>
      <c r="FNX380" s="252"/>
      <c r="FNY380" s="252"/>
      <c r="FNZ380" s="252"/>
      <c r="FOA380" s="252"/>
      <c r="FOB380" s="252"/>
      <c r="FOC380" s="252"/>
      <c r="FOD380" s="252"/>
      <c r="FOE380" s="252"/>
      <c r="FOF380" s="252"/>
      <c r="FOG380" s="252"/>
      <c r="FOH380" s="252"/>
      <c r="FOI380" s="252"/>
      <c r="FOJ380" s="252"/>
      <c r="FOK380" s="252"/>
      <c r="FOL380" s="252"/>
      <c r="FOM380" s="252"/>
      <c r="FON380" s="252"/>
      <c r="FOO380" s="252"/>
      <c r="FOP380" s="252"/>
      <c r="FOQ380" s="252"/>
      <c r="FOR380" s="252"/>
      <c r="FOS380" s="252"/>
      <c r="FOT380" s="252"/>
      <c r="FOU380" s="252"/>
      <c r="FOV380" s="252"/>
      <c r="FOW380" s="252"/>
      <c r="FOX380" s="252"/>
      <c r="FOY380" s="252"/>
      <c r="FOZ380" s="252"/>
      <c r="FPA380" s="252"/>
      <c r="FPB380" s="252"/>
      <c r="FPC380" s="252"/>
      <c r="FPD380" s="252"/>
      <c r="FPE380" s="252"/>
      <c r="FPF380" s="252"/>
      <c r="FPG380" s="252"/>
      <c r="FPH380" s="252"/>
      <c r="FPI380" s="252"/>
      <c r="FPJ380" s="252"/>
      <c r="FPK380" s="252"/>
      <c r="FPL380" s="252"/>
      <c r="FPM380" s="252"/>
      <c r="FPN380" s="252"/>
      <c r="FPO380" s="252"/>
      <c r="FPP380" s="252"/>
      <c r="FPQ380" s="252"/>
      <c r="FPR380" s="252"/>
      <c r="FPS380" s="252"/>
      <c r="FPT380" s="252"/>
      <c r="FPU380" s="252"/>
      <c r="FPV380" s="252"/>
      <c r="FPW380" s="252"/>
      <c r="FPX380" s="252"/>
      <c r="FPY380" s="252"/>
      <c r="FPZ380" s="252"/>
      <c r="FQA380" s="252"/>
      <c r="FQB380" s="252"/>
      <c r="FQC380" s="252"/>
      <c r="FQD380" s="252"/>
      <c r="FQE380" s="252"/>
      <c r="FQF380" s="252"/>
      <c r="FQG380" s="252"/>
      <c r="FQH380" s="252"/>
      <c r="FQI380" s="252"/>
      <c r="FQJ380" s="252"/>
      <c r="FQK380" s="252"/>
      <c r="FQL380" s="252"/>
      <c r="FQM380" s="252"/>
      <c r="FQN380" s="252"/>
      <c r="FQO380" s="252"/>
      <c r="FQP380" s="252"/>
      <c r="FQQ380" s="252"/>
      <c r="FQR380" s="252"/>
      <c r="FQS380" s="252"/>
      <c r="FQT380" s="252"/>
      <c r="FQU380" s="252"/>
      <c r="FQV380" s="252"/>
      <c r="FQW380" s="252"/>
      <c r="FQX380" s="252"/>
      <c r="FQY380" s="252"/>
      <c r="FQZ380" s="252"/>
      <c r="FRA380" s="252"/>
      <c r="FRB380" s="252"/>
      <c r="FRC380" s="252"/>
      <c r="FRD380" s="252"/>
      <c r="FRE380" s="252"/>
      <c r="FRF380" s="252"/>
      <c r="FRG380" s="252"/>
      <c r="FRH380" s="252"/>
      <c r="FRI380" s="252"/>
      <c r="FRJ380" s="252"/>
      <c r="FRK380" s="252"/>
      <c r="FRL380" s="252"/>
      <c r="FRM380" s="252"/>
      <c r="FRN380" s="252"/>
      <c r="FRO380" s="252"/>
      <c r="FRP380" s="252"/>
      <c r="FRQ380" s="252"/>
      <c r="FRR380" s="252"/>
      <c r="FRS380" s="252"/>
      <c r="FRT380" s="252"/>
      <c r="FRU380" s="252"/>
      <c r="FRV380" s="252"/>
      <c r="FRW380" s="252"/>
      <c r="FRX380" s="252"/>
      <c r="FRY380" s="252"/>
      <c r="FRZ380" s="252"/>
      <c r="FSA380" s="252"/>
      <c r="FSB380" s="252"/>
      <c r="FSC380" s="252"/>
      <c r="FSD380" s="252"/>
      <c r="FSE380" s="252"/>
      <c r="FSF380" s="252"/>
      <c r="FSG380" s="252"/>
      <c r="FSH380" s="252"/>
      <c r="FSI380" s="252"/>
      <c r="FSJ380" s="252"/>
      <c r="FSK380" s="252"/>
      <c r="FSL380" s="252"/>
      <c r="FSM380" s="252"/>
      <c r="FSN380" s="252"/>
      <c r="FSO380" s="252"/>
      <c r="FSP380" s="252"/>
      <c r="FSQ380" s="252"/>
      <c r="FSR380" s="252"/>
      <c r="FSS380" s="252"/>
      <c r="FST380" s="252"/>
      <c r="FSU380" s="252"/>
      <c r="FSV380" s="252"/>
      <c r="FSW380" s="252"/>
      <c r="FSX380" s="252"/>
      <c r="FSY380" s="252"/>
      <c r="FSZ380" s="252"/>
      <c r="FTA380" s="252"/>
      <c r="FTB380" s="252"/>
      <c r="FTC380" s="252"/>
      <c r="FTD380" s="252"/>
      <c r="FTE380" s="252"/>
      <c r="FTF380" s="252"/>
      <c r="FTG380" s="252"/>
      <c r="FTH380" s="252"/>
      <c r="FTI380" s="252"/>
      <c r="FTJ380" s="252"/>
      <c r="FTK380" s="252"/>
      <c r="FTL380" s="252"/>
      <c r="FTM380" s="252"/>
      <c r="FTN380" s="252"/>
      <c r="FTO380" s="252"/>
      <c r="FTP380" s="252"/>
      <c r="FTQ380" s="252"/>
      <c r="FTR380" s="252"/>
      <c r="FTS380" s="252"/>
      <c r="FTT380" s="252"/>
      <c r="FTU380" s="252"/>
      <c r="FTV380" s="252"/>
      <c r="FTW380" s="252"/>
      <c r="FTX380" s="252"/>
      <c r="FTY380" s="252"/>
      <c r="FTZ380" s="252"/>
      <c r="FUA380" s="252"/>
      <c r="FUB380" s="252"/>
      <c r="FUC380" s="252"/>
      <c r="FUD380" s="252"/>
      <c r="FUE380" s="252"/>
      <c r="FUF380" s="252"/>
      <c r="FUG380" s="252"/>
      <c r="FUH380" s="252"/>
      <c r="FUI380" s="252"/>
      <c r="FUJ380" s="252"/>
      <c r="FUK380" s="252"/>
      <c r="FUL380" s="252"/>
      <c r="FUM380" s="252"/>
      <c r="FUN380" s="252"/>
      <c r="FUO380" s="252"/>
      <c r="FUP380" s="252"/>
      <c r="FUQ380" s="252"/>
      <c r="FUR380" s="252"/>
      <c r="FUS380" s="252"/>
      <c r="FUT380" s="252"/>
      <c r="FUU380" s="252"/>
      <c r="FUV380" s="252"/>
      <c r="FUW380" s="252"/>
      <c r="FUX380" s="252"/>
      <c r="FUY380" s="252"/>
      <c r="FUZ380" s="252"/>
      <c r="FVA380" s="252"/>
      <c r="FVB380" s="252"/>
      <c r="FVC380" s="252"/>
      <c r="FVD380" s="252"/>
      <c r="FVE380" s="252"/>
      <c r="FVF380" s="252"/>
      <c r="FVG380" s="252"/>
      <c r="FVH380" s="252"/>
      <c r="FVI380" s="252"/>
      <c r="FVJ380" s="252"/>
      <c r="FVK380" s="252"/>
      <c r="FVL380" s="252"/>
      <c r="FVM380" s="252"/>
      <c r="FVN380" s="252"/>
      <c r="FVO380" s="252"/>
      <c r="FVP380" s="252"/>
      <c r="FVQ380" s="252"/>
      <c r="FVR380" s="252"/>
      <c r="FVS380" s="252"/>
      <c r="FVT380" s="252"/>
      <c r="FVU380" s="252"/>
      <c r="FVV380" s="252"/>
      <c r="FVW380" s="252"/>
      <c r="FVX380" s="252"/>
      <c r="FVY380" s="252"/>
      <c r="FVZ380" s="252"/>
      <c r="FWA380" s="252"/>
      <c r="FWB380" s="252"/>
      <c r="FWC380" s="252"/>
      <c r="FWD380" s="252"/>
      <c r="FWE380" s="252"/>
      <c r="FWF380" s="252"/>
      <c r="FWG380" s="252"/>
      <c r="FWH380" s="252"/>
      <c r="FWI380" s="252"/>
      <c r="FWJ380" s="252"/>
      <c r="FWK380" s="252"/>
      <c r="FWL380" s="252"/>
      <c r="FWM380" s="252"/>
      <c r="FWN380" s="252"/>
      <c r="FWO380" s="252"/>
      <c r="FWP380" s="252"/>
      <c r="FWQ380" s="252"/>
      <c r="FWR380" s="252"/>
      <c r="FWS380" s="252"/>
      <c r="FWT380" s="252"/>
      <c r="FWU380" s="252"/>
      <c r="FWV380" s="252"/>
      <c r="FWW380" s="252"/>
      <c r="FWX380" s="252"/>
      <c r="FWY380" s="252"/>
      <c r="FWZ380" s="252"/>
      <c r="FXA380" s="252"/>
      <c r="FXB380" s="252"/>
      <c r="FXC380" s="252"/>
      <c r="FXD380" s="252"/>
      <c r="FXE380" s="252"/>
      <c r="FXF380" s="252"/>
      <c r="FXG380" s="252"/>
      <c r="FXH380" s="252"/>
      <c r="FXI380" s="252"/>
      <c r="FXJ380" s="252"/>
      <c r="FXK380" s="252"/>
      <c r="FXL380" s="252"/>
      <c r="FXM380" s="252"/>
      <c r="FXN380" s="252"/>
      <c r="FXO380" s="252"/>
      <c r="FXP380" s="252"/>
      <c r="FXQ380" s="252"/>
      <c r="FXR380" s="252"/>
      <c r="FXS380" s="252"/>
      <c r="FXT380" s="252"/>
      <c r="FXU380" s="252"/>
      <c r="FXV380" s="252"/>
      <c r="FXW380" s="252"/>
      <c r="FXX380" s="252"/>
      <c r="FXY380" s="252"/>
      <c r="FXZ380" s="252"/>
      <c r="FYA380" s="252"/>
      <c r="FYB380" s="252"/>
      <c r="FYC380" s="252"/>
      <c r="FYD380" s="252"/>
      <c r="FYE380" s="252"/>
      <c r="FYF380" s="252"/>
      <c r="FYG380" s="252"/>
      <c r="FYH380" s="252"/>
      <c r="FYI380" s="252"/>
      <c r="FYJ380" s="252"/>
      <c r="FYK380" s="252"/>
      <c r="FYL380" s="252"/>
      <c r="FYM380" s="252"/>
      <c r="FYN380" s="252"/>
      <c r="FYO380" s="252"/>
      <c r="FYP380" s="252"/>
      <c r="FYQ380" s="252"/>
      <c r="FYR380" s="252"/>
      <c r="FYS380" s="252"/>
      <c r="FYT380" s="252"/>
      <c r="FYU380" s="252"/>
      <c r="FYV380" s="252"/>
      <c r="FYW380" s="252"/>
      <c r="FYX380" s="252"/>
      <c r="FYY380" s="252"/>
      <c r="FYZ380" s="252"/>
      <c r="FZA380" s="252"/>
      <c r="FZB380" s="252"/>
      <c r="FZC380" s="252"/>
      <c r="FZD380" s="252"/>
      <c r="FZE380" s="252"/>
      <c r="FZF380" s="252"/>
      <c r="FZG380" s="252"/>
      <c r="FZH380" s="252"/>
      <c r="FZI380" s="252"/>
      <c r="FZJ380" s="252"/>
      <c r="FZK380" s="252"/>
      <c r="FZL380" s="252"/>
      <c r="FZM380" s="252"/>
      <c r="FZN380" s="252"/>
      <c r="FZO380" s="252"/>
      <c r="FZP380" s="252"/>
      <c r="FZQ380" s="252"/>
      <c r="FZR380" s="252"/>
      <c r="FZS380" s="252"/>
      <c r="FZT380" s="252"/>
      <c r="FZU380" s="252"/>
      <c r="FZV380" s="252"/>
      <c r="FZW380" s="252"/>
      <c r="FZX380" s="252"/>
      <c r="FZY380" s="252"/>
      <c r="FZZ380" s="252"/>
      <c r="GAA380" s="252"/>
      <c r="GAB380" s="252"/>
      <c r="GAC380" s="252"/>
      <c r="GAD380" s="252"/>
      <c r="GAE380" s="252"/>
      <c r="GAF380" s="252"/>
      <c r="GAG380" s="252"/>
      <c r="GAH380" s="252"/>
      <c r="GAI380" s="252"/>
      <c r="GAJ380" s="252"/>
      <c r="GAK380" s="252"/>
      <c r="GAL380" s="252"/>
      <c r="GAM380" s="252"/>
      <c r="GAN380" s="252"/>
      <c r="GAO380" s="252"/>
      <c r="GAP380" s="252"/>
      <c r="GAQ380" s="252"/>
      <c r="GAR380" s="252"/>
      <c r="GAS380" s="252"/>
      <c r="GAT380" s="252"/>
      <c r="GAU380" s="252"/>
      <c r="GAV380" s="252"/>
      <c r="GAW380" s="252"/>
      <c r="GAX380" s="252"/>
      <c r="GAY380" s="252"/>
      <c r="GAZ380" s="252"/>
      <c r="GBA380" s="252"/>
      <c r="GBB380" s="252"/>
      <c r="GBC380" s="252"/>
      <c r="GBD380" s="252"/>
      <c r="GBE380" s="252"/>
      <c r="GBF380" s="252"/>
      <c r="GBG380" s="252"/>
      <c r="GBH380" s="252"/>
      <c r="GBI380" s="252"/>
      <c r="GBJ380" s="252"/>
      <c r="GBK380" s="252"/>
      <c r="GBL380" s="252"/>
      <c r="GBM380" s="252"/>
      <c r="GBN380" s="252"/>
      <c r="GBO380" s="252"/>
      <c r="GBP380" s="252"/>
      <c r="GBQ380" s="252"/>
      <c r="GBR380" s="252"/>
      <c r="GBS380" s="252"/>
      <c r="GBT380" s="252"/>
      <c r="GBU380" s="252"/>
      <c r="GBV380" s="252"/>
      <c r="GBW380" s="252"/>
      <c r="GBX380" s="252"/>
      <c r="GBY380" s="252"/>
      <c r="GBZ380" s="252"/>
      <c r="GCA380" s="252"/>
      <c r="GCB380" s="252"/>
      <c r="GCC380" s="252"/>
      <c r="GCD380" s="252"/>
      <c r="GCE380" s="252"/>
      <c r="GCF380" s="252"/>
      <c r="GCG380" s="252"/>
      <c r="GCH380" s="252"/>
      <c r="GCI380" s="252"/>
      <c r="GCJ380" s="252"/>
      <c r="GCK380" s="252"/>
      <c r="GCL380" s="252"/>
      <c r="GCM380" s="252"/>
      <c r="GCN380" s="252"/>
      <c r="GCO380" s="252"/>
      <c r="GCP380" s="252"/>
      <c r="GCQ380" s="252"/>
      <c r="GCR380" s="252"/>
      <c r="GCS380" s="252"/>
      <c r="GCT380" s="252"/>
      <c r="GCU380" s="252"/>
      <c r="GCV380" s="252"/>
      <c r="GCW380" s="252"/>
      <c r="GCX380" s="252"/>
      <c r="GCY380" s="252"/>
      <c r="GCZ380" s="252"/>
      <c r="GDA380" s="252"/>
      <c r="GDB380" s="252"/>
      <c r="GDC380" s="252"/>
      <c r="GDD380" s="252"/>
      <c r="GDE380" s="252"/>
      <c r="GDF380" s="252"/>
      <c r="GDG380" s="252"/>
      <c r="GDH380" s="252"/>
      <c r="GDI380" s="252"/>
      <c r="GDJ380" s="252"/>
      <c r="GDK380" s="252"/>
      <c r="GDL380" s="252"/>
      <c r="GDM380" s="252"/>
      <c r="GDN380" s="252"/>
      <c r="GDO380" s="252"/>
      <c r="GDP380" s="252"/>
      <c r="GDQ380" s="252"/>
      <c r="GDR380" s="252"/>
      <c r="GDS380" s="252"/>
      <c r="GDT380" s="252"/>
      <c r="GDU380" s="252"/>
      <c r="GDV380" s="252"/>
      <c r="GDW380" s="252"/>
      <c r="GDX380" s="252"/>
      <c r="GDY380" s="252"/>
      <c r="GDZ380" s="252"/>
      <c r="GEA380" s="252"/>
      <c r="GEB380" s="252"/>
      <c r="GEC380" s="252"/>
      <c r="GED380" s="252"/>
      <c r="GEE380" s="252"/>
      <c r="GEF380" s="252"/>
      <c r="GEG380" s="252"/>
      <c r="GEH380" s="252"/>
      <c r="GEI380" s="252"/>
      <c r="GEJ380" s="252"/>
      <c r="GEK380" s="252"/>
      <c r="GEL380" s="252"/>
      <c r="GEM380" s="252"/>
      <c r="GEN380" s="252"/>
      <c r="GEO380" s="252"/>
      <c r="GEP380" s="252"/>
      <c r="GEQ380" s="252"/>
      <c r="GER380" s="252"/>
      <c r="GES380" s="252"/>
      <c r="GET380" s="252"/>
      <c r="GEU380" s="252"/>
      <c r="GEV380" s="252"/>
      <c r="GEW380" s="252"/>
      <c r="GEX380" s="252"/>
      <c r="GEY380" s="252"/>
      <c r="GEZ380" s="252"/>
      <c r="GFA380" s="252"/>
      <c r="GFB380" s="252"/>
      <c r="GFC380" s="252"/>
      <c r="GFD380" s="252"/>
      <c r="GFE380" s="252"/>
      <c r="GFF380" s="252"/>
      <c r="GFG380" s="252"/>
      <c r="GFH380" s="252"/>
      <c r="GFI380" s="252"/>
      <c r="GFJ380" s="252"/>
      <c r="GFK380" s="252"/>
      <c r="GFL380" s="252"/>
      <c r="GFM380" s="252"/>
      <c r="GFN380" s="252"/>
      <c r="GFO380" s="252"/>
      <c r="GFP380" s="252"/>
      <c r="GFQ380" s="252"/>
      <c r="GFR380" s="252"/>
      <c r="GFS380" s="252"/>
      <c r="GFT380" s="252"/>
      <c r="GFU380" s="252"/>
      <c r="GFV380" s="252"/>
      <c r="GFW380" s="252"/>
      <c r="GFX380" s="252"/>
      <c r="GFY380" s="252"/>
      <c r="GFZ380" s="252"/>
      <c r="GGA380" s="252"/>
      <c r="GGB380" s="252"/>
      <c r="GGC380" s="252"/>
      <c r="GGD380" s="252"/>
      <c r="GGE380" s="252"/>
      <c r="GGF380" s="252"/>
      <c r="GGG380" s="252"/>
      <c r="GGH380" s="252"/>
      <c r="GGI380" s="252"/>
      <c r="GGJ380" s="252"/>
      <c r="GGK380" s="252"/>
      <c r="GGL380" s="252"/>
      <c r="GGM380" s="252"/>
      <c r="GGN380" s="252"/>
      <c r="GGO380" s="252"/>
      <c r="GGP380" s="252"/>
      <c r="GGQ380" s="252"/>
      <c r="GGR380" s="252"/>
      <c r="GGS380" s="252"/>
      <c r="GGT380" s="252"/>
      <c r="GGU380" s="252"/>
      <c r="GGV380" s="252"/>
      <c r="GGW380" s="252"/>
      <c r="GGX380" s="252"/>
      <c r="GGY380" s="252"/>
      <c r="GGZ380" s="252"/>
      <c r="GHA380" s="252"/>
      <c r="GHB380" s="252"/>
      <c r="GHC380" s="252"/>
      <c r="GHD380" s="252"/>
      <c r="GHE380" s="252"/>
      <c r="GHF380" s="252"/>
      <c r="GHG380" s="252"/>
      <c r="GHH380" s="252"/>
      <c r="GHI380" s="252"/>
      <c r="GHJ380" s="252"/>
      <c r="GHK380" s="252"/>
      <c r="GHL380" s="252"/>
      <c r="GHM380" s="252"/>
      <c r="GHN380" s="252"/>
      <c r="GHO380" s="252"/>
      <c r="GHP380" s="252"/>
      <c r="GHQ380" s="252"/>
      <c r="GHR380" s="252"/>
      <c r="GHS380" s="252"/>
      <c r="GHT380" s="252"/>
      <c r="GHU380" s="252"/>
      <c r="GHV380" s="252"/>
      <c r="GHW380" s="252"/>
      <c r="GHX380" s="252"/>
      <c r="GHY380" s="252"/>
      <c r="GHZ380" s="252"/>
      <c r="GIA380" s="252"/>
      <c r="GIB380" s="252"/>
      <c r="GIC380" s="252"/>
      <c r="GID380" s="252"/>
      <c r="GIE380" s="252"/>
      <c r="GIF380" s="252"/>
      <c r="GIG380" s="252"/>
      <c r="GIH380" s="252"/>
      <c r="GII380" s="252"/>
      <c r="GIJ380" s="252"/>
      <c r="GIK380" s="252"/>
      <c r="GIL380" s="252"/>
      <c r="GIM380" s="252"/>
      <c r="GIN380" s="252"/>
      <c r="GIO380" s="252"/>
      <c r="GIP380" s="252"/>
      <c r="GIQ380" s="252"/>
      <c r="GIR380" s="252"/>
      <c r="GIS380" s="252"/>
      <c r="GIT380" s="252"/>
      <c r="GIU380" s="252"/>
      <c r="GIV380" s="252"/>
      <c r="GIW380" s="252"/>
      <c r="GIX380" s="252"/>
      <c r="GIY380" s="252"/>
      <c r="GIZ380" s="252"/>
      <c r="GJA380" s="252"/>
      <c r="GJB380" s="252"/>
      <c r="GJC380" s="252"/>
      <c r="GJD380" s="252"/>
      <c r="GJE380" s="252"/>
      <c r="GJF380" s="252"/>
      <c r="GJG380" s="252"/>
      <c r="GJH380" s="252"/>
      <c r="GJI380" s="252"/>
      <c r="GJJ380" s="252"/>
      <c r="GJK380" s="252"/>
      <c r="GJL380" s="252"/>
      <c r="GJM380" s="252"/>
      <c r="GJN380" s="252"/>
      <c r="GJO380" s="252"/>
      <c r="GJP380" s="252"/>
      <c r="GJQ380" s="252"/>
      <c r="GJR380" s="252"/>
      <c r="GJS380" s="252"/>
      <c r="GJT380" s="252"/>
      <c r="GJU380" s="252"/>
      <c r="GJV380" s="252"/>
      <c r="GJW380" s="252"/>
      <c r="GJX380" s="252"/>
      <c r="GJY380" s="252"/>
      <c r="GJZ380" s="252"/>
      <c r="GKA380" s="252"/>
      <c r="GKB380" s="252"/>
      <c r="GKC380" s="252"/>
      <c r="GKD380" s="252"/>
      <c r="GKE380" s="252"/>
      <c r="GKF380" s="252"/>
      <c r="GKG380" s="252"/>
      <c r="GKH380" s="252"/>
      <c r="GKI380" s="252"/>
      <c r="GKJ380" s="252"/>
      <c r="GKK380" s="252"/>
      <c r="GKL380" s="252"/>
      <c r="GKM380" s="252"/>
      <c r="GKN380" s="252"/>
      <c r="GKO380" s="252"/>
      <c r="GKP380" s="252"/>
      <c r="GKQ380" s="252"/>
      <c r="GKR380" s="252"/>
      <c r="GKS380" s="252"/>
      <c r="GKT380" s="252"/>
      <c r="GKU380" s="252"/>
      <c r="GKV380" s="252"/>
      <c r="GKW380" s="252"/>
      <c r="GKX380" s="252"/>
      <c r="GKY380" s="252"/>
      <c r="GKZ380" s="252"/>
      <c r="GLA380" s="252"/>
      <c r="GLB380" s="252"/>
      <c r="GLC380" s="252"/>
      <c r="GLD380" s="252"/>
      <c r="GLE380" s="252"/>
      <c r="GLF380" s="252"/>
      <c r="GLG380" s="252"/>
      <c r="GLH380" s="252"/>
      <c r="GLI380" s="252"/>
      <c r="GLJ380" s="252"/>
      <c r="GLK380" s="252"/>
      <c r="GLL380" s="252"/>
      <c r="GLM380" s="252"/>
      <c r="GLN380" s="252"/>
      <c r="GLO380" s="252"/>
      <c r="GLP380" s="252"/>
      <c r="GLQ380" s="252"/>
      <c r="GLR380" s="252"/>
      <c r="GLS380" s="252"/>
      <c r="GLT380" s="252"/>
      <c r="GLU380" s="252"/>
      <c r="GLV380" s="252"/>
      <c r="GLW380" s="252"/>
      <c r="GLX380" s="252"/>
      <c r="GLY380" s="252"/>
      <c r="GLZ380" s="252"/>
      <c r="GMA380" s="252"/>
      <c r="GMB380" s="252"/>
      <c r="GMC380" s="252"/>
      <c r="GMD380" s="252"/>
      <c r="GME380" s="252"/>
      <c r="GMF380" s="252"/>
      <c r="GMG380" s="252"/>
      <c r="GMH380" s="252"/>
      <c r="GMI380" s="252"/>
      <c r="GMJ380" s="252"/>
      <c r="GMK380" s="252"/>
      <c r="GML380" s="252"/>
      <c r="GMM380" s="252"/>
      <c r="GMN380" s="252"/>
      <c r="GMO380" s="252"/>
      <c r="GMP380" s="252"/>
      <c r="GMQ380" s="252"/>
      <c r="GMR380" s="252"/>
      <c r="GMS380" s="252"/>
      <c r="GMT380" s="252"/>
      <c r="GMU380" s="252"/>
      <c r="GMV380" s="252"/>
      <c r="GMW380" s="252"/>
      <c r="GMX380" s="252"/>
      <c r="GMY380" s="252"/>
      <c r="GMZ380" s="252"/>
      <c r="GNA380" s="252"/>
      <c r="GNB380" s="252"/>
      <c r="GNC380" s="252"/>
      <c r="GND380" s="252"/>
      <c r="GNE380" s="252"/>
      <c r="GNF380" s="252"/>
      <c r="GNG380" s="252"/>
      <c r="GNH380" s="252"/>
      <c r="GNI380" s="252"/>
      <c r="GNJ380" s="252"/>
      <c r="GNK380" s="252"/>
      <c r="GNL380" s="252"/>
      <c r="GNM380" s="252"/>
      <c r="GNN380" s="252"/>
      <c r="GNO380" s="252"/>
      <c r="GNP380" s="252"/>
      <c r="GNQ380" s="252"/>
      <c r="GNR380" s="252"/>
      <c r="GNS380" s="252"/>
      <c r="GNT380" s="252"/>
      <c r="GNU380" s="252"/>
      <c r="GNV380" s="252"/>
      <c r="GNW380" s="252"/>
      <c r="GNX380" s="252"/>
      <c r="GNY380" s="252"/>
      <c r="GNZ380" s="252"/>
      <c r="GOA380" s="252"/>
      <c r="GOB380" s="252"/>
      <c r="GOC380" s="252"/>
      <c r="GOD380" s="252"/>
      <c r="GOE380" s="252"/>
      <c r="GOF380" s="252"/>
      <c r="GOG380" s="252"/>
      <c r="GOH380" s="252"/>
      <c r="GOI380" s="252"/>
      <c r="GOJ380" s="252"/>
      <c r="GOK380" s="252"/>
      <c r="GOL380" s="252"/>
      <c r="GOM380" s="252"/>
      <c r="GON380" s="252"/>
      <c r="GOO380" s="252"/>
      <c r="GOP380" s="252"/>
      <c r="GOQ380" s="252"/>
      <c r="GOR380" s="252"/>
      <c r="GOS380" s="252"/>
      <c r="GOT380" s="252"/>
      <c r="GOU380" s="252"/>
      <c r="GOV380" s="252"/>
      <c r="GOW380" s="252"/>
      <c r="GOX380" s="252"/>
      <c r="GOY380" s="252"/>
      <c r="GOZ380" s="252"/>
      <c r="GPA380" s="252"/>
      <c r="GPB380" s="252"/>
      <c r="GPC380" s="252"/>
      <c r="GPD380" s="252"/>
      <c r="GPE380" s="252"/>
      <c r="GPF380" s="252"/>
      <c r="GPG380" s="252"/>
      <c r="GPH380" s="252"/>
      <c r="GPI380" s="252"/>
      <c r="GPJ380" s="252"/>
      <c r="GPK380" s="252"/>
      <c r="GPL380" s="252"/>
      <c r="GPM380" s="252"/>
      <c r="GPN380" s="252"/>
      <c r="GPO380" s="252"/>
      <c r="GPP380" s="252"/>
      <c r="GPQ380" s="252"/>
      <c r="GPR380" s="252"/>
      <c r="GPS380" s="252"/>
      <c r="GPT380" s="252"/>
      <c r="GPU380" s="252"/>
      <c r="GPV380" s="252"/>
      <c r="GPW380" s="252"/>
      <c r="GPX380" s="252"/>
      <c r="GPY380" s="252"/>
      <c r="GPZ380" s="252"/>
      <c r="GQA380" s="252"/>
      <c r="GQB380" s="252"/>
      <c r="GQC380" s="252"/>
      <c r="GQD380" s="252"/>
      <c r="GQE380" s="252"/>
      <c r="GQF380" s="252"/>
      <c r="GQG380" s="252"/>
      <c r="GQH380" s="252"/>
      <c r="GQI380" s="252"/>
      <c r="GQJ380" s="252"/>
      <c r="GQK380" s="252"/>
      <c r="GQL380" s="252"/>
      <c r="GQM380" s="252"/>
      <c r="GQN380" s="252"/>
      <c r="GQO380" s="252"/>
      <c r="GQP380" s="252"/>
      <c r="GQQ380" s="252"/>
      <c r="GQR380" s="252"/>
      <c r="GQS380" s="252"/>
      <c r="GQT380" s="252"/>
      <c r="GQU380" s="252"/>
      <c r="GQV380" s="252"/>
      <c r="GQW380" s="252"/>
      <c r="GQX380" s="252"/>
      <c r="GQY380" s="252"/>
      <c r="GQZ380" s="252"/>
      <c r="GRA380" s="252"/>
      <c r="GRB380" s="252"/>
      <c r="GRC380" s="252"/>
      <c r="GRD380" s="252"/>
      <c r="GRE380" s="252"/>
      <c r="GRF380" s="252"/>
      <c r="GRG380" s="252"/>
      <c r="GRH380" s="252"/>
      <c r="GRI380" s="252"/>
      <c r="GRJ380" s="252"/>
      <c r="GRK380" s="252"/>
      <c r="GRL380" s="252"/>
      <c r="GRM380" s="252"/>
      <c r="GRN380" s="252"/>
      <c r="GRO380" s="252"/>
      <c r="GRP380" s="252"/>
      <c r="GRQ380" s="252"/>
      <c r="GRR380" s="252"/>
      <c r="GRS380" s="252"/>
      <c r="GRT380" s="252"/>
      <c r="GRU380" s="252"/>
      <c r="GRV380" s="252"/>
      <c r="GRW380" s="252"/>
      <c r="GRX380" s="252"/>
      <c r="GRY380" s="252"/>
      <c r="GRZ380" s="252"/>
      <c r="GSA380" s="252"/>
      <c r="GSB380" s="252"/>
      <c r="GSC380" s="252"/>
      <c r="GSD380" s="252"/>
      <c r="GSE380" s="252"/>
      <c r="GSF380" s="252"/>
      <c r="GSG380" s="252"/>
      <c r="GSH380" s="252"/>
      <c r="GSI380" s="252"/>
      <c r="GSJ380" s="252"/>
      <c r="GSK380" s="252"/>
      <c r="GSL380" s="252"/>
      <c r="GSM380" s="252"/>
      <c r="GSN380" s="252"/>
      <c r="GSO380" s="252"/>
      <c r="GSP380" s="252"/>
      <c r="GSQ380" s="252"/>
      <c r="GSR380" s="252"/>
      <c r="GSS380" s="252"/>
      <c r="GST380" s="252"/>
      <c r="GSU380" s="252"/>
      <c r="GSV380" s="252"/>
      <c r="GSW380" s="252"/>
      <c r="GSX380" s="252"/>
      <c r="GSY380" s="252"/>
      <c r="GSZ380" s="252"/>
      <c r="GTA380" s="252"/>
      <c r="GTB380" s="252"/>
      <c r="GTC380" s="252"/>
      <c r="GTD380" s="252"/>
      <c r="GTE380" s="252"/>
      <c r="GTF380" s="252"/>
      <c r="GTG380" s="252"/>
      <c r="GTH380" s="252"/>
      <c r="GTI380" s="252"/>
      <c r="GTJ380" s="252"/>
      <c r="GTK380" s="252"/>
      <c r="GTL380" s="252"/>
      <c r="GTM380" s="252"/>
      <c r="GTN380" s="252"/>
      <c r="GTO380" s="252"/>
      <c r="GTP380" s="252"/>
      <c r="GTQ380" s="252"/>
      <c r="GTR380" s="252"/>
      <c r="GTS380" s="252"/>
      <c r="GTT380" s="252"/>
      <c r="GTU380" s="252"/>
      <c r="GTV380" s="252"/>
      <c r="GTW380" s="252"/>
      <c r="GTX380" s="252"/>
      <c r="GTY380" s="252"/>
      <c r="GTZ380" s="252"/>
      <c r="GUA380" s="252"/>
      <c r="GUB380" s="252"/>
      <c r="GUC380" s="252"/>
      <c r="GUD380" s="252"/>
      <c r="GUE380" s="252"/>
      <c r="GUF380" s="252"/>
      <c r="GUG380" s="252"/>
      <c r="GUH380" s="252"/>
      <c r="GUI380" s="252"/>
      <c r="GUJ380" s="252"/>
      <c r="GUK380" s="252"/>
      <c r="GUL380" s="252"/>
      <c r="GUM380" s="252"/>
      <c r="GUN380" s="252"/>
      <c r="GUO380" s="252"/>
      <c r="GUP380" s="252"/>
      <c r="GUQ380" s="252"/>
      <c r="GUR380" s="252"/>
      <c r="GUS380" s="252"/>
      <c r="GUT380" s="252"/>
      <c r="GUU380" s="252"/>
      <c r="GUV380" s="252"/>
      <c r="GUW380" s="252"/>
      <c r="GUX380" s="252"/>
      <c r="GUY380" s="252"/>
      <c r="GUZ380" s="252"/>
      <c r="GVA380" s="252"/>
      <c r="GVB380" s="252"/>
      <c r="GVC380" s="252"/>
      <c r="GVD380" s="252"/>
      <c r="GVE380" s="252"/>
      <c r="GVF380" s="252"/>
      <c r="GVG380" s="252"/>
      <c r="GVH380" s="252"/>
      <c r="GVI380" s="252"/>
      <c r="GVJ380" s="252"/>
      <c r="GVK380" s="252"/>
      <c r="GVL380" s="252"/>
      <c r="GVM380" s="252"/>
      <c r="GVN380" s="252"/>
      <c r="GVO380" s="252"/>
      <c r="GVP380" s="252"/>
      <c r="GVQ380" s="252"/>
      <c r="GVR380" s="252"/>
      <c r="GVS380" s="252"/>
      <c r="GVT380" s="252"/>
      <c r="GVU380" s="252"/>
      <c r="GVV380" s="252"/>
      <c r="GVW380" s="252"/>
      <c r="GVX380" s="252"/>
      <c r="GVY380" s="252"/>
      <c r="GVZ380" s="252"/>
      <c r="GWA380" s="252"/>
      <c r="GWB380" s="252"/>
      <c r="GWC380" s="252"/>
      <c r="GWD380" s="252"/>
      <c r="GWE380" s="252"/>
      <c r="GWF380" s="252"/>
      <c r="GWG380" s="252"/>
      <c r="GWH380" s="252"/>
      <c r="GWI380" s="252"/>
      <c r="GWJ380" s="252"/>
      <c r="GWK380" s="252"/>
      <c r="GWL380" s="252"/>
      <c r="GWM380" s="252"/>
      <c r="GWN380" s="252"/>
      <c r="GWO380" s="252"/>
      <c r="GWP380" s="252"/>
      <c r="GWQ380" s="252"/>
      <c r="GWR380" s="252"/>
      <c r="GWS380" s="252"/>
      <c r="GWT380" s="252"/>
      <c r="GWU380" s="252"/>
      <c r="GWV380" s="252"/>
      <c r="GWW380" s="252"/>
      <c r="GWX380" s="252"/>
      <c r="GWY380" s="252"/>
      <c r="GWZ380" s="252"/>
      <c r="GXA380" s="252"/>
      <c r="GXB380" s="252"/>
      <c r="GXC380" s="252"/>
      <c r="GXD380" s="252"/>
      <c r="GXE380" s="252"/>
      <c r="GXF380" s="252"/>
      <c r="GXG380" s="252"/>
      <c r="GXH380" s="252"/>
      <c r="GXI380" s="252"/>
      <c r="GXJ380" s="252"/>
      <c r="GXK380" s="252"/>
      <c r="GXL380" s="252"/>
      <c r="GXM380" s="252"/>
      <c r="GXN380" s="252"/>
      <c r="GXO380" s="252"/>
      <c r="GXP380" s="252"/>
      <c r="GXQ380" s="252"/>
      <c r="GXR380" s="252"/>
      <c r="GXS380" s="252"/>
      <c r="GXT380" s="252"/>
      <c r="GXU380" s="252"/>
      <c r="GXV380" s="252"/>
      <c r="GXW380" s="252"/>
      <c r="GXX380" s="252"/>
      <c r="GXY380" s="252"/>
      <c r="GXZ380" s="252"/>
      <c r="GYA380" s="252"/>
      <c r="GYB380" s="252"/>
      <c r="GYC380" s="252"/>
      <c r="GYD380" s="252"/>
      <c r="GYE380" s="252"/>
      <c r="GYF380" s="252"/>
      <c r="GYG380" s="252"/>
      <c r="GYH380" s="252"/>
      <c r="GYI380" s="252"/>
      <c r="GYJ380" s="252"/>
      <c r="GYK380" s="252"/>
      <c r="GYL380" s="252"/>
      <c r="GYM380" s="252"/>
      <c r="GYN380" s="252"/>
      <c r="GYO380" s="252"/>
      <c r="GYP380" s="252"/>
      <c r="GYQ380" s="252"/>
      <c r="GYR380" s="252"/>
      <c r="GYS380" s="252"/>
      <c r="GYT380" s="252"/>
      <c r="GYU380" s="252"/>
      <c r="GYV380" s="252"/>
      <c r="GYW380" s="252"/>
      <c r="GYX380" s="252"/>
      <c r="GYY380" s="252"/>
      <c r="GYZ380" s="252"/>
      <c r="GZA380" s="252"/>
      <c r="GZB380" s="252"/>
      <c r="GZC380" s="252"/>
      <c r="GZD380" s="252"/>
      <c r="GZE380" s="252"/>
      <c r="GZF380" s="252"/>
      <c r="GZG380" s="252"/>
      <c r="GZH380" s="252"/>
      <c r="GZI380" s="252"/>
      <c r="GZJ380" s="252"/>
      <c r="GZK380" s="252"/>
      <c r="GZL380" s="252"/>
      <c r="GZM380" s="252"/>
      <c r="GZN380" s="252"/>
      <c r="GZO380" s="252"/>
      <c r="GZP380" s="252"/>
      <c r="GZQ380" s="252"/>
      <c r="GZR380" s="252"/>
      <c r="GZS380" s="252"/>
      <c r="GZT380" s="252"/>
      <c r="GZU380" s="252"/>
      <c r="GZV380" s="252"/>
      <c r="GZW380" s="252"/>
      <c r="GZX380" s="252"/>
      <c r="GZY380" s="252"/>
      <c r="GZZ380" s="252"/>
      <c r="HAA380" s="252"/>
      <c r="HAB380" s="252"/>
      <c r="HAC380" s="252"/>
      <c r="HAD380" s="252"/>
      <c r="HAE380" s="252"/>
      <c r="HAF380" s="252"/>
      <c r="HAG380" s="252"/>
      <c r="HAH380" s="252"/>
      <c r="HAI380" s="252"/>
      <c r="HAJ380" s="252"/>
      <c r="HAK380" s="252"/>
      <c r="HAL380" s="252"/>
      <c r="HAM380" s="252"/>
      <c r="HAN380" s="252"/>
      <c r="HAO380" s="252"/>
      <c r="HAP380" s="252"/>
      <c r="HAQ380" s="252"/>
      <c r="HAR380" s="252"/>
      <c r="HAS380" s="252"/>
      <c r="HAT380" s="252"/>
      <c r="HAU380" s="252"/>
      <c r="HAV380" s="252"/>
      <c r="HAW380" s="252"/>
      <c r="HAX380" s="252"/>
      <c r="HAY380" s="252"/>
      <c r="HAZ380" s="252"/>
      <c r="HBA380" s="252"/>
      <c r="HBB380" s="252"/>
      <c r="HBC380" s="252"/>
      <c r="HBD380" s="252"/>
      <c r="HBE380" s="252"/>
      <c r="HBF380" s="252"/>
      <c r="HBG380" s="252"/>
      <c r="HBH380" s="252"/>
      <c r="HBI380" s="252"/>
      <c r="HBJ380" s="252"/>
      <c r="HBK380" s="252"/>
      <c r="HBL380" s="252"/>
      <c r="HBM380" s="252"/>
      <c r="HBN380" s="252"/>
      <c r="HBO380" s="252"/>
      <c r="HBP380" s="252"/>
      <c r="HBQ380" s="252"/>
      <c r="HBR380" s="252"/>
      <c r="HBS380" s="252"/>
      <c r="HBT380" s="252"/>
      <c r="HBU380" s="252"/>
      <c r="HBV380" s="252"/>
      <c r="HBW380" s="252"/>
      <c r="HBX380" s="252"/>
      <c r="HBY380" s="252"/>
      <c r="HBZ380" s="252"/>
      <c r="HCA380" s="252"/>
      <c r="HCB380" s="252"/>
      <c r="HCC380" s="252"/>
      <c r="HCD380" s="252"/>
      <c r="HCE380" s="252"/>
      <c r="HCF380" s="252"/>
      <c r="HCG380" s="252"/>
      <c r="HCH380" s="252"/>
      <c r="HCI380" s="252"/>
      <c r="HCJ380" s="252"/>
      <c r="HCK380" s="252"/>
      <c r="HCL380" s="252"/>
      <c r="HCM380" s="252"/>
      <c r="HCN380" s="252"/>
      <c r="HCO380" s="252"/>
      <c r="HCP380" s="252"/>
      <c r="HCQ380" s="252"/>
      <c r="HCR380" s="252"/>
      <c r="HCS380" s="252"/>
      <c r="HCT380" s="252"/>
      <c r="HCU380" s="252"/>
      <c r="HCV380" s="252"/>
      <c r="HCW380" s="252"/>
      <c r="HCX380" s="252"/>
      <c r="HCY380" s="252"/>
      <c r="HCZ380" s="252"/>
      <c r="HDA380" s="252"/>
      <c r="HDB380" s="252"/>
      <c r="HDC380" s="252"/>
      <c r="HDD380" s="252"/>
      <c r="HDE380" s="252"/>
      <c r="HDF380" s="252"/>
      <c r="HDG380" s="252"/>
      <c r="HDH380" s="252"/>
      <c r="HDI380" s="252"/>
      <c r="HDJ380" s="252"/>
      <c r="HDK380" s="252"/>
      <c r="HDL380" s="252"/>
      <c r="HDM380" s="252"/>
      <c r="HDN380" s="252"/>
      <c r="HDO380" s="252"/>
      <c r="HDP380" s="252"/>
      <c r="HDQ380" s="252"/>
      <c r="HDR380" s="252"/>
      <c r="HDS380" s="252"/>
      <c r="HDT380" s="252"/>
      <c r="HDU380" s="252"/>
      <c r="HDV380" s="252"/>
      <c r="HDW380" s="252"/>
      <c r="HDX380" s="252"/>
      <c r="HDY380" s="252"/>
      <c r="HDZ380" s="252"/>
      <c r="HEA380" s="252"/>
      <c r="HEB380" s="252"/>
      <c r="HEC380" s="252"/>
      <c r="HED380" s="252"/>
      <c r="HEE380" s="252"/>
      <c r="HEF380" s="252"/>
      <c r="HEG380" s="252"/>
      <c r="HEH380" s="252"/>
      <c r="HEI380" s="252"/>
      <c r="HEJ380" s="252"/>
      <c r="HEK380" s="252"/>
      <c r="HEL380" s="252"/>
      <c r="HEM380" s="252"/>
      <c r="HEN380" s="252"/>
      <c r="HEO380" s="252"/>
      <c r="HEP380" s="252"/>
      <c r="HEQ380" s="252"/>
      <c r="HER380" s="252"/>
      <c r="HES380" s="252"/>
      <c r="HET380" s="252"/>
      <c r="HEU380" s="252"/>
      <c r="HEV380" s="252"/>
      <c r="HEW380" s="252"/>
      <c r="HEX380" s="252"/>
      <c r="HEY380" s="252"/>
      <c r="HEZ380" s="252"/>
      <c r="HFA380" s="252"/>
      <c r="HFB380" s="252"/>
      <c r="HFC380" s="252"/>
      <c r="HFD380" s="252"/>
      <c r="HFE380" s="252"/>
      <c r="HFF380" s="252"/>
      <c r="HFG380" s="252"/>
      <c r="HFH380" s="252"/>
      <c r="HFI380" s="252"/>
      <c r="HFJ380" s="252"/>
      <c r="HFK380" s="252"/>
      <c r="HFL380" s="252"/>
      <c r="HFM380" s="252"/>
      <c r="HFN380" s="252"/>
      <c r="HFO380" s="252"/>
      <c r="HFP380" s="252"/>
      <c r="HFQ380" s="252"/>
      <c r="HFR380" s="252"/>
      <c r="HFS380" s="252"/>
      <c r="HFT380" s="252"/>
      <c r="HFU380" s="252"/>
      <c r="HFV380" s="252"/>
      <c r="HFW380" s="252"/>
      <c r="HFX380" s="252"/>
      <c r="HFY380" s="252"/>
      <c r="HFZ380" s="252"/>
      <c r="HGA380" s="252"/>
      <c r="HGB380" s="252"/>
      <c r="HGC380" s="252"/>
      <c r="HGD380" s="252"/>
      <c r="HGE380" s="252"/>
      <c r="HGF380" s="252"/>
      <c r="HGG380" s="252"/>
      <c r="HGH380" s="252"/>
      <c r="HGI380" s="252"/>
      <c r="HGJ380" s="252"/>
      <c r="HGK380" s="252"/>
      <c r="HGL380" s="252"/>
      <c r="HGM380" s="252"/>
      <c r="HGN380" s="252"/>
      <c r="HGO380" s="252"/>
      <c r="HGP380" s="252"/>
      <c r="HGQ380" s="252"/>
      <c r="HGR380" s="252"/>
      <c r="HGS380" s="252"/>
      <c r="HGT380" s="252"/>
      <c r="HGU380" s="252"/>
      <c r="HGV380" s="252"/>
      <c r="HGW380" s="252"/>
      <c r="HGX380" s="252"/>
      <c r="HGY380" s="252"/>
      <c r="HGZ380" s="252"/>
      <c r="HHA380" s="252"/>
      <c r="HHB380" s="252"/>
      <c r="HHC380" s="252"/>
      <c r="HHD380" s="252"/>
      <c r="HHE380" s="252"/>
      <c r="HHF380" s="252"/>
      <c r="HHG380" s="252"/>
      <c r="HHH380" s="252"/>
      <c r="HHI380" s="252"/>
      <c r="HHJ380" s="252"/>
      <c r="HHK380" s="252"/>
      <c r="HHL380" s="252"/>
      <c r="HHM380" s="252"/>
      <c r="HHN380" s="252"/>
      <c r="HHO380" s="252"/>
      <c r="HHP380" s="252"/>
      <c r="HHQ380" s="252"/>
      <c r="HHR380" s="252"/>
      <c r="HHS380" s="252"/>
      <c r="HHT380" s="252"/>
      <c r="HHU380" s="252"/>
      <c r="HHV380" s="252"/>
      <c r="HHW380" s="252"/>
      <c r="HHX380" s="252"/>
      <c r="HHY380" s="252"/>
      <c r="HHZ380" s="252"/>
      <c r="HIA380" s="252"/>
      <c r="HIB380" s="252"/>
      <c r="HIC380" s="252"/>
      <c r="HID380" s="252"/>
      <c r="HIE380" s="252"/>
      <c r="HIF380" s="252"/>
      <c r="HIG380" s="252"/>
      <c r="HIH380" s="252"/>
      <c r="HII380" s="252"/>
      <c r="HIJ380" s="252"/>
      <c r="HIK380" s="252"/>
      <c r="HIL380" s="252"/>
      <c r="HIM380" s="252"/>
      <c r="HIN380" s="252"/>
      <c r="HIO380" s="252"/>
      <c r="HIP380" s="252"/>
      <c r="HIQ380" s="252"/>
      <c r="HIR380" s="252"/>
      <c r="HIS380" s="252"/>
      <c r="HIT380" s="252"/>
      <c r="HIU380" s="252"/>
      <c r="HIV380" s="252"/>
      <c r="HIW380" s="252"/>
      <c r="HIX380" s="252"/>
      <c r="HIY380" s="252"/>
      <c r="HIZ380" s="252"/>
      <c r="HJA380" s="252"/>
      <c r="HJB380" s="252"/>
      <c r="HJC380" s="252"/>
      <c r="HJD380" s="252"/>
      <c r="HJE380" s="252"/>
      <c r="HJF380" s="252"/>
      <c r="HJG380" s="252"/>
      <c r="HJH380" s="252"/>
      <c r="HJI380" s="252"/>
      <c r="HJJ380" s="252"/>
      <c r="HJK380" s="252"/>
      <c r="HJL380" s="252"/>
      <c r="HJM380" s="252"/>
      <c r="HJN380" s="252"/>
      <c r="HJO380" s="252"/>
      <c r="HJP380" s="252"/>
      <c r="HJQ380" s="252"/>
      <c r="HJR380" s="252"/>
      <c r="HJS380" s="252"/>
      <c r="HJT380" s="252"/>
      <c r="HJU380" s="252"/>
      <c r="HJV380" s="252"/>
      <c r="HJW380" s="252"/>
      <c r="HJX380" s="252"/>
      <c r="HJY380" s="252"/>
      <c r="HJZ380" s="252"/>
      <c r="HKA380" s="252"/>
      <c r="HKB380" s="252"/>
      <c r="HKC380" s="252"/>
      <c r="HKD380" s="252"/>
      <c r="HKE380" s="252"/>
      <c r="HKF380" s="252"/>
      <c r="HKG380" s="252"/>
      <c r="HKH380" s="252"/>
      <c r="HKI380" s="252"/>
      <c r="HKJ380" s="252"/>
      <c r="HKK380" s="252"/>
      <c r="HKL380" s="252"/>
      <c r="HKM380" s="252"/>
      <c r="HKN380" s="252"/>
      <c r="HKO380" s="252"/>
      <c r="HKP380" s="252"/>
      <c r="HKQ380" s="252"/>
      <c r="HKR380" s="252"/>
      <c r="HKS380" s="252"/>
      <c r="HKT380" s="252"/>
      <c r="HKU380" s="252"/>
      <c r="HKV380" s="252"/>
      <c r="HKW380" s="252"/>
      <c r="HKX380" s="252"/>
      <c r="HKY380" s="252"/>
      <c r="HKZ380" s="252"/>
      <c r="HLA380" s="252"/>
      <c r="HLB380" s="252"/>
      <c r="HLC380" s="252"/>
      <c r="HLD380" s="252"/>
      <c r="HLE380" s="252"/>
      <c r="HLF380" s="252"/>
      <c r="HLG380" s="252"/>
      <c r="HLH380" s="252"/>
      <c r="HLI380" s="252"/>
      <c r="HLJ380" s="252"/>
      <c r="HLK380" s="252"/>
      <c r="HLL380" s="252"/>
      <c r="HLM380" s="252"/>
      <c r="HLN380" s="252"/>
      <c r="HLO380" s="252"/>
      <c r="HLP380" s="252"/>
      <c r="HLQ380" s="252"/>
      <c r="HLR380" s="252"/>
      <c r="HLS380" s="252"/>
      <c r="HLT380" s="252"/>
      <c r="HLU380" s="252"/>
      <c r="HLV380" s="252"/>
      <c r="HLW380" s="252"/>
      <c r="HLX380" s="252"/>
      <c r="HLY380" s="252"/>
      <c r="HLZ380" s="252"/>
      <c r="HMA380" s="252"/>
      <c r="HMB380" s="252"/>
      <c r="HMC380" s="252"/>
      <c r="HMD380" s="252"/>
      <c r="HME380" s="252"/>
      <c r="HMF380" s="252"/>
      <c r="HMG380" s="252"/>
      <c r="HMH380" s="252"/>
      <c r="HMI380" s="252"/>
      <c r="HMJ380" s="252"/>
      <c r="HMK380" s="252"/>
      <c r="HML380" s="252"/>
      <c r="HMM380" s="252"/>
      <c r="HMN380" s="252"/>
      <c r="HMO380" s="252"/>
      <c r="HMP380" s="252"/>
      <c r="HMQ380" s="252"/>
      <c r="HMR380" s="252"/>
      <c r="HMS380" s="252"/>
      <c r="HMT380" s="252"/>
      <c r="HMU380" s="252"/>
      <c r="HMV380" s="252"/>
      <c r="HMW380" s="252"/>
      <c r="HMX380" s="252"/>
      <c r="HMY380" s="252"/>
      <c r="HMZ380" s="252"/>
      <c r="HNA380" s="252"/>
      <c r="HNB380" s="252"/>
      <c r="HNC380" s="252"/>
      <c r="HND380" s="252"/>
      <c r="HNE380" s="252"/>
      <c r="HNF380" s="252"/>
      <c r="HNG380" s="252"/>
      <c r="HNH380" s="252"/>
      <c r="HNI380" s="252"/>
      <c r="HNJ380" s="252"/>
      <c r="HNK380" s="252"/>
      <c r="HNL380" s="252"/>
      <c r="HNM380" s="252"/>
      <c r="HNN380" s="252"/>
      <c r="HNO380" s="252"/>
      <c r="HNP380" s="252"/>
      <c r="HNQ380" s="252"/>
      <c r="HNR380" s="252"/>
      <c r="HNS380" s="252"/>
      <c r="HNT380" s="252"/>
      <c r="HNU380" s="252"/>
      <c r="HNV380" s="252"/>
      <c r="HNW380" s="252"/>
      <c r="HNX380" s="252"/>
      <c r="HNY380" s="252"/>
      <c r="HNZ380" s="252"/>
      <c r="HOA380" s="252"/>
      <c r="HOB380" s="252"/>
      <c r="HOC380" s="252"/>
      <c r="HOD380" s="252"/>
      <c r="HOE380" s="252"/>
      <c r="HOF380" s="252"/>
      <c r="HOG380" s="252"/>
      <c r="HOH380" s="252"/>
      <c r="HOI380" s="252"/>
      <c r="HOJ380" s="252"/>
      <c r="HOK380" s="252"/>
      <c r="HOL380" s="252"/>
      <c r="HOM380" s="252"/>
      <c r="HON380" s="252"/>
      <c r="HOO380" s="252"/>
      <c r="HOP380" s="252"/>
      <c r="HOQ380" s="252"/>
      <c r="HOR380" s="252"/>
      <c r="HOS380" s="252"/>
      <c r="HOT380" s="252"/>
      <c r="HOU380" s="252"/>
      <c r="HOV380" s="252"/>
      <c r="HOW380" s="252"/>
      <c r="HOX380" s="252"/>
      <c r="HOY380" s="252"/>
      <c r="HOZ380" s="252"/>
      <c r="HPA380" s="252"/>
      <c r="HPB380" s="252"/>
      <c r="HPC380" s="252"/>
      <c r="HPD380" s="252"/>
      <c r="HPE380" s="252"/>
      <c r="HPF380" s="252"/>
      <c r="HPG380" s="252"/>
      <c r="HPH380" s="252"/>
      <c r="HPI380" s="252"/>
      <c r="HPJ380" s="252"/>
      <c r="HPK380" s="252"/>
      <c r="HPL380" s="252"/>
      <c r="HPM380" s="252"/>
      <c r="HPN380" s="252"/>
      <c r="HPO380" s="252"/>
      <c r="HPP380" s="252"/>
      <c r="HPQ380" s="252"/>
      <c r="HPR380" s="252"/>
      <c r="HPS380" s="252"/>
      <c r="HPT380" s="252"/>
      <c r="HPU380" s="252"/>
      <c r="HPV380" s="252"/>
      <c r="HPW380" s="252"/>
      <c r="HPX380" s="252"/>
      <c r="HPY380" s="252"/>
      <c r="HPZ380" s="252"/>
      <c r="HQA380" s="252"/>
      <c r="HQB380" s="252"/>
      <c r="HQC380" s="252"/>
      <c r="HQD380" s="252"/>
      <c r="HQE380" s="252"/>
      <c r="HQF380" s="252"/>
      <c r="HQG380" s="252"/>
      <c r="HQH380" s="252"/>
      <c r="HQI380" s="252"/>
      <c r="HQJ380" s="252"/>
      <c r="HQK380" s="252"/>
      <c r="HQL380" s="252"/>
      <c r="HQM380" s="252"/>
      <c r="HQN380" s="252"/>
      <c r="HQO380" s="252"/>
      <c r="HQP380" s="252"/>
      <c r="HQQ380" s="252"/>
      <c r="HQR380" s="252"/>
      <c r="HQS380" s="252"/>
      <c r="HQT380" s="252"/>
      <c r="HQU380" s="252"/>
      <c r="HQV380" s="252"/>
      <c r="HQW380" s="252"/>
      <c r="HQX380" s="252"/>
      <c r="HQY380" s="252"/>
      <c r="HQZ380" s="252"/>
      <c r="HRA380" s="252"/>
      <c r="HRB380" s="252"/>
      <c r="HRC380" s="252"/>
      <c r="HRD380" s="252"/>
      <c r="HRE380" s="252"/>
      <c r="HRF380" s="252"/>
      <c r="HRG380" s="252"/>
      <c r="HRH380" s="252"/>
      <c r="HRI380" s="252"/>
      <c r="HRJ380" s="252"/>
      <c r="HRK380" s="252"/>
      <c r="HRL380" s="252"/>
      <c r="HRM380" s="252"/>
      <c r="HRN380" s="252"/>
      <c r="HRO380" s="252"/>
      <c r="HRP380" s="252"/>
      <c r="HRQ380" s="252"/>
      <c r="HRR380" s="252"/>
      <c r="HRS380" s="252"/>
      <c r="HRT380" s="252"/>
      <c r="HRU380" s="252"/>
      <c r="HRV380" s="252"/>
      <c r="HRW380" s="252"/>
      <c r="HRX380" s="252"/>
      <c r="HRY380" s="252"/>
      <c r="HRZ380" s="252"/>
      <c r="HSA380" s="252"/>
      <c r="HSB380" s="252"/>
      <c r="HSC380" s="252"/>
      <c r="HSD380" s="252"/>
      <c r="HSE380" s="252"/>
      <c r="HSF380" s="252"/>
      <c r="HSG380" s="252"/>
      <c r="HSH380" s="252"/>
      <c r="HSI380" s="252"/>
      <c r="HSJ380" s="252"/>
      <c r="HSK380" s="252"/>
      <c r="HSL380" s="252"/>
      <c r="HSM380" s="252"/>
      <c r="HSN380" s="252"/>
      <c r="HSO380" s="252"/>
      <c r="HSP380" s="252"/>
      <c r="HSQ380" s="252"/>
      <c r="HSR380" s="252"/>
      <c r="HSS380" s="252"/>
      <c r="HST380" s="252"/>
      <c r="HSU380" s="252"/>
      <c r="HSV380" s="252"/>
      <c r="HSW380" s="252"/>
      <c r="HSX380" s="252"/>
      <c r="HSY380" s="252"/>
      <c r="HSZ380" s="252"/>
      <c r="HTA380" s="252"/>
      <c r="HTB380" s="252"/>
      <c r="HTC380" s="252"/>
      <c r="HTD380" s="252"/>
      <c r="HTE380" s="252"/>
      <c r="HTF380" s="252"/>
      <c r="HTG380" s="252"/>
      <c r="HTH380" s="252"/>
      <c r="HTI380" s="252"/>
      <c r="HTJ380" s="252"/>
      <c r="HTK380" s="252"/>
      <c r="HTL380" s="252"/>
      <c r="HTM380" s="252"/>
      <c r="HTN380" s="252"/>
      <c r="HTO380" s="252"/>
      <c r="HTP380" s="252"/>
      <c r="HTQ380" s="252"/>
      <c r="HTR380" s="252"/>
      <c r="HTS380" s="252"/>
      <c r="HTT380" s="252"/>
      <c r="HTU380" s="252"/>
      <c r="HTV380" s="252"/>
      <c r="HTW380" s="252"/>
      <c r="HTX380" s="252"/>
      <c r="HTY380" s="252"/>
      <c r="HTZ380" s="252"/>
      <c r="HUA380" s="252"/>
      <c r="HUB380" s="252"/>
      <c r="HUC380" s="252"/>
      <c r="HUD380" s="252"/>
      <c r="HUE380" s="252"/>
      <c r="HUF380" s="252"/>
      <c r="HUG380" s="252"/>
      <c r="HUH380" s="252"/>
      <c r="HUI380" s="252"/>
      <c r="HUJ380" s="252"/>
      <c r="HUK380" s="252"/>
      <c r="HUL380" s="252"/>
      <c r="HUM380" s="252"/>
      <c r="HUN380" s="252"/>
      <c r="HUO380" s="252"/>
      <c r="HUP380" s="252"/>
      <c r="HUQ380" s="252"/>
      <c r="HUR380" s="252"/>
      <c r="HUS380" s="252"/>
      <c r="HUT380" s="252"/>
      <c r="HUU380" s="252"/>
      <c r="HUV380" s="252"/>
      <c r="HUW380" s="252"/>
      <c r="HUX380" s="252"/>
      <c r="HUY380" s="252"/>
      <c r="HUZ380" s="252"/>
      <c r="HVA380" s="252"/>
      <c r="HVB380" s="252"/>
      <c r="HVC380" s="252"/>
      <c r="HVD380" s="252"/>
      <c r="HVE380" s="252"/>
      <c r="HVF380" s="252"/>
      <c r="HVG380" s="252"/>
      <c r="HVH380" s="252"/>
      <c r="HVI380" s="252"/>
      <c r="HVJ380" s="252"/>
      <c r="HVK380" s="252"/>
      <c r="HVL380" s="252"/>
      <c r="HVM380" s="252"/>
      <c r="HVN380" s="252"/>
      <c r="HVO380" s="252"/>
      <c r="HVP380" s="252"/>
      <c r="HVQ380" s="252"/>
      <c r="HVR380" s="252"/>
      <c r="HVS380" s="252"/>
      <c r="HVT380" s="252"/>
      <c r="HVU380" s="252"/>
      <c r="HVV380" s="252"/>
      <c r="HVW380" s="252"/>
      <c r="HVX380" s="252"/>
      <c r="HVY380" s="252"/>
      <c r="HVZ380" s="252"/>
      <c r="HWA380" s="252"/>
      <c r="HWB380" s="252"/>
      <c r="HWC380" s="252"/>
      <c r="HWD380" s="252"/>
      <c r="HWE380" s="252"/>
      <c r="HWF380" s="252"/>
      <c r="HWG380" s="252"/>
      <c r="HWH380" s="252"/>
      <c r="HWI380" s="252"/>
      <c r="HWJ380" s="252"/>
      <c r="HWK380" s="252"/>
      <c r="HWL380" s="252"/>
      <c r="HWM380" s="252"/>
      <c r="HWN380" s="252"/>
      <c r="HWO380" s="252"/>
      <c r="HWP380" s="252"/>
      <c r="HWQ380" s="252"/>
      <c r="HWR380" s="252"/>
      <c r="HWS380" s="252"/>
      <c r="HWT380" s="252"/>
      <c r="HWU380" s="252"/>
      <c r="HWV380" s="252"/>
      <c r="HWW380" s="252"/>
      <c r="HWX380" s="252"/>
      <c r="HWY380" s="252"/>
      <c r="HWZ380" s="252"/>
      <c r="HXA380" s="252"/>
      <c r="HXB380" s="252"/>
      <c r="HXC380" s="252"/>
      <c r="HXD380" s="252"/>
      <c r="HXE380" s="252"/>
      <c r="HXF380" s="252"/>
      <c r="HXG380" s="252"/>
      <c r="HXH380" s="252"/>
      <c r="HXI380" s="252"/>
      <c r="HXJ380" s="252"/>
      <c r="HXK380" s="252"/>
      <c r="HXL380" s="252"/>
      <c r="HXM380" s="252"/>
      <c r="HXN380" s="252"/>
      <c r="HXO380" s="252"/>
      <c r="HXP380" s="252"/>
      <c r="HXQ380" s="252"/>
      <c r="HXR380" s="252"/>
      <c r="HXS380" s="252"/>
      <c r="HXT380" s="252"/>
      <c r="HXU380" s="252"/>
      <c r="HXV380" s="252"/>
      <c r="HXW380" s="252"/>
      <c r="HXX380" s="252"/>
      <c r="HXY380" s="252"/>
      <c r="HXZ380" s="252"/>
      <c r="HYA380" s="252"/>
      <c r="HYB380" s="252"/>
      <c r="HYC380" s="252"/>
      <c r="HYD380" s="252"/>
      <c r="HYE380" s="252"/>
      <c r="HYF380" s="252"/>
      <c r="HYG380" s="252"/>
      <c r="HYH380" s="252"/>
      <c r="HYI380" s="252"/>
      <c r="HYJ380" s="252"/>
      <c r="HYK380" s="252"/>
      <c r="HYL380" s="252"/>
      <c r="HYM380" s="252"/>
      <c r="HYN380" s="252"/>
      <c r="HYO380" s="252"/>
      <c r="HYP380" s="252"/>
      <c r="HYQ380" s="252"/>
      <c r="HYR380" s="252"/>
      <c r="HYS380" s="252"/>
      <c r="HYT380" s="252"/>
      <c r="HYU380" s="252"/>
      <c r="HYV380" s="252"/>
      <c r="HYW380" s="252"/>
      <c r="HYX380" s="252"/>
      <c r="HYY380" s="252"/>
      <c r="HYZ380" s="252"/>
      <c r="HZA380" s="252"/>
      <c r="HZB380" s="252"/>
      <c r="HZC380" s="252"/>
      <c r="HZD380" s="252"/>
      <c r="HZE380" s="252"/>
      <c r="HZF380" s="252"/>
      <c r="HZG380" s="252"/>
      <c r="HZH380" s="252"/>
      <c r="HZI380" s="252"/>
      <c r="HZJ380" s="252"/>
      <c r="HZK380" s="252"/>
      <c r="HZL380" s="252"/>
      <c r="HZM380" s="252"/>
      <c r="HZN380" s="252"/>
      <c r="HZO380" s="252"/>
      <c r="HZP380" s="252"/>
      <c r="HZQ380" s="252"/>
      <c r="HZR380" s="252"/>
      <c r="HZS380" s="252"/>
      <c r="HZT380" s="252"/>
      <c r="HZU380" s="252"/>
      <c r="HZV380" s="252"/>
      <c r="HZW380" s="252"/>
      <c r="HZX380" s="252"/>
      <c r="HZY380" s="252"/>
      <c r="HZZ380" s="252"/>
      <c r="IAA380" s="252"/>
      <c r="IAB380" s="252"/>
      <c r="IAC380" s="252"/>
      <c r="IAD380" s="252"/>
      <c r="IAE380" s="252"/>
      <c r="IAF380" s="252"/>
      <c r="IAG380" s="252"/>
      <c r="IAH380" s="252"/>
      <c r="IAI380" s="252"/>
      <c r="IAJ380" s="252"/>
      <c r="IAK380" s="252"/>
      <c r="IAL380" s="252"/>
      <c r="IAM380" s="252"/>
      <c r="IAN380" s="252"/>
      <c r="IAO380" s="252"/>
      <c r="IAP380" s="252"/>
      <c r="IAQ380" s="252"/>
      <c r="IAR380" s="252"/>
      <c r="IAS380" s="252"/>
      <c r="IAT380" s="252"/>
      <c r="IAU380" s="252"/>
      <c r="IAV380" s="252"/>
      <c r="IAW380" s="252"/>
      <c r="IAX380" s="252"/>
      <c r="IAY380" s="252"/>
      <c r="IAZ380" s="252"/>
      <c r="IBA380" s="252"/>
      <c r="IBB380" s="252"/>
      <c r="IBC380" s="252"/>
      <c r="IBD380" s="252"/>
      <c r="IBE380" s="252"/>
      <c r="IBF380" s="252"/>
      <c r="IBG380" s="252"/>
      <c r="IBH380" s="252"/>
      <c r="IBI380" s="252"/>
      <c r="IBJ380" s="252"/>
      <c r="IBK380" s="252"/>
      <c r="IBL380" s="252"/>
      <c r="IBM380" s="252"/>
      <c r="IBN380" s="252"/>
      <c r="IBO380" s="252"/>
      <c r="IBP380" s="252"/>
      <c r="IBQ380" s="252"/>
      <c r="IBR380" s="252"/>
      <c r="IBS380" s="252"/>
      <c r="IBT380" s="252"/>
      <c r="IBU380" s="252"/>
      <c r="IBV380" s="252"/>
      <c r="IBW380" s="252"/>
      <c r="IBX380" s="252"/>
      <c r="IBY380" s="252"/>
      <c r="IBZ380" s="252"/>
      <c r="ICA380" s="252"/>
      <c r="ICB380" s="252"/>
      <c r="ICC380" s="252"/>
      <c r="ICD380" s="252"/>
      <c r="ICE380" s="252"/>
      <c r="ICF380" s="252"/>
      <c r="ICG380" s="252"/>
      <c r="ICH380" s="252"/>
      <c r="ICI380" s="252"/>
      <c r="ICJ380" s="252"/>
      <c r="ICK380" s="252"/>
      <c r="ICL380" s="252"/>
      <c r="ICM380" s="252"/>
      <c r="ICN380" s="252"/>
      <c r="ICO380" s="252"/>
      <c r="ICP380" s="252"/>
      <c r="ICQ380" s="252"/>
      <c r="ICR380" s="252"/>
      <c r="ICS380" s="252"/>
      <c r="ICT380" s="252"/>
      <c r="ICU380" s="252"/>
      <c r="ICV380" s="252"/>
      <c r="ICW380" s="252"/>
      <c r="ICX380" s="252"/>
      <c r="ICY380" s="252"/>
      <c r="ICZ380" s="252"/>
      <c r="IDA380" s="252"/>
      <c r="IDB380" s="252"/>
      <c r="IDC380" s="252"/>
      <c r="IDD380" s="252"/>
      <c r="IDE380" s="252"/>
      <c r="IDF380" s="252"/>
      <c r="IDG380" s="252"/>
      <c r="IDH380" s="252"/>
      <c r="IDI380" s="252"/>
      <c r="IDJ380" s="252"/>
      <c r="IDK380" s="252"/>
      <c r="IDL380" s="252"/>
      <c r="IDM380" s="252"/>
      <c r="IDN380" s="252"/>
      <c r="IDO380" s="252"/>
      <c r="IDP380" s="252"/>
      <c r="IDQ380" s="252"/>
      <c r="IDR380" s="252"/>
      <c r="IDS380" s="252"/>
      <c r="IDT380" s="252"/>
      <c r="IDU380" s="252"/>
      <c r="IDV380" s="252"/>
      <c r="IDW380" s="252"/>
      <c r="IDX380" s="252"/>
      <c r="IDY380" s="252"/>
      <c r="IDZ380" s="252"/>
      <c r="IEA380" s="252"/>
      <c r="IEB380" s="252"/>
      <c r="IEC380" s="252"/>
      <c r="IED380" s="252"/>
      <c r="IEE380" s="252"/>
      <c r="IEF380" s="252"/>
      <c r="IEG380" s="252"/>
      <c r="IEH380" s="252"/>
      <c r="IEI380" s="252"/>
      <c r="IEJ380" s="252"/>
      <c r="IEK380" s="252"/>
      <c r="IEL380" s="252"/>
      <c r="IEM380" s="252"/>
      <c r="IEN380" s="252"/>
      <c r="IEO380" s="252"/>
      <c r="IEP380" s="252"/>
      <c r="IEQ380" s="252"/>
      <c r="IER380" s="252"/>
      <c r="IES380" s="252"/>
      <c r="IET380" s="252"/>
      <c r="IEU380" s="252"/>
      <c r="IEV380" s="252"/>
      <c r="IEW380" s="252"/>
      <c r="IEX380" s="252"/>
      <c r="IEY380" s="252"/>
      <c r="IEZ380" s="252"/>
      <c r="IFA380" s="252"/>
      <c r="IFB380" s="252"/>
      <c r="IFC380" s="252"/>
      <c r="IFD380" s="252"/>
      <c r="IFE380" s="252"/>
      <c r="IFF380" s="252"/>
      <c r="IFG380" s="252"/>
      <c r="IFH380" s="252"/>
      <c r="IFI380" s="252"/>
      <c r="IFJ380" s="252"/>
      <c r="IFK380" s="252"/>
      <c r="IFL380" s="252"/>
      <c r="IFM380" s="252"/>
      <c r="IFN380" s="252"/>
      <c r="IFO380" s="252"/>
      <c r="IFP380" s="252"/>
      <c r="IFQ380" s="252"/>
      <c r="IFR380" s="252"/>
      <c r="IFS380" s="252"/>
      <c r="IFT380" s="252"/>
      <c r="IFU380" s="252"/>
      <c r="IFV380" s="252"/>
      <c r="IFW380" s="252"/>
      <c r="IFX380" s="252"/>
      <c r="IFY380" s="252"/>
      <c r="IFZ380" s="252"/>
      <c r="IGA380" s="252"/>
      <c r="IGB380" s="252"/>
      <c r="IGC380" s="252"/>
      <c r="IGD380" s="252"/>
      <c r="IGE380" s="252"/>
      <c r="IGF380" s="252"/>
      <c r="IGG380" s="252"/>
      <c r="IGH380" s="252"/>
      <c r="IGI380" s="252"/>
      <c r="IGJ380" s="252"/>
      <c r="IGK380" s="252"/>
      <c r="IGL380" s="252"/>
      <c r="IGM380" s="252"/>
      <c r="IGN380" s="252"/>
      <c r="IGO380" s="252"/>
      <c r="IGP380" s="252"/>
      <c r="IGQ380" s="252"/>
      <c r="IGR380" s="252"/>
      <c r="IGS380" s="252"/>
      <c r="IGT380" s="252"/>
      <c r="IGU380" s="252"/>
      <c r="IGV380" s="252"/>
      <c r="IGW380" s="252"/>
      <c r="IGX380" s="252"/>
      <c r="IGY380" s="252"/>
      <c r="IGZ380" s="252"/>
      <c r="IHA380" s="252"/>
      <c r="IHB380" s="252"/>
      <c r="IHC380" s="252"/>
      <c r="IHD380" s="252"/>
      <c r="IHE380" s="252"/>
      <c r="IHF380" s="252"/>
      <c r="IHG380" s="252"/>
      <c r="IHH380" s="252"/>
      <c r="IHI380" s="252"/>
      <c r="IHJ380" s="252"/>
      <c r="IHK380" s="252"/>
      <c r="IHL380" s="252"/>
      <c r="IHM380" s="252"/>
      <c r="IHN380" s="252"/>
      <c r="IHO380" s="252"/>
      <c r="IHP380" s="252"/>
      <c r="IHQ380" s="252"/>
      <c r="IHR380" s="252"/>
      <c r="IHS380" s="252"/>
      <c r="IHT380" s="252"/>
      <c r="IHU380" s="252"/>
      <c r="IHV380" s="252"/>
      <c r="IHW380" s="252"/>
      <c r="IHX380" s="252"/>
      <c r="IHY380" s="252"/>
      <c r="IHZ380" s="252"/>
      <c r="IIA380" s="252"/>
      <c r="IIB380" s="252"/>
      <c r="IIC380" s="252"/>
      <c r="IID380" s="252"/>
      <c r="IIE380" s="252"/>
      <c r="IIF380" s="252"/>
      <c r="IIG380" s="252"/>
      <c r="IIH380" s="252"/>
      <c r="III380" s="252"/>
      <c r="IIJ380" s="252"/>
      <c r="IIK380" s="252"/>
      <c r="IIL380" s="252"/>
      <c r="IIM380" s="252"/>
      <c r="IIN380" s="252"/>
      <c r="IIO380" s="252"/>
      <c r="IIP380" s="252"/>
      <c r="IIQ380" s="252"/>
      <c r="IIR380" s="252"/>
      <c r="IIS380" s="252"/>
      <c r="IIT380" s="252"/>
      <c r="IIU380" s="252"/>
      <c r="IIV380" s="252"/>
      <c r="IIW380" s="252"/>
      <c r="IIX380" s="252"/>
      <c r="IIY380" s="252"/>
      <c r="IIZ380" s="252"/>
      <c r="IJA380" s="252"/>
      <c r="IJB380" s="252"/>
      <c r="IJC380" s="252"/>
      <c r="IJD380" s="252"/>
      <c r="IJE380" s="252"/>
      <c r="IJF380" s="252"/>
      <c r="IJG380" s="252"/>
      <c r="IJH380" s="252"/>
      <c r="IJI380" s="252"/>
      <c r="IJJ380" s="252"/>
      <c r="IJK380" s="252"/>
      <c r="IJL380" s="252"/>
      <c r="IJM380" s="252"/>
      <c r="IJN380" s="252"/>
      <c r="IJO380" s="252"/>
      <c r="IJP380" s="252"/>
      <c r="IJQ380" s="252"/>
      <c r="IJR380" s="252"/>
      <c r="IJS380" s="252"/>
      <c r="IJT380" s="252"/>
      <c r="IJU380" s="252"/>
      <c r="IJV380" s="252"/>
      <c r="IJW380" s="252"/>
      <c r="IJX380" s="252"/>
      <c r="IJY380" s="252"/>
      <c r="IJZ380" s="252"/>
      <c r="IKA380" s="252"/>
      <c r="IKB380" s="252"/>
      <c r="IKC380" s="252"/>
      <c r="IKD380" s="252"/>
      <c r="IKE380" s="252"/>
      <c r="IKF380" s="252"/>
      <c r="IKG380" s="252"/>
      <c r="IKH380" s="252"/>
      <c r="IKI380" s="252"/>
      <c r="IKJ380" s="252"/>
      <c r="IKK380" s="252"/>
      <c r="IKL380" s="252"/>
      <c r="IKM380" s="252"/>
      <c r="IKN380" s="252"/>
      <c r="IKO380" s="252"/>
      <c r="IKP380" s="252"/>
      <c r="IKQ380" s="252"/>
      <c r="IKR380" s="252"/>
      <c r="IKS380" s="252"/>
      <c r="IKT380" s="252"/>
      <c r="IKU380" s="252"/>
      <c r="IKV380" s="252"/>
      <c r="IKW380" s="252"/>
      <c r="IKX380" s="252"/>
      <c r="IKY380" s="252"/>
      <c r="IKZ380" s="252"/>
      <c r="ILA380" s="252"/>
      <c r="ILB380" s="252"/>
      <c r="ILC380" s="252"/>
      <c r="ILD380" s="252"/>
      <c r="ILE380" s="252"/>
      <c r="ILF380" s="252"/>
      <c r="ILG380" s="252"/>
      <c r="ILH380" s="252"/>
      <c r="ILI380" s="252"/>
      <c r="ILJ380" s="252"/>
      <c r="ILK380" s="252"/>
      <c r="ILL380" s="252"/>
      <c r="ILM380" s="252"/>
      <c r="ILN380" s="252"/>
      <c r="ILO380" s="252"/>
      <c r="ILP380" s="252"/>
      <c r="ILQ380" s="252"/>
      <c r="ILR380" s="252"/>
      <c r="ILS380" s="252"/>
      <c r="ILT380" s="252"/>
      <c r="ILU380" s="252"/>
      <c r="ILV380" s="252"/>
      <c r="ILW380" s="252"/>
      <c r="ILX380" s="252"/>
      <c r="ILY380" s="252"/>
      <c r="ILZ380" s="252"/>
      <c r="IMA380" s="252"/>
      <c r="IMB380" s="252"/>
      <c r="IMC380" s="252"/>
      <c r="IMD380" s="252"/>
      <c r="IME380" s="252"/>
      <c r="IMF380" s="252"/>
      <c r="IMG380" s="252"/>
      <c r="IMH380" s="252"/>
      <c r="IMI380" s="252"/>
      <c r="IMJ380" s="252"/>
      <c r="IMK380" s="252"/>
      <c r="IML380" s="252"/>
      <c r="IMM380" s="252"/>
      <c r="IMN380" s="252"/>
      <c r="IMO380" s="252"/>
      <c r="IMP380" s="252"/>
      <c r="IMQ380" s="252"/>
      <c r="IMR380" s="252"/>
      <c r="IMS380" s="252"/>
      <c r="IMT380" s="252"/>
      <c r="IMU380" s="252"/>
      <c r="IMV380" s="252"/>
      <c r="IMW380" s="252"/>
      <c r="IMX380" s="252"/>
      <c r="IMY380" s="252"/>
      <c r="IMZ380" s="252"/>
      <c r="INA380" s="252"/>
      <c r="INB380" s="252"/>
      <c r="INC380" s="252"/>
      <c r="IND380" s="252"/>
      <c r="INE380" s="252"/>
      <c r="INF380" s="252"/>
      <c r="ING380" s="252"/>
      <c r="INH380" s="252"/>
      <c r="INI380" s="252"/>
      <c r="INJ380" s="252"/>
      <c r="INK380" s="252"/>
      <c r="INL380" s="252"/>
      <c r="INM380" s="252"/>
      <c r="INN380" s="252"/>
      <c r="INO380" s="252"/>
      <c r="INP380" s="252"/>
      <c r="INQ380" s="252"/>
      <c r="INR380" s="252"/>
      <c r="INS380" s="252"/>
      <c r="INT380" s="252"/>
      <c r="INU380" s="252"/>
      <c r="INV380" s="252"/>
      <c r="INW380" s="252"/>
      <c r="INX380" s="252"/>
      <c r="INY380" s="252"/>
      <c r="INZ380" s="252"/>
      <c r="IOA380" s="252"/>
      <c r="IOB380" s="252"/>
      <c r="IOC380" s="252"/>
      <c r="IOD380" s="252"/>
      <c r="IOE380" s="252"/>
      <c r="IOF380" s="252"/>
      <c r="IOG380" s="252"/>
      <c r="IOH380" s="252"/>
      <c r="IOI380" s="252"/>
      <c r="IOJ380" s="252"/>
      <c r="IOK380" s="252"/>
      <c r="IOL380" s="252"/>
      <c r="IOM380" s="252"/>
      <c r="ION380" s="252"/>
      <c r="IOO380" s="252"/>
      <c r="IOP380" s="252"/>
      <c r="IOQ380" s="252"/>
      <c r="IOR380" s="252"/>
      <c r="IOS380" s="252"/>
      <c r="IOT380" s="252"/>
      <c r="IOU380" s="252"/>
      <c r="IOV380" s="252"/>
      <c r="IOW380" s="252"/>
      <c r="IOX380" s="252"/>
      <c r="IOY380" s="252"/>
      <c r="IOZ380" s="252"/>
      <c r="IPA380" s="252"/>
      <c r="IPB380" s="252"/>
      <c r="IPC380" s="252"/>
      <c r="IPD380" s="252"/>
      <c r="IPE380" s="252"/>
      <c r="IPF380" s="252"/>
      <c r="IPG380" s="252"/>
      <c r="IPH380" s="252"/>
      <c r="IPI380" s="252"/>
      <c r="IPJ380" s="252"/>
      <c r="IPK380" s="252"/>
      <c r="IPL380" s="252"/>
      <c r="IPM380" s="252"/>
      <c r="IPN380" s="252"/>
      <c r="IPO380" s="252"/>
      <c r="IPP380" s="252"/>
      <c r="IPQ380" s="252"/>
      <c r="IPR380" s="252"/>
      <c r="IPS380" s="252"/>
      <c r="IPT380" s="252"/>
      <c r="IPU380" s="252"/>
      <c r="IPV380" s="252"/>
      <c r="IPW380" s="252"/>
      <c r="IPX380" s="252"/>
      <c r="IPY380" s="252"/>
      <c r="IPZ380" s="252"/>
      <c r="IQA380" s="252"/>
      <c r="IQB380" s="252"/>
      <c r="IQC380" s="252"/>
      <c r="IQD380" s="252"/>
      <c r="IQE380" s="252"/>
      <c r="IQF380" s="252"/>
      <c r="IQG380" s="252"/>
      <c r="IQH380" s="252"/>
      <c r="IQI380" s="252"/>
      <c r="IQJ380" s="252"/>
      <c r="IQK380" s="252"/>
      <c r="IQL380" s="252"/>
      <c r="IQM380" s="252"/>
      <c r="IQN380" s="252"/>
      <c r="IQO380" s="252"/>
      <c r="IQP380" s="252"/>
      <c r="IQQ380" s="252"/>
      <c r="IQR380" s="252"/>
      <c r="IQS380" s="252"/>
      <c r="IQT380" s="252"/>
      <c r="IQU380" s="252"/>
      <c r="IQV380" s="252"/>
      <c r="IQW380" s="252"/>
      <c r="IQX380" s="252"/>
      <c r="IQY380" s="252"/>
      <c r="IQZ380" s="252"/>
      <c r="IRA380" s="252"/>
      <c r="IRB380" s="252"/>
      <c r="IRC380" s="252"/>
      <c r="IRD380" s="252"/>
      <c r="IRE380" s="252"/>
      <c r="IRF380" s="252"/>
      <c r="IRG380" s="252"/>
      <c r="IRH380" s="252"/>
      <c r="IRI380" s="252"/>
      <c r="IRJ380" s="252"/>
      <c r="IRK380" s="252"/>
      <c r="IRL380" s="252"/>
      <c r="IRM380" s="252"/>
      <c r="IRN380" s="252"/>
      <c r="IRO380" s="252"/>
      <c r="IRP380" s="252"/>
      <c r="IRQ380" s="252"/>
      <c r="IRR380" s="252"/>
      <c r="IRS380" s="252"/>
      <c r="IRT380" s="252"/>
      <c r="IRU380" s="252"/>
      <c r="IRV380" s="252"/>
      <c r="IRW380" s="252"/>
      <c r="IRX380" s="252"/>
      <c r="IRY380" s="252"/>
      <c r="IRZ380" s="252"/>
      <c r="ISA380" s="252"/>
      <c r="ISB380" s="252"/>
      <c r="ISC380" s="252"/>
      <c r="ISD380" s="252"/>
      <c r="ISE380" s="252"/>
      <c r="ISF380" s="252"/>
      <c r="ISG380" s="252"/>
      <c r="ISH380" s="252"/>
      <c r="ISI380" s="252"/>
      <c r="ISJ380" s="252"/>
      <c r="ISK380" s="252"/>
      <c r="ISL380" s="252"/>
      <c r="ISM380" s="252"/>
      <c r="ISN380" s="252"/>
      <c r="ISO380" s="252"/>
      <c r="ISP380" s="252"/>
      <c r="ISQ380" s="252"/>
      <c r="ISR380" s="252"/>
      <c r="ISS380" s="252"/>
      <c r="IST380" s="252"/>
      <c r="ISU380" s="252"/>
      <c r="ISV380" s="252"/>
      <c r="ISW380" s="252"/>
      <c r="ISX380" s="252"/>
      <c r="ISY380" s="252"/>
      <c r="ISZ380" s="252"/>
      <c r="ITA380" s="252"/>
      <c r="ITB380" s="252"/>
      <c r="ITC380" s="252"/>
      <c r="ITD380" s="252"/>
      <c r="ITE380" s="252"/>
      <c r="ITF380" s="252"/>
      <c r="ITG380" s="252"/>
      <c r="ITH380" s="252"/>
      <c r="ITI380" s="252"/>
      <c r="ITJ380" s="252"/>
      <c r="ITK380" s="252"/>
      <c r="ITL380" s="252"/>
      <c r="ITM380" s="252"/>
      <c r="ITN380" s="252"/>
      <c r="ITO380" s="252"/>
      <c r="ITP380" s="252"/>
      <c r="ITQ380" s="252"/>
      <c r="ITR380" s="252"/>
      <c r="ITS380" s="252"/>
      <c r="ITT380" s="252"/>
      <c r="ITU380" s="252"/>
      <c r="ITV380" s="252"/>
      <c r="ITW380" s="252"/>
      <c r="ITX380" s="252"/>
      <c r="ITY380" s="252"/>
      <c r="ITZ380" s="252"/>
      <c r="IUA380" s="252"/>
      <c r="IUB380" s="252"/>
      <c r="IUC380" s="252"/>
      <c r="IUD380" s="252"/>
      <c r="IUE380" s="252"/>
      <c r="IUF380" s="252"/>
      <c r="IUG380" s="252"/>
      <c r="IUH380" s="252"/>
      <c r="IUI380" s="252"/>
      <c r="IUJ380" s="252"/>
      <c r="IUK380" s="252"/>
      <c r="IUL380" s="252"/>
      <c r="IUM380" s="252"/>
      <c r="IUN380" s="252"/>
      <c r="IUO380" s="252"/>
      <c r="IUP380" s="252"/>
      <c r="IUQ380" s="252"/>
      <c r="IUR380" s="252"/>
      <c r="IUS380" s="252"/>
      <c r="IUT380" s="252"/>
      <c r="IUU380" s="252"/>
      <c r="IUV380" s="252"/>
      <c r="IUW380" s="252"/>
      <c r="IUX380" s="252"/>
      <c r="IUY380" s="252"/>
      <c r="IUZ380" s="252"/>
      <c r="IVA380" s="252"/>
      <c r="IVB380" s="252"/>
      <c r="IVC380" s="252"/>
      <c r="IVD380" s="252"/>
      <c r="IVE380" s="252"/>
      <c r="IVF380" s="252"/>
      <c r="IVG380" s="252"/>
      <c r="IVH380" s="252"/>
      <c r="IVI380" s="252"/>
      <c r="IVJ380" s="252"/>
      <c r="IVK380" s="252"/>
      <c r="IVL380" s="252"/>
      <c r="IVM380" s="252"/>
      <c r="IVN380" s="252"/>
      <c r="IVO380" s="252"/>
      <c r="IVP380" s="252"/>
      <c r="IVQ380" s="252"/>
      <c r="IVR380" s="252"/>
      <c r="IVS380" s="252"/>
      <c r="IVT380" s="252"/>
      <c r="IVU380" s="252"/>
      <c r="IVV380" s="252"/>
      <c r="IVW380" s="252"/>
      <c r="IVX380" s="252"/>
      <c r="IVY380" s="252"/>
      <c r="IVZ380" s="252"/>
      <c r="IWA380" s="252"/>
      <c r="IWB380" s="252"/>
      <c r="IWC380" s="252"/>
      <c r="IWD380" s="252"/>
      <c r="IWE380" s="252"/>
      <c r="IWF380" s="252"/>
      <c r="IWG380" s="252"/>
      <c r="IWH380" s="252"/>
      <c r="IWI380" s="252"/>
      <c r="IWJ380" s="252"/>
      <c r="IWK380" s="252"/>
      <c r="IWL380" s="252"/>
      <c r="IWM380" s="252"/>
      <c r="IWN380" s="252"/>
      <c r="IWO380" s="252"/>
      <c r="IWP380" s="252"/>
      <c r="IWQ380" s="252"/>
      <c r="IWR380" s="252"/>
      <c r="IWS380" s="252"/>
      <c r="IWT380" s="252"/>
      <c r="IWU380" s="252"/>
      <c r="IWV380" s="252"/>
      <c r="IWW380" s="252"/>
      <c r="IWX380" s="252"/>
      <c r="IWY380" s="252"/>
      <c r="IWZ380" s="252"/>
      <c r="IXA380" s="252"/>
      <c r="IXB380" s="252"/>
      <c r="IXC380" s="252"/>
      <c r="IXD380" s="252"/>
      <c r="IXE380" s="252"/>
      <c r="IXF380" s="252"/>
      <c r="IXG380" s="252"/>
      <c r="IXH380" s="252"/>
      <c r="IXI380" s="252"/>
      <c r="IXJ380" s="252"/>
      <c r="IXK380" s="252"/>
      <c r="IXL380" s="252"/>
      <c r="IXM380" s="252"/>
      <c r="IXN380" s="252"/>
      <c r="IXO380" s="252"/>
      <c r="IXP380" s="252"/>
      <c r="IXQ380" s="252"/>
      <c r="IXR380" s="252"/>
      <c r="IXS380" s="252"/>
      <c r="IXT380" s="252"/>
      <c r="IXU380" s="252"/>
      <c r="IXV380" s="252"/>
      <c r="IXW380" s="252"/>
      <c r="IXX380" s="252"/>
      <c r="IXY380" s="252"/>
      <c r="IXZ380" s="252"/>
      <c r="IYA380" s="252"/>
      <c r="IYB380" s="252"/>
      <c r="IYC380" s="252"/>
      <c r="IYD380" s="252"/>
      <c r="IYE380" s="252"/>
      <c r="IYF380" s="252"/>
      <c r="IYG380" s="252"/>
      <c r="IYH380" s="252"/>
      <c r="IYI380" s="252"/>
      <c r="IYJ380" s="252"/>
      <c r="IYK380" s="252"/>
      <c r="IYL380" s="252"/>
      <c r="IYM380" s="252"/>
      <c r="IYN380" s="252"/>
      <c r="IYO380" s="252"/>
      <c r="IYP380" s="252"/>
      <c r="IYQ380" s="252"/>
      <c r="IYR380" s="252"/>
      <c r="IYS380" s="252"/>
      <c r="IYT380" s="252"/>
      <c r="IYU380" s="252"/>
      <c r="IYV380" s="252"/>
      <c r="IYW380" s="252"/>
      <c r="IYX380" s="252"/>
      <c r="IYY380" s="252"/>
      <c r="IYZ380" s="252"/>
      <c r="IZA380" s="252"/>
      <c r="IZB380" s="252"/>
      <c r="IZC380" s="252"/>
      <c r="IZD380" s="252"/>
      <c r="IZE380" s="252"/>
      <c r="IZF380" s="252"/>
      <c r="IZG380" s="252"/>
      <c r="IZH380" s="252"/>
      <c r="IZI380" s="252"/>
      <c r="IZJ380" s="252"/>
      <c r="IZK380" s="252"/>
      <c r="IZL380" s="252"/>
      <c r="IZM380" s="252"/>
      <c r="IZN380" s="252"/>
      <c r="IZO380" s="252"/>
      <c r="IZP380" s="252"/>
      <c r="IZQ380" s="252"/>
      <c r="IZR380" s="252"/>
      <c r="IZS380" s="252"/>
      <c r="IZT380" s="252"/>
      <c r="IZU380" s="252"/>
      <c r="IZV380" s="252"/>
      <c r="IZW380" s="252"/>
      <c r="IZX380" s="252"/>
      <c r="IZY380" s="252"/>
      <c r="IZZ380" s="252"/>
      <c r="JAA380" s="252"/>
      <c r="JAB380" s="252"/>
      <c r="JAC380" s="252"/>
      <c r="JAD380" s="252"/>
      <c r="JAE380" s="252"/>
      <c r="JAF380" s="252"/>
      <c r="JAG380" s="252"/>
      <c r="JAH380" s="252"/>
      <c r="JAI380" s="252"/>
      <c r="JAJ380" s="252"/>
      <c r="JAK380" s="252"/>
      <c r="JAL380" s="252"/>
      <c r="JAM380" s="252"/>
      <c r="JAN380" s="252"/>
      <c r="JAO380" s="252"/>
      <c r="JAP380" s="252"/>
      <c r="JAQ380" s="252"/>
      <c r="JAR380" s="252"/>
      <c r="JAS380" s="252"/>
      <c r="JAT380" s="252"/>
      <c r="JAU380" s="252"/>
      <c r="JAV380" s="252"/>
      <c r="JAW380" s="252"/>
      <c r="JAX380" s="252"/>
      <c r="JAY380" s="252"/>
      <c r="JAZ380" s="252"/>
      <c r="JBA380" s="252"/>
      <c r="JBB380" s="252"/>
      <c r="JBC380" s="252"/>
      <c r="JBD380" s="252"/>
      <c r="JBE380" s="252"/>
      <c r="JBF380" s="252"/>
      <c r="JBG380" s="252"/>
      <c r="JBH380" s="252"/>
      <c r="JBI380" s="252"/>
      <c r="JBJ380" s="252"/>
      <c r="JBK380" s="252"/>
      <c r="JBL380" s="252"/>
      <c r="JBM380" s="252"/>
      <c r="JBN380" s="252"/>
      <c r="JBO380" s="252"/>
      <c r="JBP380" s="252"/>
      <c r="JBQ380" s="252"/>
      <c r="JBR380" s="252"/>
      <c r="JBS380" s="252"/>
      <c r="JBT380" s="252"/>
      <c r="JBU380" s="252"/>
      <c r="JBV380" s="252"/>
      <c r="JBW380" s="252"/>
      <c r="JBX380" s="252"/>
      <c r="JBY380" s="252"/>
      <c r="JBZ380" s="252"/>
      <c r="JCA380" s="252"/>
      <c r="JCB380" s="252"/>
      <c r="JCC380" s="252"/>
      <c r="JCD380" s="252"/>
      <c r="JCE380" s="252"/>
      <c r="JCF380" s="252"/>
      <c r="JCG380" s="252"/>
      <c r="JCH380" s="252"/>
      <c r="JCI380" s="252"/>
      <c r="JCJ380" s="252"/>
      <c r="JCK380" s="252"/>
      <c r="JCL380" s="252"/>
      <c r="JCM380" s="252"/>
      <c r="JCN380" s="252"/>
      <c r="JCO380" s="252"/>
      <c r="JCP380" s="252"/>
      <c r="JCQ380" s="252"/>
      <c r="JCR380" s="252"/>
      <c r="JCS380" s="252"/>
      <c r="JCT380" s="252"/>
      <c r="JCU380" s="252"/>
      <c r="JCV380" s="252"/>
      <c r="JCW380" s="252"/>
      <c r="JCX380" s="252"/>
      <c r="JCY380" s="252"/>
      <c r="JCZ380" s="252"/>
      <c r="JDA380" s="252"/>
      <c r="JDB380" s="252"/>
      <c r="JDC380" s="252"/>
      <c r="JDD380" s="252"/>
      <c r="JDE380" s="252"/>
      <c r="JDF380" s="252"/>
      <c r="JDG380" s="252"/>
      <c r="JDH380" s="252"/>
      <c r="JDI380" s="252"/>
      <c r="JDJ380" s="252"/>
      <c r="JDK380" s="252"/>
      <c r="JDL380" s="252"/>
      <c r="JDM380" s="252"/>
      <c r="JDN380" s="252"/>
      <c r="JDO380" s="252"/>
      <c r="JDP380" s="252"/>
      <c r="JDQ380" s="252"/>
      <c r="JDR380" s="252"/>
      <c r="JDS380" s="252"/>
      <c r="JDT380" s="252"/>
      <c r="JDU380" s="252"/>
      <c r="JDV380" s="252"/>
      <c r="JDW380" s="252"/>
      <c r="JDX380" s="252"/>
      <c r="JDY380" s="252"/>
      <c r="JDZ380" s="252"/>
      <c r="JEA380" s="252"/>
      <c r="JEB380" s="252"/>
      <c r="JEC380" s="252"/>
      <c r="JED380" s="252"/>
      <c r="JEE380" s="252"/>
      <c r="JEF380" s="252"/>
      <c r="JEG380" s="252"/>
      <c r="JEH380" s="252"/>
      <c r="JEI380" s="252"/>
      <c r="JEJ380" s="252"/>
      <c r="JEK380" s="252"/>
      <c r="JEL380" s="252"/>
      <c r="JEM380" s="252"/>
      <c r="JEN380" s="252"/>
      <c r="JEO380" s="252"/>
      <c r="JEP380" s="252"/>
      <c r="JEQ380" s="252"/>
      <c r="JER380" s="252"/>
      <c r="JES380" s="252"/>
      <c r="JET380" s="252"/>
      <c r="JEU380" s="252"/>
      <c r="JEV380" s="252"/>
      <c r="JEW380" s="252"/>
      <c r="JEX380" s="252"/>
      <c r="JEY380" s="252"/>
      <c r="JEZ380" s="252"/>
      <c r="JFA380" s="252"/>
      <c r="JFB380" s="252"/>
      <c r="JFC380" s="252"/>
      <c r="JFD380" s="252"/>
      <c r="JFE380" s="252"/>
      <c r="JFF380" s="252"/>
      <c r="JFG380" s="252"/>
      <c r="JFH380" s="252"/>
      <c r="JFI380" s="252"/>
      <c r="JFJ380" s="252"/>
      <c r="JFK380" s="252"/>
      <c r="JFL380" s="252"/>
      <c r="JFM380" s="252"/>
      <c r="JFN380" s="252"/>
      <c r="JFO380" s="252"/>
      <c r="JFP380" s="252"/>
      <c r="JFQ380" s="252"/>
      <c r="JFR380" s="252"/>
      <c r="JFS380" s="252"/>
      <c r="JFT380" s="252"/>
      <c r="JFU380" s="252"/>
      <c r="JFV380" s="252"/>
      <c r="JFW380" s="252"/>
      <c r="JFX380" s="252"/>
      <c r="JFY380" s="252"/>
      <c r="JFZ380" s="252"/>
      <c r="JGA380" s="252"/>
      <c r="JGB380" s="252"/>
      <c r="JGC380" s="252"/>
      <c r="JGD380" s="252"/>
      <c r="JGE380" s="252"/>
      <c r="JGF380" s="252"/>
      <c r="JGG380" s="252"/>
      <c r="JGH380" s="252"/>
      <c r="JGI380" s="252"/>
      <c r="JGJ380" s="252"/>
      <c r="JGK380" s="252"/>
      <c r="JGL380" s="252"/>
      <c r="JGM380" s="252"/>
      <c r="JGN380" s="252"/>
      <c r="JGO380" s="252"/>
      <c r="JGP380" s="252"/>
      <c r="JGQ380" s="252"/>
      <c r="JGR380" s="252"/>
      <c r="JGS380" s="252"/>
      <c r="JGT380" s="252"/>
      <c r="JGU380" s="252"/>
      <c r="JGV380" s="252"/>
      <c r="JGW380" s="252"/>
      <c r="JGX380" s="252"/>
      <c r="JGY380" s="252"/>
      <c r="JGZ380" s="252"/>
      <c r="JHA380" s="252"/>
      <c r="JHB380" s="252"/>
      <c r="JHC380" s="252"/>
      <c r="JHD380" s="252"/>
      <c r="JHE380" s="252"/>
      <c r="JHF380" s="252"/>
      <c r="JHG380" s="252"/>
      <c r="JHH380" s="252"/>
      <c r="JHI380" s="252"/>
      <c r="JHJ380" s="252"/>
      <c r="JHK380" s="252"/>
      <c r="JHL380" s="252"/>
      <c r="JHM380" s="252"/>
      <c r="JHN380" s="252"/>
      <c r="JHO380" s="252"/>
      <c r="JHP380" s="252"/>
      <c r="JHQ380" s="252"/>
      <c r="JHR380" s="252"/>
      <c r="JHS380" s="252"/>
      <c r="JHT380" s="252"/>
      <c r="JHU380" s="252"/>
      <c r="JHV380" s="252"/>
      <c r="JHW380" s="252"/>
      <c r="JHX380" s="252"/>
      <c r="JHY380" s="252"/>
      <c r="JHZ380" s="252"/>
      <c r="JIA380" s="252"/>
      <c r="JIB380" s="252"/>
      <c r="JIC380" s="252"/>
      <c r="JID380" s="252"/>
      <c r="JIE380" s="252"/>
      <c r="JIF380" s="252"/>
      <c r="JIG380" s="252"/>
      <c r="JIH380" s="252"/>
      <c r="JII380" s="252"/>
      <c r="JIJ380" s="252"/>
      <c r="JIK380" s="252"/>
      <c r="JIL380" s="252"/>
      <c r="JIM380" s="252"/>
      <c r="JIN380" s="252"/>
      <c r="JIO380" s="252"/>
      <c r="JIP380" s="252"/>
      <c r="JIQ380" s="252"/>
      <c r="JIR380" s="252"/>
      <c r="JIS380" s="252"/>
      <c r="JIT380" s="252"/>
      <c r="JIU380" s="252"/>
      <c r="JIV380" s="252"/>
      <c r="JIW380" s="252"/>
      <c r="JIX380" s="252"/>
      <c r="JIY380" s="252"/>
      <c r="JIZ380" s="252"/>
      <c r="JJA380" s="252"/>
      <c r="JJB380" s="252"/>
      <c r="JJC380" s="252"/>
      <c r="JJD380" s="252"/>
      <c r="JJE380" s="252"/>
      <c r="JJF380" s="252"/>
      <c r="JJG380" s="252"/>
      <c r="JJH380" s="252"/>
      <c r="JJI380" s="252"/>
      <c r="JJJ380" s="252"/>
      <c r="JJK380" s="252"/>
      <c r="JJL380" s="252"/>
      <c r="JJM380" s="252"/>
      <c r="JJN380" s="252"/>
      <c r="JJO380" s="252"/>
      <c r="JJP380" s="252"/>
      <c r="JJQ380" s="252"/>
      <c r="JJR380" s="252"/>
      <c r="JJS380" s="252"/>
      <c r="JJT380" s="252"/>
      <c r="JJU380" s="252"/>
      <c r="JJV380" s="252"/>
      <c r="JJW380" s="252"/>
      <c r="JJX380" s="252"/>
      <c r="JJY380" s="252"/>
      <c r="JJZ380" s="252"/>
      <c r="JKA380" s="252"/>
      <c r="JKB380" s="252"/>
      <c r="JKC380" s="252"/>
      <c r="JKD380" s="252"/>
      <c r="JKE380" s="252"/>
      <c r="JKF380" s="252"/>
      <c r="JKG380" s="252"/>
      <c r="JKH380" s="252"/>
      <c r="JKI380" s="252"/>
      <c r="JKJ380" s="252"/>
      <c r="JKK380" s="252"/>
      <c r="JKL380" s="252"/>
      <c r="JKM380" s="252"/>
      <c r="JKN380" s="252"/>
      <c r="JKO380" s="252"/>
      <c r="JKP380" s="252"/>
      <c r="JKQ380" s="252"/>
      <c r="JKR380" s="252"/>
      <c r="JKS380" s="252"/>
      <c r="JKT380" s="252"/>
      <c r="JKU380" s="252"/>
      <c r="JKV380" s="252"/>
      <c r="JKW380" s="252"/>
      <c r="JKX380" s="252"/>
      <c r="JKY380" s="252"/>
      <c r="JKZ380" s="252"/>
      <c r="JLA380" s="252"/>
      <c r="JLB380" s="252"/>
      <c r="JLC380" s="252"/>
      <c r="JLD380" s="252"/>
      <c r="JLE380" s="252"/>
      <c r="JLF380" s="252"/>
      <c r="JLG380" s="252"/>
      <c r="JLH380" s="252"/>
      <c r="JLI380" s="252"/>
      <c r="JLJ380" s="252"/>
      <c r="JLK380" s="252"/>
      <c r="JLL380" s="252"/>
      <c r="JLM380" s="252"/>
      <c r="JLN380" s="252"/>
      <c r="JLO380" s="252"/>
      <c r="JLP380" s="252"/>
      <c r="JLQ380" s="252"/>
      <c r="JLR380" s="252"/>
      <c r="JLS380" s="252"/>
      <c r="JLT380" s="252"/>
      <c r="JLU380" s="252"/>
      <c r="JLV380" s="252"/>
      <c r="JLW380" s="252"/>
      <c r="JLX380" s="252"/>
      <c r="JLY380" s="252"/>
      <c r="JLZ380" s="252"/>
      <c r="JMA380" s="252"/>
      <c r="JMB380" s="252"/>
      <c r="JMC380" s="252"/>
      <c r="JMD380" s="252"/>
      <c r="JME380" s="252"/>
      <c r="JMF380" s="252"/>
      <c r="JMG380" s="252"/>
      <c r="JMH380" s="252"/>
      <c r="JMI380" s="252"/>
      <c r="JMJ380" s="252"/>
      <c r="JMK380" s="252"/>
      <c r="JML380" s="252"/>
      <c r="JMM380" s="252"/>
      <c r="JMN380" s="252"/>
      <c r="JMO380" s="252"/>
      <c r="JMP380" s="252"/>
      <c r="JMQ380" s="252"/>
      <c r="JMR380" s="252"/>
      <c r="JMS380" s="252"/>
      <c r="JMT380" s="252"/>
      <c r="JMU380" s="252"/>
      <c r="JMV380" s="252"/>
      <c r="JMW380" s="252"/>
      <c r="JMX380" s="252"/>
      <c r="JMY380" s="252"/>
      <c r="JMZ380" s="252"/>
      <c r="JNA380" s="252"/>
      <c r="JNB380" s="252"/>
      <c r="JNC380" s="252"/>
      <c r="JND380" s="252"/>
      <c r="JNE380" s="252"/>
      <c r="JNF380" s="252"/>
      <c r="JNG380" s="252"/>
      <c r="JNH380" s="252"/>
      <c r="JNI380" s="252"/>
      <c r="JNJ380" s="252"/>
      <c r="JNK380" s="252"/>
      <c r="JNL380" s="252"/>
      <c r="JNM380" s="252"/>
      <c r="JNN380" s="252"/>
      <c r="JNO380" s="252"/>
      <c r="JNP380" s="252"/>
      <c r="JNQ380" s="252"/>
      <c r="JNR380" s="252"/>
      <c r="JNS380" s="252"/>
      <c r="JNT380" s="252"/>
      <c r="JNU380" s="252"/>
      <c r="JNV380" s="252"/>
      <c r="JNW380" s="252"/>
      <c r="JNX380" s="252"/>
      <c r="JNY380" s="252"/>
      <c r="JNZ380" s="252"/>
      <c r="JOA380" s="252"/>
      <c r="JOB380" s="252"/>
      <c r="JOC380" s="252"/>
      <c r="JOD380" s="252"/>
      <c r="JOE380" s="252"/>
      <c r="JOF380" s="252"/>
      <c r="JOG380" s="252"/>
      <c r="JOH380" s="252"/>
      <c r="JOI380" s="252"/>
      <c r="JOJ380" s="252"/>
      <c r="JOK380" s="252"/>
      <c r="JOL380" s="252"/>
      <c r="JOM380" s="252"/>
      <c r="JON380" s="252"/>
      <c r="JOO380" s="252"/>
      <c r="JOP380" s="252"/>
      <c r="JOQ380" s="252"/>
      <c r="JOR380" s="252"/>
      <c r="JOS380" s="252"/>
      <c r="JOT380" s="252"/>
      <c r="JOU380" s="252"/>
      <c r="JOV380" s="252"/>
      <c r="JOW380" s="252"/>
      <c r="JOX380" s="252"/>
      <c r="JOY380" s="252"/>
      <c r="JOZ380" s="252"/>
      <c r="JPA380" s="252"/>
      <c r="JPB380" s="252"/>
      <c r="JPC380" s="252"/>
      <c r="JPD380" s="252"/>
      <c r="JPE380" s="252"/>
      <c r="JPF380" s="252"/>
      <c r="JPG380" s="252"/>
      <c r="JPH380" s="252"/>
      <c r="JPI380" s="252"/>
      <c r="JPJ380" s="252"/>
      <c r="JPK380" s="252"/>
      <c r="JPL380" s="252"/>
      <c r="JPM380" s="252"/>
      <c r="JPN380" s="252"/>
      <c r="JPO380" s="252"/>
      <c r="JPP380" s="252"/>
      <c r="JPQ380" s="252"/>
      <c r="JPR380" s="252"/>
      <c r="JPS380" s="252"/>
      <c r="JPT380" s="252"/>
      <c r="JPU380" s="252"/>
      <c r="JPV380" s="252"/>
      <c r="JPW380" s="252"/>
      <c r="JPX380" s="252"/>
      <c r="JPY380" s="252"/>
      <c r="JPZ380" s="252"/>
      <c r="JQA380" s="252"/>
      <c r="JQB380" s="252"/>
      <c r="JQC380" s="252"/>
      <c r="JQD380" s="252"/>
      <c r="JQE380" s="252"/>
      <c r="JQF380" s="252"/>
      <c r="JQG380" s="252"/>
      <c r="JQH380" s="252"/>
      <c r="JQI380" s="252"/>
      <c r="JQJ380" s="252"/>
      <c r="JQK380" s="252"/>
      <c r="JQL380" s="252"/>
      <c r="JQM380" s="252"/>
      <c r="JQN380" s="252"/>
      <c r="JQO380" s="252"/>
      <c r="JQP380" s="252"/>
      <c r="JQQ380" s="252"/>
      <c r="JQR380" s="252"/>
      <c r="JQS380" s="252"/>
      <c r="JQT380" s="252"/>
      <c r="JQU380" s="252"/>
      <c r="JQV380" s="252"/>
      <c r="JQW380" s="252"/>
      <c r="JQX380" s="252"/>
      <c r="JQY380" s="252"/>
      <c r="JQZ380" s="252"/>
      <c r="JRA380" s="252"/>
      <c r="JRB380" s="252"/>
      <c r="JRC380" s="252"/>
      <c r="JRD380" s="252"/>
      <c r="JRE380" s="252"/>
      <c r="JRF380" s="252"/>
      <c r="JRG380" s="252"/>
      <c r="JRH380" s="252"/>
      <c r="JRI380" s="252"/>
      <c r="JRJ380" s="252"/>
      <c r="JRK380" s="252"/>
      <c r="JRL380" s="252"/>
      <c r="JRM380" s="252"/>
      <c r="JRN380" s="252"/>
      <c r="JRO380" s="252"/>
      <c r="JRP380" s="252"/>
      <c r="JRQ380" s="252"/>
      <c r="JRR380" s="252"/>
      <c r="JRS380" s="252"/>
      <c r="JRT380" s="252"/>
      <c r="JRU380" s="252"/>
      <c r="JRV380" s="252"/>
      <c r="JRW380" s="252"/>
      <c r="JRX380" s="252"/>
      <c r="JRY380" s="252"/>
      <c r="JRZ380" s="252"/>
      <c r="JSA380" s="252"/>
      <c r="JSB380" s="252"/>
      <c r="JSC380" s="252"/>
      <c r="JSD380" s="252"/>
      <c r="JSE380" s="252"/>
      <c r="JSF380" s="252"/>
      <c r="JSG380" s="252"/>
      <c r="JSH380" s="252"/>
      <c r="JSI380" s="252"/>
      <c r="JSJ380" s="252"/>
      <c r="JSK380" s="252"/>
      <c r="JSL380" s="252"/>
      <c r="JSM380" s="252"/>
      <c r="JSN380" s="252"/>
      <c r="JSO380" s="252"/>
      <c r="JSP380" s="252"/>
      <c r="JSQ380" s="252"/>
      <c r="JSR380" s="252"/>
      <c r="JSS380" s="252"/>
      <c r="JST380" s="252"/>
      <c r="JSU380" s="252"/>
      <c r="JSV380" s="252"/>
      <c r="JSW380" s="252"/>
      <c r="JSX380" s="252"/>
      <c r="JSY380" s="252"/>
      <c r="JSZ380" s="252"/>
      <c r="JTA380" s="252"/>
      <c r="JTB380" s="252"/>
      <c r="JTC380" s="252"/>
      <c r="JTD380" s="252"/>
      <c r="JTE380" s="252"/>
      <c r="JTF380" s="252"/>
      <c r="JTG380" s="252"/>
      <c r="JTH380" s="252"/>
      <c r="JTI380" s="252"/>
      <c r="JTJ380" s="252"/>
      <c r="JTK380" s="252"/>
      <c r="JTL380" s="252"/>
      <c r="JTM380" s="252"/>
      <c r="JTN380" s="252"/>
      <c r="JTO380" s="252"/>
      <c r="JTP380" s="252"/>
      <c r="JTQ380" s="252"/>
      <c r="JTR380" s="252"/>
      <c r="JTS380" s="252"/>
      <c r="JTT380" s="252"/>
      <c r="JTU380" s="252"/>
      <c r="JTV380" s="252"/>
      <c r="JTW380" s="252"/>
      <c r="JTX380" s="252"/>
      <c r="JTY380" s="252"/>
      <c r="JTZ380" s="252"/>
      <c r="JUA380" s="252"/>
      <c r="JUB380" s="252"/>
      <c r="JUC380" s="252"/>
      <c r="JUD380" s="252"/>
      <c r="JUE380" s="252"/>
      <c r="JUF380" s="252"/>
      <c r="JUG380" s="252"/>
      <c r="JUH380" s="252"/>
      <c r="JUI380" s="252"/>
      <c r="JUJ380" s="252"/>
      <c r="JUK380" s="252"/>
      <c r="JUL380" s="252"/>
      <c r="JUM380" s="252"/>
      <c r="JUN380" s="252"/>
      <c r="JUO380" s="252"/>
      <c r="JUP380" s="252"/>
      <c r="JUQ380" s="252"/>
      <c r="JUR380" s="252"/>
      <c r="JUS380" s="252"/>
      <c r="JUT380" s="252"/>
      <c r="JUU380" s="252"/>
      <c r="JUV380" s="252"/>
      <c r="JUW380" s="252"/>
      <c r="JUX380" s="252"/>
      <c r="JUY380" s="252"/>
      <c r="JUZ380" s="252"/>
      <c r="JVA380" s="252"/>
      <c r="JVB380" s="252"/>
      <c r="JVC380" s="252"/>
      <c r="JVD380" s="252"/>
      <c r="JVE380" s="252"/>
      <c r="JVF380" s="252"/>
      <c r="JVG380" s="252"/>
      <c r="JVH380" s="252"/>
      <c r="JVI380" s="252"/>
      <c r="JVJ380" s="252"/>
      <c r="JVK380" s="252"/>
      <c r="JVL380" s="252"/>
      <c r="JVM380" s="252"/>
      <c r="JVN380" s="252"/>
      <c r="JVO380" s="252"/>
      <c r="JVP380" s="252"/>
      <c r="JVQ380" s="252"/>
      <c r="JVR380" s="252"/>
      <c r="JVS380" s="252"/>
      <c r="JVT380" s="252"/>
      <c r="JVU380" s="252"/>
      <c r="JVV380" s="252"/>
      <c r="JVW380" s="252"/>
      <c r="JVX380" s="252"/>
      <c r="JVY380" s="252"/>
      <c r="JVZ380" s="252"/>
      <c r="JWA380" s="252"/>
      <c r="JWB380" s="252"/>
      <c r="JWC380" s="252"/>
      <c r="JWD380" s="252"/>
      <c r="JWE380" s="252"/>
      <c r="JWF380" s="252"/>
      <c r="JWG380" s="252"/>
      <c r="JWH380" s="252"/>
      <c r="JWI380" s="252"/>
      <c r="JWJ380" s="252"/>
      <c r="JWK380" s="252"/>
      <c r="JWL380" s="252"/>
      <c r="JWM380" s="252"/>
      <c r="JWN380" s="252"/>
      <c r="JWO380" s="252"/>
      <c r="JWP380" s="252"/>
      <c r="JWQ380" s="252"/>
      <c r="JWR380" s="252"/>
      <c r="JWS380" s="252"/>
      <c r="JWT380" s="252"/>
      <c r="JWU380" s="252"/>
      <c r="JWV380" s="252"/>
      <c r="JWW380" s="252"/>
      <c r="JWX380" s="252"/>
      <c r="JWY380" s="252"/>
      <c r="JWZ380" s="252"/>
      <c r="JXA380" s="252"/>
      <c r="JXB380" s="252"/>
      <c r="JXC380" s="252"/>
      <c r="JXD380" s="252"/>
      <c r="JXE380" s="252"/>
      <c r="JXF380" s="252"/>
      <c r="JXG380" s="252"/>
      <c r="JXH380" s="252"/>
      <c r="JXI380" s="252"/>
      <c r="JXJ380" s="252"/>
      <c r="JXK380" s="252"/>
      <c r="JXL380" s="252"/>
      <c r="JXM380" s="252"/>
      <c r="JXN380" s="252"/>
      <c r="JXO380" s="252"/>
      <c r="JXP380" s="252"/>
      <c r="JXQ380" s="252"/>
      <c r="JXR380" s="252"/>
      <c r="JXS380" s="252"/>
      <c r="JXT380" s="252"/>
      <c r="JXU380" s="252"/>
      <c r="JXV380" s="252"/>
      <c r="JXW380" s="252"/>
      <c r="JXX380" s="252"/>
      <c r="JXY380" s="252"/>
      <c r="JXZ380" s="252"/>
      <c r="JYA380" s="252"/>
      <c r="JYB380" s="252"/>
      <c r="JYC380" s="252"/>
      <c r="JYD380" s="252"/>
      <c r="JYE380" s="252"/>
      <c r="JYF380" s="252"/>
      <c r="JYG380" s="252"/>
      <c r="JYH380" s="252"/>
      <c r="JYI380" s="252"/>
      <c r="JYJ380" s="252"/>
      <c r="JYK380" s="252"/>
      <c r="JYL380" s="252"/>
      <c r="JYM380" s="252"/>
      <c r="JYN380" s="252"/>
      <c r="JYO380" s="252"/>
      <c r="JYP380" s="252"/>
      <c r="JYQ380" s="252"/>
      <c r="JYR380" s="252"/>
      <c r="JYS380" s="252"/>
      <c r="JYT380" s="252"/>
      <c r="JYU380" s="252"/>
      <c r="JYV380" s="252"/>
      <c r="JYW380" s="252"/>
      <c r="JYX380" s="252"/>
      <c r="JYY380" s="252"/>
      <c r="JYZ380" s="252"/>
      <c r="JZA380" s="252"/>
      <c r="JZB380" s="252"/>
      <c r="JZC380" s="252"/>
      <c r="JZD380" s="252"/>
      <c r="JZE380" s="252"/>
      <c r="JZF380" s="252"/>
      <c r="JZG380" s="252"/>
      <c r="JZH380" s="252"/>
      <c r="JZI380" s="252"/>
      <c r="JZJ380" s="252"/>
      <c r="JZK380" s="252"/>
      <c r="JZL380" s="252"/>
      <c r="JZM380" s="252"/>
      <c r="JZN380" s="252"/>
      <c r="JZO380" s="252"/>
      <c r="JZP380" s="252"/>
      <c r="JZQ380" s="252"/>
      <c r="JZR380" s="252"/>
      <c r="JZS380" s="252"/>
      <c r="JZT380" s="252"/>
      <c r="JZU380" s="252"/>
      <c r="JZV380" s="252"/>
      <c r="JZW380" s="252"/>
      <c r="JZX380" s="252"/>
      <c r="JZY380" s="252"/>
      <c r="JZZ380" s="252"/>
      <c r="KAA380" s="252"/>
      <c r="KAB380" s="252"/>
      <c r="KAC380" s="252"/>
      <c r="KAD380" s="252"/>
      <c r="KAE380" s="252"/>
      <c r="KAF380" s="252"/>
      <c r="KAG380" s="252"/>
      <c r="KAH380" s="252"/>
      <c r="KAI380" s="252"/>
      <c r="KAJ380" s="252"/>
      <c r="KAK380" s="252"/>
      <c r="KAL380" s="252"/>
      <c r="KAM380" s="252"/>
      <c r="KAN380" s="252"/>
      <c r="KAO380" s="252"/>
      <c r="KAP380" s="252"/>
      <c r="KAQ380" s="252"/>
      <c r="KAR380" s="252"/>
      <c r="KAS380" s="252"/>
      <c r="KAT380" s="252"/>
      <c r="KAU380" s="252"/>
      <c r="KAV380" s="252"/>
      <c r="KAW380" s="252"/>
      <c r="KAX380" s="252"/>
      <c r="KAY380" s="252"/>
      <c r="KAZ380" s="252"/>
      <c r="KBA380" s="252"/>
      <c r="KBB380" s="252"/>
      <c r="KBC380" s="252"/>
      <c r="KBD380" s="252"/>
      <c r="KBE380" s="252"/>
      <c r="KBF380" s="252"/>
      <c r="KBG380" s="252"/>
      <c r="KBH380" s="252"/>
      <c r="KBI380" s="252"/>
      <c r="KBJ380" s="252"/>
      <c r="KBK380" s="252"/>
      <c r="KBL380" s="252"/>
      <c r="KBM380" s="252"/>
      <c r="KBN380" s="252"/>
      <c r="KBO380" s="252"/>
      <c r="KBP380" s="252"/>
      <c r="KBQ380" s="252"/>
      <c r="KBR380" s="252"/>
      <c r="KBS380" s="252"/>
      <c r="KBT380" s="252"/>
      <c r="KBU380" s="252"/>
      <c r="KBV380" s="252"/>
      <c r="KBW380" s="252"/>
      <c r="KBX380" s="252"/>
      <c r="KBY380" s="252"/>
      <c r="KBZ380" s="252"/>
      <c r="KCA380" s="252"/>
      <c r="KCB380" s="252"/>
      <c r="KCC380" s="252"/>
      <c r="KCD380" s="252"/>
      <c r="KCE380" s="252"/>
      <c r="KCF380" s="252"/>
      <c r="KCG380" s="252"/>
      <c r="KCH380" s="252"/>
      <c r="KCI380" s="252"/>
      <c r="KCJ380" s="252"/>
      <c r="KCK380" s="252"/>
      <c r="KCL380" s="252"/>
      <c r="KCM380" s="252"/>
      <c r="KCN380" s="252"/>
      <c r="KCO380" s="252"/>
      <c r="KCP380" s="252"/>
      <c r="KCQ380" s="252"/>
      <c r="KCR380" s="252"/>
      <c r="KCS380" s="252"/>
      <c r="KCT380" s="252"/>
      <c r="KCU380" s="252"/>
      <c r="KCV380" s="252"/>
      <c r="KCW380" s="252"/>
      <c r="KCX380" s="252"/>
      <c r="KCY380" s="252"/>
      <c r="KCZ380" s="252"/>
      <c r="KDA380" s="252"/>
      <c r="KDB380" s="252"/>
      <c r="KDC380" s="252"/>
      <c r="KDD380" s="252"/>
      <c r="KDE380" s="252"/>
      <c r="KDF380" s="252"/>
      <c r="KDG380" s="252"/>
      <c r="KDH380" s="252"/>
      <c r="KDI380" s="252"/>
      <c r="KDJ380" s="252"/>
      <c r="KDK380" s="252"/>
      <c r="KDL380" s="252"/>
      <c r="KDM380" s="252"/>
      <c r="KDN380" s="252"/>
      <c r="KDO380" s="252"/>
      <c r="KDP380" s="252"/>
      <c r="KDQ380" s="252"/>
      <c r="KDR380" s="252"/>
      <c r="KDS380" s="252"/>
      <c r="KDT380" s="252"/>
      <c r="KDU380" s="252"/>
      <c r="KDV380" s="252"/>
      <c r="KDW380" s="252"/>
      <c r="KDX380" s="252"/>
      <c r="KDY380" s="252"/>
      <c r="KDZ380" s="252"/>
      <c r="KEA380" s="252"/>
      <c r="KEB380" s="252"/>
      <c r="KEC380" s="252"/>
      <c r="KED380" s="252"/>
      <c r="KEE380" s="252"/>
      <c r="KEF380" s="252"/>
      <c r="KEG380" s="252"/>
      <c r="KEH380" s="252"/>
      <c r="KEI380" s="252"/>
      <c r="KEJ380" s="252"/>
      <c r="KEK380" s="252"/>
      <c r="KEL380" s="252"/>
      <c r="KEM380" s="252"/>
      <c r="KEN380" s="252"/>
      <c r="KEO380" s="252"/>
      <c r="KEP380" s="252"/>
      <c r="KEQ380" s="252"/>
      <c r="KER380" s="252"/>
      <c r="KES380" s="252"/>
      <c r="KET380" s="252"/>
      <c r="KEU380" s="252"/>
      <c r="KEV380" s="252"/>
      <c r="KEW380" s="252"/>
      <c r="KEX380" s="252"/>
      <c r="KEY380" s="252"/>
      <c r="KEZ380" s="252"/>
      <c r="KFA380" s="252"/>
      <c r="KFB380" s="252"/>
      <c r="KFC380" s="252"/>
      <c r="KFD380" s="252"/>
      <c r="KFE380" s="252"/>
      <c r="KFF380" s="252"/>
      <c r="KFG380" s="252"/>
      <c r="KFH380" s="252"/>
      <c r="KFI380" s="252"/>
      <c r="KFJ380" s="252"/>
      <c r="KFK380" s="252"/>
      <c r="KFL380" s="252"/>
      <c r="KFM380" s="252"/>
      <c r="KFN380" s="252"/>
      <c r="KFO380" s="252"/>
      <c r="KFP380" s="252"/>
      <c r="KFQ380" s="252"/>
      <c r="KFR380" s="252"/>
      <c r="KFS380" s="252"/>
      <c r="KFT380" s="252"/>
      <c r="KFU380" s="252"/>
      <c r="KFV380" s="252"/>
      <c r="KFW380" s="252"/>
      <c r="KFX380" s="252"/>
      <c r="KFY380" s="252"/>
      <c r="KFZ380" s="252"/>
      <c r="KGA380" s="252"/>
      <c r="KGB380" s="252"/>
      <c r="KGC380" s="252"/>
      <c r="KGD380" s="252"/>
      <c r="KGE380" s="252"/>
      <c r="KGF380" s="252"/>
      <c r="KGG380" s="252"/>
      <c r="KGH380" s="252"/>
      <c r="KGI380" s="252"/>
      <c r="KGJ380" s="252"/>
      <c r="KGK380" s="252"/>
      <c r="KGL380" s="252"/>
      <c r="KGM380" s="252"/>
      <c r="KGN380" s="252"/>
      <c r="KGO380" s="252"/>
      <c r="KGP380" s="252"/>
      <c r="KGQ380" s="252"/>
      <c r="KGR380" s="252"/>
      <c r="KGS380" s="252"/>
      <c r="KGT380" s="252"/>
      <c r="KGU380" s="252"/>
      <c r="KGV380" s="252"/>
      <c r="KGW380" s="252"/>
      <c r="KGX380" s="252"/>
      <c r="KGY380" s="252"/>
      <c r="KGZ380" s="252"/>
      <c r="KHA380" s="252"/>
      <c r="KHB380" s="252"/>
      <c r="KHC380" s="252"/>
      <c r="KHD380" s="252"/>
      <c r="KHE380" s="252"/>
      <c r="KHF380" s="252"/>
      <c r="KHG380" s="252"/>
      <c r="KHH380" s="252"/>
      <c r="KHI380" s="252"/>
      <c r="KHJ380" s="252"/>
      <c r="KHK380" s="252"/>
      <c r="KHL380" s="252"/>
      <c r="KHM380" s="252"/>
      <c r="KHN380" s="252"/>
      <c r="KHO380" s="252"/>
      <c r="KHP380" s="252"/>
      <c r="KHQ380" s="252"/>
      <c r="KHR380" s="252"/>
      <c r="KHS380" s="252"/>
      <c r="KHT380" s="252"/>
      <c r="KHU380" s="252"/>
      <c r="KHV380" s="252"/>
      <c r="KHW380" s="252"/>
      <c r="KHX380" s="252"/>
      <c r="KHY380" s="252"/>
      <c r="KHZ380" s="252"/>
      <c r="KIA380" s="252"/>
      <c r="KIB380" s="252"/>
      <c r="KIC380" s="252"/>
      <c r="KID380" s="252"/>
      <c r="KIE380" s="252"/>
      <c r="KIF380" s="252"/>
      <c r="KIG380" s="252"/>
      <c r="KIH380" s="252"/>
      <c r="KII380" s="252"/>
      <c r="KIJ380" s="252"/>
      <c r="KIK380" s="252"/>
      <c r="KIL380" s="252"/>
      <c r="KIM380" s="252"/>
      <c r="KIN380" s="252"/>
      <c r="KIO380" s="252"/>
      <c r="KIP380" s="252"/>
      <c r="KIQ380" s="252"/>
      <c r="KIR380" s="252"/>
      <c r="KIS380" s="252"/>
      <c r="KIT380" s="252"/>
      <c r="KIU380" s="252"/>
      <c r="KIV380" s="252"/>
      <c r="KIW380" s="252"/>
      <c r="KIX380" s="252"/>
      <c r="KIY380" s="252"/>
      <c r="KIZ380" s="252"/>
      <c r="KJA380" s="252"/>
      <c r="KJB380" s="252"/>
      <c r="KJC380" s="252"/>
      <c r="KJD380" s="252"/>
      <c r="KJE380" s="252"/>
      <c r="KJF380" s="252"/>
      <c r="KJG380" s="252"/>
      <c r="KJH380" s="252"/>
      <c r="KJI380" s="252"/>
      <c r="KJJ380" s="252"/>
      <c r="KJK380" s="252"/>
      <c r="KJL380" s="252"/>
      <c r="KJM380" s="252"/>
      <c r="KJN380" s="252"/>
      <c r="KJO380" s="252"/>
      <c r="KJP380" s="252"/>
      <c r="KJQ380" s="252"/>
      <c r="KJR380" s="252"/>
      <c r="KJS380" s="252"/>
      <c r="KJT380" s="252"/>
      <c r="KJU380" s="252"/>
      <c r="KJV380" s="252"/>
      <c r="KJW380" s="252"/>
      <c r="KJX380" s="252"/>
      <c r="KJY380" s="252"/>
      <c r="KJZ380" s="252"/>
      <c r="KKA380" s="252"/>
      <c r="KKB380" s="252"/>
      <c r="KKC380" s="252"/>
      <c r="KKD380" s="252"/>
      <c r="KKE380" s="252"/>
      <c r="KKF380" s="252"/>
      <c r="KKG380" s="252"/>
      <c r="KKH380" s="252"/>
      <c r="KKI380" s="252"/>
      <c r="KKJ380" s="252"/>
      <c r="KKK380" s="252"/>
      <c r="KKL380" s="252"/>
      <c r="KKM380" s="252"/>
      <c r="KKN380" s="252"/>
      <c r="KKO380" s="252"/>
      <c r="KKP380" s="252"/>
      <c r="KKQ380" s="252"/>
      <c r="KKR380" s="252"/>
      <c r="KKS380" s="252"/>
      <c r="KKT380" s="252"/>
      <c r="KKU380" s="252"/>
      <c r="KKV380" s="252"/>
      <c r="KKW380" s="252"/>
      <c r="KKX380" s="252"/>
      <c r="KKY380" s="252"/>
      <c r="KKZ380" s="252"/>
      <c r="KLA380" s="252"/>
      <c r="KLB380" s="252"/>
      <c r="KLC380" s="252"/>
      <c r="KLD380" s="252"/>
      <c r="KLE380" s="252"/>
      <c r="KLF380" s="252"/>
      <c r="KLG380" s="252"/>
      <c r="KLH380" s="252"/>
      <c r="KLI380" s="252"/>
      <c r="KLJ380" s="252"/>
      <c r="KLK380" s="252"/>
      <c r="KLL380" s="252"/>
      <c r="KLM380" s="252"/>
      <c r="KLN380" s="252"/>
      <c r="KLO380" s="252"/>
      <c r="KLP380" s="252"/>
      <c r="KLQ380" s="252"/>
      <c r="KLR380" s="252"/>
      <c r="KLS380" s="252"/>
      <c r="KLT380" s="252"/>
      <c r="KLU380" s="252"/>
      <c r="KLV380" s="252"/>
      <c r="KLW380" s="252"/>
      <c r="KLX380" s="252"/>
      <c r="KLY380" s="252"/>
      <c r="KLZ380" s="252"/>
      <c r="KMA380" s="252"/>
      <c r="KMB380" s="252"/>
      <c r="KMC380" s="252"/>
      <c r="KMD380" s="252"/>
      <c r="KME380" s="252"/>
      <c r="KMF380" s="252"/>
      <c r="KMG380" s="252"/>
      <c r="KMH380" s="252"/>
      <c r="KMI380" s="252"/>
      <c r="KMJ380" s="252"/>
      <c r="KMK380" s="252"/>
      <c r="KML380" s="252"/>
      <c r="KMM380" s="252"/>
      <c r="KMN380" s="252"/>
      <c r="KMO380" s="252"/>
      <c r="KMP380" s="252"/>
      <c r="KMQ380" s="252"/>
      <c r="KMR380" s="252"/>
      <c r="KMS380" s="252"/>
      <c r="KMT380" s="252"/>
      <c r="KMU380" s="252"/>
      <c r="KMV380" s="252"/>
      <c r="KMW380" s="252"/>
      <c r="KMX380" s="252"/>
      <c r="KMY380" s="252"/>
      <c r="KMZ380" s="252"/>
      <c r="KNA380" s="252"/>
      <c r="KNB380" s="252"/>
      <c r="KNC380" s="252"/>
      <c r="KND380" s="252"/>
      <c r="KNE380" s="252"/>
      <c r="KNF380" s="252"/>
      <c r="KNG380" s="252"/>
      <c r="KNH380" s="252"/>
      <c r="KNI380" s="252"/>
      <c r="KNJ380" s="252"/>
      <c r="KNK380" s="252"/>
      <c r="KNL380" s="252"/>
      <c r="KNM380" s="252"/>
      <c r="KNN380" s="252"/>
      <c r="KNO380" s="252"/>
      <c r="KNP380" s="252"/>
      <c r="KNQ380" s="252"/>
      <c r="KNR380" s="252"/>
      <c r="KNS380" s="252"/>
      <c r="KNT380" s="252"/>
      <c r="KNU380" s="252"/>
      <c r="KNV380" s="252"/>
      <c r="KNW380" s="252"/>
      <c r="KNX380" s="252"/>
      <c r="KNY380" s="252"/>
      <c r="KNZ380" s="252"/>
      <c r="KOA380" s="252"/>
      <c r="KOB380" s="252"/>
      <c r="KOC380" s="252"/>
      <c r="KOD380" s="252"/>
      <c r="KOE380" s="252"/>
      <c r="KOF380" s="252"/>
      <c r="KOG380" s="252"/>
      <c r="KOH380" s="252"/>
      <c r="KOI380" s="252"/>
      <c r="KOJ380" s="252"/>
      <c r="KOK380" s="252"/>
      <c r="KOL380" s="252"/>
      <c r="KOM380" s="252"/>
      <c r="KON380" s="252"/>
      <c r="KOO380" s="252"/>
      <c r="KOP380" s="252"/>
      <c r="KOQ380" s="252"/>
      <c r="KOR380" s="252"/>
      <c r="KOS380" s="252"/>
      <c r="KOT380" s="252"/>
      <c r="KOU380" s="252"/>
      <c r="KOV380" s="252"/>
      <c r="KOW380" s="252"/>
      <c r="KOX380" s="252"/>
      <c r="KOY380" s="252"/>
      <c r="KOZ380" s="252"/>
      <c r="KPA380" s="252"/>
      <c r="KPB380" s="252"/>
      <c r="KPC380" s="252"/>
      <c r="KPD380" s="252"/>
      <c r="KPE380" s="252"/>
      <c r="KPF380" s="252"/>
      <c r="KPG380" s="252"/>
      <c r="KPH380" s="252"/>
      <c r="KPI380" s="252"/>
      <c r="KPJ380" s="252"/>
      <c r="KPK380" s="252"/>
      <c r="KPL380" s="252"/>
      <c r="KPM380" s="252"/>
      <c r="KPN380" s="252"/>
      <c r="KPO380" s="252"/>
      <c r="KPP380" s="252"/>
      <c r="KPQ380" s="252"/>
      <c r="KPR380" s="252"/>
      <c r="KPS380" s="252"/>
      <c r="KPT380" s="252"/>
      <c r="KPU380" s="252"/>
      <c r="KPV380" s="252"/>
      <c r="KPW380" s="252"/>
      <c r="KPX380" s="252"/>
      <c r="KPY380" s="252"/>
      <c r="KPZ380" s="252"/>
      <c r="KQA380" s="252"/>
      <c r="KQB380" s="252"/>
      <c r="KQC380" s="252"/>
      <c r="KQD380" s="252"/>
      <c r="KQE380" s="252"/>
      <c r="KQF380" s="252"/>
      <c r="KQG380" s="252"/>
      <c r="KQH380" s="252"/>
      <c r="KQI380" s="252"/>
      <c r="KQJ380" s="252"/>
      <c r="KQK380" s="252"/>
      <c r="KQL380" s="252"/>
      <c r="KQM380" s="252"/>
      <c r="KQN380" s="252"/>
      <c r="KQO380" s="252"/>
      <c r="KQP380" s="252"/>
      <c r="KQQ380" s="252"/>
      <c r="KQR380" s="252"/>
      <c r="KQS380" s="252"/>
      <c r="KQT380" s="252"/>
      <c r="KQU380" s="252"/>
      <c r="KQV380" s="252"/>
      <c r="KQW380" s="252"/>
      <c r="KQX380" s="252"/>
      <c r="KQY380" s="252"/>
      <c r="KQZ380" s="252"/>
      <c r="KRA380" s="252"/>
      <c r="KRB380" s="252"/>
      <c r="KRC380" s="252"/>
      <c r="KRD380" s="252"/>
      <c r="KRE380" s="252"/>
      <c r="KRF380" s="252"/>
      <c r="KRG380" s="252"/>
      <c r="KRH380" s="252"/>
      <c r="KRI380" s="252"/>
      <c r="KRJ380" s="252"/>
      <c r="KRK380" s="252"/>
      <c r="KRL380" s="252"/>
      <c r="KRM380" s="252"/>
      <c r="KRN380" s="252"/>
      <c r="KRO380" s="252"/>
      <c r="KRP380" s="252"/>
      <c r="KRQ380" s="252"/>
      <c r="KRR380" s="252"/>
      <c r="KRS380" s="252"/>
      <c r="KRT380" s="252"/>
      <c r="KRU380" s="252"/>
      <c r="KRV380" s="252"/>
      <c r="KRW380" s="252"/>
      <c r="KRX380" s="252"/>
      <c r="KRY380" s="252"/>
      <c r="KRZ380" s="252"/>
      <c r="KSA380" s="252"/>
      <c r="KSB380" s="252"/>
      <c r="KSC380" s="252"/>
      <c r="KSD380" s="252"/>
      <c r="KSE380" s="252"/>
      <c r="KSF380" s="252"/>
      <c r="KSG380" s="252"/>
      <c r="KSH380" s="252"/>
      <c r="KSI380" s="252"/>
      <c r="KSJ380" s="252"/>
      <c r="KSK380" s="252"/>
      <c r="KSL380" s="252"/>
      <c r="KSM380" s="252"/>
      <c r="KSN380" s="252"/>
      <c r="KSO380" s="252"/>
      <c r="KSP380" s="252"/>
      <c r="KSQ380" s="252"/>
      <c r="KSR380" s="252"/>
      <c r="KSS380" s="252"/>
      <c r="KST380" s="252"/>
      <c r="KSU380" s="252"/>
      <c r="KSV380" s="252"/>
      <c r="KSW380" s="252"/>
      <c r="KSX380" s="252"/>
      <c r="KSY380" s="252"/>
      <c r="KSZ380" s="252"/>
      <c r="KTA380" s="252"/>
      <c r="KTB380" s="252"/>
      <c r="KTC380" s="252"/>
      <c r="KTD380" s="252"/>
      <c r="KTE380" s="252"/>
      <c r="KTF380" s="252"/>
      <c r="KTG380" s="252"/>
      <c r="KTH380" s="252"/>
      <c r="KTI380" s="252"/>
      <c r="KTJ380" s="252"/>
      <c r="KTK380" s="252"/>
      <c r="KTL380" s="252"/>
      <c r="KTM380" s="252"/>
      <c r="KTN380" s="252"/>
      <c r="KTO380" s="252"/>
      <c r="KTP380" s="252"/>
      <c r="KTQ380" s="252"/>
      <c r="KTR380" s="252"/>
      <c r="KTS380" s="252"/>
      <c r="KTT380" s="252"/>
      <c r="KTU380" s="252"/>
      <c r="KTV380" s="252"/>
      <c r="KTW380" s="252"/>
      <c r="KTX380" s="252"/>
      <c r="KTY380" s="252"/>
      <c r="KTZ380" s="252"/>
      <c r="KUA380" s="252"/>
      <c r="KUB380" s="252"/>
      <c r="KUC380" s="252"/>
      <c r="KUD380" s="252"/>
      <c r="KUE380" s="252"/>
      <c r="KUF380" s="252"/>
      <c r="KUG380" s="252"/>
      <c r="KUH380" s="252"/>
      <c r="KUI380" s="252"/>
      <c r="KUJ380" s="252"/>
      <c r="KUK380" s="252"/>
      <c r="KUL380" s="252"/>
      <c r="KUM380" s="252"/>
      <c r="KUN380" s="252"/>
      <c r="KUO380" s="252"/>
      <c r="KUP380" s="252"/>
      <c r="KUQ380" s="252"/>
      <c r="KUR380" s="252"/>
      <c r="KUS380" s="252"/>
      <c r="KUT380" s="252"/>
      <c r="KUU380" s="252"/>
      <c r="KUV380" s="252"/>
      <c r="KUW380" s="252"/>
      <c r="KUX380" s="252"/>
      <c r="KUY380" s="252"/>
      <c r="KUZ380" s="252"/>
      <c r="KVA380" s="252"/>
      <c r="KVB380" s="252"/>
      <c r="KVC380" s="252"/>
      <c r="KVD380" s="252"/>
      <c r="KVE380" s="252"/>
      <c r="KVF380" s="252"/>
      <c r="KVG380" s="252"/>
      <c r="KVH380" s="252"/>
      <c r="KVI380" s="252"/>
      <c r="KVJ380" s="252"/>
      <c r="KVK380" s="252"/>
      <c r="KVL380" s="252"/>
      <c r="KVM380" s="252"/>
      <c r="KVN380" s="252"/>
      <c r="KVO380" s="252"/>
      <c r="KVP380" s="252"/>
      <c r="KVQ380" s="252"/>
      <c r="KVR380" s="252"/>
      <c r="KVS380" s="252"/>
      <c r="KVT380" s="252"/>
      <c r="KVU380" s="252"/>
      <c r="KVV380" s="252"/>
      <c r="KVW380" s="252"/>
      <c r="KVX380" s="252"/>
      <c r="KVY380" s="252"/>
      <c r="KVZ380" s="252"/>
      <c r="KWA380" s="252"/>
      <c r="KWB380" s="252"/>
      <c r="KWC380" s="252"/>
      <c r="KWD380" s="252"/>
      <c r="KWE380" s="252"/>
      <c r="KWF380" s="252"/>
      <c r="KWG380" s="252"/>
      <c r="KWH380" s="252"/>
      <c r="KWI380" s="252"/>
      <c r="KWJ380" s="252"/>
      <c r="KWK380" s="252"/>
      <c r="KWL380" s="252"/>
      <c r="KWM380" s="252"/>
      <c r="KWN380" s="252"/>
      <c r="KWO380" s="252"/>
      <c r="KWP380" s="252"/>
      <c r="KWQ380" s="252"/>
      <c r="KWR380" s="252"/>
      <c r="KWS380" s="252"/>
      <c r="KWT380" s="252"/>
      <c r="KWU380" s="252"/>
      <c r="KWV380" s="252"/>
      <c r="KWW380" s="252"/>
      <c r="KWX380" s="252"/>
      <c r="KWY380" s="252"/>
      <c r="KWZ380" s="252"/>
      <c r="KXA380" s="252"/>
      <c r="KXB380" s="252"/>
      <c r="KXC380" s="252"/>
      <c r="KXD380" s="252"/>
      <c r="KXE380" s="252"/>
      <c r="KXF380" s="252"/>
      <c r="KXG380" s="252"/>
      <c r="KXH380" s="252"/>
      <c r="KXI380" s="252"/>
      <c r="KXJ380" s="252"/>
      <c r="KXK380" s="252"/>
      <c r="KXL380" s="252"/>
      <c r="KXM380" s="252"/>
      <c r="KXN380" s="252"/>
      <c r="KXO380" s="252"/>
      <c r="KXP380" s="252"/>
      <c r="KXQ380" s="252"/>
      <c r="KXR380" s="252"/>
      <c r="KXS380" s="252"/>
      <c r="KXT380" s="252"/>
      <c r="KXU380" s="252"/>
      <c r="KXV380" s="252"/>
      <c r="KXW380" s="252"/>
      <c r="KXX380" s="252"/>
      <c r="KXY380" s="252"/>
      <c r="KXZ380" s="252"/>
      <c r="KYA380" s="252"/>
      <c r="KYB380" s="252"/>
      <c r="KYC380" s="252"/>
      <c r="KYD380" s="252"/>
      <c r="KYE380" s="252"/>
      <c r="KYF380" s="252"/>
      <c r="KYG380" s="252"/>
      <c r="KYH380" s="252"/>
      <c r="KYI380" s="252"/>
      <c r="KYJ380" s="252"/>
      <c r="KYK380" s="252"/>
      <c r="KYL380" s="252"/>
      <c r="KYM380" s="252"/>
      <c r="KYN380" s="252"/>
      <c r="KYO380" s="252"/>
      <c r="KYP380" s="252"/>
      <c r="KYQ380" s="252"/>
      <c r="KYR380" s="252"/>
      <c r="KYS380" s="252"/>
      <c r="KYT380" s="252"/>
      <c r="KYU380" s="252"/>
      <c r="KYV380" s="252"/>
      <c r="KYW380" s="252"/>
      <c r="KYX380" s="252"/>
      <c r="KYY380" s="252"/>
      <c r="KYZ380" s="252"/>
      <c r="KZA380" s="252"/>
      <c r="KZB380" s="252"/>
      <c r="KZC380" s="252"/>
      <c r="KZD380" s="252"/>
      <c r="KZE380" s="252"/>
      <c r="KZF380" s="252"/>
      <c r="KZG380" s="252"/>
      <c r="KZH380" s="252"/>
      <c r="KZI380" s="252"/>
      <c r="KZJ380" s="252"/>
      <c r="KZK380" s="252"/>
      <c r="KZL380" s="252"/>
      <c r="KZM380" s="252"/>
      <c r="KZN380" s="252"/>
      <c r="KZO380" s="252"/>
      <c r="KZP380" s="252"/>
      <c r="KZQ380" s="252"/>
      <c r="KZR380" s="252"/>
      <c r="KZS380" s="252"/>
      <c r="KZT380" s="252"/>
      <c r="KZU380" s="252"/>
      <c r="KZV380" s="252"/>
      <c r="KZW380" s="252"/>
      <c r="KZX380" s="252"/>
      <c r="KZY380" s="252"/>
      <c r="KZZ380" s="252"/>
      <c r="LAA380" s="252"/>
      <c r="LAB380" s="252"/>
      <c r="LAC380" s="252"/>
      <c r="LAD380" s="252"/>
      <c r="LAE380" s="252"/>
      <c r="LAF380" s="252"/>
      <c r="LAG380" s="252"/>
      <c r="LAH380" s="252"/>
      <c r="LAI380" s="252"/>
      <c r="LAJ380" s="252"/>
      <c r="LAK380" s="252"/>
      <c r="LAL380" s="252"/>
      <c r="LAM380" s="252"/>
      <c r="LAN380" s="252"/>
      <c r="LAO380" s="252"/>
      <c r="LAP380" s="252"/>
      <c r="LAQ380" s="252"/>
      <c r="LAR380" s="252"/>
      <c r="LAS380" s="252"/>
      <c r="LAT380" s="252"/>
      <c r="LAU380" s="252"/>
      <c r="LAV380" s="252"/>
      <c r="LAW380" s="252"/>
      <c r="LAX380" s="252"/>
      <c r="LAY380" s="252"/>
      <c r="LAZ380" s="252"/>
      <c r="LBA380" s="252"/>
      <c r="LBB380" s="252"/>
      <c r="LBC380" s="252"/>
      <c r="LBD380" s="252"/>
      <c r="LBE380" s="252"/>
      <c r="LBF380" s="252"/>
      <c r="LBG380" s="252"/>
      <c r="LBH380" s="252"/>
      <c r="LBI380" s="252"/>
      <c r="LBJ380" s="252"/>
      <c r="LBK380" s="252"/>
      <c r="LBL380" s="252"/>
      <c r="LBM380" s="252"/>
      <c r="LBN380" s="252"/>
      <c r="LBO380" s="252"/>
      <c r="LBP380" s="252"/>
      <c r="LBQ380" s="252"/>
      <c r="LBR380" s="252"/>
      <c r="LBS380" s="252"/>
      <c r="LBT380" s="252"/>
      <c r="LBU380" s="252"/>
      <c r="LBV380" s="252"/>
      <c r="LBW380" s="252"/>
      <c r="LBX380" s="252"/>
      <c r="LBY380" s="252"/>
      <c r="LBZ380" s="252"/>
      <c r="LCA380" s="252"/>
      <c r="LCB380" s="252"/>
      <c r="LCC380" s="252"/>
      <c r="LCD380" s="252"/>
      <c r="LCE380" s="252"/>
      <c r="LCF380" s="252"/>
      <c r="LCG380" s="252"/>
      <c r="LCH380" s="252"/>
      <c r="LCI380" s="252"/>
      <c r="LCJ380" s="252"/>
      <c r="LCK380" s="252"/>
      <c r="LCL380" s="252"/>
      <c r="LCM380" s="252"/>
      <c r="LCN380" s="252"/>
      <c r="LCO380" s="252"/>
      <c r="LCP380" s="252"/>
      <c r="LCQ380" s="252"/>
      <c r="LCR380" s="252"/>
      <c r="LCS380" s="252"/>
      <c r="LCT380" s="252"/>
      <c r="LCU380" s="252"/>
      <c r="LCV380" s="252"/>
      <c r="LCW380" s="252"/>
      <c r="LCX380" s="252"/>
      <c r="LCY380" s="252"/>
      <c r="LCZ380" s="252"/>
      <c r="LDA380" s="252"/>
      <c r="LDB380" s="252"/>
      <c r="LDC380" s="252"/>
      <c r="LDD380" s="252"/>
      <c r="LDE380" s="252"/>
      <c r="LDF380" s="252"/>
      <c r="LDG380" s="252"/>
      <c r="LDH380" s="252"/>
      <c r="LDI380" s="252"/>
      <c r="LDJ380" s="252"/>
      <c r="LDK380" s="252"/>
      <c r="LDL380" s="252"/>
      <c r="LDM380" s="252"/>
      <c r="LDN380" s="252"/>
      <c r="LDO380" s="252"/>
      <c r="LDP380" s="252"/>
      <c r="LDQ380" s="252"/>
      <c r="LDR380" s="252"/>
      <c r="LDS380" s="252"/>
      <c r="LDT380" s="252"/>
      <c r="LDU380" s="252"/>
      <c r="LDV380" s="252"/>
      <c r="LDW380" s="252"/>
      <c r="LDX380" s="252"/>
      <c r="LDY380" s="252"/>
      <c r="LDZ380" s="252"/>
      <c r="LEA380" s="252"/>
      <c r="LEB380" s="252"/>
      <c r="LEC380" s="252"/>
      <c r="LED380" s="252"/>
      <c r="LEE380" s="252"/>
      <c r="LEF380" s="252"/>
      <c r="LEG380" s="252"/>
      <c r="LEH380" s="252"/>
      <c r="LEI380" s="252"/>
      <c r="LEJ380" s="252"/>
      <c r="LEK380" s="252"/>
      <c r="LEL380" s="252"/>
      <c r="LEM380" s="252"/>
      <c r="LEN380" s="252"/>
      <c r="LEO380" s="252"/>
      <c r="LEP380" s="252"/>
      <c r="LEQ380" s="252"/>
      <c r="LER380" s="252"/>
      <c r="LES380" s="252"/>
      <c r="LET380" s="252"/>
      <c r="LEU380" s="252"/>
      <c r="LEV380" s="252"/>
      <c r="LEW380" s="252"/>
      <c r="LEX380" s="252"/>
      <c r="LEY380" s="252"/>
      <c r="LEZ380" s="252"/>
      <c r="LFA380" s="252"/>
      <c r="LFB380" s="252"/>
      <c r="LFC380" s="252"/>
      <c r="LFD380" s="252"/>
      <c r="LFE380" s="252"/>
      <c r="LFF380" s="252"/>
      <c r="LFG380" s="252"/>
      <c r="LFH380" s="252"/>
      <c r="LFI380" s="252"/>
      <c r="LFJ380" s="252"/>
      <c r="LFK380" s="252"/>
      <c r="LFL380" s="252"/>
      <c r="LFM380" s="252"/>
      <c r="LFN380" s="252"/>
      <c r="LFO380" s="252"/>
      <c r="LFP380" s="252"/>
      <c r="LFQ380" s="252"/>
      <c r="LFR380" s="252"/>
      <c r="LFS380" s="252"/>
      <c r="LFT380" s="252"/>
      <c r="LFU380" s="252"/>
      <c r="LFV380" s="252"/>
      <c r="LFW380" s="252"/>
      <c r="LFX380" s="252"/>
      <c r="LFY380" s="252"/>
      <c r="LFZ380" s="252"/>
      <c r="LGA380" s="252"/>
      <c r="LGB380" s="252"/>
      <c r="LGC380" s="252"/>
      <c r="LGD380" s="252"/>
      <c r="LGE380" s="252"/>
      <c r="LGF380" s="252"/>
      <c r="LGG380" s="252"/>
      <c r="LGH380" s="252"/>
      <c r="LGI380" s="252"/>
      <c r="LGJ380" s="252"/>
      <c r="LGK380" s="252"/>
      <c r="LGL380" s="252"/>
      <c r="LGM380" s="252"/>
      <c r="LGN380" s="252"/>
      <c r="LGO380" s="252"/>
      <c r="LGP380" s="252"/>
      <c r="LGQ380" s="252"/>
      <c r="LGR380" s="252"/>
      <c r="LGS380" s="252"/>
      <c r="LGT380" s="252"/>
      <c r="LGU380" s="252"/>
      <c r="LGV380" s="252"/>
      <c r="LGW380" s="252"/>
      <c r="LGX380" s="252"/>
      <c r="LGY380" s="252"/>
      <c r="LGZ380" s="252"/>
      <c r="LHA380" s="252"/>
      <c r="LHB380" s="252"/>
      <c r="LHC380" s="252"/>
      <c r="LHD380" s="252"/>
      <c r="LHE380" s="252"/>
      <c r="LHF380" s="252"/>
      <c r="LHG380" s="252"/>
      <c r="LHH380" s="252"/>
      <c r="LHI380" s="252"/>
      <c r="LHJ380" s="252"/>
      <c r="LHK380" s="252"/>
      <c r="LHL380" s="252"/>
      <c r="LHM380" s="252"/>
      <c r="LHN380" s="252"/>
      <c r="LHO380" s="252"/>
      <c r="LHP380" s="252"/>
      <c r="LHQ380" s="252"/>
      <c r="LHR380" s="252"/>
      <c r="LHS380" s="252"/>
      <c r="LHT380" s="252"/>
      <c r="LHU380" s="252"/>
      <c r="LHV380" s="252"/>
      <c r="LHW380" s="252"/>
      <c r="LHX380" s="252"/>
      <c r="LHY380" s="252"/>
      <c r="LHZ380" s="252"/>
      <c r="LIA380" s="252"/>
      <c r="LIB380" s="252"/>
      <c r="LIC380" s="252"/>
      <c r="LID380" s="252"/>
      <c r="LIE380" s="252"/>
      <c r="LIF380" s="252"/>
      <c r="LIG380" s="252"/>
      <c r="LIH380" s="252"/>
      <c r="LII380" s="252"/>
      <c r="LIJ380" s="252"/>
      <c r="LIK380" s="252"/>
      <c r="LIL380" s="252"/>
      <c r="LIM380" s="252"/>
      <c r="LIN380" s="252"/>
      <c r="LIO380" s="252"/>
      <c r="LIP380" s="252"/>
      <c r="LIQ380" s="252"/>
      <c r="LIR380" s="252"/>
      <c r="LIS380" s="252"/>
      <c r="LIT380" s="252"/>
      <c r="LIU380" s="252"/>
      <c r="LIV380" s="252"/>
      <c r="LIW380" s="252"/>
      <c r="LIX380" s="252"/>
      <c r="LIY380" s="252"/>
      <c r="LIZ380" s="252"/>
      <c r="LJA380" s="252"/>
      <c r="LJB380" s="252"/>
      <c r="LJC380" s="252"/>
      <c r="LJD380" s="252"/>
      <c r="LJE380" s="252"/>
      <c r="LJF380" s="252"/>
      <c r="LJG380" s="252"/>
      <c r="LJH380" s="252"/>
      <c r="LJI380" s="252"/>
      <c r="LJJ380" s="252"/>
      <c r="LJK380" s="252"/>
      <c r="LJL380" s="252"/>
      <c r="LJM380" s="252"/>
      <c r="LJN380" s="252"/>
      <c r="LJO380" s="252"/>
      <c r="LJP380" s="252"/>
      <c r="LJQ380" s="252"/>
      <c r="LJR380" s="252"/>
      <c r="LJS380" s="252"/>
      <c r="LJT380" s="252"/>
      <c r="LJU380" s="252"/>
      <c r="LJV380" s="252"/>
      <c r="LJW380" s="252"/>
      <c r="LJX380" s="252"/>
      <c r="LJY380" s="252"/>
      <c r="LJZ380" s="252"/>
      <c r="LKA380" s="252"/>
      <c r="LKB380" s="252"/>
      <c r="LKC380" s="252"/>
      <c r="LKD380" s="252"/>
      <c r="LKE380" s="252"/>
      <c r="LKF380" s="252"/>
      <c r="LKG380" s="252"/>
      <c r="LKH380" s="252"/>
      <c r="LKI380" s="252"/>
      <c r="LKJ380" s="252"/>
      <c r="LKK380" s="252"/>
      <c r="LKL380" s="252"/>
      <c r="LKM380" s="252"/>
      <c r="LKN380" s="252"/>
      <c r="LKO380" s="252"/>
      <c r="LKP380" s="252"/>
      <c r="LKQ380" s="252"/>
      <c r="LKR380" s="252"/>
      <c r="LKS380" s="252"/>
      <c r="LKT380" s="252"/>
      <c r="LKU380" s="252"/>
      <c r="LKV380" s="252"/>
      <c r="LKW380" s="252"/>
      <c r="LKX380" s="252"/>
      <c r="LKY380" s="252"/>
      <c r="LKZ380" s="252"/>
      <c r="LLA380" s="252"/>
      <c r="LLB380" s="252"/>
      <c r="LLC380" s="252"/>
      <c r="LLD380" s="252"/>
      <c r="LLE380" s="252"/>
      <c r="LLF380" s="252"/>
      <c r="LLG380" s="252"/>
      <c r="LLH380" s="252"/>
      <c r="LLI380" s="252"/>
      <c r="LLJ380" s="252"/>
      <c r="LLK380" s="252"/>
      <c r="LLL380" s="252"/>
      <c r="LLM380" s="252"/>
      <c r="LLN380" s="252"/>
      <c r="LLO380" s="252"/>
      <c r="LLP380" s="252"/>
      <c r="LLQ380" s="252"/>
      <c r="LLR380" s="252"/>
      <c r="LLS380" s="252"/>
      <c r="LLT380" s="252"/>
      <c r="LLU380" s="252"/>
      <c r="LLV380" s="252"/>
      <c r="LLW380" s="252"/>
      <c r="LLX380" s="252"/>
      <c r="LLY380" s="252"/>
      <c r="LLZ380" s="252"/>
      <c r="LMA380" s="252"/>
      <c r="LMB380" s="252"/>
      <c r="LMC380" s="252"/>
      <c r="LMD380" s="252"/>
      <c r="LME380" s="252"/>
      <c r="LMF380" s="252"/>
      <c r="LMG380" s="252"/>
      <c r="LMH380" s="252"/>
      <c r="LMI380" s="252"/>
      <c r="LMJ380" s="252"/>
      <c r="LMK380" s="252"/>
      <c r="LML380" s="252"/>
      <c r="LMM380" s="252"/>
      <c r="LMN380" s="252"/>
      <c r="LMO380" s="252"/>
      <c r="LMP380" s="252"/>
      <c r="LMQ380" s="252"/>
      <c r="LMR380" s="252"/>
      <c r="LMS380" s="252"/>
      <c r="LMT380" s="252"/>
      <c r="LMU380" s="252"/>
      <c r="LMV380" s="252"/>
      <c r="LMW380" s="252"/>
      <c r="LMX380" s="252"/>
      <c r="LMY380" s="252"/>
      <c r="LMZ380" s="252"/>
      <c r="LNA380" s="252"/>
      <c r="LNB380" s="252"/>
      <c r="LNC380" s="252"/>
      <c r="LND380" s="252"/>
      <c r="LNE380" s="252"/>
      <c r="LNF380" s="252"/>
      <c r="LNG380" s="252"/>
      <c r="LNH380" s="252"/>
      <c r="LNI380" s="252"/>
      <c r="LNJ380" s="252"/>
      <c r="LNK380" s="252"/>
      <c r="LNL380" s="252"/>
      <c r="LNM380" s="252"/>
      <c r="LNN380" s="252"/>
      <c r="LNO380" s="252"/>
      <c r="LNP380" s="252"/>
      <c r="LNQ380" s="252"/>
      <c r="LNR380" s="252"/>
      <c r="LNS380" s="252"/>
      <c r="LNT380" s="252"/>
      <c r="LNU380" s="252"/>
      <c r="LNV380" s="252"/>
      <c r="LNW380" s="252"/>
      <c r="LNX380" s="252"/>
      <c r="LNY380" s="252"/>
      <c r="LNZ380" s="252"/>
      <c r="LOA380" s="252"/>
      <c r="LOB380" s="252"/>
      <c r="LOC380" s="252"/>
      <c r="LOD380" s="252"/>
      <c r="LOE380" s="252"/>
      <c r="LOF380" s="252"/>
      <c r="LOG380" s="252"/>
      <c r="LOH380" s="252"/>
      <c r="LOI380" s="252"/>
      <c r="LOJ380" s="252"/>
      <c r="LOK380" s="252"/>
      <c r="LOL380" s="252"/>
      <c r="LOM380" s="252"/>
      <c r="LON380" s="252"/>
      <c r="LOO380" s="252"/>
      <c r="LOP380" s="252"/>
      <c r="LOQ380" s="252"/>
      <c r="LOR380" s="252"/>
      <c r="LOS380" s="252"/>
      <c r="LOT380" s="252"/>
      <c r="LOU380" s="252"/>
      <c r="LOV380" s="252"/>
      <c r="LOW380" s="252"/>
      <c r="LOX380" s="252"/>
      <c r="LOY380" s="252"/>
      <c r="LOZ380" s="252"/>
      <c r="LPA380" s="252"/>
      <c r="LPB380" s="252"/>
      <c r="LPC380" s="252"/>
      <c r="LPD380" s="252"/>
      <c r="LPE380" s="252"/>
      <c r="LPF380" s="252"/>
      <c r="LPG380" s="252"/>
      <c r="LPH380" s="252"/>
      <c r="LPI380" s="252"/>
      <c r="LPJ380" s="252"/>
      <c r="LPK380" s="252"/>
      <c r="LPL380" s="252"/>
      <c r="LPM380" s="252"/>
      <c r="LPN380" s="252"/>
      <c r="LPO380" s="252"/>
      <c r="LPP380" s="252"/>
      <c r="LPQ380" s="252"/>
      <c r="LPR380" s="252"/>
      <c r="LPS380" s="252"/>
      <c r="LPT380" s="252"/>
      <c r="LPU380" s="252"/>
      <c r="LPV380" s="252"/>
      <c r="LPW380" s="252"/>
      <c r="LPX380" s="252"/>
      <c r="LPY380" s="252"/>
      <c r="LPZ380" s="252"/>
      <c r="LQA380" s="252"/>
      <c r="LQB380" s="252"/>
      <c r="LQC380" s="252"/>
      <c r="LQD380" s="252"/>
      <c r="LQE380" s="252"/>
      <c r="LQF380" s="252"/>
      <c r="LQG380" s="252"/>
      <c r="LQH380" s="252"/>
      <c r="LQI380" s="252"/>
      <c r="LQJ380" s="252"/>
      <c r="LQK380" s="252"/>
      <c r="LQL380" s="252"/>
      <c r="LQM380" s="252"/>
      <c r="LQN380" s="252"/>
      <c r="LQO380" s="252"/>
      <c r="LQP380" s="252"/>
      <c r="LQQ380" s="252"/>
      <c r="LQR380" s="252"/>
      <c r="LQS380" s="252"/>
      <c r="LQT380" s="252"/>
      <c r="LQU380" s="252"/>
      <c r="LQV380" s="252"/>
      <c r="LQW380" s="252"/>
      <c r="LQX380" s="252"/>
      <c r="LQY380" s="252"/>
      <c r="LQZ380" s="252"/>
      <c r="LRA380" s="252"/>
      <c r="LRB380" s="252"/>
      <c r="LRC380" s="252"/>
      <c r="LRD380" s="252"/>
      <c r="LRE380" s="252"/>
      <c r="LRF380" s="252"/>
      <c r="LRG380" s="252"/>
      <c r="LRH380" s="252"/>
      <c r="LRI380" s="252"/>
      <c r="LRJ380" s="252"/>
      <c r="LRK380" s="252"/>
      <c r="LRL380" s="252"/>
      <c r="LRM380" s="252"/>
      <c r="LRN380" s="252"/>
      <c r="LRO380" s="252"/>
      <c r="LRP380" s="252"/>
      <c r="LRQ380" s="252"/>
      <c r="LRR380" s="252"/>
      <c r="LRS380" s="252"/>
      <c r="LRT380" s="252"/>
      <c r="LRU380" s="252"/>
      <c r="LRV380" s="252"/>
      <c r="LRW380" s="252"/>
      <c r="LRX380" s="252"/>
      <c r="LRY380" s="252"/>
      <c r="LRZ380" s="252"/>
      <c r="LSA380" s="252"/>
      <c r="LSB380" s="252"/>
      <c r="LSC380" s="252"/>
      <c r="LSD380" s="252"/>
      <c r="LSE380" s="252"/>
      <c r="LSF380" s="252"/>
      <c r="LSG380" s="252"/>
      <c r="LSH380" s="252"/>
      <c r="LSI380" s="252"/>
      <c r="LSJ380" s="252"/>
      <c r="LSK380" s="252"/>
      <c r="LSL380" s="252"/>
      <c r="LSM380" s="252"/>
      <c r="LSN380" s="252"/>
      <c r="LSO380" s="252"/>
      <c r="LSP380" s="252"/>
      <c r="LSQ380" s="252"/>
      <c r="LSR380" s="252"/>
      <c r="LSS380" s="252"/>
      <c r="LST380" s="252"/>
      <c r="LSU380" s="252"/>
      <c r="LSV380" s="252"/>
      <c r="LSW380" s="252"/>
      <c r="LSX380" s="252"/>
      <c r="LSY380" s="252"/>
      <c r="LSZ380" s="252"/>
      <c r="LTA380" s="252"/>
      <c r="LTB380" s="252"/>
      <c r="LTC380" s="252"/>
      <c r="LTD380" s="252"/>
      <c r="LTE380" s="252"/>
      <c r="LTF380" s="252"/>
      <c r="LTG380" s="252"/>
      <c r="LTH380" s="252"/>
      <c r="LTI380" s="252"/>
      <c r="LTJ380" s="252"/>
      <c r="LTK380" s="252"/>
      <c r="LTL380" s="252"/>
      <c r="LTM380" s="252"/>
      <c r="LTN380" s="252"/>
      <c r="LTO380" s="252"/>
      <c r="LTP380" s="252"/>
      <c r="LTQ380" s="252"/>
      <c r="LTR380" s="252"/>
      <c r="LTS380" s="252"/>
      <c r="LTT380" s="252"/>
      <c r="LTU380" s="252"/>
      <c r="LTV380" s="252"/>
      <c r="LTW380" s="252"/>
      <c r="LTX380" s="252"/>
      <c r="LTY380" s="252"/>
      <c r="LTZ380" s="252"/>
      <c r="LUA380" s="252"/>
      <c r="LUB380" s="252"/>
      <c r="LUC380" s="252"/>
      <c r="LUD380" s="252"/>
      <c r="LUE380" s="252"/>
      <c r="LUF380" s="252"/>
      <c r="LUG380" s="252"/>
      <c r="LUH380" s="252"/>
      <c r="LUI380" s="252"/>
      <c r="LUJ380" s="252"/>
      <c r="LUK380" s="252"/>
      <c r="LUL380" s="252"/>
      <c r="LUM380" s="252"/>
      <c r="LUN380" s="252"/>
      <c r="LUO380" s="252"/>
      <c r="LUP380" s="252"/>
      <c r="LUQ380" s="252"/>
      <c r="LUR380" s="252"/>
      <c r="LUS380" s="252"/>
      <c r="LUT380" s="252"/>
      <c r="LUU380" s="252"/>
      <c r="LUV380" s="252"/>
      <c r="LUW380" s="252"/>
      <c r="LUX380" s="252"/>
      <c r="LUY380" s="252"/>
      <c r="LUZ380" s="252"/>
      <c r="LVA380" s="252"/>
      <c r="LVB380" s="252"/>
      <c r="LVC380" s="252"/>
      <c r="LVD380" s="252"/>
      <c r="LVE380" s="252"/>
      <c r="LVF380" s="252"/>
      <c r="LVG380" s="252"/>
      <c r="LVH380" s="252"/>
      <c r="LVI380" s="252"/>
      <c r="LVJ380" s="252"/>
      <c r="LVK380" s="252"/>
      <c r="LVL380" s="252"/>
      <c r="LVM380" s="252"/>
      <c r="LVN380" s="252"/>
      <c r="LVO380" s="252"/>
      <c r="LVP380" s="252"/>
      <c r="LVQ380" s="252"/>
      <c r="LVR380" s="252"/>
      <c r="LVS380" s="252"/>
      <c r="LVT380" s="252"/>
      <c r="LVU380" s="252"/>
      <c r="LVV380" s="252"/>
      <c r="LVW380" s="252"/>
      <c r="LVX380" s="252"/>
      <c r="LVY380" s="252"/>
      <c r="LVZ380" s="252"/>
      <c r="LWA380" s="252"/>
      <c r="LWB380" s="252"/>
      <c r="LWC380" s="252"/>
      <c r="LWD380" s="252"/>
      <c r="LWE380" s="252"/>
      <c r="LWF380" s="252"/>
      <c r="LWG380" s="252"/>
      <c r="LWH380" s="252"/>
      <c r="LWI380" s="252"/>
      <c r="LWJ380" s="252"/>
      <c r="LWK380" s="252"/>
      <c r="LWL380" s="252"/>
      <c r="LWM380" s="252"/>
      <c r="LWN380" s="252"/>
      <c r="LWO380" s="252"/>
      <c r="LWP380" s="252"/>
      <c r="LWQ380" s="252"/>
      <c r="LWR380" s="252"/>
      <c r="LWS380" s="252"/>
      <c r="LWT380" s="252"/>
      <c r="LWU380" s="252"/>
      <c r="LWV380" s="252"/>
      <c r="LWW380" s="252"/>
      <c r="LWX380" s="252"/>
      <c r="LWY380" s="252"/>
      <c r="LWZ380" s="252"/>
      <c r="LXA380" s="252"/>
      <c r="LXB380" s="252"/>
      <c r="LXC380" s="252"/>
      <c r="LXD380" s="252"/>
      <c r="LXE380" s="252"/>
      <c r="LXF380" s="252"/>
      <c r="LXG380" s="252"/>
      <c r="LXH380" s="252"/>
      <c r="LXI380" s="252"/>
      <c r="LXJ380" s="252"/>
      <c r="LXK380" s="252"/>
      <c r="LXL380" s="252"/>
      <c r="LXM380" s="252"/>
      <c r="LXN380" s="252"/>
      <c r="LXO380" s="252"/>
      <c r="LXP380" s="252"/>
      <c r="LXQ380" s="252"/>
      <c r="LXR380" s="252"/>
      <c r="LXS380" s="252"/>
      <c r="LXT380" s="252"/>
      <c r="LXU380" s="252"/>
      <c r="LXV380" s="252"/>
      <c r="LXW380" s="252"/>
      <c r="LXX380" s="252"/>
      <c r="LXY380" s="252"/>
      <c r="LXZ380" s="252"/>
      <c r="LYA380" s="252"/>
      <c r="LYB380" s="252"/>
      <c r="LYC380" s="252"/>
      <c r="LYD380" s="252"/>
      <c r="LYE380" s="252"/>
      <c r="LYF380" s="252"/>
      <c r="LYG380" s="252"/>
      <c r="LYH380" s="252"/>
      <c r="LYI380" s="252"/>
      <c r="LYJ380" s="252"/>
      <c r="LYK380" s="252"/>
      <c r="LYL380" s="252"/>
      <c r="LYM380" s="252"/>
      <c r="LYN380" s="252"/>
      <c r="LYO380" s="252"/>
      <c r="LYP380" s="252"/>
      <c r="LYQ380" s="252"/>
      <c r="LYR380" s="252"/>
      <c r="LYS380" s="252"/>
      <c r="LYT380" s="252"/>
      <c r="LYU380" s="252"/>
      <c r="LYV380" s="252"/>
      <c r="LYW380" s="252"/>
      <c r="LYX380" s="252"/>
      <c r="LYY380" s="252"/>
      <c r="LYZ380" s="252"/>
      <c r="LZA380" s="252"/>
      <c r="LZB380" s="252"/>
      <c r="LZC380" s="252"/>
      <c r="LZD380" s="252"/>
      <c r="LZE380" s="252"/>
      <c r="LZF380" s="252"/>
      <c r="LZG380" s="252"/>
      <c r="LZH380" s="252"/>
      <c r="LZI380" s="252"/>
      <c r="LZJ380" s="252"/>
      <c r="LZK380" s="252"/>
      <c r="LZL380" s="252"/>
      <c r="LZM380" s="252"/>
      <c r="LZN380" s="252"/>
      <c r="LZO380" s="252"/>
      <c r="LZP380" s="252"/>
      <c r="LZQ380" s="252"/>
      <c r="LZR380" s="252"/>
      <c r="LZS380" s="252"/>
      <c r="LZT380" s="252"/>
      <c r="LZU380" s="252"/>
      <c r="LZV380" s="252"/>
      <c r="LZW380" s="252"/>
      <c r="LZX380" s="252"/>
      <c r="LZY380" s="252"/>
      <c r="LZZ380" s="252"/>
      <c r="MAA380" s="252"/>
      <c r="MAB380" s="252"/>
      <c r="MAC380" s="252"/>
      <c r="MAD380" s="252"/>
      <c r="MAE380" s="252"/>
      <c r="MAF380" s="252"/>
      <c r="MAG380" s="252"/>
      <c r="MAH380" s="252"/>
      <c r="MAI380" s="252"/>
      <c r="MAJ380" s="252"/>
      <c r="MAK380" s="252"/>
      <c r="MAL380" s="252"/>
      <c r="MAM380" s="252"/>
      <c r="MAN380" s="252"/>
      <c r="MAO380" s="252"/>
      <c r="MAP380" s="252"/>
      <c r="MAQ380" s="252"/>
      <c r="MAR380" s="252"/>
      <c r="MAS380" s="252"/>
      <c r="MAT380" s="252"/>
      <c r="MAU380" s="252"/>
      <c r="MAV380" s="252"/>
      <c r="MAW380" s="252"/>
      <c r="MAX380" s="252"/>
      <c r="MAY380" s="252"/>
      <c r="MAZ380" s="252"/>
      <c r="MBA380" s="252"/>
      <c r="MBB380" s="252"/>
      <c r="MBC380" s="252"/>
      <c r="MBD380" s="252"/>
      <c r="MBE380" s="252"/>
      <c r="MBF380" s="252"/>
      <c r="MBG380" s="252"/>
      <c r="MBH380" s="252"/>
      <c r="MBI380" s="252"/>
      <c r="MBJ380" s="252"/>
      <c r="MBK380" s="252"/>
      <c r="MBL380" s="252"/>
      <c r="MBM380" s="252"/>
      <c r="MBN380" s="252"/>
      <c r="MBO380" s="252"/>
      <c r="MBP380" s="252"/>
      <c r="MBQ380" s="252"/>
      <c r="MBR380" s="252"/>
      <c r="MBS380" s="252"/>
      <c r="MBT380" s="252"/>
      <c r="MBU380" s="252"/>
      <c r="MBV380" s="252"/>
      <c r="MBW380" s="252"/>
      <c r="MBX380" s="252"/>
      <c r="MBY380" s="252"/>
      <c r="MBZ380" s="252"/>
      <c r="MCA380" s="252"/>
      <c r="MCB380" s="252"/>
      <c r="MCC380" s="252"/>
      <c r="MCD380" s="252"/>
      <c r="MCE380" s="252"/>
      <c r="MCF380" s="252"/>
      <c r="MCG380" s="252"/>
      <c r="MCH380" s="252"/>
      <c r="MCI380" s="252"/>
      <c r="MCJ380" s="252"/>
      <c r="MCK380" s="252"/>
      <c r="MCL380" s="252"/>
      <c r="MCM380" s="252"/>
      <c r="MCN380" s="252"/>
      <c r="MCO380" s="252"/>
      <c r="MCP380" s="252"/>
      <c r="MCQ380" s="252"/>
      <c r="MCR380" s="252"/>
      <c r="MCS380" s="252"/>
      <c r="MCT380" s="252"/>
      <c r="MCU380" s="252"/>
      <c r="MCV380" s="252"/>
      <c r="MCW380" s="252"/>
      <c r="MCX380" s="252"/>
      <c r="MCY380" s="252"/>
      <c r="MCZ380" s="252"/>
      <c r="MDA380" s="252"/>
      <c r="MDB380" s="252"/>
      <c r="MDC380" s="252"/>
      <c r="MDD380" s="252"/>
      <c r="MDE380" s="252"/>
      <c r="MDF380" s="252"/>
      <c r="MDG380" s="252"/>
      <c r="MDH380" s="252"/>
      <c r="MDI380" s="252"/>
      <c r="MDJ380" s="252"/>
      <c r="MDK380" s="252"/>
      <c r="MDL380" s="252"/>
      <c r="MDM380" s="252"/>
      <c r="MDN380" s="252"/>
      <c r="MDO380" s="252"/>
      <c r="MDP380" s="252"/>
      <c r="MDQ380" s="252"/>
      <c r="MDR380" s="252"/>
      <c r="MDS380" s="252"/>
      <c r="MDT380" s="252"/>
      <c r="MDU380" s="252"/>
      <c r="MDV380" s="252"/>
      <c r="MDW380" s="252"/>
      <c r="MDX380" s="252"/>
      <c r="MDY380" s="252"/>
      <c r="MDZ380" s="252"/>
      <c r="MEA380" s="252"/>
      <c r="MEB380" s="252"/>
      <c r="MEC380" s="252"/>
      <c r="MED380" s="252"/>
      <c r="MEE380" s="252"/>
      <c r="MEF380" s="252"/>
      <c r="MEG380" s="252"/>
      <c r="MEH380" s="252"/>
      <c r="MEI380" s="252"/>
      <c r="MEJ380" s="252"/>
      <c r="MEK380" s="252"/>
      <c r="MEL380" s="252"/>
      <c r="MEM380" s="252"/>
      <c r="MEN380" s="252"/>
      <c r="MEO380" s="252"/>
      <c r="MEP380" s="252"/>
      <c r="MEQ380" s="252"/>
      <c r="MER380" s="252"/>
      <c r="MES380" s="252"/>
      <c r="MET380" s="252"/>
      <c r="MEU380" s="252"/>
      <c r="MEV380" s="252"/>
      <c r="MEW380" s="252"/>
      <c r="MEX380" s="252"/>
      <c r="MEY380" s="252"/>
      <c r="MEZ380" s="252"/>
      <c r="MFA380" s="252"/>
      <c r="MFB380" s="252"/>
      <c r="MFC380" s="252"/>
      <c r="MFD380" s="252"/>
      <c r="MFE380" s="252"/>
      <c r="MFF380" s="252"/>
      <c r="MFG380" s="252"/>
      <c r="MFH380" s="252"/>
      <c r="MFI380" s="252"/>
      <c r="MFJ380" s="252"/>
      <c r="MFK380" s="252"/>
      <c r="MFL380" s="252"/>
      <c r="MFM380" s="252"/>
      <c r="MFN380" s="252"/>
      <c r="MFO380" s="252"/>
      <c r="MFP380" s="252"/>
      <c r="MFQ380" s="252"/>
      <c r="MFR380" s="252"/>
      <c r="MFS380" s="252"/>
      <c r="MFT380" s="252"/>
      <c r="MFU380" s="252"/>
      <c r="MFV380" s="252"/>
      <c r="MFW380" s="252"/>
      <c r="MFX380" s="252"/>
      <c r="MFY380" s="252"/>
      <c r="MFZ380" s="252"/>
      <c r="MGA380" s="252"/>
      <c r="MGB380" s="252"/>
      <c r="MGC380" s="252"/>
      <c r="MGD380" s="252"/>
      <c r="MGE380" s="252"/>
      <c r="MGF380" s="252"/>
      <c r="MGG380" s="252"/>
      <c r="MGH380" s="252"/>
      <c r="MGI380" s="252"/>
      <c r="MGJ380" s="252"/>
      <c r="MGK380" s="252"/>
      <c r="MGL380" s="252"/>
      <c r="MGM380" s="252"/>
      <c r="MGN380" s="252"/>
      <c r="MGO380" s="252"/>
      <c r="MGP380" s="252"/>
      <c r="MGQ380" s="252"/>
      <c r="MGR380" s="252"/>
      <c r="MGS380" s="252"/>
      <c r="MGT380" s="252"/>
      <c r="MGU380" s="252"/>
      <c r="MGV380" s="252"/>
      <c r="MGW380" s="252"/>
      <c r="MGX380" s="252"/>
      <c r="MGY380" s="252"/>
      <c r="MGZ380" s="252"/>
      <c r="MHA380" s="252"/>
      <c r="MHB380" s="252"/>
      <c r="MHC380" s="252"/>
      <c r="MHD380" s="252"/>
      <c r="MHE380" s="252"/>
      <c r="MHF380" s="252"/>
      <c r="MHG380" s="252"/>
      <c r="MHH380" s="252"/>
      <c r="MHI380" s="252"/>
      <c r="MHJ380" s="252"/>
      <c r="MHK380" s="252"/>
      <c r="MHL380" s="252"/>
      <c r="MHM380" s="252"/>
      <c r="MHN380" s="252"/>
      <c r="MHO380" s="252"/>
      <c r="MHP380" s="252"/>
      <c r="MHQ380" s="252"/>
      <c r="MHR380" s="252"/>
      <c r="MHS380" s="252"/>
      <c r="MHT380" s="252"/>
      <c r="MHU380" s="252"/>
      <c r="MHV380" s="252"/>
      <c r="MHW380" s="252"/>
      <c r="MHX380" s="252"/>
      <c r="MHY380" s="252"/>
      <c r="MHZ380" s="252"/>
      <c r="MIA380" s="252"/>
      <c r="MIB380" s="252"/>
      <c r="MIC380" s="252"/>
      <c r="MID380" s="252"/>
      <c r="MIE380" s="252"/>
      <c r="MIF380" s="252"/>
      <c r="MIG380" s="252"/>
      <c r="MIH380" s="252"/>
      <c r="MII380" s="252"/>
      <c r="MIJ380" s="252"/>
      <c r="MIK380" s="252"/>
      <c r="MIL380" s="252"/>
      <c r="MIM380" s="252"/>
      <c r="MIN380" s="252"/>
      <c r="MIO380" s="252"/>
      <c r="MIP380" s="252"/>
      <c r="MIQ380" s="252"/>
      <c r="MIR380" s="252"/>
      <c r="MIS380" s="252"/>
      <c r="MIT380" s="252"/>
      <c r="MIU380" s="252"/>
      <c r="MIV380" s="252"/>
      <c r="MIW380" s="252"/>
      <c r="MIX380" s="252"/>
      <c r="MIY380" s="252"/>
      <c r="MIZ380" s="252"/>
      <c r="MJA380" s="252"/>
      <c r="MJB380" s="252"/>
      <c r="MJC380" s="252"/>
      <c r="MJD380" s="252"/>
      <c r="MJE380" s="252"/>
      <c r="MJF380" s="252"/>
      <c r="MJG380" s="252"/>
      <c r="MJH380" s="252"/>
      <c r="MJI380" s="252"/>
      <c r="MJJ380" s="252"/>
      <c r="MJK380" s="252"/>
      <c r="MJL380" s="252"/>
      <c r="MJM380" s="252"/>
      <c r="MJN380" s="252"/>
      <c r="MJO380" s="252"/>
      <c r="MJP380" s="252"/>
      <c r="MJQ380" s="252"/>
      <c r="MJR380" s="252"/>
      <c r="MJS380" s="252"/>
      <c r="MJT380" s="252"/>
      <c r="MJU380" s="252"/>
      <c r="MJV380" s="252"/>
      <c r="MJW380" s="252"/>
      <c r="MJX380" s="252"/>
      <c r="MJY380" s="252"/>
      <c r="MJZ380" s="252"/>
      <c r="MKA380" s="252"/>
      <c r="MKB380" s="252"/>
      <c r="MKC380" s="252"/>
      <c r="MKD380" s="252"/>
      <c r="MKE380" s="252"/>
      <c r="MKF380" s="252"/>
      <c r="MKG380" s="252"/>
      <c r="MKH380" s="252"/>
      <c r="MKI380" s="252"/>
      <c r="MKJ380" s="252"/>
      <c r="MKK380" s="252"/>
      <c r="MKL380" s="252"/>
      <c r="MKM380" s="252"/>
      <c r="MKN380" s="252"/>
      <c r="MKO380" s="252"/>
      <c r="MKP380" s="252"/>
      <c r="MKQ380" s="252"/>
      <c r="MKR380" s="252"/>
      <c r="MKS380" s="252"/>
      <c r="MKT380" s="252"/>
      <c r="MKU380" s="252"/>
      <c r="MKV380" s="252"/>
      <c r="MKW380" s="252"/>
      <c r="MKX380" s="252"/>
      <c r="MKY380" s="252"/>
      <c r="MKZ380" s="252"/>
      <c r="MLA380" s="252"/>
      <c r="MLB380" s="252"/>
      <c r="MLC380" s="252"/>
      <c r="MLD380" s="252"/>
      <c r="MLE380" s="252"/>
      <c r="MLF380" s="252"/>
      <c r="MLG380" s="252"/>
      <c r="MLH380" s="252"/>
      <c r="MLI380" s="252"/>
      <c r="MLJ380" s="252"/>
      <c r="MLK380" s="252"/>
      <c r="MLL380" s="252"/>
      <c r="MLM380" s="252"/>
      <c r="MLN380" s="252"/>
      <c r="MLO380" s="252"/>
      <c r="MLP380" s="252"/>
      <c r="MLQ380" s="252"/>
      <c r="MLR380" s="252"/>
      <c r="MLS380" s="252"/>
      <c r="MLT380" s="252"/>
      <c r="MLU380" s="252"/>
      <c r="MLV380" s="252"/>
      <c r="MLW380" s="252"/>
      <c r="MLX380" s="252"/>
      <c r="MLY380" s="252"/>
      <c r="MLZ380" s="252"/>
      <c r="MMA380" s="252"/>
      <c r="MMB380" s="252"/>
      <c r="MMC380" s="252"/>
      <c r="MMD380" s="252"/>
      <c r="MME380" s="252"/>
      <c r="MMF380" s="252"/>
      <c r="MMG380" s="252"/>
      <c r="MMH380" s="252"/>
      <c r="MMI380" s="252"/>
      <c r="MMJ380" s="252"/>
      <c r="MMK380" s="252"/>
      <c r="MML380" s="252"/>
      <c r="MMM380" s="252"/>
      <c r="MMN380" s="252"/>
      <c r="MMO380" s="252"/>
      <c r="MMP380" s="252"/>
      <c r="MMQ380" s="252"/>
      <c r="MMR380" s="252"/>
      <c r="MMS380" s="252"/>
      <c r="MMT380" s="252"/>
      <c r="MMU380" s="252"/>
      <c r="MMV380" s="252"/>
      <c r="MMW380" s="252"/>
      <c r="MMX380" s="252"/>
      <c r="MMY380" s="252"/>
      <c r="MMZ380" s="252"/>
      <c r="MNA380" s="252"/>
      <c r="MNB380" s="252"/>
      <c r="MNC380" s="252"/>
      <c r="MND380" s="252"/>
      <c r="MNE380" s="252"/>
      <c r="MNF380" s="252"/>
      <c r="MNG380" s="252"/>
      <c r="MNH380" s="252"/>
      <c r="MNI380" s="252"/>
      <c r="MNJ380" s="252"/>
      <c r="MNK380" s="252"/>
      <c r="MNL380" s="252"/>
      <c r="MNM380" s="252"/>
      <c r="MNN380" s="252"/>
      <c r="MNO380" s="252"/>
      <c r="MNP380" s="252"/>
      <c r="MNQ380" s="252"/>
      <c r="MNR380" s="252"/>
      <c r="MNS380" s="252"/>
      <c r="MNT380" s="252"/>
      <c r="MNU380" s="252"/>
      <c r="MNV380" s="252"/>
      <c r="MNW380" s="252"/>
      <c r="MNX380" s="252"/>
      <c r="MNY380" s="252"/>
      <c r="MNZ380" s="252"/>
      <c r="MOA380" s="252"/>
      <c r="MOB380" s="252"/>
      <c r="MOC380" s="252"/>
      <c r="MOD380" s="252"/>
      <c r="MOE380" s="252"/>
      <c r="MOF380" s="252"/>
      <c r="MOG380" s="252"/>
      <c r="MOH380" s="252"/>
      <c r="MOI380" s="252"/>
      <c r="MOJ380" s="252"/>
      <c r="MOK380" s="252"/>
      <c r="MOL380" s="252"/>
      <c r="MOM380" s="252"/>
      <c r="MON380" s="252"/>
      <c r="MOO380" s="252"/>
      <c r="MOP380" s="252"/>
      <c r="MOQ380" s="252"/>
      <c r="MOR380" s="252"/>
      <c r="MOS380" s="252"/>
      <c r="MOT380" s="252"/>
      <c r="MOU380" s="252"/>
      <c r="MOV380" s="252"/>
      <c r="MOW380" s="252"/>
      <c r="MOX380" s="252"/>
      <c r="MOY380" s="252"/>
      <c r="MOZ380" s="252"/>
      <c r="MPA380" s="252"/>
      <c r="MPB380" s="252"/>
      <c r="MPC380" s="252"/>
      <c r="MPD380" s="252"/>
      <c r="MPE380" s="252"/>
      <c r="MPF380" s="252"/>
      <c r="MPG380" s="252"/>
      <c r="MPH380" s="252"/>
      <c r="MPI380" s="252"/>
      <c r="MPJ380" s="252"/>
      <c r="MPK380" s="252"/>
      <c r="MPL380" s="252"/>
      <c r="MPM380" s="252"/>
      <c r="MPN380" s="252"/>
      <c r="MPO380" s="252"/>
      <c r="MPP380" s="252"/>
      <c r="MPQ380" s="252"/>
      <c r="MPR380" s="252"/>
      <c r="MPS380" s="252"/>
      <c r="MPT380" s="252"/>
      <c r="MPU380" s="252"/>
      <c r="MPV380" s="252"/>
      <c r="MPW380" s="252"/>
      <c r="MPX380" s="252"/>
      <c r="MPY380" s="252"/>
      <c r="MPZ380" s="252"/>
      <c r="MQA380" s="252"/>
      <c r="MQB380" s="252"/>
      <c r="MQC380" s="252"/>
      <c r="MQD380" s="252"/>
      <c r="MQE380" s="252"/>
      <c r="MQF380" s="252"/>
      <c r="MQG380" s="252"/>
      <c r="MQH380" s="252"/>
      <c r="MQI380" s="252"/>
      <c r="MQJ380" s="252"/>
      <c r="MQK380" s="252"/>
      <c r="MQL380" s="252"/>
      <c r="MQM380" s="252"/>
      <c r="MQN380" s="252"/>
      <c r="MQO380" s="252"/>
      <c r="MQP380" s="252"/>
      <c r="MQQ380" s="252"/>
      <c r="MQR380" s="252"/>
      <c r="MQS380" s="252"/>
      <c r="MQT380" s="252"/>
      <c r="MQU380" s="252"/>
      <c r="MQV380" s="252"/>
      <c r="MQW380" s="252"/>
      <c r="MQX380" s="252"/>
      <c r="MQY380" s="252"/>
      <c r="MQZ380" s="252"/>
      <c r="MRA380" s="252"/>
      <c r="MRB380" s="252"/>
      <c r="MRC380" s="252"/>
      <c r="MRD380" s="252"/>
      <c r="MRE380" s="252"/>
      <c r="MRF380" s="252"/>
      <c r="MRG380" s="252"/>
      <c r="MRH380" s="252"/>
      <c r="MRI380" s="252"/>
      <c r="MRJ380" s="252"/>
      <c r="MRK380" s="252"/>
      <c r="MRL380" s="252"/>
      <c r="MRM380" s="252"/>
      <c r="MRN380" s="252"/>
      <c r="MRO380" s="252"/>
      <c r="MRP380" s="252"/>
      <c r="MRQ380" s="252"/>
      <c r="MRR380" s="252"/>
      <c r="MRS380" s="252"/>
      <c r="MRT380" s="252"/>
      <c r="MRU380" s="252"/>
      <c r="MRV380" s="252"/>
      <c r="MRW380" s="252"/>
      <c r="MRX380" s="252"/>
      <c r="MRY380" s="252"/>
      <c r="MRZ380" s="252"/>
      <c r="MSA380" s="252"/>
      <c r="MSB380" s="252"/>
      <c r="MSC380" s="252"/>
      <c r="MSD380" s="252"/>
      <c r="MSE380" s="252"/>
      <c r="MSF380" s="252"/>
      <c r="MSG380" s="252"/>
      <c r="MSH380" s="252"/>
      <c r="MSI380" s="252"/>
      <c r="MSJ380" s="252"/>
      <c r="MSK380" s="252"/>
      <c r="MSL380" s="252"/>
      <c r="MSM380" s="252"/>
      <c r="MSN380" s="252"/>
      <c r="MSO380" s="252"/>
      <c r="MSP380" s="252"/>
      <c r="MSQ380" s="252"/>
      <c r="MSR380" s="252"/>
      <c r="MSS380" s="252"/>
      <c r="MST380" s="252"/>
      <c r="MSU380" s="252"/>
      <c r="MSV380" s="252"/>
      <c r="MSW380" s="252"/>
      <c r="MSX380" s="252"/>
      <c r="MSY380" s="252"/>
      <c r="MSZ380" s="252"/>
      <c r="MTA380" s="252"/>
      <c r="MTB380" s="252"/>
      <c r="MTC380" s="252"/>
      <c r="MTD380" s="252"/>
      <c r="MTE380" s="252"/>
      <c r="MTF380" s="252"/>
      <c r="MTG380" s="252"/>
      <c r="MTH380" s="252"/>
      <c r="MTI380" s="252"/>
      <c r="MTJ380" s="252"/>
      <c r="MTK380" s="252"/>
      <c r="MTL380" s="252"/>
      <c r="MTM380" s="252"/>
      <c r="MTN380" s="252"/>
      <c r="MTO380" s="252"/>
      <c r="MTP380" s="252"/>
      <c r="MTQ380" s="252"/>
      <c r="MTR380" s="252"/>
      <c r="MTS380" s="252"/>
      <c r="MTT380" s="252"/>
      <c r="MTU380" s="252"/>
      <c r="MTV380" s="252"/>
      <c r="MTW380" s="252"/>
      <c r="MTX380" s="252"/>
      <c r="MTY380" s="252"/>
      <c r="MTZ380" s="252"/>
      <c r="MUA380" s="252"/>
      <c r="MUB380" s="252"/>
      <c r="MUC380" s="252"/>
      <c r="MUD380" s="252"/>
      <c r="MUE380" s="252"/>
      <c r="MUF380" s="252"/>
      <c r="MUG380" s="252"/>
      <c r="MUH380" s="252"/>
      <c r="MUI380" s="252"/>
      <c r="MUJ380" s="252"/>
      <c r="MUK380" s="252"/>
      <c r="MUL380" s="252"/>
      <c r="MUM380" s="252"/>
      <c r="MUN380" s="252"/>
      <c r="MUO380" s="252"/>
      <c r="MUP380" s="252"/>
      <c r="MUQ380" s="252"/>
      <c r="MUR380" s="252"/>
      <c r="MUS380" s="252"/>
      <c r="MUT380" s="252"/>
      <c r="MUU380" s="252"/>
      <c r="MUV380" s="252"/>
      <c r="MUW380" s="252"/>
      <c r="MUX380" s="252"/>
      <c r="MUY380" s="252"/>
      <c r="MUZ380" s="252"/>
      <c r="MVA380" s="252"/>
      <c r="MVB380" s="252"/>
      <c r="MVC380" s="252"/>
      <c r="MVD380" s="252"/>
      <c r="MVE380" s="252"/>
      <c r="MVF380" s="252"/>
      <c r="MVG380" s="252"/>
      <c r="MVH380" s="252"/>
      <c r="MVI380" s="252"/>
      <c r="MVJ380" s="252"/>
      <c r="MVK380" s="252"/>
      <c r="MVL380" s="252"/>
      <c r="MVM380" s="252"/>
      <c r="MVN380" s="252"/>
      <c r="MVO380" s="252"/>
      <c r="MVP380" s="252"/>
      <c r="MVQ380" s="252"/>
      <c r="MVR380" s="252"/>
      <c r="MVS380" s="252"/>
      <c r="MVT380" s="252"/>
      <c r="MVU380" s="252"/>
      <c r="MVV380" s="252"/>
      <c r="MVW380" s="252"/>
      <c r="MVX380" s="252"/>
      <c r="MVY380" s="252"/>
      <c r="MVZ380" s="252"/>
      <c r="MWA380" s="252"/>
      <c r="MWB380" s="252"/>
      <c r="MWC380" s="252"/>
      <c r="MWD380" s="252"/>
      <c r="MWE380" s="252"/>
      <c r="MWF380" s="252"/>
      <c r="MWG380" s="252"/>
      <c r="MWH380" s="252"/>
      <c r="MWI380" s="252"/>
      <c r="MWJ380" s="252"/>
      <c r="MWK380" s="252"/>
      <c r="MWL380" s="252"/>
      <c r="MWM380" s="252"/>
      <c r="MWN380" s="252"/>
      <c r="MWO380" s="252"/>
      <c r="MWP380" s="252"/>
      <c r="MWQ380" s="252"/>
      <c r="MWR380" s="252"/>
      <c r="MWS380" s="252"/>
      <c r="MWT380" s="252"/>
      <c r="MWU380" s="252"/>
      <c r="MWV380" s="252"/>
      <c r="MWW380" s="252"/>
      <c r="MWX380" s="252"/>
      <c r="MWY380" s="252"/>
      <c r="MWZ380" s="252"/>
      <c r="MXA380" s="252"/>
      <c r="MXB380" s="252"/>
      <c r="MXC380" s="252"/>
      <c r="MXD380" s="252"/>
      <c r="MXE380" s="252"/>
      <c r="MXF380" s="252"/>
      <c r="MXG380" s="252"/>
      <c r="MXH380" s="252"/>
      <c r="MXI380" s="252"/>
      <c r="MXJ380" s="252"/>
      <c r="MXK380" s="252"/>
      <c r="MXL380" s="252"/>
      <c r="MXM380" s="252"/>
      <c r="MXN380" s="252"/>
      <c r="MXO380" s="252"/>
      <c r="MXP380" s="252"/>
      <c r="MXQ380" s="252"/>
      <c r="MXR380" s="252"/>
      <c r="MXS380" s="252"/>
      <c r="MXT380" s="252"/>
      <c r="MXU380" s="252"/>
      <c r="MXV380" s="252"/>
      <c r="MXW380" s="252"/>
      <c r="MXX380" s="252"/>
      <c r="MXY380" s="252"/>
      <c r="MXZ380" s="252"/>
      <c r="MYA380" s="252"/>
      <c r="MYB380" s="252"/>
      <c r="MYC380" s="252"/>
      <c r="MYD380" s="252"/>
      <c r="MYE380" s="252"/>
      <c r="MYF380" s="252"/>
      <c r="MYG380" s="252"/>
      <c r="MYH380" s="252"/>
      <c r="MYI380" s="252"/>
      <c r="MYJ380" s="252"/>
      <c r="MYK380" s="252"/>
      <c r="MYL380" s="252"/>
      <c r="MYM380" s="252"/>
      <c r="MYN380" s="252"/>
      <c r="MYO380" s="252"/>
      <c r="MYP380" s="252"/>
      <c r="MYQ380" s="252"/>
      <c r="MYR380" s="252"/>
      <c r="MYS380" s="252"/>
      <c r="MYT380" s="252"/>
      <c r="MYU380" s="252"/>
      <c r="MYV380" s="252"/>
      <c r="MYW380" s="252"/>
      <c r="MYX380" s="252"/>
      <c r="MYY380" s="252"/>
      <c r="MYZ380" s="252"/>
      <c r="MZA380" s="252"/>
      <c r="MZB380" s="252"/>
      <c r="MZC380" s="252"/>
      <c r="MZD380" s="252"/>
      <c r="MZE380" s="252"/>
      <c r="MZF380" s="252"/>
      <c r="MZG380" s="252"/>
      <c r="MZH380" s="252"/>
      <c r="MZI380" s="252"/>
      <c r="MZJ380" s="252"/>
      <c r="MZK380" s="252"/>
      <c r="MZL380" s="252"/>
      <c r="MZM380" s="252"/>
      <c r="MZN380" s="252"/>
      <c r="MZO380" s="252"/>
      <c r="MZP380" s="252"/>
      <c r="MZQ380" s="252"/>
      <c r="MZR380" s="252"/>
      <c r="MZS380" s="252"/>
      <c r="MZT380" s="252"/>
      <c r="MZU380" s="252"/>
      <c r="MZV380" s="252"/>
      <c r="MZW380" s="252"/>
      <c r="MZX380" s="252"/>
      <c r="MZY380" s="252"/>
      <c r="MZZ380" s="252"/>
      <c r="NAA380" s="252"/>
      <c r="NAB380" s="252"/>
      <c r="NAC380" s="252"/>
      <c r="NAD380" s="252"/>
      <c r="NAE380" s="252"/>
      <c r="NAF380" s="252"/>
      <c r="NAG380" s="252"/>
      <c r="NAH380" s="252"/>
      <c r="NAI380" s="252"/>
      <c r="NAJ380" s="252"/>
      <c r="NAK380" s="252"/>
      <c r="NAL380" s="252"/>
      <c r="NAM380" s="252"/>
      <c r="NAN380" s="252"/>
      <c r="NAO380" s="252"/>
      <c r="NAP380" s="252"/>
      <c r="NAQ380" s="252"/>
      <c r="NAR380" s="252"/>
      <c r="NAS380" s="252"/>
      <c r="NAT380" s="252"/>
      <c r="NAU380" s="252"/>
      <c r="NAV380" s="252"/>
      <c r="NAW380" s="252"/>
      <c r="NAX380" s="252"/>
      <c r="NAY380" s="252"/>
      <c r="NAZ380" s="252"/>
      <c r="NBA380" s="252"/>
      <c r="NBB380" s="252"/>
      <c r="NBC380" s="252"/>
      <c r="NBD380" s="252"/>
      <c r="NBE380" s="252"/>
      <c r="NBF380" s="252"/>
      <c r="NBG380" s="252"/>
      <c r="NBH380" s="252"/>
      <c r="NBI380" s="252"/>
      <c r="NBJ380" s="252"/>
      <c r="NBK380" s="252"/>
      <c r="NBL380" s="252"/>
      <c r="NBM380" s="252"/>
      <c r="NBN380" s="252"/>
      <c r="NBO380" s="252"/>
      <c r="NBP380" s="252"/>
      <c r="NBQ380" s="252"/>
      <c r="NBR380" s="252"/>
      <c r="NBS380" s="252"/>
      <c r="NBT380" s="252"/>
      <c r="NBU380" s="252"/>
      <c r="NBV380" s="252"/>
      <c r="NBW380" s="252"/>
      <c r="NBX380" s="252"/>
      <c r="NBY380" s="252"/>
      <c r="NBZ380" s="252"/>
      <c r="NCA380" s="252"/>
      <c r="NCB380" s="252"/>
      <c r="NCC380" s="252"/>
      <c r="NCD380" s="252"/>
      <c r="NCE380" s="252"/>
      <c r="NCF380" s="252"/>
      <c r="NCG380" s="252"/>
      <c r="NCH380" s="252"/>
      <c r="NCI380" s="252"/>
      <c r="NCJ380" s="252"/>
      <c r="NCK380" s="252"/>
      <c r="NCL380" s="252"/>
      <c r="NCM380" s="252"/>
      <c r="NCN380" s="252"/>
      <c r="NCO380" s="252"/>
      <c r="NCP380" s="252"/>
      <c r="NCQ380" s="252"/>
      <c r="NCR380" s="252"/>
      <c r="NCS380" s="252"/>
      <c r="NCT380" s="252"/>
      <c r="NCU380" s="252"/>
      <c r="NCV380" s="252"/>
      <c r="NCW380" s="252"/>
      <c r="NCX380" s="252"/>
      <c r="NCY380" s="252"/>
      <c r="NCZ380" s="252"/>
      <c r="NDA380" s="252"/>
      <c r="NDB380" s="252"/>
      <c r="NDC380" s="252"/>
      <c r="NDD380" s="252"/>
      <c r="NDE380" s="252"/>
      <c r="NDF380" s="252"/>
      <c r="NDG380" s="252"/>
      <c r="NDH380" s="252"/>
      <c r="NDI380" s="252"/>
      <c r="NDJ380" s="252"/>
      <c r="NDK380" s="252"/>
      <c r="NDL380" s="252"/>
      <c r="NDM380" s="252"/>
      <c r="NDN380" s="252"/>
      <c r="NDO380" s="252"/>
      <c r="NDP380" s="252"/>
      <c r="NDQ380" s="252"/>
      <c r="NDR380" s="252"/>
      <c r="NDS380" s="252"/>
      <c r="NDT380" s="252"/>
      <c r="NDU380" s="252"/>
      <c r="NDV380" s="252"/>
      <c r="NDW380" s="252"/>
      <c r="NDX380" s="252"/>
      <c r="NDY380" s="252"/>
      <c r="NDZ380" s="252"/>
      <c r="NEA380" s="252"/>
      <c r="NEB380" s="252"/>
      <c r="NEC380" s="252"/>
      <c r="NED380" s="252"/>
      <c r="NEE380" s="252"/>
      <c r="NEF380" s="252"/>
      <c r="NEG380" s="252"/>
      <c r="NEH380" s="252"/>
      <c r="NEI380" s="252"/>
      <c r="NEJ380" s="252"/>
      <c r="NEK380" s="252"/>
      <c r="NEL380" s="252"/>
      <c r="NEM380" s="252"/>
      <c r="NEN380" s="252"/>
      <c r="NEO380" s="252"/>
      <c r="NEP380" s="252"/>
      <c r="NEQ380" s="252"/>
      <c r="NER380" s="252"/>
      <c r="NES380" s="252"/>
      <c r="NET380" s="252"/>
      <c r="NEU380" s="252"/>
      <c r="NEV380" s="252"/>
      <c r="NEW380" s="252"/>
      <c r="NEX380" s="252"/>
      <c r="NEY380" s="252"/>
      <c r="NEZ380" s="252"/>
      <c r="NFA380" s="252"/>
      <c r="NFB380" s="252"/>
      <c r="NFC380" s="252"/>
      <c r="NFD380" s="252"/>
      <c r="NFE380" s="252"/>
      <c r="NFF380" s="252"/>
      <c r="NFG380" s="252"/>
      <c r="NFH380" s="252"/>
      <c r="NFI380" s="252"/>
      <c r="NFJ380" s="252"/>
      <c r="NFK380" s="252"/>
      <c r="NFL380" s="252"/>
      <c r="NFM380" s="252"/>
      <c r="NFN380" s="252"/>
      <c r="NFO380" s="252"/>
      <c r="NFP380" s="252"/>
      <c r="NFQ380" s="252"/>
      <c r="NFR380" s="252"/>
      <c r="NFS380" s="252"/>
      <c r="NFT380" s="252"/>
      <c r="NFU380" s="252"/>
      <c r="NFV380" s="252"/>
      <c r="NFW380" s="252"/>
      <c r="NFX380" s="252"/>
      <c r="NFY380" s="252"/>
      <c r="NFZ380" s="252"/>
      <c r="NGA380" s="252"/>
      <c r="NGB380" s="252"/>
      <c r="NGC380" s="252"/>
      <c r="NGD380" s="252"/>
      <c r="NGE380" s="252"/>
      <c r="NGF380" s="252"/>
      <c r="NGG380" s="252"/>
      <c r="NGH380" s="252"/>
      <c r="NGI380" s="252"/>
      <c r="NGJ380" s="252"/>
      <c r="NGK380" s="252"/>
      <c r="NGL380" s="252"/>
      <c r="NGM380" s="252"/>
      <c r="NGN380" s="252"/>
      <c r="NGO380" s="252"/>
      <c r="NGP380" s="252"/>
      <c r="NGQ380" s="252"/>
      <c r="NGR380" s="252"/>
      <c r="NGS380" s="252"/>
      <c r="NGT380" s="252"/>
      <c r="NGU380" s="252"/>
      <c r="NGV380" s="252"/>
      <c r="NGW380" s="252"/>
      <c r="NGX380" s="252"/>
      <c r="NGY380" s="252"/>
      <c r="NGZ380" s="252"/>
      <c r="NHA380" s="252"/>
      <c r="NHB380" s="252"/>
      <c r="NHC380" s="252"/>
      <c r="NHD380" s="252"/>
      <c r="NHE380" s="252"/>
      <c r="NHF380" s="252"/>
      <c r="NHG380" s="252"/>
      <c r="NHH380" s="252"/>
      <c r="NHI380" s="252"/>
      <c r="NHJ380" s="252"/>
      <c r="NHK380" s="252"/>
      <c r="NHL380" s="252"/>
      <c r="NHM380" s="252"/>
      <c r="NHN380" s="252"/>
      <c r="NHO380" s="252"/>
      <c r="NHP380" s="252"/>
      <c r="NHQ380" s="252"/>
      <c r="NHR380" s="252"/>
      <c r="NHS380" s="252"/>
      <c r="NHT380" s="252"/>
      <c r="NHU380" s="252"/>
      <c r="NHV380" s="252"/>
      <c r="NHW380" s="252"/>
      <c r="NHX380" s="252"/>
      <c r="NHY380" s="252"/>
      <c r="NHZ380" s="252"/>
      <c r="NIA380" s="252"/>
      <c r="NIB380" s="252"/>
      <c r="NIC380" s="252"/>
      <c r="NID380" s="252"/>
      <c r="NIE380" s="252"/>
      <c r="NIF380" s="252"/>
      <c r="NIG380" s="252"/>
      <c r="NIH380" s="252"/>
      <c r="NII380" s="252"/>
      <c r="NIJ380" s="252"/>
      <c r="NIK380" s="252"/>
      <c r="NIL380" s="252"/>
      <c r="NIM380" s="252"/>
      <c r="NIN380" s="252"/>
      <c r="NIO380" s="252"/>
      <c r="NIP380" s="252"/>
      <c r="NIQ380" s="252"/>
      <c r="NIR380" s="252"/>
      <c r="NIS380" s="252"/>
      <c r="NIT380" s="252"/>
      <c r="NIU380" s="252"/>
      <c r="NIV380" s="252"/>
      <c r="NIW380" s="252"/>
      <c r="NIX380" s="252"/>
      <c r="NIY380" s="252"/>
      <c r="NIZ380" s="252"/>
      <c r="NJA380" s="252"/>
      <c r="NJB380" s="252"/>
      <c r="NJC380" s="252"/>
      <c r="NJD380" s="252"/>
      <c r="NJE380" s="252"/>
      <c r="NJF380" s="252"/>
      <c r="NJG380" s="252"/>
      <c r="NJH380" s="252"/>
      <c r="NJI380" s="252"/>
      <c r="NJJ380" s="252"/>
      <c r="NJK380" s="252"/>
      <c r="NJL380" s="252"/>
      <c r="NJM380" s="252"/>
      <c r="NJN380" s="252"/>
      <c r="NJO380" s="252"/>
      <c r="NJP380" s="252"/>
      <c r="NJQ380" s="252"/>
      <c r="NJR380" s="252"/>
      <c r="NJS380" s="252"/>
      <c r="NJT380" s="252"/>
      <c r="NJU380" s="252"/>
      <c r="NJV380" s="252"/>
      <c r="NJW380" s="252"/>
      <c r="NJX380" s="252"/>
      <c r="NJY380" s="252"/>
      <c r="NJZ380" s="252"/>
      <c r="NKA380" s="252"/>
      <c r="NKB380" s="252"/>
      <c r="NKC380" s="252"/>
      <c r="NKD380" s="252"/>
      <c r="NKE380" s="252"/>
      <c r="NKF380" s="252"/>
      <c r="NKG380" s="252"/>
      <c r="NKH380" s="252"/>
      <c r="NKI380" s="252"/>
      <c r="NKJ380" s="252"/>
      <c r="NKK380" s="252"/>
      <c r="NKL380" s="252"/>
      <c r="NKM380" s="252"/>
      <c r="NKN380" s="252"/>
      <c r="NKO380" s="252"/>
      <c r="NKP380" s="252"/>
      <c r="NKQ380" s="252"/>
      <c r="NKR380" s="252"/>
      <c r="NKS380" s="252"/>
      <c r="NKT380" s="252"/>
      <c r="NKU380" s="252"/>
      <c r="NKV380" s="252"/>
      <c r="NKW380" s="252"/>
      <c r="NKX380" s="252"/>
      <c r="NKY380" s="252"/>
      <c r="NKZ380" s="252"/>
      <c r="NLA380" s="252"/>
      <c r="NLB380" s="252"/>
      <c r="NLC380" s="252"/>
      <c r="NLD380" s="252"/>
      <c r="NLE380" s="252"/>
      <c r="NLF380" s="252"/>
      <c r="NLG380" s="252"/>
      <c r="NLH380" s="252"/>
      <c r="NLI380" s="252"/>
      <c r="NLJ380" s="252"/>
      <c r="NLK380" s="252"/>
      <c r="NLL380" s="252"/>
      <c r="NLM380" s="252"/>
      <c r="NLN380" s="252"/>
      <c r="NLO380" s="252"/>
      <c r="NLP380" s="252"/>
      <c r="NLQ380" s="252"/>
      <c r="NLR380" s="252"/>
      <c r="NLS380" s="252"/>
      <c r="NLT380" s="252"/>
      <c r="NLU380" s="252"/>
      <c r="NLV380" s="252"/>
      <c r="NLW380" s="252"/>
      <c r="NLX380" s="252"/>
      <c r="NLY380" s="252"/>
      <c r="NLZ380" s="252"/>
      <c r="NMA380" s="252"/>
      <c r="NMB380" s="252"/>
      <c r="NMC380" s="252"/>
      <c r="NMD380" s="252"/>
      <c r="NME380" s="252"/>
      <c r="NMF380" s="252"/>
      <c r="NMG380" s="252"/>
      <c r="NMH380" s="252"/>
      <c r="NMI380" s="252"/>
      <c r="NMJ380" s="252"/>
      <c r="NMK380" s="252"/>
      <c r="NML380" s="252"/>
      <c r="NMM380" s="252"/>
      <c r="NMN380" s="252"/>
      <c r="NMO380" s="252"/>
      <c r="NMP380" s="252"/>
      <c r="NMQ380" s="252"/>
      <c r="NMR380" s="252"/>
      <c r="NMS380" s="252"/>
      <c r="NMT380" s="252"/>
      <c r="NMU380" s="252"/>
      <c r="NMV380" s="252"/>
      <c r="NMW380" s="252"/>
      <c r="NMX380" s="252"/>
      <c r="NMY380" s="252"/>
      <c r="NMZ380" s="252"/>
      <c r="NNA380" s="252"/>
      <c r="NNB380" s="252"/>
      <c r="NNC380" s="252"/>
      <c r="NND380" s="252"/>
      <c r="NNE380" s="252"/>
      <c r="NNF380" s="252"/>
      <c r="NNG380" s="252"/>
      <c r="NNH380" s="252"/>
      <c r="NNI380" s="252"/>
      <c r="NNJ380" s="252"/>
      <c r="NNK380" s="252"/>
      <c r="NNL380" s="252"/>
      <c r="NNM380" s="252"/>
      <c r="NNN380" s="252"/>
      <c r="NNO380" s="252"/>
      <c r="NNP380" s="252"/>
      <c r="NNQ380" s="252"/>
      <c r="NNR380" s="252"/>
      <c r="NNS380" s="252"/>
      <c r="NNT380" s="252"/>
      <c r="NNU380" s="252"/>
      <c r="NNV380" s="252"/>
      <c r="NNW380" s="252"/>
      <c r="NNX380" s="252"/>
      <c r="NNY380" s="252"/>
      <c r="NNZ380" s="252"/>
      <c r="NOA380" s="252"/>
      <c r="NOB380" s="252"/>
      <c r="NOC380" s="252"/>
      <c r="NOD380" s="252"/>
      <c r="NOE380" s="252"/>
      <c r="NOF380" s="252"/>
      <c r="NOG380" s="252"/>
      <c r="NOH380" s="252"/>
      <c r="NOI380" s="252"/>
      <c r="NOJ380" s="252"/>
      <c r="NOK380" s="252"/>
      <c r="NOL380" s="252"/>
      <c r="NOM380" s="252"/>
      <c r="NON380" s="252"/>
      <c r="NOO380" s="252"/>
      <c r="NOP380" s="252"/>
      <c r="NOQ380" s="252"/>
      <c r="NOR380" s="252"/>
      <c r="NOS380" s="252"/>
      <c r="NOT380" s="252"/>
      <c r="NOU380" s="252"/>
      <c r="NOV380" s="252"/>
      <c r="NOW380" s="252"/>
      <c r="NOX380" s="252"/>
      <c r="NOY380" s="252"/>
      <c r="NOZ380" s="252"/>
      <c r="NPA380" s="252"/>
      <c r="NPB380" s="252"/>
      <c r="NPC380" s="252"/>
      <c r="NPD380" s="252"/>
      <c r="NPE380" s="252"/>
      <c r="NPF380" s="252"/>
      <c r="NPG380" s="252"/>
      <c r="NPH380" s="252"/>
      <c r="NPI380" s="252"/>
      <c r="NPJ380" s="252"/>
      <c r="NPK380" s="252"/>
      <c r="NPL380" s="252"/>
      <c r="NPM380" s="252"/>
      <c r="NPN380" s="252"/>
      <c r="NPO380" s="252"/>
      <c r="NPP380" s="252"/>
      <c r="NPQ380" s="252"/>
      <c r="NPR380" s="252"/>
      <c r="NPS380" s="252"/>
      <c r="NPT380" s="252"/>
      <c r="NPU380" s="252"/>
      <c r="NPV380" s="252"/>
      <c r="NPW380" s="252"/>
      <c r="NPX380" s="252"/>
      <c r="NPY380" s="252"/>
      <c r="NPZ380" s="252"/>
      <c r="NQA380" s="252"/>
      <c r="NQB380" s="252"/>
      <c r="NQC380" s="252"/>
      <c r="NQD380" s="252"/>
      <c r="NQE380" s="252"/>
      <c r="NQF380" s="252"/>
      <c r="NQG380" s="252"/>
      <c r="NQH380" s="252"/>
      <c r="NQI380" s="252"/>
      <c r="NQJ380" s="252"/>
      <c r="NQK380" s="252"/>
      <c r="NQL380" s="252"/>
      <c r="NQM380" s="252"/>
      <c r="NQN380" s="252"/>
      <c r="NQO380" s="252"/>
      <c r="NQP380" s="252"/>
      <c r="NQQ380" s="252"/>
      <c r="NQR380" s="252"/>
      <c r="NQS380" s="252"/>
      <c r="NQT380" s="252"/>
      <c r="NQU380" s="252"/>
      <c r="NQV380" s="252"/>
      <c r="NQW380" s="252"/>
      <c r="NQX380" s="252"/>
      <c r="NQY380" s="252"/>
      <c r="NQZ380" s="252"/>
      <c r="NRA380" s="252"/>
      <c r="NRB380" s="252"/>
      <c r="NRC380" s="252"/>
      <c r="NRD380" s="252"/>
      <c r="NRE380" s="252"/>
      <c r="NRF380" s="252"/>
      <c r="NRG380" s="252"/>
      <c r="NRH380" s="252"/>
      <c r="NRI380" s="252"/>
      <c r="NRJ380" s="252"/>
      <c r="NRK380" s="252"/>
      <c r="NRL380" s="252"/>
      <c r="NRM380" s="252"/>
      <c r="NRN380" s="252"/>
      <c r="NRO380" s="252"/>
      <c r="NRP380" s="252"/>
      <c r="NRQ380" s="252"/>
      <c r="NRR380" s="252"/>
      <c r="NRS380" s="252"/>
      <c r="NRT380" s="252"/>
      <c r="NRU380" s="252"/>
      <c r="NRV380" s="252"/>
      <c r="NRW380" s="252"/>
      <c r="NRX380" s="252"/>
      <c r="NRY380" s="252"/>
      <c r="NRZ380" s="252"/>
      <c r="NSA380" s="252"/>
      <c r="NSB380" s="252"/>
      <c r="NSC380" s="252"/>
      <c r="NSD380" s="252"/>
      <c r="NSE380" s="252"/>
      <c r="NSF380" s="252"/>
      <c r="NSG380" s="252"/>
      <c r="NSH380" s="252"/>
      <c r="NSI380" s="252"/>
      <c r="NSJ380" s="252"/>
      <c r="NSK380" s="252"/>
      <c r="NSL380" s="252"/>
      <c r="NSM380" s="252"/>
      <c r="NSN380" s="252"/>
      <c r="NSO380" s="252"/>
      <c r="NSP380" s="252"/>
      <c r="NSQ380" s="252"/>
      <c r="NSR380" s="252"/>
      <c r="NSS380" s="252"/>
      <c r="NST380" s="252"/>
      <c r="NSU380" s="252"/>
      <c r="NSV380" s="252"/>
      <c r="NSW380" s="252"/>
      <c r="NSX380" s="252"/>
      <c r="NSY380" s="252"/>
      <c r="NSZ380" s="252"/>
      <c r="NTA380" s="252"/>
      <c r="NTB380" s="252"/>
      <c r="NTC380" s="252"/>
      <c r="NTD380" s="252"/>
      <c r="NTE380" s="252"/>
      <c r="NTF380" s="252"/>
      <c r="NTG380" s="252"/>
      <c r="NTH380" s="252"/>
      <c r="NTI380" s="252"/>
      <c r="NTJ380" s="252"/>
      <c r="NTK380" s="252"/>
      <c r="NTL380" s="252"/>
      <c r="NTM380" s="252"/>
      <c r="NTN380" s="252"/>
      <c r="NTO380" s="252"/>
      <c r="NTP380" s="252"/>
      <c r="NTQ380" s="252"/>
      <c r="NTR380" s="252"/>
      <c r="NTS380" s="252"/>
      <c r="NTT380" s="252"/>
      <c r="NTU380" s="252"/>
      <c r="NTV380" s="252"/>
      <c r="NTW380" s="252"/>
      <c r="NTX380" s="252"/>
      <c r="NTY380" s="252"/>
      <c r="NTZ380" s="252"/>
      <c r="NUA380" s="252"/>
      <c r="NUB380" s="252"/>
      <c r="NUC380" s="252"/>
      <c r="NUD380" s="252"/>
      <c r="NUE380" s="252"/>
      <c r="NUF380" s="252"/>
      <c r="NUG380" s="252"/>
      <c r="NUH380" s="252"/>
      <c r="NUI380" s="252"/>
      <c r="NUJ380" s="252"/>
      <c r="NUK380" s="252"/>
      <c r="NUL380" s="252"/>
      <c r="NUM380" s="252"/>
      <c r="NUN380" s="252"/>
      <c r="NUO380" s="252"/>
      <c r="NUP380" s="252"/>
      <c r="NUQ380" s="252"/>
      <c r="NUR380" s="252"/>
      <c r="NUS380" s="252"/>
      <c r="NUT380" s="252"/>
      <c r="NUU380" s="252"/>
      <c r="NUV380" s="252"/>
      <c r="NUW380" s="252"/>
      <c r="NUX380" s="252"/>
      <c r="NUY380" s="252"/>
      <c r="NUZ380" s="252"/>
      <c r="NVA380" s="252"/>
      <c r="NVB380" s="252"/>
      <c r="NVC380" s="252"/>
      <c r="NVD380" s="252"/>
      <c r="NVE380" s="252"/>
      <c r="NVF380" s="252"/>
      <c r="NVG380" s="252"/>
      <c r="NVH380" s="252"/>
      <c r="NVI380" s="252"/>
      <c r="NVJ380" s="252"/>
      <c r="NVK380" s="252"/>
      <c r="NVL380" s="252"/>
      <c r="NVM380" s="252"/>
      <c r="NVN380" s="252"/>
      <c r="NVO380" s="252"/>
      <c r="NVP380" s="252"/>
      <c r="NVQ380" s="252"/>
      <c r="NVR380" s="252"/>
      <c r="NVS380" s="252"/>
      <c r="NVT380" s="252"/>
      <c r="NVU380" s="252"/>
      <c r="NVV380" s="252"/>
      <c r="NVW380" s="252"/>
      <c r="NVX380" s="252"/>
      <c r="NVY380" s="252"/>
      <c r="NVZ380" s="252"/>
      <c r="NWA380" s="252"/>
      <c r="NWB380" s="252"/>
      <c r="NWC380" s="252"/>
      <c r="NWD380" s="252"/>
      <c r="NWE380" s="252"/>
      <c r="NWF380" s="252"/>
      <c r="NWG380" s="252"/>
      <c r="NWH380" s="252"/>
      <c r="NWI380" s="252"/>
      <c r="NWJ380" s="252"/>
      <c r="NWK380" s="252"/>
      <c r="NWL380" s="252"/>
      <c r="NWM380" s="252"/>
      <c r="NWN380" s="252"/>
      <c r="NWO380" s="252"/>
      <c r="NWP380" s="252"/>
      <c r="NWQ380" s="252"/>
      <c r="NWR380" s="252"/>
      <c r="NWS380" s="252"/>
      <c r="NWT380" s="252"/>
      <c r="NWU380" s="252"/>
      <c r="NWV380" s="252"/>
      <c r="NWW380" s="252"/>
      <c r="NWX380" s="252"/>
      <c r="NWY380" s="252"/>
      <c r="NWZ380" s="252"/>
      <c r="NXA380" s="252"/>
      <c r="NXB380" s="252"/>
      <c r="NXC380" s="252"/>
      <c r="NXD380" s="252"/>
      <c r="NXE380" s="252"/>
      <c r="NXF380" s="252"/>
      <c r="NXG380" s="252"/>
      <c r="NXH380" s="252"/>
      <c r="NXI380" s="252"/>
      <c r="NXJ380" s="252"/>
      <c r="NXK380" s="252"/>
      <c r="NXL380" s="252"/>
      <c r="NXM380" s="252"/>
      <c r="NXN380" s="252"/>
      <c r="NXO380" s="252"/>
      <c r="NXP380" s="252"/>
      <c r="NXQ380" s="252"/>
      <c r="NXR380" s="252"/>
      <c r="NXS380" s="252"/>
      <c r="NXT380" s="252"/>
      <c r="NXU380" s="252"/>
      <c r="NXV380" s="252"/>
      <c r="NXW380" s="252"/>
      <c r="NXX380" s="252"/>
      <c r="NXY380" s="252"/>
      <c r="NXZ380" s="252"/>
      <c r="NYA380" s="252"/>
      <c r="NYB380" s="252"/>
      <c r="NYC380" s="252"/>
      <c r="NYD380" s="252"/>
      <c r="NYE380" s="252"/>
      <c r="NYF380" s="252"/>
      <c r="NYG380" s="252"/>
      <c r="NYH380" s="252"/>
      <c r="NYI380" s="252"/>
      <c r="NYJ380" s="252"/>
      <c r="NYK380" s="252"/>
      <c r="NYL380" s="252"/>
      <c r="NYM380" s="252"/>
      <c r="NYN380" s="252"/>
      <c r="NYO380" s="252"/>
      <c r="NYP380" s="252"/>
      <c r="NYQ380" s="252"/>
      <c r="NYR380" s="252"/>
      <c r="NYS380" s="252"/>
      <c r="NYT380" s="252"/>
      <c r="NYU380" s="252"/>
      <c r="NYV380" s="252"/>
      <c r="NYW380" s="252"/>
      <c r="NYX380" s="252"/>
      <c r="NYY380" s="252"/>
      <c r="NYZ380" s="252"/>
      <c r="NZA380" s="252"/>
      <c r="NZB380" s="252"/>
      <c r="NZC380" s="252"/>
      <c r="NZD380" s="252"/>
      <c r="NZE380" s="252"/>
      <c r="NZF380" s="252"/>
      <c r="NZG380" s="252"/>
      <c r="NZH380" s="252"/>
      <c r="NZI380" s="252"/>
      <c r="NZJ380" s="252"/>
      <c r="NZK380" s="252"/>
      <c r="NZL380" s="252"/>
      <c r="NZM380" s="252"/>
      <c r="NZN380" s="252"/>
      <c r="NZO380" s="252"/>
      <c r="NZP380" s="252"/>
      <c r="NZQ380" s="252"/>
      <c r="NZR380" s="252"/>
      <c r="NZS380" s="252"/>
      <c r="NZT380" s="252"/>
      <c r="NZU380" s="252"/>
      <c r="NZV380" s="252"/>
      <c r="NZW380" s="252"/>
      <c r="NZX380" s="252"/>
      <c r="NZY380" s="252"/>
      <c r="NZZ380" s="252"/>
      <c r="OAA380" s="252"/>
      <c r="OAB380" s="252"/>
      <c r="OAC380" s="252"/>
      <c r="OAD380" s="252"/>
      <c r="OAE380" s="252"/>
      <c r="OAF380" s="252"/>
      <c r="OAG380" s="252"/>
      <c r="OAH380" s="252"/>
      <c r="OAI380" s="252"/>
      <c r="OAJ380" s="252"/>
      <c r="OAK380" s="252"/>
      <c r="OAL380" s="252"/>
      <c r="OAM380" s="252"/>
      <c r="OAN380" s="252"/>
      <c r="OAO380" s="252"/>
      <c r="OAP380" s="252"/>
      <c r="OAQ380" s="252"/>
      <c r="OAR380" s="252"/>
      <c r="OAS380" s="252"/>
      <c r="OAT380" s="252"/>
      <c r="OAU380" s="252"/>
      <c r="OAV380" s="252"/>
      <c r="OAW380" s="252"/>
      <c r="OAX380" s="252"/>
      <c r="OAY380" s="252"/>
      <c r="OAZ380" s="252"/>
      <c r="OBA380" s="252"/>
      <c r="OBB380" s="252"/>
      <c r="OBC380" s="252"/>
      <c r="OBD380" s="252"/>
      <c r="OBE380" s="252"/>
      <c r="OBF380" s="252"/>
      <c r="OBG380" s="252"/>
      <c r="OBH380" s="252"/>
      <c r="OBI380" s="252"/>
      <c r="OBJ380" s="252"/>
      <c r="OBK380" s="252"/>
      <c r="OBL380" s="252"/>
      <c r="OBM380" s="252"/>
      <c r="OBN380" s="252"/>
      <c r="OBO380" s="252"/>
      <c r="OBP380" s="252"/>
      <c r="OBQ380" s="252"/>
      <c r="OBR380" s="252"/>
      <c r="OBS380" s="252"/>
      <c r="OBT380" s="252"/>
      <c r="OBU380" s="252"/>
      <c r="OBV380" s="252"/>
      <c r="OBW380" s="252"/>
      <c r="OBX380" s="252"/>
      <c r="OBY380" s="252"/>
      <c r="OBZ380" s="252"/>
      <c r="OCA380" s="252"/>
      <c r="OCB380" s="252"/>
      <c r="OCC380" s="252"/>
      <c r="OCD380" s="252"/>
      <c r="OCE380" s="252"/>
      <c r="OCF380" s="252"/>
      <c r="OCG380" s="252"/>
      <c r="OCH380" s="252"/>
      <c r="OCI380" s="252"/>
      <c r="OCJ380" s="252"/>
      <c r="OCK380" s="252"/>
      <c r="OCL380" s="252"/>
      <c r="OCM380" s="252"/>
      <c r="OCN380" s="252"/>
      <c r="OCO380" s="252"/>
      <c r="OCP380" s="252"/>
      <c r="OCQ380" s="252"/>
      <c r="OCR380" s="252"/>
      <c r="OCS380" s="252"/>
      <c r="OCT380" s="252"/>
      <c r="OCU380" s="252"/>
      <c r="OCV380" s="252"/>
      <c r="OCW380" s="252"/>
      <c r="OCX380" s="252"/>
      <c r="OCY380" s="252"/>
      <c r="OCZ380" s="252"/>
      <c r="ODA380" s="252"/>
      <c r="ODB380" s="252"/>
      <c r="ODC380" s="252"/>
      <c r="ODD380" s="252"/>
      <c r="ODE380" s="252"/>
      <c r="ODF380" s="252"/>
      <c r="ODG380" s="252"/>
      <c r="ODH380" s="252"/>
      <c r="ODI380" s="252"/>
      <c r="ODJ380" s="252"/>
      <c r="ODK380" s="252"/>
      <c r="ODL380" s="252"/>
      <c r="ODM380" s="252"/>
      <c r="ODN380" s="252"/>
      <c r="ODO380" s="252"/>
      <c r="ODP380" s="252"/>
      <c r="ODQ380" s="252"/>
      <c r="ODR380" s="252"/>
      <c r="ODS380" s="252"/>
      <c r="ODT380" s="252"/>
      <c r="ODU380" s="252"/>
      <c r="ODV380" s="252"/>
      <c r="ODW380" s="252"/>
      <c r="ODX380" s="252"/>
      <c r="ODY380" s="252"/>
      <c r="ODZ380" s="252"/>
      <c r="OEA380" s="252"/>
      <c r="OEB380" s="252"/>
      <c r="OEC380" s="252"/>
      <c r="OED380" s="252"/>
      <c r="OEE380" s="252"/>
      <c r="OEF380" s="252"/>
      <c r="OEG380" s="252"/>
      <c r="OEH380" s="252"/>
      <c r="OEI380" s="252"/>
      <c r="OEJ380" s="252"/>
      <c r="OEK380" s="252"/>
      <c r="OEL380" s="252"/>
      <c r="OEM380" s="252"/>
      <c r="OEN380" s="252"/>
      <c r="OEO380" s="252"/>
      <c r="OEP380" s="252"/>
      <c r="OEQ380" s="252"/>
      <c r="OER380" s="252"/>
      <c r="OES380" s="252"/>
      <c r="OET380" s="252"/>
      <c r="OEU380" s="252"/>
      <c r="OEV380" s="252"/>
      <c r="OEW380" s="252"/>
      <c r="OEX380" s="252"/>
      <c r="OEY380" s="252"/>
      <c r="OEZ380" s="252"/>
      <c r="OFA380" s="252"/>
      <c r="OFB380" s="252"/>
      <c r="OFC380" s="252"/>
      <c r="OFD380" s="252"/>
      <c r="OFE380" s="252"/>
      <c r="OFF380" s="252"/>
      <c r="OFG380" s="252"/>
      <c r="OFH380" s="252"/>
      <c r="OFI380" s="252"/>
      <c r="OFJ380" s="252"/>
      <c r="OFK380" s="252"/>
      <c r="OFL380" s="252"/>
      <c r="OFM380" s="252"/>
      <c r="OFN380" s="252"/>
      <c r="OFO380" s="252"/>
      <c r="OFP380" s="252"/>
      <c r="OFQ380" s="252"/>
      <c r="OFR380" s="252"/>
      <c r="OFS380" s="252"/>
      <c r="OFT380" s="252"/>
      <c r="OFU380" s="252"/>
      <c r="OFV380" s="252"/>
      <c r="OFW380" s="252"/>
      <c r="OFX380" s="252"/>
      <c r="OFY380" s="252"/>
      <c r="OFZ380" s="252"/>
      <c r="OGA380" s="252"/>
      <c r="OGB380" s="252"/>
      <c r="OGC380" s="252"/>
      <c r="OGD380" s="252"/>
      <c r="OGE380" s="252"/>
      <c r="OGF380" s="252"/>
      <c r="OGG380" s="252"/>
      <c r="OGH380" s="252"/>
      <c r="OGI380" s="252"/>
      <c r="OGJ380" s="252"/>
      <c r="OGK380" s="252"/>
      <c r="OGL380" s="252"/>
      <c r="OGM380" s="252"/>
      <c r="OGN380" s="252"/>
      <c r="OGO380" s="252"/>
      <c r="OGP380" s="252"/>
      <c r="OGQ380" s="252"/>
      <c r="OGR380" s="252"/>
      <c r="OGS380" s="252"/>
      <c r="OGT380" s="252"/>
      <c r="OGU380" s="252"/>
      <c r="OGV380" s="252"/>
      <c r="OGW380" s="252"/>
      <c r="OGX380" s="252"/>
      <c r="OGY380" s="252"/>
      <c r="OGZ380" s="252"/>
      <c r="OHA380" s="252"/>
      <c r="OHB380" s="252"/>
      <c r="OHC380" s="252"/>
      <c r="OHD380" s="252"/>
      <c r="OHE380" s="252"/>
      <c r="OHF380" s="252"/>
      <c r="OHG380" s="252"/>
      <c r="OHH380" s="252"/>
      <c r="OHI380" s="252"/>
      <c r="OHJ380" s="252"/>
      <c r="OHK380" s="252"/>
      <c r="OHL380" s="252"/>
      <c r="OHM380" s="252"/>
      <c r="OHN380" s="252"/>
      <c r="OHO380" s="252"/>
      <c r="OHP380" s="252"/>
      <c r="OHQ380" s="252"/>
      <c r="OHR380" s="252"/>
      <c r="OHS380" s="252"/>
      <c r="OHT380" s="252"/>
      <c r="OHU380" s="252"/>
      <c r="OHV380" s="252"/>
      <c r="OHW380" s="252"/>
      <c r="OHX380" s="252"/>
      <c r="OHY380" s="252"/>
      <c r="OHZ380" s="252"/>
      <c r="OIA380" s="252"/>
      <c r="OIB380" s="252"/>
      <c r="OIC380" s="252"/>
      <c r="OID380" s="252"/>
      <c r="OIE380" s="252"/>
      <c r="OIF380" s="252"/>
      <c r="OIG380" s="252"/>
      <c r="OIH380" s="252"/>
      <c r="OII380" s="252"/>
      <c r="OIJ380" s="252"/>
      <c r="OIK380" s="252"/>
      <c r="OIL380" s="252"/>
      <c r="OIM380" s="252"/>
      <c r="OIN380" s="252"/>
      <c r="OIO380" s="252"/>
      <c r="OIP380" s="252"/>
      <c r="OIQ380" s="252"/>
      <c r="OIR380" s="252"/>
      <c r="OIS380" s="252"/>
      <c r="OIT380" s="252"/>
      <c r="OIU380" s="252"/>
      <c r="OIV380" s="252"/>
      <c r="OIW380" s="252"/>
      <c r="OIX380" s="252"/>
      <c r="OIY380" s="252"/>
      <c r="OIZ380" s="252"/>
      <c r="OJA380" s="252"/>
      <c r="OJB380" s="252"/>
      <c r="OJC380" s="252"/>
      <c r="OJD380" s="252"/>
      <c r="OJE380" s="252"/>
      <c r="OJF380" s="252"/>
      <c r="OJG380" s="252"/>
      <c r="OJH380" s="252"/>
      <c r="OJI380" s="252"/>
      <c r="OJJ380" s="252"/>
      <c r="OJK380" s="252"/>
      <c r="OJL380" s="252"/>
      <c r="OJM380" s="252"/>
      <c r="OJN380" s="252"/>
      <c r="OJO380" s="252"/>
      <c r="OJP380" s="252"/>
      <c r="OJQ380" s="252"/>
      <c r="OJR380" s="252"/>
      <c r="OJS380" s="252"/>
      <c r="OJT380" s="252"/>
      <c r="OJU380" s="252"/>
      <c r="OJV380" s="252"/>
      <c r="OJW380" s="252"/>
      <c r="OJX380" s="252"/>
      <c r="OJY380" s="252"/>
      <c r="OJZ380" s="252"/>
      <c r="OKA380" s="252"/>
      <c r="OKB380" s="252"/>
      <c r="OKC380" s="252"/>
      <c r="OKD380" s="252"/>
      <c r="OKE380" s="252"/>
      <c r="OKF380" s="252"/>
      <c r="OKG380" s="252"/>
      <c r="OKH380" s="252"/>
      <c r="OKI380" s="252"/>
      <c r="OKJ380" s="252"/>
      <c r="OKK380" s="252"/>
      <c r="OKL380" s="252"/>
      <c r="OKM380" s="252"/>
      <c r="OKN380" s="252"/>
      <c r="OKO380" s="252"/>
      <c r="OKP380" s="252"/>
      <c r="OKQ380" s="252"/>
      <c r="OKR380" s="252"/>
      <c r="OKS380" s="252"/>
      <c r="OKT380" s="252"/>
      <c r="OKU380" s="252"/>
      <c r="OKV380" s="252"/>
      <c r="OKW380" s="252"/>
      <c r="OKX380" s="252"/>
      <c r="OKY380" s="252"/>
      <c r="OKZ380" s="252"/>
      <c r="OLA380" s="252"/>
      <c r="OLB380" s="252"/>
      <c r="OLC380" s="252"/>
      <c r="OLD380" s="252"/>
      <c r="OLE380" s="252"/>
      <c r="OLF380" s="252"/>
      <c r="OLG380" s="252"/>
      <c r="OLH380" s="252"/>
      <c r="OLI380" s="252"/>
      <c r="OLJ380" s="252"/>
      <c r="OLK380" s="252"/>
      <c r="OLL380" s="252"/>
      <c r="OLM380" s="252"/>
      <c r="OLN380" s="252"/>
      <c r="OLO380" s="252"/>
      <c r="OLP380" s="252"/>
      <c r="OLQ380" s="252"/>
      <c r="OLR380" s="252"/>
      <c r="OLS380" s="252"/>
      <c r="OLT380" s="252"/>
      <c r="OLU380" s="252"/>
      <c r="OLV380" s="252"/>
      <c r="OLW380" s="252"/>
      <c r="OLX380" s="252"/>
      <c r="OLY380" s="252"/>
      <c r="OLZ380" s="252"/>
      <c r="OMA380" s="252"/>
      <c r="OMB380" s="252"/>
      <c r="OMC380" s="252"/>
      <c r="OMD380" s="252"/>
      <c r="OME380" s="252"/>
      <c r="OMF380" s="252"/>
      <c r="OMG380" s="252"/>
      <c r="OMH380" s="252"/>
      <c r="OMI380" s="252"/>
      <c r="OMJ380" s="252"/>
      <c r="OMK380" s="252"/>
      <c r="OML380" s="252"/>
      <c r="OMM380" s="252"/>
      <c r="OMN380" s="252"/>
      <c r="OMO380" s="252"/>
      <c r="OMP380" s="252"/>
      <c r="OMQ380" s="252"/>
      <c r="OMR380" s="252"/>
      <c r="OMS380" s="252"/>
      <c r="OMT380" s="252"/>
      <c r="OMU380" s="252"/>
      <c r="OMV380" s="252"/>
      <c r="OMW380" s="252"/>
      <c r="OMX380" s="252"/>
      <c r="OMY380" s="252"/>
      <c r="OMZ380" s="252"/>
      <c r="ONA380" s="252"/>
      <c r="ONB380" s="252"/>
      <c r="ONC380" s="252"/>
      <c r="OND380" s="252"/>
      <c r="ONE380" s="252"/>
      <c r="ONF380" s="252"/>
      <c r="ONG380" s="252"/>
      <c r="ONH380" s="252"/>
      <c r="ONI380" s="252"/>
      <c r="ONJ380" s="252"/>
      <c r="ONK380" s="252"/>
      <c r="ONL380" s="252"/>
      <c r="ONM380" s="252"/>
      <c r="ONN380" s="252"/>
      <c r="ONO380" s="252"/>
      <c r="ONP380" s="252"/>
      <c r="ONQ380" s="252"/>
      <c r="ONR380" s="252"/>
      <c r="ONS380" s="252"/>
      <c r="ONT380" s="252"/>
      <c r="ONU380" s="252"/>
      <c r="ONV380" s="252"/>
      <c r="ONW380" s="252"/>
      <c r="ONX380" s="252"/>
      <c r="ONY380" s="252"/>
      <c r="ONZ380" s="252"/>
      <c r="OOA380" s="252"/>
      <c r="OOB380" s="252"/>
      <c r="OOC380" s="252"/>
      <c r="OOD380" s="252"/>
      <c r="OOE380" s="252"/>
      <c r="OOF380" s="252"/>
      <c r="OOG380" s="252"/>
      <c r="OOH380" s="252"/>
      <c r="OOI380" s="252"/>
      <c r="OOJ380" s="252"/>
      <c r="OOK380" s="252"/>
      <c r="OOL380" s="252"/>
      <c r="OOM380" s="252"/>
      <c r="OON380" s="252"/>
      <c r="OOO380" s="252"/>
      <c r="OOP380" s="252"/>
      <c r="OOQ380" s="252"/>
      <c r="OOR380" s="252"/>
      <c r="OOS380" s="252"/>
      <c r="OOT380" s="252"/>
      <c r="OOU380" s="252"/>
      <c r="OOV380" s="252"/>
      <c r="OOW380" s="252"/>
      <c r="OOX380" s="252"/>
      <c r="OOY380" s="252"/>
      <c r="OOZ380" s="252"/>
      <c r="OPA380" s="252"/>
      <c r="OPB380" s="252"/>
      <c r="OPC380" s="252"/>
      <c r="OPD380" s="252"/>
      <c r="OPE380" s="252"/>
      <c r="OPF380" s="252"/>
      <c r="OPG380" s="252"/>
      <c r="OPH380" s="252"/>
      <c r="OPI380" s="252"/>
      <c r="OPJ380" s="252"/>
      <c r="OPK380" s="252"/>
      <c r="OPL380" s="252"/>
      <c r="OPM380" s="252"/>
      <c r="OPN380" s="252"/>
      <c r="OPO380" s="252"/>
      <c r="OPP380" s="252"/>
      <c r="OPQ380" s="252"/>
      <c r="OPR380" s="252"/>
      <c r="OPS380" s="252"/>
      <c r="OPT380" s="252"/>
      <c r="OPU380" s="252"/>
      <c r="OPV380" s="252"/>
      <c r="OPW380" s="252"/>
      <c r="OPX380" s="252"/>
      <c r="OPY380" s="252"/>
      <c r="OPZ380" s="252"/>
      <c r="OQA380" s="252"/>
      <c r="OQB380" s="252"/>
      <c r="OQC380" s="252"/>
      <c r="OQD380" s="252"/>
      <c r="OQE380" s="252"/>
      <c r="OQF380" s="252"/>
      <c r="OQG380" s="252"/>
      <c r="OQH380" s="252"/>
      <c r="OQI380" s="252"/>
      <c r="OQJ380" s="252"/>
      <c r="OQK380" s="252"/>
      <c r="OQL380" s="252"/>
      <c r="OQM380" s="252"/>
      <c r="OQN380" s="252"/>
      <c r="OQO380" s="252"/>
      <c r="OQP380" s="252"/>
      <c r="OQQ380" s="252"/>
      <c r="OQR380" s="252"/>
      <c r="OQS380" s="252"/>
      <c r="OQT380" s="252"/>
      <c r="OQU380" s="252"/>
      <c r="OQV380" s="252"/>
      <c r="OQW380" s="252"/>
      <c r="OQX380" s="252"/>
      <c r="OQY380" s="252"/>
      <c r="OQZ380" s="252"/>
      <c r="ORA380" s="252"/>
      <c r="ORB380" s="252"/>
      <c r="ORC380" s="252"/>
      <c r="ORD380" s="252"/>
      <c r="ORE380" s="252"/>
      <c r="ORF380" s="252"/>
      <c r="ORG380" s="252"/>
      <c r="ORH380" s="252"/>
      <c r="ORI380" s="252"/>
      <c r="ORJ380" s="252"/>
      <c r="ORK380" s="252"/>
      <c r="ORL380" s="252"/>
      <c r="ORM380" s="252"/>
      <c r="ORN380" s="252"/>
      <c r="ORO380" s="252"/>
      <c r="ORP380" s="252"/>
      <c r="ORQ380" s="252"/>
      <c r="ORR380" s="252"/>
      <c r="ORS380" s="252"/>
      <c r="ORT380" s="252"/>
      <c r="ORU380" s="252"/>
      <c r="ORV380" s="252"/>
      <c r="ORW380" s="252"/>
      <c r="ORX380" s="252"/>
      <c r="ORY380" s="252"/>
      <c r="ORZ380" s="252"/>
      <c r="OSA380" s="252"/>
      <c r="OSB380" s="252"/>
      <c r="OSC380" s="252"/>
      <c r="OSD380" s="252"/>
      <c r="OSE380" s="252"/>
      <c r="OSF380" s="252"/>
      <c r="OSG380" s="252"/>
      <c r="OSH380" s="252"/>
      <c r="OSI380" s="252"/>
      <c r="OSJ380" s="252"/>
      <c r="OSK380" s="252"/>
      <c r="OSL380" s="252"/>
      <c r="OSM380" s="252"/>
      <c r="OSN380" s="252"/>
      <c r="OSO380" s="252"/>
      <c r="OSP380" s="252"/>
      <c r="OSQ380" s="252"/>
      <c r="OSR380" s="252"/>
      <c r="OSS380" s="252"/>
      <c r="OST380" s="252"/>
      <c r="OSU380" s="252"/>
      <c r="OSV380" s="252"/>
      <c r="OSW380" s="252"/>
      <c r="OSX380" s="252"/>
      <c r="OSY380" s="252"/>
      <c r="OSZ380" s="252"/>
      <c r="OTA380" s="252"/>
      <c r="OTB380" s="252"/>
      <c r="OTC380" s="252"/>
      <c r="OTD380" s="252"/>
      <c r="OTE380" s="252"/>
      <c r="OTF380" s="252"/>
      <c r="OTG380" s="252"/>
      <c r="OTH380" s="252"/>
      <c r="OTI380" s="252"/>
      <c r="OTJ380" s="252"/>
      <c r="OTK380" s="252"/>
      <c r="OTL380" s="252"/>
      <c r="OTM380" s="252"/>
      <c r="OTN380" s="252"/>
      <c r="OTO380" s="252"/>
      <c r="OTP380" s="252"/>
      <c r="OTQ380" s="252"/>
      <c r="OTR380" s="252"/>
      <c r="OTS380" s="252"/>
      <c r="OTT380" s="252"/>
      <c r="OTU380" s="252"/>
      <c r="OTV380" s="252"/>
      <c r="OTW380" s="252"/>
      <c r="OTX380" s="252"/>
      <c r="OTY380" s="252"/>
      <c r="OTZ380" s="252"/>
      <c r="OUA380" s="252"/>
      <c r="OUB380" s="252"/>
      <c r="OUC380" s="252"/>
      <c r="OUD380" s="252"/>
      <c r="OUE380" s="252"/>
      <c r="OUF380" s="252"/>
      <c r="OUG380" s="252"/>
      <c r="OUH380" s="252"/>
      <c r="OUI380" s="252"/>
      <c r="OUJ380" s="252"/>
      <c r="OUK380" s="252"/>
      <c r="OUL380" s="252"/>
      <c r="OUM380" s="252"/>
      <c r="OUN380" s="252"/>
      <c r="OUO380" s="252"/>
      <c r="OUP380" s="252"/>
      <c r="OUQ380" s="252"/>
      <c r="OUR380" s="252"/>
      <c r="OUS380" s="252"/>
      <c r="OUT380" s="252"/>
      <c r="OUU380" s="252"/>
      <c r="OUV380" s="252"/>
      <c r="OUW380" s="252"/>
      <c r="OUX380" s="252"/>
      <c r="OUY380" s="252"/>
      <c r="OUZ380" s="252"/>
      <c r="OVA380" s="252"/>
      <c r="OVB380" s="252"/>
      <c r="OVC380" s="252"/>
      <c r="OVD380" s="252"/>
      <c r="OVE380" s="252"/>
      <c r="OVF380" s="252"/>
      <c r="OVG380" s="252"/>
      <c r="OVH380" s="252"/>
      <c r="OVI380" s="252"/>
      <c r="OVJ380" s="252"/>
      <c r="OVK380" s="252"/>
      <c r="OVL380" s="252"/>
      <c r="OVM380" s="252"/>
      <c r="OVN380" s="252"/>
      <c r="OVO380" s="252"/>
      <c r="OVP380" s="252"/>
      <c r="OVQ380" s="252"/>
      <c r="OVR380" s="252"/>
      <c r="OVS380" s="252"/>
      <c r="OVT380" s="252"/>
      <c r="OVU380" s="252"/>
      <c r="OVV380" s="252"/>
      <c r="OVW380" s="252"/>
      <c r="OVX380" s="252"/>
      <c r="OVY380" s="252"/>
      <c r="OVZ380" s="252"/>
      <c r="OWA380" s="252"/>
      <c r="OWB380" s="252"/>
      <c r="OWC380" s="252"/>
      <c r="OWD380" s="252"/>
      <c r="OWE380" s="252"/>
      <c r="OWF380" s="252"/>
      <c r="OWG380" s="252"/>
      <c r="OWH380" s="252"/>
      <c r="OWI380" s="252"/>
      <c r="OWJ380" s="252"/>
      <c r="OWK380" s="252"/>
      <c r="OWL380" s="252"/>
      <c r="OWM380" s="252"/>
      <c r="OWN380" s="252"/>
      <c r="OWO380" s="252"/>
      <c r="OWP380" s="252"/>
      <c r="OWQ380" s="252"/>
      <c r="OWR380" s="252"/>
      <c r="OWS380" s="252"/>
      <c r="OWT380" s="252"/>
      <c r="OWU380" s="252"/>
      <c r="OWV380" s="252"/>
      <c r="OWW380" s="252"/>
      <c r="OWX380" s="252"/>
      <c r="OWY380" s="252"/>
      <c r="OWZ380" s="252"/>
      <c r="OXA380" s="252"/>
      <c r="OXB380" s="252"/>
      <c r="OXC380" s="252"/>
      <c r="OXD380" s="252"/>
      <c r="OXE380" s="252"/>
      <c r="OXF380" s="252"/>
      <c r="OXG380" s="252"/>
      <c r="OXH380" s="252"/>
      <c r="OXI380" s="252"/>
      <c r="OXJ380" s="252"/>
      <c r="OXK380" s="252"/>
      <c r="OXL380" s="252"/>
      <c r="OXM380" s="252"/>
      <c r="OXN380" s="252"/>
      <c r="OXO380" s="252"/>
      <c r="OXP380" s="252"/>
      <c r="OXQ380" s="252"/>
      <c r="OXR380" s="252"/>
      <c r="OXS380" s="252"/>
      <c r="OXT380" s="252"/>
      <c r="OXU380" s="252"/>
      <c r="OXV380" s="252"/>
      <c r="OXW380" s="252"/>
      <c r="OXX380" s="252"/>
      <c r="OXY380" s="252"/>
      <c r="OXZ380" s="252"/>
      <c r="OYA380" s="252"/>
      <c r="OYB380" s="252"/>
      <c r="OYC380" s="252"/>
      <c r="OYD380" s="252"/>
      <c r="OYE380" s="252"/>
      <c r="OYF380" s="252"/>
      <c r="OYG380" s="252"/>
      <c r="OYH380" s="252"/>
      <c r="OYI380" s="252"/>
      <c r="OYJ380" s="252"/>
      <c r="OYK380" s="252"/>
      <c r="OYL380" s="252"/>
      <c r="OYM380" s="252"/>
      <c r="OYN380" s="252"/>
      <c r="OYO380" s="252"/>
      <c r="OYP380" s="252"/>
      <c r="OYQ380" s="252"/>
      <c r="OYR380" s="252"/>
      <c r="OYS380" s="252"/>
      <c r="OYT380" s="252"/>
      <c r="OYU380" s="252"/>
      <c r="OYV380" s="252"/>
      <c r="OYW380" s="252"/>
      <c r="OYX380" s="252"/>
      <c r="OYY380" s="252"/>
      <c r="OYZ380" s="252"/>
      <c r="OZA380" s="252"/>
      <c r="OZB380" s="252"/>
      <c r="OZC380" s="252"/>
      <c r="OZD380" s="252"/>
      <c r="OZE380" s="252"/>
      <c r="OZF380" s="252"/>
      <c r="OZG380" s="252"/>
      <c r="OZH380" s="252"/>
      <c r="OZI380" s="252"/>
      <c r="OZJ380" s="252"/>
      <c r="OZK380" s="252"/>
      <c r="OZL380" s="252"/>
      <c r="OZM380" s="252"/>
      <c r="OZN380" s="252"/>
      <c r="OZO380" s="252"/>
      <c r="OZP380" s="252"/>
      <c r="OZQ380" s="252"/>
      <c r="OZR380" s="252"/>
      <c r="OZS380" s="252"/>
      <c r="OZT380" s="252"/>
      <c r="OZU380" s="252"/>
      <c r="OZV380" s="252"/>
      <c r="OZW380" s="252"/>
      <c r="OZX380" s="252"/>
      <c r="OZY380" s="252"/>
      <c r="OZZ380" s="252"/>
      <c r="PAA380" s="252"/>
      <c r="PAB380" s="252"/>
      <c r="PAC380" s="252"/>
      <c r="PAD380" s="252"/>
      <c r="PAE380" s="252"/>
      <c r="PAF380" s="252"/>
      <c r="PAG380" s="252"/>
      <c r="PAH380" s="252"/>
      <c r="PAI380" s="252"/>
      <c r="PAJ380" s="252"/>
      <c r="PAK380" s="252"/>
      <c r="PAL380" s="252"/>
      <c r="PAM380" s="252"/>
      <c r="PAN380" s="252"/>
      <c r="PAO380" s="252"/>
      <c r="PAP380" s="252"/>
      <c r="PAQ380" s="252"/>
      <c r="PAR380" s="252"/>
      <c r="PAS380" s="252"/>
      <c r="PAT380" s="252"/>
      <c r="PAU380" s="252"/>
      <c r="PAV380" s="252"/>
      <c r="PAW380" s="252"/>
      <c r="PAX380" s="252"/>
      <c r="PAY380" s="252"/>
      <c r="PAZ380" s="252"/>
      <c r="PBA380" s="252"/>
      <c r="PBB380" s="252"/>
      <c r="PBC380" s="252"/>
      <c r="PBD380" s="252"/>
      <c r="PBE380" s="252"/>
      <c r="PBF380" s="252"/>
      <c r="PBG380" s="252"/>
      <c r="PBH380" s="252"/>
      <c r="PBI380" s="252"/>
      <c r="PBJ380" s="252"/>
      <c r="PBK380" s="252"/>
      <c r="PBL380" s="252"/>
      <c r="PBM380" s="252"/>
      <c r="PBN380" s="252"/>
      <c r="PBO380" s="252"/>
      <c r="PBP380" s="252"/>
      <c r="PBQ380" s="252"/>
      <c r="PBR380" s="252"/>
      <c r="PBS380" s="252"/>
      <c r="PBT380" s="252"/>
      <c r="PBU380" s="252"/>
      <c r="PBV380" s="252"/>
      <c r="PBW380" s="252"/>
      <c r="PBX380" s="252"/>
      <c r="PBY380" s="252"/>
      <c r="PBZ380" s="252"/>
      <c r="PCA380" s="252"/>
      <c r="PCB380" s="252"/>
      <c r="PCC380" s="252"/>
      <c r="PCD380" s="252"/>
      <c r="PCE380" s="252"/>
      <c r="PCF380" s="252"/>
      <c r="PCG380" s="252"/>
      <c r="PCH380" s="252"/>
      <c r="PCI380" s="252"/>
      <c r="PCJ380" s="252"/>
      <c r="PCK380" s="252"/>
      <c r="PCL380" s="252"/>
      <c r="PCM380" s="252"/>
      <c r="PCN380" s="252"/>
      <c r="PCO380" s="252"/>
      <c r="PCP380" s="252"/>
      <c r="PCQ380" s="252"/>
      <c r="PCR380" s="252"/>
      <c r="PCS380" s="252"/>
      <c r="PCT380" s="252"/>
      <c r="PCU380" s="252"/>
      <c r="PCV380" s="252"/>
      <c r="PCW380" s="252"/>
      <c r="PCX380" s="252"/>
      <c r="PCY380" s="252"/>
      <c r="PCZ380" s="252"/>
      <c r="PDA380" s="252"/>
      <c r="PDB380" s="252"/>
      <c r="PDC380" s="252"/>
      <c r="PDD380" s="252"/>
      <c r="PDE380" s="252"/>
      <c r="PDF380" s="252"/>
      <c r="PDG380" s="252"/>
      <c r="PDH380" s="252"/>
      <c r="PDI380" s="252"/>
      <c r="PDJ380" s="252"/>
      <c r="PDK380" s="252"/>
      <c r="PDL380" s="252"/>
      <c r="PDM380" s="252"/>
      <c r="PDN380" s="252"/>
      <c r="PDO380" s="252"/>
      <c r="PDP380" s="252"/>
      <c r="PDQ380" s="252"/>
      <c r="PDR380" s="252"/>
      <c r="PDS380" s="252"/>
      <c r="PDT380" s="252"/>
      <c r="PDU380" s="252"/>
      <c r="PDV380" s="252"/>
      <c r="PDW380" s="252"/>
      <c r="PDX380" s="252"/>
      <c r="PDY380" s="252"/>
      <c r="PDZ380" s="252"/>
      <c r="PEA380" s="252"/>
      <c r="PEB380" s="252"/>
      <c r="PEC380" s="252"/>
      <c r="PED380" s="252"/>
      <c r="PEE380" s="252"/>
      <c r="PEF380" s="252"/>
      <c r="PEG380" s="252"/>
      <c r="PEH380" s="252"/>
      <c r="PEI380" s="252"/>
      <c r="PEJ380" s="252"/>
      <c r="PEK380" s="252"/>
      <c r="PEL380" s="252"/>
      <c r="PEM380" s="252"/>
      <c r="PEN380" s="252"/>
      <c r="PEO380" s="252"/>
      <c r="PEP380" s="252"/>
      <c r="PEQ380" s="252"/>
      <c r="PER380" s="252"/>
      <c r="PES380" s="252"/>
      <c r="PET380" s="252"/>
      <c r="PEU380" s="252"/>
      <c r="PEV380" s="252"/>
      <c r="PEW380" s="252"/>
      <c r="PEX380" s="252"/>
      <c r="PEY380" s="252"/>
      <c r="PEZ380" s="252"/>
      <c r="PFA380" s="252"/>
      <c r="PFB380" s="252"/>
      <c r="PFC380" s="252"/>
      <c r="PFD380" s="252"/>
      <c r="PFE380" s="252"/>
      <c r="PFF380" s="252"/>
      <c r="PFG380" s="252"/>
      <c r="PFH380" s="252"/>
      <c r="PFI380" s="252"/>
      <c r="PFJ380" s="252"/>
      <c r="PFK380" s="252"/>
      <c r="PFL380" s="252"/>
      <c r="PFM380" s="252"/>
      <c r="PFN380" s="252"/>
      <c r="PFO380" s="252"/>
      <c r="PFP380" s="252"/>
      <c r="PFQ380" s="252"/>
      <c r="PFR380" s="252"/>
      <c r="PFS380" s="252"/>
      <c r="PFT380" s="252"/>
      <c r="PFU380" s="252"/>
      <c r="PFV380" s="252"/>
      <c r="PFW380" s="252"/>
      <c r="PFX380" s="252"/>
      <c r="PFY380" s="252"/>
      <c r="PFZ380" s="252"/>
      <c r="PGA380" s="252"/>
      <c r="PGB380" s="252"/>
      <c r="PGC380" s="252"/>
      <c r="PGD380" s="252"/>
      <c r="PGE380" s="252"/>
      <c r="PGF380" s="252"/>
      <c r="PGG380" s="252"/>
      <c r="PGH380" s="252"/>
      <c r="PGI380" s="252"/>
      <c r="PGJ380" s="252"/>
      <c r="PGK380" s="252"/>
      <c r="PGL380" s="252"/>
      <c r="PGM380" s="252"/>
      <c r="PGN380" s="252"/>
      <c r="PGO380" s="252"/>
      <c r="PGP380" s="252"/>
      <c r="PGQ380" s="252"/>
      <c r="PGR380" s="252"/>
      <c r="PGS380" s="252"/>
      <c r="PGT380" s="252"/>
      <c r="PGU380" s="252"/>
      <c r="PGV380" s="252"/>
      <c r="PGW380" s="252"/>
      <c r="PGX380" s="252"/>
      <c r="PGY380" s="252"/>
      <c r="PGZ380" s="252"/>
      <c r="PHA380" s="252"/>
      <c r="PHB380" s="252"/>
      <c r="PHC380" s="252"/>
      <c r="PHD380" s="252"/>
      <c r="PHE380" s="252"/>
      <c r="PHF380" s="252"/>
      <c r="PHG380" s="252"/>
      <c r="PHH380" s="252"/>
      <c r="PHI380" s="252"/>
      <c r="PHJ380" s="252"/>
      <c r="PHK380" s="252"/>
      <c r="PHL380" s="252"/>
      <c r="PHM380" s="252"/>
      <c r="PHN380" s="252"/>
      <c r="PHO380" s="252"/>
      <c r="PHP380" s="252"/>
      <c r="PHQ380" s="252"/>
      <c r="PHR380" s="252"/>
      <c r="PHS380" s="252"/>
      <c r="PHT380" s="252"/>
      <c r="PHU380" s="252"/>
      <c r="PHV380" s="252"/>
      <c r="PHW380" s="252"/>
      <c r="PHX380" s="252"/>
      <c r="PHY380" s="252"/>
      <c r="PHZ380" s="252"/>
      <c r="PIA380" s="252"/>
      <c r="PIB380" s="252"/>
      <c r="PIC380" s="252"/>
      <c r="PID380" s="252"/>
      <c r="PIE380" s="252"/>
      <c r="PIF380" s="252"/>
      <c r="PIG380" s="252"/>
      <c r="PIH380" s="252"/>
      <c r="PII380" s="252"/>
      <c r="PIJ380" s="252"/>
      <c r="PIK380" s="252"/>
      <c r="PIL380" s="252"/>
      <c r="PIM380" s="252"/>
      <c r="PIN380" s="252"/>
      <c r="PIO380" s="252"/>
      <c r="PIP380" s="252"/>
      <c r="PIQ380" s="252"/>
      <c r="PIR380" s="252"/>
      <c r="PIS380" s="252"/>
      <c r="PIT380" s="252"/>
      <c r="PIU380" s="252"/>
      <c r="PIV380" s="252"/>
      <c r="PIW380" s="252"/>
      <c r="PIX380" s="252"/>
      <c r="PIY380" s="252"/>
      <c r="PIZ380" s="252"/>
      <c r="PJA380" s="252"/>
      <c r="PJB380" s="252"/>
      <c r="PJC380" s="252"/>
      <c r="PJD380" s="252"/>
      <c r="PJE380" s="252"/>
      <c r="PJF380" s="252"/>
      <c r="PJG380" s="252"/>
      <c r="PJH380" s="252"/>
      <c r="PJI380" s="252"/>
      <c r="PJJ380" s="252"/>
      <c r="PJK380" s="252"/>
      <c r="PJL380" s="252"/>
      <c r="PJM380" s="252"/>
      <c r="PJN380" s="252"/>
      <c r="PJO380" s="252"/>
      <c r="PJP380" s="252"/>
      <c r="PJQ380" s="252"/>
      <c r="PJR380" s="252"/>
      <c r="PJS380" s="252"/>
      <c r="PJT380" s="252"/>
      <c r="PJU380" s="252"/>
      <c r="PJV380" s="252"/>
      <c r="PJW380" s="252"/>
      <c r="PJX380" s="252"/>
      <c r="PJY380" s="252"/>
      <c r="PJZ380" s="252"/>
      <c r="PKA380" s="252"/>
      <c r="PKB380" s="252"/>
      <c r="PKC380" s="252"/>
      <c r="PKD380" s="252"/>
      <c r="PKE380" s="252"/>
      <c r="PKF380" s="252"/>
      <c r="PKG380" s="252"/>
      <c r="PKH380" s="252"/>
      <c r="PKI380" s="252"/>
      <c r="PKJ380" s="252"/>
      <c r="PKK380" s="252"/>
      <c r="PKL380" s="252"/>
      <c r="PKM380" s="252"/>
      <c r="PKN380" s="252"/>
      <c r="PKO380" s="252"/>
      <c r="PKP380" s="252"/>
      <c r="PKQ380" s="252"/>
      <c r="PKR380" s="252"/>
      <c r="PKS380" s="252"/>
      <c r="PKT380" s="252"/>
      <c r="PKU380" s="252"/>
      <c r="PKV380" s="252"/>
      <c r="PKW380" s="252"/>
      <c r="PKX380" s="252"/>
      <c r="PKY380" s="252"/>
      <c r="PKZ380" s="252"/>
      <c r="PLA380" s="252"/>
      <c r="PLB380" s="252"/>
      <c r="PLC380" s="252"/>
      <c r="PLD380" s="252"/>
      <c r="PLE380" s="252"/>
      <c r="PLF380" s="252"/>
      <c r="PLG380" s="252"/>
      <c r="PLH380" s="252"/>
      <c r="PLI380" s="252"/>
      <c r="PLJ380" s="252"/>
      <c r="PLK380" s="252"/>
      <c r="PLL380" s="252"/>
      <c r="PLM380" s="252"/>
      <c r="PLN380" s="252"/>
      <c r="PLO380" s="252"/>
      <c r="PLP380" s="252"/>
      <c r="PLQ380" s="252"/>
      <c r="PLR380" s="252"/>
      <c r="PLS380" s="252"/>
      <c r="PLT380" s="252"/>
      <c r="PLU380" s="252"/>
      <c r="PLV380" s="252"/>
      <c r="PLW380" s="252"/>
      <c r="PLX380" s="252"/>
      <c r="PLY380" s="252"/>
      <c r="PLZ380" s="252"/>
      <c r="PMA380" s="252"/>
      <c r="PMB380" s="252"/>
      <c r="PMC380" s="252"/>
      <c r="PMD380" s="252"/>
      <c r="PME380" s="252"/>
      <c r="PMF380" s="252"/>
      <c r="PMG380" s="252"/>
      <c r="PMH380" s="252"/>
      <c r="PMI380" s="252"/>
      <c r="PMJ380" s="252"/>
      <c r="PMK380" s="252"/>
      <c r="PML380" s="252"/>
      <c r="PMM380" s="252"/>
      <c r="PMN380" s="252"/>
      <c r="PMO380" s="252"/>
      <c r="PMP380" s="252"/>
      <c r="PMQ380" s="252"/>
      <c r="PMR380" s="252"/>
      <c r="PMS380" s="252"/>
      <c r="PMT380" s="252"/>
      <c r="PMU380" s="252"/>
      <c r="PMV380" s="252"/>
      <c r="PMW380" s="252"/>
      <c r="PMX380" s="252"/>
      <c r="PMY380" s="252"/>
      <c r="PMZ380" s="252"/>
      <c r="PNA380" s="252"/>
      <c r="PNB380" s="252"/>
      <c r="PNC380" s="252"/>
      <c r="PND380" s="252"/>
      <c r="PNE380" s="252"/>
      <c r="PNF380" s="252"/>
      <c r="PNG380" s="252"/>
      <c r="PNH380" s="252"/>
      <c r="PNI380" s="252"/>
      <c r="PNJ380" s="252"/>
      <c r="PNK380" s="252"/>
      <c r="PNL380" s="252"/>
      <c r="PNM380" s="252"/>
      <c r="PNN380" s="252"/>
      <c r="PNO380" s="252"/>
      <c r="PNP380" s="252"/>
      <c r="PNQ380" s="252"/>
      <c r="PNR380" s="252"/>
      <c r="PNS380" s="252"/>
      <c r="PNT380" s="252"/>
      <c r="PNU380" s="252"/>
      <c r="PNV380" s="252"/>
      <c r="PNW380" s="252"/>
      <c r="PNX380" s="252"/>
      <c r="PNY380" s="252"/>
      <c r="PNZ380" s="252"/>
      <c r="POA380" s="252"/>
      <c r="POB380" s="252"/>
      <c r="POC380" s="252"/>
      <c r="POD380" s="252"/>
      <c r="POE380" s="252"/>
      <c r="POF380" s="252"/>
      <c r="POG380" s="252"/>
      <c r="POH380" s="252"/>
      <c r="POI380" s="252"/>
      <c r="POJ380" s="252"/>
      <c r="POK380" s="252"/>
      <c r="POL380" s="252"/>
      <c r="POM380" s="252"/>
      <c r="PON380" s="252"/>
      <c r="POO380" s="252"/>
      <c r="POP380" s="252"/>
      <c r="POQ380" s="252"/>
      <c r="POR380" s="252"/>
      <c r="POS380" s="252"/>
      <c r="POT380" s="252"/>
      <c r="POU380" s="252"/>
      <c r="POV380" s="252"/>
      <c r="POW380" s="252"/>
      <c r="POX380" s="252"/>
      <c r="POY380" s="252"/>
      <c r="POZ380" s="252"/>
      <c r="PPA380" s="252"/>
      <c r="PPB380" s="252"/>
      <c r="PPC380" s="252"/>
      <c r="PPD380" s="252"/>
      <c r="PPE380" s="252"/>
      <c r="PPF380" s="252"/>
      <c r="PPG380" s="252"/>
      <c r="PPH380" s="252"/>
      <c r="PPI380" s="252"/>
      <c r="PPJ380" s="252"/>
      <c r="PPK380" s="252"/>
      <c r="PPL380" s="252"/>
      <c r="PPM380" s="252"/>
      <c r="PPN380" s="252"/>
      <c r="PPO380" s="252"/>
      <c r="PPP380" s="252"/>
      <c r="PPQ380" s="252"/>
      <c r="PPR380" s="252"/>
      <c r="PPS380" s="252"/>
      <c r="PPT380" s="252"/>
      <c r="PPU380" s="252"/>
      <c r="PPV380" s="252"/>
      <c r="PPW380" s="252"/>
      <c r="PPX380" s="252"/>
      <c r="PPY380" s="252"/>
      <c r="PPZ380" s="252"/>
      <c r="PQA380" s="252"/>
      <c r="PQB380" s="252"/>
      <c r="PQC380" s="252"/>
      <c r="PQD380" s="252"/>
      <c r="PQE380" s="252"/>
      <c r="PQF380" s="252"/>
      <c r="PQG380" s="252"/>
      <c r="PQH380" s="252"/>
      <c r="PQI380" s="252"/>
      <c r="PQJ380" s="252"/>
      <c r="PQK380" s="252"/>
      <c r="PQL380" s="252"/>
      <c r="PQM380" s="252"/>
      <c r="PQN380" s="252"/>
      <c r="PQO380" s="252"/>
      <c r="PQP380" s="252"/>
      <c r="PQQ380" s="252"/>
      <c r="PQR380" s="252"/>
      <c r="PQS380" s="252"/>
      <c r="PQT380" s="252"/>
      <c r="PQU380" s="252"/>
      <c r="PQV380" s="252"/>
      <c r="PQW380" s="252"/>
      <c r="PQX380" s="252"/>
      <c r="PQY380" s="252"/>
      <c r="PQZ380" s="252"/>
      <c r="PRA380" s="252"/>
      <c r="PRB380" s="252"/>
      <c r="PRC380" s="252"/>
      <c r="PRD380" s="252"/>
      <c r="PRE380" s="252"/>
      <c r="PRF380" s="252"/>
      <c r="PRG380" s="252"/>
      <c r="PRH380" s="252"/>
      <c r="PRI380" s="252"/>
      <c r="PRJ380" s="252"/>
      <c r="PRK380" s="252"/>
      <c r="PRL380" s="252"/>
      <c r="PRM380" s="252"/>
      <c r="PRN380" s="252"/>
      <c r="PRO380" s="252"/>
      <c r="PRP380" s="252"/>
      <c r="PRQ380" s="252"/>
      <c r="PRR380" s="252"/>
      <c r="PRS380" s="252"/>
      <c r="PRT380" s="252"/>
      <c r="PRU380" s="252"/>
      <c r="PRV380" s="252"/>
      <c r="PRW380" s="252"/>
      <c r="PRX380" s="252"/>
      <c r="PRY380" s="252"/>
      <c r="PRZ380" s="252"/>
      <c r="PSA380" s="252"/>
      <c r="PSB380" s="252"/>
      <c r="PSC380" s="252"/>
      <c r="PSD380" s="252"/>
      <c r="PSE380" s="252"/>
      <c r="PSF380" s="252"/>
      <c r="PSG380" s="252"/>
      <c r="PSH380" s="252"/>
      <c r="PSI380" s="252"/>
      <c r="PSJ380" s="252"/>
      <c r="PSK380" s="252"/>
      <c r="PSL380" s="252"/>
      <c r="PSM380" s="252"/>
      <c r="PSN380" s="252"/>
      <c r="PSO380" s="252"/>
      <c r="PSP380" s="252"/>
      <c r="PSQ380" s="252"/>
      <c r="PSR380" s="252"/>
      <c r="PSS380" s="252"/>
      <c r="PST380" s="252"/>
      <c r="PSU380" s="252"/>
      <c r="PSV380" s="252"/>
      <c r="PSW380" s="252"/>
      <c r="PSX380" s="252"/>
      <c r="PSY380" s="252"/>
      <c r="PSZ380" s="252"/>
      <c r="PTA380" s="252"/>
      <c r="PTB380" s="252"/>
      <c r="PTC380" s="252"/>
      <c r="PTD380" s="252"/>
      <c r="PTE380" s="252"/>
      <c r="PTF380" s="252"/>
      <c r="PTG380" s="252"/>
      <c r="PTH380" s="252"/>
      <c r="PTI380" s="252"/>
      <c r="PTJ380" s="252"/>
      <c r="PTK380" s="252"/>
      <c r="PTL380" s="252"/>
      <c r="PTM380" s="252"/>
      <c r="PTN380" s="252"/>
      <c r="PTO380" s="252"/>
      <c r="PTP380" s="252"/>
      <c r="PTQ380" s="252"/>
      <c r="PTR380" s="252"/>
      <c r="PTS380" s="252"/>
      <c r="PTT380" s="252"/>
      <c r="PTU380" s="252"/>
      <c r="PTV380" s="252"/>
      <c r="PTW380" s="252"/>
      <c r="PTX380" s="252"/>
      <c r="PTY380" s="252"/>
      <c r="PTZ380" s="252"/>
      <c r="PUA380" s="252"/>
      <c r="PUB380" s="252"/>
      <c r="PUC380" s="252"/>
      <c r="PUD380" s="252"/>
      <c r="PUE380" s="252"/>
      <c r="PUF380" s="252"/>
      <c r="PUG380" s="252"/>
      <c r="PUH380" s="252"/>
      <c r="PUI380" s="252"/>
      <c r="PUJ380" s="252"/>
      <c r="PUK380" s="252"/>
      <c r="PUL380" s="252"/>
      <c r="PUM380" s="252"/>
      <c r="PUN380" s="252"/>
      <c r="PUO380" s="252"/>
      <c r="PUP380" s="252"/>
      <c r="PUQ380" s="252"/>
      <c r="PUR380" s="252"/>
      <c r="PUS380" s="252"/>
      <c r="PUT380" s="252"/>
      <c r="PUU380" s="252"/>
      <c r="PUV380" s="252"/>
      <c r="PUW380" s="252"/>
      <c r="PUX380" s="252"/>
      <c r="PUY380" s="252"/>
      <c r="PUZ380" s="252"/>
      <c r="PVA380" s="252"/>
      <c r="PVB380" s="252"/>
      <c r="PVC380" s="252"/>
      <c r="PVD380" s="252"/>
      <c r="PVE380" s="252"/>
      <c r="PVF380" s="252"/>
      <c r="PVG380" s="252"/>
      <c r="PVH380" s="252"/>
      <c r="PVI380" s="252"/>
      <c r="PVJ380" s="252"/>
      <c r="PVK380" s="252"/>
      <c r="PVL380" s="252"/>
      <c r="PVM380" s="252"/>
      <c r="PVN380" s="252"/>
      <c r="PVO380" s="252"/>
      <c r="PVP380" s="252"/>
      <c r="PVQ380" s="252"/>
      <c r="PVR380" s="252"/>
      <c r="PVS380" s="252"/>
      <c r="PVT380" s="252"/>
      <c r="PVU380" s="252"/>
      <c r="PVV380" s="252"/>
      <c r="PVW380" s="252"/>
      <c r="PVX380" s="252"/>
      <c r="PVY380" s="252"/>
      <c r="PVZ380" s="252"/>
      <c r="PWA380" s="252"/>
      <c r="PWB380" s="252"/>
      <c r="PWC380" s="252"/>
      <c r="PWD380" s="252"/>
      <c r="PWE380" s="252"/>
      <c r="PWF380" s="252"/>
      <c r="PWG380" s="252"/>
      <c r="PWH380" s="252"/>
      <c r="PWI380" s="252"/>
      <c r="PWJ380" s="252"/>
      <c r="PWK380" s="252"/>
      <c r="PWL380" s="252"/>
      <c r="PWM380" s="252"/>
      <c r="PWN380" s="252"/>
      <c r="PWO380" s="252"/>
      <c r="PWP380" s="252"/>
      <c r="PWQ380" s="252"/>
      <c r="PWR380" s="252"/>
      <c r="PWS380" s="252"/>
      <c r="PWT380" s="252"/>
      <c r="PWU380" s="252"/>
      <c r="PWV380" s="252"/>
      <c r="PWW380" s="252"/>
      <c r="PWX380" s="252"/>
      <c r="PWY380" s="252"/>
      <c r="PWZ380" s="252"/>
      <c r="PXA380" s="252"/>
      <c r="PXB380" s="252"/>
      <c r="PXC380" s="252"/>
      <c r="PXD380" s="252"/>
      <c r="PXE380" s="252"/>
      <c r="PXF380" s="252"/>
      <c r="PXG380" s="252"/>
      <c r="PXH380" s="252"/>
      <c r="PXI380" s="252"/>
      <c r="PXJ380" s="252"/>
      <c r="PXK380" s="252"/>
      <c r="PXL380" s="252"/>
      <c r="PXM380" s="252"/>
      <c r="PXN380" s="252"/>
      <c r="PXO380" s="252"/>
      <c r="PXP380" s="252"/>
      <c r="PXQ380" s="252"/>
      <c r="PXR380" s="252"/>
      <c r="PXS380" s="252"/>
      <c r="PXT380" s="252"/>
      <c r="PXU380" s="252"/>
      <c r="PXV380" s="252"/>
      <c r="PXW380" s="252"/>
      <c r="PXX380" s="252"/>
      <c r="PXY380" s="252"/>
      <c r="PXZ380" s="252"/>
      <c r="PYA380" s="252"/>
      <c r="PYB380" s="252"/>
      <c r="PYC380" s="252"/>
      <c r="PYD380" s="252"/>
      <c r="PYE380" s="252"/>
      <c r="PYF380" s="252"/>
      <c r="PYG380" s="252"/>
      <c r="PYH380" s="252"/>
      <c r="PYI380" s="252"/>
      <c r="PYJ380" s="252"/>
      <c r="PYK380" s="252"/>
      <c r="PYL380" s="252"/>
      <c r="PYM380" s="252"/>
      <c r="PYN380" s="252"/>
      <c r="PYO380" s="252"/>
      <c r="PYP380" s="252"/>
      <c r="PYQ380" s="252"/>
      <c r="PYR380" s="252"/>
      <c r="PYS380" s="252"/>
      <c r="PYT380" s="252"/>
      <c r="PYU380" s="252"/>
      <c r="PYV380" s="252"/>
      <c r="PYW380" s="252"/>
      <c r="PYX380" s="252"/>
      <c r="PYY380" s="252"/>
      <c r="PYZ380" s="252"/>
      <c r="PZA380" s="252"/>
      <c r="PZB380" s="252"/>
      <c r="PZC380" s="252"/>
      <c r="PZD380" s="252"/>
      <c r="PZE380" s="252"/>
      <c r="PZF380" s="252"/>
      <c r="PZG380" s="252"/>
      <c r="PZH380" s="252"/>
      <c r="PZI380" s="252"/>
      <c r="PZJ380" s="252"/>
      <c r="PZK380" s="252"/>
      <c r="PZL380" s="252"/>
      <c r="PZM380" s="252"/>
      <c r="PZN380" s="252"/>
      <c r="PZO380" s="252"/>
      <c r="PZP380" s="252"/>
      <c r="PZQ380" s="252"/>
      <c r="PZR380" s="252"/>
      <c r="PZS380" s="252"/>
      <c r="PZT380" s="252"/>
      <c r="PZU380" s="252"/>
      <c r="PZV380" s="252"/>
      <c r="PZW380" s="252"/>
      <c r="PZX380" s="252"/>
      <c r="PZY380" s="252"/>
      <c r="PZZ380" s="252"/>
      <c r="QAA380" s="252"/>
      <c r="QAB380" s="252"/>
      <c r="QAC380" s="252"/>
      <c r="QAD380" s="252"/>
      <c r="QAE380" s="252"/>
      <c r="QAF380" s="252"/>
      <c r="QAG380" s="252"/>
      <c r="QAH380" s="252"/>
      <c r="QAI380" s="252"/>
      <c r="QAJ380" s="252"/>
      <c r="QAK380" s="252"/>
      <c r="QAL380" s="252"/>
      <c r="QAM380" s="252"/>
      <c r="QAN380" s="252"/>
      <c r="QAO380" s="252"/>
      <c r="QAP380" s="252"/>
      <c r="QAQ380" s="252"/>
      <c r="QAR380" s="252"/>
      <c r="QAS380" s="252"/>
      <c r="QAT380" s="252"/>
      <c r="QAU380" s="252"/>
      <c r="QAV380" s="252"/>
      <c r="QAW380" s="252"/>
      <c r="QAX380" s="252"/>
      <c r="QAY380" s="252"/>
      <c r="QAZ380" s="252"/>
      <c r="QBA380" s="252"/>
      <c r="QBB380" s="252"/>
      <c r="QBC380" s="252"/>
      <c r="QBD380" s="252"/>
      <c r="QBE380" s="252"/>
      <c r="QBF380" s="252"/>
      <c r="QBG380" s="252"/>
      <c r="QBH380" s="252"/>
      <c r="QBI380" s="252"/>
      <c r="QBJ380" s="252"/>
      <c r="QBK380" s="252"/>
      <c r="QBL380" s="252"/>
      <c r="QBM380" s="252"/>
      <c r="QBN380" s="252"/>
      <c r="QBO380" s="252"/>
      <c r="QBP380" s="252"/>
      <c r="QBQ380" s="252"/>
      <c r="QBR380" s="252"/>
      <c r="QBS380" s="252"/>
      <c r="QBT380" s="252"/>
      <c r="QBU380" s="252"/>
      <c r="QBV380" s="252"/>
      <c r="QBW380" s="252"/>
      <c r="QBX380" s="252"/>
      <c r="QBY380" s="252"/>
      <c r="QBZ380" s="252"/>
      <c r="QCA380" s="252"/>
      <c r="QCB380" s="252"/>
      <c r="QCC380" s="252"/>
      <c r="QCD380" s="252"/>
      <c r="QCE380" s="252"/>
      <c r="QCF380" s="252"/>
      <c r="QCG380" s="252"/>
      <c r="QCH380" s="252"/>
      <c r="QCI380" s="252"/>
      <c r="QCJ380" s="252"/>
      <c r="QCK380" s="252"/>
      <c r="QCL380" s="252"/>
      <c r="QCM380" s="252"/>
      <c r="QCN380" s="252"/>
      <c r="QCO380" s="252"/>
      <c r="QCP380" s="252"/>
      <c r="QCQ380" s="252"/>
      <c r="QCR380" s="252"/>
      <c r="QCS380" s="252"/>
      <c r="QCT380" s="252"/>
      <c r="QCU380" s="252"/>
      <c r="QCV380" s="252"/>
      <c r="QCW380" s="252"/>
      <c r="QCX380" s="252"/>
      <c r="QCY380" s="252"/>
      <c r="QCZ380" s="252"/>
      <c r="QDA380" s="252"/>
      <c r="QDB380" s="252"/>
      <c r="QDC380" s="252"/>
      <c r="QDD380" s="252"/>
      <c r="QDE380" s="252"/>
      <c r="QDF380" s="252"/>
      <c r="QDG380" s="252"/>
      <c r="QDH380" s="252"/>
      <c r="QDI380" s="252"/>
      <c r="QDJ380" s="252"/>
      <c r="QDK380" s="252"/>
      <c r="QDL380" s="252"/>
      <c r="QDM380" s="252"/>
      <c r="QDN380" s="252"/>
      <c r="QDO380" s="252"/>
      <c r="QDP380" s="252"/>
      <c r="QDQ380" s="252"/>
      <c r="QDR380" s="252"/>
      <c r="QDS380" s="252"/>
      <c r="QDT380" s="252"/>
      <c r="QDU380" s="252"/>
      <c r="QDV380" s="252"/>
      <c r="QDW380" s="252"/>
      <c r="QDX380" s="252"/>
      <c r="QDY380" s="252"/>
      <c r="QDZ380" s="252"/>
      <c r="QEA380" s="252"/>
      <c r="QEB380" s="252"/>
      <c r="QEC380" s="252"/>
      <c r="QED380" s="252"/>
      <c r="QEE380" s="252"/>
      <c r="QEF380" s="252"/>
      <c r="QEG380" s="252"/>
      <c r="QEH380" s="252"/>
      <c r="QEI380" s="252"/>
      <c r="QEJ380" s="252"/>
      <c r="QEK380" s="252"/>
      <c r="QEL380" s="252"/>
      <c r="QEM380" s="252"/>
      <c r="QEN380" s="252"/>
      <c r="QEO380" s="252"/>
      <c r="QEP380" s="252"/>
      <c r="QEQ380" s="252"/>
      <c r="QER380" s="252"/>
      <c r="QES380" s="252"/>
      <c r="QET380" s="252"/>
      <c r="QEU380" s="252"/>
      <c r="QEV380" s="252"/>
      <c r="QEW380" s="252"/>
      <c r="QEX380" s="252"/>
      <c r="QEY380" s="252"/>
      <c r="QEZ380" s="252"/>
      <c r="QFA380" s="252"/>
      <c r="QFB380" s="252"/>
      <c r="QFC380" s="252"/>
      <c r="QFD380" s="252"/>
      <c r="QFE380" s="252"/>
      <c r="QFF380" s="252"/>
      <c r="QFG380" s="252"/>
      <c r="QFH380" s="252"/>
      <c r="QFI380" s="252"/>
      <c r="QFJ380" s="252"/>
      <c r="QFK380" s="252"/>
      <c r="QFL380" s="252"/>
      <c r="QFM380" s="252"/>
      <c r="QFN380" s="252"/>
      <c r="QFO380" s="252"/>
      <c r="QFP380" s="252"/>
      <c r="QFQ380" s="252"/>
      <c r="QFR380" s="252"/>
      <c r="QFS380" s="252"/>
      <c r="QFT380" s="252"/>
      <c r="QFU380" s="252"/>
      <c r="QFV380" s="252"/>
      <c r="QFW380" s="252"/>
      <c r="QFX380" s="252"/>
      <c r="QFY380" s="252"/>
      <c r="QFZ380" s="252"/>
      <c r="QGA380" s="252"/>
      <c r="QGB380" s="252"/>
      <c r="QGC380" s="252"/>
      <c r="QGD380" s="252"/>
      <c r="QGE380" s="252"/>
      <c r="QGF380" s="252"/>
      <c r="QGG380" s="252"/>
      <c r="QGH380" s="252"/>
      <c r="QGI380" s="252"/>
      <c r="QGJ380" s="252"/>
      <c r="QGK380" s="252"/>
      <c r="QGL380" s="252"/>
      <c r="QGM380" s="252"/>
      <c r="QGN380" s="252"/>
      <c r="QGO380" s="252"/>
      <c r="QGP380" s="252"/>
      <c r="QGQ380" s="252"/>
      <c r="QGR380" s="252"/>
      <c r="QGS380" s="252"/>
      <c r="QGT380" s="252"/>
      <c r="QGU380" s="252"/>
      <c r="QGV380" s="252"/>
      <c r="QGW380" s="252"/>
      <c r="QGX380" s="252"/>
      <c r="QGY380" s="252"/>
      <c r="QGZ380" s="252"/>
      <c r="QHA380" s="252"/>
      <c r="QHB380" s="252"/>
      <c r="QHC380" s="252"/>
      <c r="QHD380" s="252"/>
      <c r="QHE380" s="252"/>
      <c r="QHF380" s="252"/>
      <c r="QHG380" s="252"/>
      <c r="QHH380" s="252"/>
      <c r="QHI380" s="252"/>
      <c r="QHJ380" s="252"/>
      <c r="QHK380" s="252"/>
      <c r="QHL380" s="252"/>
      <c r="QHM380" s="252"/>
      <c r="QHN380" s="252"/>
      <c r="QHO380" s="252"/>
      <c r="QHP380" s="252"/>
      <c r="QHQ380" s="252"/>
      <c r="QHR380" s="252"/>
      <c r="QHS380" s="252"/>
      <c r="QHT380" s="252"/>
      <c r="QHU380" s="252"/>
      <c r="QHV380" s="252"/>
      <c r="QHW380" s="252"/>
      <c r="QHX380" s="252"/>
      <c r="QHY380" s="252"/>
      <c r="QHZ380" s="252"/>
      <c r="QIA380" s="252"/>
      <c r="QIB380" s="252"/>
      <c r="QIC380" s="252"/>
      <c r="QID380" s="252"/>
      <c r="QIE380" s="252"/>
      <c r="QIF380" s="252"/>
      <c r="QIG380" s="252"/>
      <c r="QIH380" s="252"/>
      <c r="QII380" s="252"/>
      <c r="QIJ380" s="252"/>
      <c r="QIK380" s="252"/>
      <c r="QIL380" s="252"/>
      <c r="QIM380" s="252"/>
      <c r="QIN380" s="252"/>
      <c r="QIO380" s="252"/>
      <c r="QIP380" s="252"/>
      <c r="QIQ380" s="252"/>
      <c r="QIR380" s="252"/>
      <c r="QIS380" s="252"/>
      <c r="QIT380" s="252"/>
      <c r="QIU380" s="252"/>
      <c r="QIV380" s="252"/>
      <c r="QIW380" s="252"/>
      <c r="QIX380" s="252"/>
      <c r="QIY380" s="252"/>
      <c r="QIZ380" s="252"/>
      <c r="QJA380" s="252"/>
      <c r="QJB380" s="252"/>
      <c r="QJC380" s="252"/>
      <c r="QJD380" s="252"/>
      <c r="QJE380" s="252"/>
      <c r="QJF380" s="252"/>
      <c r="QJG380" s="252"/>
      <c r="QJH380" s="252"/>
      <c r="QJI380" s="252"/>
      <c r="QJJ380" s="252"/>
      <c r="QJK380" s="252"/>
      <c r="QJL380" s="252"/>
      <c r="QJM380" s="252"/>
      <c r="QJN380" s="252"/>
      <c r="QJO380" s="252"/>
      <c r="QJP380" s="252"/>
      <c r="QJQ380" s="252"/>
      <c r="QJR380" s="252"/>
      <c r="QJS380" s="252"/>
      <c r="QJT380" s="252"/>
      <c r="QJU380" s="252"/>
      <c r="QJV380" s="252"/>
      <c r="QJW380" s="252"/>
      <c r="QJX380" s="252"/>
      <c r="QJY380" s="252"/>
      <c r="QJZ380" s="252"/>
      <c r="QKA380" s="252"/>
      <c r="QKB380" s="252"/>
      <c r="QKC380" s="252"/>
      <c r="QKD380" s="252"/>
      <c r="QKE380" s="252"/>
      <c r="QKF380" s="252"/>
      <c r="QKG380" s="252"/>
      <c r="QKH380" s="252"/>
      <c r="QKI380" s="252"/>
      <c r="QKJ380" s="252"/>
      <c r="QKK380" s="252"/>
      <c r="QKL380" s="252"/>
      <c r="QKM380" s="252"/>
      <c r="QKN380" s="252"/>
      <c r="QKO380" s="252"/>
      <c r="QKP380" s="252"/>
      <c r="QKQ380" s="252"/>
      <c r="QKR380" s="252"/>
      <c r="QKS380" s="252"/>
      <c r="QKT380" s="252"/>
      <c r="QKU380" s="252"/>
      <c r="QKV380" s="252"/>
      <c r="QKW380" s="252"/>
      <c r="QKX380" s="252"/>
      <c r="QKY380" s="252"/>
      <c r="QKZ380" s="252"/>
      <c r="QLA380" s="252"/>
      <c r="QLB380" s="252"/>
      <c r="QLC380" s="252"/>
      <c r="QLD380" s="252"/>
      <c r="QLE380" s="252"/>
      <c r="QLF380" s="252"/>
      <c r="QLG380" s="252"/>
      <c r="QLH380" s="252"/>
      <c r="QLI380" s="252"/>
      <c r="QLJ380" s="252"/>
      <c r="QLK380" s="252"/>
      <c r="QLL380" s="252"/>
      <c r="QLM380" s="252"/>
      <c r="QLN380" s="252"/>
      <c r="QLO380" s="252"/>
      <c r="QLP380" s="252"/>
      <c r="QLQ380" s="252"/>
      <c r="QLR380" s="252"/>
      <c r="QLS380" s="252"/>
      <c r="QLT380" s="252"/>
      <c r="QLU380" s="252"/>
      <c r="QLV380" s="252"/>
      <c r="QLW380" s="252"/>
      <c r="QLX380" s="252"/>
      <c r="QLY380" s="252"/>
      <c r="QLZ380" s="252"/>
      <c r="QMA380" s="252"/>
      <c r="QMB380" s="252"/>
      <c r="QMC380" s="252"/>
      <c r="QMD380" s="252"/>
      <c r="QME380" s="252"/>
      <c r="QMF380" s="252"/>
      <c r="QMG380" s="252"/>
      <c r="QMH380" s="252"/>
      <c r="QMI380" s="252"/>
      <c r="QMJ380" s="252"/>
      <c r="QMK380" s="252"/>
      <c r="QML380" s="252"/>
      <c r="QMM380" s="252"/>
      <c r="QMN380" s="252"/>
      <c r="QMO380" s="252"/>
      <c r="QMP380" s="252"/>
      <c r="QMQ380" s="252"/>
      <c r="QMR380" s="252"/>
      <c r="QMS380" s="252"/>
      <c r="QMT380" s="252"/>
      <c r="QMU380" s="252"/>
      <c r="QMV380" s="252"/>
      <c r="QMW380" s="252"/>
      <c r="QMX380" s="252"/>
      <c r="QMY380" s="252"/>
      <c r="QMZ380" s="252"/>
      <c r="QNA380" s="252"/>
      <c r="QNB380" s="252"/>
      <c r="QNC380" s="252"/>
      <c r="QND380" s="252"/>
      <c r="QNE380" s="252"/>
      <c r="QNF380" s="252"/>
      <c r="QNG380" s="252"/>
      <c r="QNH380" s="252"/>
      <c r="QNI380" s="252"/>
      <c r="QNJ380" s="252"/>
      <c r="QNK380" s="252"/>
      <c r="QNL380" s="252"/>
      <c r="QNM380" s="252"/>
      <c r="QNN380" s="252"/>
      <c r="QNO380" s="252"/>
      <c r="QNP380" s="252"/>
      <c r="QNQ380" s="252"/>
      <c r="QNR380" s="252"/>
      <c r="QNS380" s="252"/>
      <c r="QNT380" s="252"/>
      <c r="QNU380" s="252"/>
      <c r="QNV380" s="252"/>
      <c r="QNW380" s="252"/>
      <c r="QNX380" s="252"/>
      <c r="QNY380" s="252"/>
      <c r="QNZ380" s="252"/>
      <c r="QOA380" s="252"/>
      <c r="QOB380" s="252"/>
      <c r="QOC380" s="252"/>
      <c r="QOD380" s="252"/>
      <c r="QOE380" s="252"/>
      <c r="QOF380" s="252"/>
      <c r="QOG380" s="252"/>
      <c r="QOH380" s="252"/>
      <c r="QOI380" s="252"/>
      <c r="QOJ380" s="252"/>
      <c r="QOK380" s="252"/>
      <c r="QOL380" s="252"/>
      <c r="QOM380" s="252"/>
      <c r="QON380" s="252"/>
      <c r="QOO380" s="252"/>
      <c r="QOP380" s="252"/>
      <c r="QOQ380" s="252"/>
      <c r="QOR380" s="252"/>
      <c r="QOS380" s="252"/>
      <c r="QOT380" s="252"/>
      <c r="QOU380" s="252"/>
      <c r="QOV380" s="252"/>
      <c r="QOW380" s="252"/>
      <c r="QOX380" s="252"/>
      <c r="QOY380" s="252"/>
      <c r="QOZ380" s="252"/>
      <c r="QPA380" s="252"/>
      <c r="QPB380" s="252"/>
      <c r="QPC380" s="252"/>
      <c r="QPD380" s="252"/>
      <c r="QPE380" s="252"/>
      <c r="QPF380" s="252"/>
      <c r="QPG380" s="252"/>
      <c r="QPH380" s="252"/>
      <c r="QPI380" s="252"/>
      <c r="QPJ380" s="252"/>
      <c r="QPK380" s="252"/>
      <c r="QPL380" s="252"/>
      <c r="QPM380" s="252"/>
      <c r="QPN380" s="252"/>
      <c r="QPO380" s="252"/>
      <c r="QPP380" s="252"/>
      <c r="QPQ380" s="252"/>
      <c r="QPR380" s="252"/>
      <c r="QPS380" s="252"/>
      <c r="QPT380" s="252"/>
      <c r="QPU380" s="252"/>
      <c r="QPV380" s="252"/>
      <c r="QPW380" s="252"/>
      <c r="QPX380" s="252"/>
      <c r="QPY380" s="252"/>
      <c r="QPZ380" s="252"/>
      <c r="QQA380" s="252"/>
      <c r="QQB380" s="252"/>
      <c r="QQC380" s="252"/>
      <c r="QQD380" s="252"/>
      <c r="QQE380" s="252"/>
      <c r="QQF380" s="252"/>
      <c r="QQG380" s="252"/>
      <c r="QQH380" s="252"/>
      <c r="QQI380" s="252"/>
      <c r="QQJ380" s="252"/>
      <c r="QQK380" s="252"/>
      <c r="QQL380" s="252"/>
      <c r="QQM380" s="252"/>
      <c r="QQN380" s="252"/>
      <c r="QQO380" s="252"/>
      <c r="QQP380" s="252"/>
      <c r="QQQ380" s="252"/>
      <c r="QQR380" s="252"/>
      <c r="QQS380" s="252"/>
      <c r="QQT380" s="252"/>
      <c r="QQU380" s="252"/>
      <c r="QQV380" s="252"/>
      <c r="QQW380" s="252"/>
      <c r="QQX380" s="252"/>
      <c r="QQY380" s="252"/>
      <c r="QQZ380" s="252"/>
      <c r="QRA380" s="252"/>
      <c r="QRB380" s="252"/>
      <c r="QRC380" s="252"/>
      <c r="QRD380" s="252"/>
      <c r="QRE380" s="252"/>
      <c r="QRF380" s="252"/>
      <c r="QRG380" s="252"/>
      <c r="QRH380" s="252"/>
      <c r="QRI380" s="252"/>
      <c r="QRJ380" s="252"/>
      <c r="QRK380" s="252"/>
      <c r="QRL380" s="252"/>
      <c r="QRM380" s="252"/>
      <c r="QRN380" s="252"/>
      <c r="QRO380" s="252"/>
      <c r="QRP380" s="252"/>
      <c r="QRQ380" s="252"/>
      <c r="QRR380" s="252"/>
      <c r="QRS380" s="252"/>
      <c r="QRT380" s="252"/>
      <c r="QRU380" s="252"/>
      <c r="QRV380" s="252"/>
      <c r="QRW380" s="252"/>
      <c r="QRX380" s="252"/>
      <c r="QRY380" s="252"/>
      <c r="QRZ380" s="252"/>
      <c r="QSA380" s="252"/>
      <c r="QSB380" s="252"/>
      <c r="QSC380" s="252"/>
      <c r="QSD380" s="252"/>
      <c r="QSE380" s="252"/>
      <c r="QSF380" s="252"/>
      <c r="QSG380" s="252"/>
      <c r="QSH380" s="252"/>
      <c r="QSI380" s="252"/>
      <c r="QSJ380" s="252"/>
      <c r="QSK380" s="252"/>
      <c r="QSL380" s="252"/>
      <c r="QSM380" s="252"/>
      <c r="QSN380" s="252"/>
      <c r="QSO380" s="252"/>
      <c r="QSP380" s="252"/>
      <c r="QSQ380" s="252"/>
      <c r="QSR380" s="252"/>
      <c r="QSS380" s="252"/>
      <c r="QST380" s="252"/>
      <c r="QSU380" s="252"/>
      <c r="QSV380" s="252"/>
      <c r="QSW380" s="252"/>
      <c r="QSX380" s="252"/>
      <c r="QSY380" s="252"/>
      <c r="QSZ380" s="252"/>
      <c r="QTA380" s="252"/>
      <c r="QTB380" s="252"/>
      <c r="QTC380" s="252"/>
      <c r="QTD380" s="252"/>
      <c r="QTE380" s="252"/>
      <c r="QTF380" s="252"/>
      <c r="QTG380" s="252"/>
      <c r="QTH380" s="252"/>
      <c r="QTI380" s="252"/>
      <c r="QTJ380" s="252"/>
      <c r="QTK380" s="252"/>
      <c r="QTL380" s="252"/>
      <c r="QTM380" s="252"/>
      <c r="QTN380" s="252"/>
      <c r="QTO380" s="252"/>
      <c r="QTP380" s="252"/>
      <c r="QTQ380" s="252"/>
      <c r="QTR380" s="252"/>
      <c r="QTS380" s="252"/>
      <c r="QTT380" s="252"/>
      <c r="QTU380" s="252"/>
      <c r="QTV380" s="252"/>
      <c r="QTW380" s="252"/>
      <c r="QTX380" s="252"/>
      <c r="QTY380" s="252"/>
      <c r="QTZ380" s="252"/>
      <c r="QUA380" s="252"/>
      <c r="QUB380" s="252"/>
      <c r="QUC380" s="252"/>
      <c r="QUD380" s="252"/>
      <c r="QUE380" s="252"/>
      <c r="QUF380" s="252"/>
      <c r="QUG380" s="252"/>
      <c r="QUH380" s="252"/>
      <c r="QUI380" s="252"/>
      <c r="QUJ380" s="252"/>
      <c r="QUK380" s="252"/>
      <c r="QUL380" s="252"/>
      <c r="QUM380" s="252"/>
      <c r="QUN380" s="252"/>
      <c r="QUO380" s="252"/>
      <c r="QUP380" s="252"/>
      <c r="QUQ380" s="252"/>
      <c r="QUR380" s="252"/>
      <c r="QUS380" s="252"/>
      <c r="QUT380" s="252"/>
      <c r="QUU380" s="252"/>
      <c r="QUV380" s="252"/>
      <c r="QUW380" s="252"/>
      <c r="QUX380" s="252"/>
      <c r="QUY380" s="252"/>
      <c r="QUZ380" s="252"/>
      <c r="QVA380" s="252"/>
      <c r="QVB380" s="252"/>
      <c r="QVC380" s="252"/>
      <c r="QVD380" s="252"/>
      <c r="QVE380" s="252"/>
      <c r="QVF380" s="252"/>
      <c r="QVG380" s="252"/>
      <c r="QVH380" s="252"/>
      <c r="QVI380" s="252"/>
      <c r="QVJ380" s="252"/>
      <c r="QVK380" s="252"/>
      <c r="QVL380" s="252"/>
      <c r="QVM380" s="252"/>
      <c r="QVN380" s="252"/>
      <c r="QVO380" s="252"/>
      <c r="QVP380" s="252"/>
      <c r="QVQ380" s="252"/>
      <c r="QVR380" s="252"/>
      <c r="QVS380" s="252"/>
      <c r="QVT380" s="252"/>
      <c r="QVU380" s="252"/>
      <c r="QVV380" s="252"/>
      <c r="QVW380" s="252"/>
      <c r="QVX380" s="252"/>
      <c r="QVY380" s="252"/>
      <c r="QVZ380" s="252"/>
      <c r="QWA380" s="252"/>
      <c r="QWB380" s="252"/>
      <c r="QWC380" s="252"/>
      <c r="QWD380" s="252"/>
      <c r="QWE380" s="252"/>
      <c r="QWF380" s="252"/>
      <c r="QWG380" s="252"/>
      <c r="QWH380" s="252"/>
      <c r="QWI380" s="252"/>
      <c r="QWJ380" s="252"/>
      <c r="QWK380" s="252"/>
      <c r="QWL380" s="252"/>
      <c r="QWM380" s="252"/>
      <c r="QWN380" s="252"/>
      <c r="QWO380" s="252"/>
      <c r="QWP380" s="252"/>
      <c r="QWQ380" s="252"/>
      <c r="QWR380" s="252"/>
      <c r="QWS380" s="252"/>
      <c r="QWT380" s="252"/>
      <c r="QWU380" s="252"/>
      <c r="QWV380" s="252"/>
      <c r="QWW380" s="252"/>
      <c r="QWX380" s="252"/>
      <c r="QWY380" s="252"/>
      <c r="QWZ380" s="252"/>
      <c r="QXA380" s="252"/>
      <c r="QXB380" s="252"/>
      <c r="QXC380" s="252"/>
      <c r="QXD380" s="252"/>
      <c r="QXE380" s="252"/>
      <c r="QXF380" s="252"/>
      <c r="QXG380" s="252"/>
      <c r="QXH380" s="252"/>
      <c r="QXI380" s="252"/>
      <c r="QXJ380" s="252"/>
      <c r="QXK380" s="252"/>
      <c r="QXL380" s="252"/>
      <c r="QXM380" s="252"/>
      <c r="QXN380" s="252"/>
      <c r="QXO380" s="252"/>
      <c r="QXP380" s="252"/>
      <c r="QXQ380" s="252"/>
      <c r="QXR380" s="252"/>
      <c r="QXS380" s="252"/>
      <c r="QXT380" s="252"/>
      <c r="QXU380" s="252"/>
      <c r="QXV380" s="252"/>
      <c r="QXW380" s="252"/>
      <c r="QXX380" s="252"/>
      <c r="QXY380" s="252"/>
      <c r="QXZ380" s="252"/>
      <c r="QYA380" s="252"/>
      <c r="QYB380" s="252"/>
      <c r="QYC380" s="252"/>
      <c r="QYD380" s="252"/>
      <c r="QYE380" s="252"/>
      <c r="QYF380" s="252"/>
      <c r="QYG380" s="252"/>
      <c r="QYH380" s="252"/>
      <c r="QYI380" s="252"/>
      <c r="QYJ380" s="252"/>
      <c r="QYK380" s="252"/>
      <c r="QYL380" s="252"/>
      <c r="QYM380" s="252"/>
      <c r="QYN380" s="252"/>
      <c r="QYO380" s="252"/>
      <c r="QYP380" s="252"/>
      <c r="QYQ380" s="252"/>
      <c r="QYR380" s="252"/>
      <c r="QYS380" s="252"/>
      <c r="QYT380" s="252"/>
      <c r="QYU380" s="252"/>
      <c r="QYV380" s="252"/>
      <c r="QYW380" s="252"/>
      <c r="QYX380" s="252"/>
      <c r="QYY380" s="252"/>
      <c r="QYZ380" s="252"/>
      <c r="QZA380" s="252"/>
      <c r="QZB380" s="252"/>
      <c r="QZC380" s="252"/>
      <c r="QZD380" s="252"/>
      <c r="QZE380" s="252"/>
      <c r="QZF380" s="252"/>
      <c r="QZG380" s="252"/>
      <c r="QZH380" s="252"/>
      <c r="QZI380" s="252"/>
      <c r="QZJ380" s="252"/>
      <c r="QZK380" s="252"/>
      <c r="QZL380" s="252"/>
      <c r="QZM380" s="252"/>
      <c r="QZN380" s="252"/>
      <c r="QZO380" s="252"/>
      <c r="QZP380" s="252"/>
      <c r="QZQ380" s="252"/>
      <c r="QZR380" s="252"/>
      <c r="QZS380" s="252"/>
      <c r="QZT380" s="252"/>
      <c r="QZU380" s="252"/>
      <c r="QZV380" s="252"/>
      <c r="QZW380" s="252"/>
      <c r="QZX380" s="252"/>
      <c r="QZY380" s="252"/>
      <c r="QZZ380" s="252"/>
      <c r="RAA380" s="252"/>
      <c r="RAB380" s="252"/>
      <c r="RAC380" s="252"/>
      <c r="RAD380" s="252"/>
      <c r="RAE380" s="252"/>
      <c r="RAF380" s="252"/>
      <c r="RAG380" s="252"/>
      <c r="RAH380" s="252"/>
      <c r="RAI380" s="252"/>
      <c r="RAJ380" s="252"/>
      <c r="RAK380" s="252"/>
      <c r="RAL380" s="252"/>
      <c r="RAM380" s="252"/>
      <c r="RAN380" s="252"/>
      <c r="RAO380" s="252"/>
      <c r="RAP380" s="252"/>
      <c r="RAQ380" s="252"/>
      <c r="RAR380" s="252"/>
      <c r="RAS380" s="252"/>
      <c r="RAT380" s="252"/>
      <c r="RAU380" s="252"/>
      <c r="RAV380" s="252"/>
      <c r="RAW380" s="252"/>
      <c r="RAX380" s="252"/>
      <c r="RAY380" s="252"/>
      <c r="RAZ380" s="252"/>
      <c r="RBA380" s="252"/>
      <c r="RBB380" s="252"/>
      <c r="RBC380" s="252"/>
      <c r="RBD380" s="252"/>
      <c r="RBE380" s="252"/>
      <c r="RBF380" s="252"/>
      <c r="RBG380" s="252"/>
      <c r="RBH380" s="252"/>
      <c r="RBI380" s="252"/>
      <c r="RBJ380" s="252"/>
      <c r="RBK380" s="252"/>
      <c r="RBL380" s="252"/>
      <c r="RBM380" s="252"/>
      <c r="RBN380" s="252"/>
      <c r="RBO380" s="252"/>
      <c r="RBP380" s="252"/>
      <c r="RBQ380" s="252"/>
      <c r="RBR380" s="252"/>
      <c r="RBS380" s="252"/>
      <c r="RBT380" s="252"/>
      <c r="RBU380" s="252"/>
      <c r="RBV380" s="252"/>
      <c r="RBW380" s="252"/>
      <c r="RBX380" s="252"/>
      <c r="RBY380" s="252"/>
      <c r="RBZ380" s="252"/>
      <c r="RCA380" s="252"/>
      <c r="RCB380" s="252"/>
      <c r="RCC380" s="252"/>
      <c r="RCD380" s="252"/>
      <c r="RCE380" s="252"/>
      <c r="RCF380" s="252"/>
      <c r="RCG380" s="252"/>
      <c r="RCH380" s="252"/>
      <c r="RCI380" s="252"/>
      <c r="RCJ380" s="252"/>
      <c r="RCK380" s="252"/>
      <c r="RCL380" s="252"/>
      <c r="RCM380" s="252"/>
      <c r="RCN380" s="252"/>
      <c r="RCO380" s="252"/>
      <c r="RCP380" s="252"/>
      <c r="RCQ380" s="252"/>
      <c r="RCR380" s="252"/>
      <c r="RCS380" s="252"/>
      <c r="RCT380" s="252"/>
      <c r="RCU380" s="252"/>
      <c r="RCV380" s="252"/>
      <c r="RCW380" s="252"/>
      <c r="RCX380" s="252"/>
      <c r="RCY380" s="252"/>
      <c r="RCZ380" s="252"/>
      <c r="RDA380" s="252"/>
      <c r="RDB380" s="252"/>
      <c r="RDC380" s="252"/>
      <c r="RDD380" s="252"/>
      <c r="RDE380" s="252"/>
      <c r="RDF380" s="252"/>
      <c r="RDG380" s="252"/>
      <c r="RDH380" s="252"/>
      <c r="RDI380" s="252"/>
      <c r="RDJ380" s="252"/>
      <c r="RDK380" s="252"/>
      <c r="RDL380" s="252"/>
      <c r="RDM380" s="252"/>
      <c r="RDN380" s="252"/>
      <c r="RDO380" s="252"/>
      <c r="RDP380" s="252"/>
      <c r="RDQ380" s="252"/>
      <c r="RDR380" s="252"/>
      <c r="RDS380" s="252"/>
      <c r="RDT380" s="252"/>
      <c r="RDU380" s="252"/>
      <c r="RDV380" s="252"/>
      <c r="RDW380" s="252"/>
      <c r="RDX380" s="252"/>
      <c r="RDY380" s="252"/>
      <c r="RDZ380" s="252"/>
      <c r="REA380" s="252"/>
      <c r="REB380" s="252"/>
      <c r="REC380" s="252"/>
      <c r="RED380" s="252"/>
      <c r="REE380" s="252"/>
      <c r="REF380" s="252"/>
      <c r="REG380" s="252"/>
      <c r="REH380" s="252"/>
      <c r="REI380" s="252"/>
      <c r="REJ380" s="252"/>
      <c r="REK380" s="252"/>
      <c r="REL380" s="252"/>
      <c r="REM380" s="252"/>
      <c r="REN380" s="252"/>
      <c r="REO380" s="252"/>
      <c r="REP380" s="252"/>
      <c r="REQ380" s="252"/>
      <c r="RER380" s="252"/>
      <c r="RES380" s="252"/>
      <c r="RET380" s="252"/>
      <c r="REU380" s="252"/>
      <c r="REV380" s="252"/>
      <c r="REW380" s="252"/>
      <c r="REX380" s="252"/>
      <c r="REY380" s="252"/>
      <c r="REZ380" s="252"/>
      <c r="RFA380" s="252"/>
      <c r="RFB380" s="252"/>
      <c r="RFC380" s="252"/>
      <c r="RFD380" s="252"/>
      <c r="RFE380" s="252"/>
      <c r="RFF380" s="252"/>
      <c r="RFG380" s="252"/>
      <c r="RFH380" s="252"/>
      <c r="RFI380" s="252"/>
      <c r="RFJ380" s="252"/>
      <c r="RFK380" s="252"/>
      <c r="RFL380" s="252"/>
      <c r="RFM380" s="252"/>
      <c r="RFN380" s="252"/>
      <c r="RFO380" s="252"/>
      <c r="RFP380" s="252"/>
      <c r="RFQ380" s="252"/>
      <c r="RFR380" s="252"/>
      <c r="RFS380" s="252"/>
      <c r="RFT380" s="252"/>
      <c r="RFU380" s="252"/>
      <c r="RFV380" s="252"/>
      <c r="RFW380" s="252"/>
      <c r="RFX380" s="252"/>
      <c r="RFY380" s="252"/>
      <c r="RFZ380" s="252"/>
      <c r="RGA380" s="252"/>
      <c r="RGB380" s="252"/>
      <c r="RGC380" s="252"/>
      <c r="RGD380" s="252"/>
      <c r="RGE380" s="252"/>
      <c r="RGF380" s="252"/>
      <c r="RGG380" s="252"/>
      <c r="RGH380" s="252"/>
      <c r="RGI380" s="252"/>
      <c r="RGJ380" s="252"/>
      <c r="RGK380" s="252"/>
      <c r="RGL380" s="252"/>
      <c r="RGM380" s="252"/>
      <c r="RGN380" s="252"/>
      <c r="RGO380" s="252"/>
      <c r="RGP380" s="252"/>
      <c r="RGQ380" s="252"/>
      <c r="RGR380" s="252"/>
      <c r="RGS380" s="252"/>
      <c r="RGT380" s="252"/>
      <c r="RGU380" s="252"/>
      <c r="RGV380" s="252"/>
      <c r="RGW380" s="252"/>
      <c r="RGX380" s="252"/>
      <c r="RGY380" s="252"/>
      <c r="RGZ380" s="252"/>
      <c r="RHA380" s="252"/>
      <c r="RHB380" s="252"/>
      <c r="RHC380" s="252"/>
      <c r="RHD380" s="252"/>
      <c r="RHE380" s="252"/>
      <c r="RHF380" s="252"/>
      <c r="RHG380" s="252"/>
      <c r="RHH380" s="252"/>
      <c r="RHI380" s="252"/>
      <c r="RHJ380" s="252"/>
      <c r="RHK380" s="252"/>
      <c r="RHL380" s="252"/>
      <c r="RHM380" s="252"/>
      <c r="RHN380" s="252"/>
      <c r="RHO380" s="252"/>
      <c r="RHP380" s="252"/>
      <c r="RHQ380" s="252"/>
      <c r="RHR380" s="252"/>
      <c r="RHS380" s="252"/>
      <c r="RHT380" s="252"/>
      <c r="RHU380" s="252"/>
      <c r="RHV380" s="252"/>
      <c r="RHW380" s="252"/>
      <c r="RHX380" s="252"/>
      <c r="RHY380" s="252"/>
      <c r="RHZ380" s="252"/>
      <c r="RIA380" s="252"/>
      <c r="RIB380" s="252"/>
      <c r="RIC380" s="252"/>
      <c r="RID380" s="252"/>
      <c r="RIE380" s="252"/>
      <c r="RIF380" s="252"/>
      <c r="RIG380" s="252"/>
      <c r="RIH380" s="252"/>
      <c r="RII380" s="252"/>
      <c r="RIJ380" s="252"/>
      <c r="RIK380" s="252"/>
      <c r="RIL380" s="252"/>
      <c r="RIM380" s="252"/>
      <c r="RIN380" s="252"/>
      <c r="RIO380" s="252"/>
      <c r="RIP380" s="252"/>
      <c r="RIQ380" s="252"/>
      <c r="RIR380" s="252"/>
      <c r="RIS380" s="252"/>
      <c r="RIT380" s="252"/>
      <c r="RIU380" s="252"/>
      <c r="RIV380" s="252"/>
      <c r="RIW380" s="252"/>
      <c r="RIX380" s="252"/>
      <c r="RIY380" s="252"/>
      <c r="RIZ380" s="252"/>
      <c r="RJA380" s="252"/>
      <c r="RJB380" s="252"/>
      <c r="RJC380" s="252"/>
      <c r="RJD380" s="252"/>
      <c r="RJE380" s="252"/>
      <c r="RJF380" s="252"/>
      <c r="RJG380" s="252"/>
      <c r="RJH380" s="252"/>
      <c r="RJI380" s="252"/>
      <c r="RJJ380" s="252"/>
      <c r="RJK380" s="252"/>
      <c r="RJL380" s="252"/>
      <c r="RJM380" s="252"/>
      <c r="RJN380" s="252"/>
      <c r="RJO380" s="252"/>
      <c r="RJP380" s="252"/>
      <c r="RJQ380" s="252"/>
      <c r="RJR380" s="252"/>
      <c r="RJS380" s="252"/>
      <c r="RJT380" s="252"/>
      <c r="RJU380" s="252"/>
      <c r="RJV380" s="252"/>
      <c r="RJW380" s="252"/>
      <c r="RJX380" s="252"/>
      <c r="RJY380" s="252"/>
      <c r="RJZ380" s="252"/>
      <c r="RKA380" s="252"/>
      <c r="RKB380" s="252"/>
      <c r="RKC380" s="252"/>
      <c r="RKD380" s="252"/>
      <c r="RKE380" s="252"/>
      <c r="RKF380" s="252"/>
      <c r="RKG380" s="252"/>
      <c r="RKH380" s="252"/>
      <c r="RKI380" s="252"/>
      <c r="RKJ380" s="252"/>
      <c r="RKK380" s="252"/>
      <c r="RKL380" s="252"/>
      <c r="RKM380" s="252"/>
      <c r="RKN380" s="252"/>
      <c r="RKO380" s="252"/>
      <c r="RKP380" s="252"/>
      <c r="RKQ380" s="252"/>
      <c r="RKR380" s="252"/>
      <c r="RKS380" s="252"/>
      <c r="RKT380" s="252"/>
      <c r="RKU380" s="252"/>
      <c r="RKV380" s="252"/>
      <c r="RKW380" s="252"/>
      <c r="RKX380" s="252"/>
      <c r="RKY380" s="252"/>
      <c r="RKZ380" s="252"/>
      <c r="RLA380" s="252"/>
      <c r="RLB380" s="252"/>
      <c r="RLC380" s="252"/>
      <c r="RLD380" s="252"/>
      <c r="RLE380" s="252"/>
      <c r="RLF380" s="252"/>
      <c r="RLG380" s="252"/>
      <c r="RLH380" s="252"/>
      <c r="RLI380" s="252"/>
      <c r="RLJ380" s="252"/>
      <c r="RLK380" s="252"/>
      <c r="RLL380" s="252"/>
      <c r="RLM380" s="252"/>
      <c r="RLN380" s="252"/>
      <c r="RLO380" s="252"/>
      <c r="RLP380" s="252"/>
      <c r="RLQ380" s="252"/>
      <c r="RLR380" s="252"/>
      <c r="RLS380" s="252"/>
      <c r="RLT380" s="252"/>
      <c r="RLU380" s="252"/>
      <c r="RLV380" s="252"/>
      <c r="RLW380" s="252"/>
      <c r="RLX380" s="252"/>
      <c r="RLY380" s="252"/>
      <c r="RLZ380" s="252"/>
      <c r="RMA380" s="252"/>
      <c r="RMB380" s="252"/>
      <c r="RMC380" s="252"/>
      <c r="RMD380" s="252"/>
      <c r="RME380" s="252"/>
      <c r="RMF380" s="252"/>
      <c r="RMG380" s="252"/>
      <c r="RMH380" s="252"/>
      <c r="RMI380" s="252"/>
      <c r="RMJ380" s="252"/>
      <c r="RMK380" s="252"/>
      <c r="RML380" s="252"/>
      <c r="RMM380" s="252"/>
      <c r="RMN380" s="252"/>
      <c r="RMO380" s="252"/>
      <c r="RMP380" s="252"/>
      <c r="RMQ380" s="252"/>
      <c r="RMR380" s="252"/>
      <c r="RMS380" s="252"/>
      <c r="RMT380" s="252"/>
      <c r="RMU380" s="252"/>
      <c r="RMV380" s="252"/>
      <c r="RMW380" s="252"/>
      <c r="RMX380" s="252"/>
      <c r="RMY380" s="252"/>
      <c r="RMZ380" s="252"/>
      <c r="RNA380" s="252"/>
      <c r="RNB380" s="252"/>
      <c r="RNC380" s="252"/>
      <c r="RND380" s="252"/>
      <c r="RNE380" s="252"/>
      <c r="RNF380" s="252"/>
      <c r="RNG380" s="252"/>
      <c r="RNH380" s="252"/>
      <c r="RNI380" s="252"/>
      <c r="RNJ380" s="252"/>
      <c r="RNK380" s="252"/>
      <c r="RNL380" s="252"/>
      <c r="RNM380" s="252"/>
      <c r="RNN380" s="252"/>
      <c r="RNO380" s="252"/>
      <c r="RNP380" s="252"/>
      <c r="RNQ380" s="252"/>
      <c r="RNR380" s="252"/>
      <c r="RNS380" s="252"/>
      <c r="RNT380" s="252"/>
      <c r="RNU380" s="252"/>
      <c r="RNV380" s="252"/>
      <c r="RNW380" s="252"/>
      <c r="RNX380" s="252"/>
      <c r="RNY380" s="252"/>
      <c r="RNZ380" s="252"/>
      <c r="ROA380" s="252"/>
      <c r="ROB380" s="252"/>
      <c r="ROC380" s="252"/>
      <c r="ROD380" s="252"/>
      <c r="ROE380" s="252"/>
      <c r="ROF380" s="252"/>
      <c r="ROG380" s="252"/>
      <c r="ROH380" s="252"/>
      <c r="ROI380" s="252"/>
      <c r="ROJ380" s="252"/>
      <c r="ROK380" s="252"/>
      <c r="ROL380" s="252"/>
      <c r="ROM380" s="252"/>
      <c r="RON380" s="252"/>
      <c r="ROO380" s="252"/>
      <c r="ROP380" s="252"/>
      <c r="ROQ380" s="252"/>
      <c r="ROR380" s="252"/>
      <c r="ROS380" s="252"/>
      <c r="ROT380" s="252"/>
      <c r="ROU380" s="252"/>
      <c r="ROV380" s="252"/>
      <c r="ROW380" s="252"/>
      <c r="ROX380" s="252"/>
      <c r="ROY380" s="252"/>
      <c r="ROZ380" s="252"/>
      <c r="RPA380" s="252"/>
      <c r="RPB380" s="252"/>
      <c r="RPC380" s="252"/>
      <c r="RPD380" s="252"/>
      <c r="RPE380" s="252"/>
      <c r="RPF380" s="252"/>
      <c r="RPG380" s="252"/>
      <c r="RPH380" s="252"/>
      <c r="RPI380" s="252"/>
      <c r="RPJ380" s="252"/>
      <c r="RPK380" s="252"/>
      <c r="RPL380" s="252"/>
      <c r="RPM380" s="252"/>
      <c r="RPN380" s="252"/>
      <c r="RPO380" s="252"/>
      <c r="RPP380" s="252"/>
      <c r="RPQ380" s="252"/>
      <c r="RPR380" s="252"/>
      <c r="RPS380" s="252"/>
      <c r="RPT380" s="252"/>
      <c r="RPU380" s="252"/>
      <c r="RPV380" s="252"/>
      <c r="RPW380" s="252"/>
      <c r="RPX380" s="252"/>
      <c r="RPY380" s="252"/>
      <c r="RPZ380" s="252"/>
      <c r="RQA380" s="252"/>
      <c r="RQB380" s="252"/>
      <c r="RQC380" s="252"/>
      <c r="RQD380" s="252"/>
      <c r="RQE380" s="252"/>
      <c r="RQF380" s="252"/>
      <c r="RQG380" s="252"/>
      <c r="RQH380" s="252"/>
      <c r="RQI380" s="252"/>
      <c r="RQJ380" s="252"/>
      <c r="RQK380" s="252"/>
      <c r="RQL380" s="252"/>
      <c r="RQM380" s="252"/>
      <c r="RQN380" s="252"/>
      <c r="RQO380" s="252"/>
      <c r="RQP380" s="252"/>
      <c r="RQQ380" s="252"/>
      <c r="RQR380" s="252"/>
      <c r="RQS380" s="252"/>
      <c r="RQT380" s="252"/>
      <c r="RQU380" s="252"/>
      <c r="RQV380" s="252"/>
      <c r="RQW380" s="252"/>
      <c r="RQX380" s="252"/>
      <c r="RQY380" s="252"/>
      <c r="RQZ380" s="252"/>
      <c r="RRA380" s="252"/>
      <c r="RRB380" s="252"/>
      <c r="RRC380" s="252"/>
      <c r="RRD380" s="252"/>
      <c r="RRE380" s="252"/>
      <c r="RRF380" s="252"/>
      <c r="RRG380" s="252"/>
      <c r="RRH380" s="252"/>
      <c r="RRI380" s="252"/>
      <c r="RRJ380" s="252"/>
      <c r="RRK380" s="252"/>
      <c r="RRL380" s="252"/>
      <c r="RRM380" s="252"/>
      <c r="RRN380" s="252"/>
      <c r="RRO380" s="252"/>
      <c r="RRP380" s="252"/>
      <c r="RRQ380" s="252"/>
      <c r="RRR380" s="252"/>
      <c r="RRS380" s="252"/>
      <c r="RRT380" s="252"/>
      <c r="RRU380" s="252"/>
      <c r="RRV380" s="252"/>
      <c r="RRW380" s="252"/>
      <c r="RRX380" s="252"/>
      <c r="RRY380" s="252"/>
      <c r="RRZ380" s="252"/>
      <c r="RSA380" s="252"/>
      <c r="RSB380" s="252"/>
      <c r="RSC380" s="252"/>
      <c r="RSD380" s="252"/>
      <c r="RSE380" s="252"/>
      <c r="RSF380" s="252"/>
      <c r="RSG380" s="252"/>
      <c r="RSH380" s="252"/>
      <c r="RSI380" s="252"/>
      <c r="RSJ380" s="252"/>
      <c r="RSK380" s="252"/>
      <c r="RSL380" s="252"/>
      <c r="RSM380" s="252"/>
      <c r="RSN380" s="252"/>
      <c r="RSO380" s="252"/>
      <c r="RSP380" s="252"/>
      <c r="RSQ380" s="252"/>
      <c r="RSR380" s="252"/>
      <c r="RSS380" s="252"/>
      <c r="RST380" s="252"/>
      <c r="RSU380" s="252"/>
      <c r="RSV380" s="252"/>
      <c r="RSW380" s="252"/>
      <c r="RSX380" s="252"/>
      <c r="RSY380" s="252"/>
      <c r="RSZ380" s="252"/>
      <c r="RTA380" s="252"/>
      <c r="RTB380" s="252"/>
      <c r="RTC380" s="252"/>
      <c r="RTD380" s="252"/>
      <c r="RTE380" s="252"/>
      <c r="RTF380" s="252"/>
      <c r="RTG380" s="252"/>
      <c r="RTH380" s="252"/>
      <c r="RTI380" s="252"/>
      <c r="RTJ380" s="252"/>
      <c r="RTK380" s="252"/>
      <c r="RTL380" s="252"/>
      <c r="RTM380" s="252"/>
      <c r="RTN380" s="252"/>
      <c r="RTO380" s="252"/>
      <c r="RTP380" s="252"/>
      <c r="RTQ380" s="252"/>
      <c r="RTR380" s="252"/>
      <c r="RTS380" s="252"/>
      <c r="RTT380" s="252"/>
      <c r="RTU380" s="252"/>
      <c r="RTV380" s="252"/>
      <c r="RTW380" s="252"/>
      <c r="RTX380" s="252"/>
      <c r="RTY380" s="252"/>
      <c r="RTZ380" s="252"/>
      <c r="RUA380" s="252"/>
      <c r="RUB380" s="252"/>
      <c r="RUC380" s="252"/>
      <c r="RUD380" s="252"/>
      <c r="RUE380" s="252"/>
      <c r="RUF380" s="252"/>
      <c r="RUG380" s="252"/>
      <c r="RUH380" s="252"/>
      <c r="RUI380" s="252"/>
      <c r="RUJ380" s="252"/>
      <c r="RUK380" s="252"/>
      <c r="RUL380" s="252"/>
      <c r="RUM380" s="252"/>
      <c r="RUN380" s="252"/>
      <c r="RUO380" s="252"/>
      <c r="RUP380" s="252"/>
      <c r="RUQ380" s="252"/>
      <c r="RUR380" s="252"/>
      <c r="RUS380" s="252"/>
      <c r="RUT380" s="252"/>
      <c r="RUU380" s="252"/>
      <c r="RUV380" s="252"/>
      <c r="RUW380" s="252"/>
      <c r="RUX380" s="252"/>
      <c r="RUY380" s="252"/>
      <c r="RUZ380" s="252"/>
      <c r="RVA380" s="252"/>
      <c r="RVB380" s="252"/>
      <c r="RVC380" s="252"/>
      <c r="RVD380" s="252"/>
      <c r="RVE380" s="252"/>
      <c r="RVF380" s="252"/>
      <c r="RVG380" s="252"/>
      <c r="RVH380" s="252"/>
      <c r="RVI380" s="252"/>
      <c r="RVJ380" s="252"/>
      <c r="RVK380" s="252"/>
      <c r="RVL380" s="252"/>
      <c r="RVM380" s="252"/>
      <c r="RVN380" s="252"/>
      <c r="RVO380" s="252"/>
      <c r="RVP380" s="252"/>
      <c r="RVQ380" s="252"/>
      <c r="RVR380" s="252"/>
      <c r="RVS380" s="252"/>
      <c r="RVT380" s="252"/>
      <c r="RVU380" s="252"/>
      <c r="RVV380" s="252"/>
      <c r="RVW380" s="252"/>
      <c r="RVX380" s="252"/>
      <c r="RVY380" s="252"/>
      <c r="RVZ380" s="252"/>
      <c r="RWA380" s="252"/>
      <c r="RWB380" s="252"/>
      <c r="RWC380" s="252"/>
      <c r="RWD380" s="252"/>
      <c r="RWE380" s="252"/>
      <c r="RWF380" s="252"/>
      <c r="RWG380" s="252"/>
      <c r="RWH380" s="252"/>
      <c r="RWI380" s="252"/>
      <c r="RWJ380" s="252"/>
      <c r="RWK380" s="252"/>
      <c r="RWL380" s="252"/>
      <c r="RWM380" s="252"/>
      <c r="RWN380" s="252"/>
      <c r="RWO380" s="252"/>
      <c r="RWP380" s="252"/>
      <c r="RWQ380" s="252"/>
      <c r="RWR380" s="252"/>
      <c r="RWS380" s="252"/>
      <c r="RWT380" s="252"/>
      <c r="RWU380" s="252"/>
      <c r="RWV380" s="252"/>
      <c r="RWW380" s="252"/>
      <c r="RWX380" s="252"/>
      <c r="RWY380" s="252"/>
      <c r="RWZ380" s="252"/>
      <c r="RXA380" s="252"/>
      <c r="RXB380" s="252"/>
      <c r="RXC380" s="252"/>
      <c r="RXD380" s="252"/>
      <c r="RXE380" s="252"/>
      <c r="RXF380" s="252"/>
      <c r="RXG380" s="252"/>
      <c r="RXH380" s="252"/>
      <c r="RXI380" s="252"/>
      <c r="RXJ380" s="252"/>
      <c r="RXK380" s="252"/>
      <c r="RXL380" s="252"/>
      <c r="RXM380" s="252"/>
      <c r="RXN380" s="252"/>
      <c r="RXO380" s="252"/>
      <c r="RXP380" s="252"/>
      <c r="RXQ380" s="252"/>
      <c r="RXR380" s="252"/>
      <c r="RXS380" s="252"/>
      <c r="RXT380" s="252"/>
      <c r="RXU380" s="252"/>
      <c r="RXV380" s="252"/>
      <c r="RXW380" s="252"/>
      <c r="RXX380" s="252"/>
      <c r="RXY380" s="252"/>
      <c r="RXZ380" s="252"/>
      <c r="RYA380" s="252"/>
      <c r="RYB380" s="252"/>
      <c r="RYC380" s="252"/>
      <c r="RYD380" s="252"/>
      <c r="RYE380" s="252"/>
      <c r="RYF380" s="252"/>
      <c r="RYG380" s="252"/>
      <c r="RYH380" s="252"/>
      <c r="RYI380" s="252"/>
      <c r="RYJ380" s="252"/>
      <c r="RYK380" s="252"/>
      <c r="RYL380" s="252"/>
      <c r="RYM380" s="252"/>
      <c r="RYN380" s="252"/>
      <c r="RYO380" s="252"/>
      <c r="RYP380" s="252"/>
      <c r="RYQ380" s="252"/>
      <c r="RYR380" s="252"/>
      <c r="RYS380" s="252"/>
      <c r="RYT380" s="252"/>
      <c r="RYU380" s="252"/>
      <c r="RYV380" s="252"/>
      <c r="RYW380" s="252"/>
      <c r="RYX380" s="252"/>
      <c r="RYY380" s="252"/>
      <c r="RYZ380" s="252"/>
      <c r="RZA380" s="252"/>
      <c r="RZB380" s="252"/>
      <c r="RZC380" s="252"/>
      <c r="RZD380" s="252"/>
      <c r="RZE380" s="252"/>
      <c r="RZF380" s="252"/>
      <c r="RZG380" s="252"/>
      <c r="RZH380" s="252"/>
      <c r="RZI380" s="252"/>
      <c r="RZJ380" s="252"/>
      <c r="RZK380" s="252"/>
      <c r="RZL380" s="252"/>
      <c r="RZM380" s="252"/>
      <c r="RZN380" s="252"/>
      <c r="RZO380" s="252"/>
      <c r="RZP380" s="252"/>
      <c r="RZQ380" s="252"/>
      <c r="RZR380" s="252"/>
      <c r="RZS380" s="252"/>
      <c r="RZT380" s="252"/>
      <c r="RZU380" s="252"/>
      <c r="RZV380" s="252"/>
      <c r="RZW380" s="252"/>
      <c r="RZX380" s="252"/>
      <c r="RZY380" s="252"/>
      <c r="RZZ380" s="252"/>
      <c r="SAA380" s="252"/>
      <c r="SAB380" s="252"/>
      <c r="SAC380" s="252"/>
      <c r="SAD380" s="252"/>
      <c r="SAE380" s="252"/>
      <c r="SAF380" s="252"/>
      <c r="SAG380" s="252"/>
      <c r="SAH380" s="252"/>
      <c r="SAI380" s="252"/>
      <c r="SAJ380" s="252"/>
      <c r="SAK380" s="252"/>
      <c r="SAL380" s="252"/>
      <c r="SAM380" s="252"/>
      <c r="SAN380" s="252"/>
      <c r="SAO380" s="252"/>
      <c r="SAP380" s="252"/>
      <c r="SAQ380" s="252"/>
      <c r="SAR380" s="252"/>
      <c r="SAS380" s="252"/>
      <c r="SAT380" s="252"/>
      <c r="SAU380" s="252"/>
      <c r="SAV380" s="252"/>
      <c r="SAW380" s="252"/>
      <c r="SAX380" s="252"/>
      <c r="SAY380" s="252"/>
      <c r="SAZ380" s="252"/>
      <c r="SBA380" s="252"/>
      <c r="SBB380" s="252"/>
      <c r="SBC380" s="252"/>
      <c r="SBD380" s="252"/>
      <c r="SBE380" s="252"/>
      <c r="SBF380" s="252"/>
      <c r="SBG380" s="252"/>
      <c r="SBH380" s="252"/>
      <c r="SBI380" s="252"/>
      <c r="SBJ380" s="252"/>
      <c r="SBK380" s="252"/>
      <c r="SBL380" s="252"/>
      <c r="SBM380" s="252"/>
      <c r="SBN380" s="252"/>
      <c r="SBO380" s="252"/>
      <c r="SBP380" s="252"/>
      <c r="SBQ380" s="252"/>
      <c r="SBR380" s="252"/>
      <c r="SBS380" s="252"/>
      <c r="SBT380" s="252"/>
      <c r="SBU380" s="252"/>
      <c r="SBV380" s="252"/>
      <c r="SBW380" s="252"/>
      <c r="SBX380" s="252"/>
      <c r="SBY380" s="252"/>
      <c r="SBZ380" s="252"/>
      <c r="SCA380" s="252"/>
      <c r="SCB380" s="252"/>
      <c r="SCC380" s="252"/>
      <c r="SCD380" s="252"/>
      <c r="SCE380" s="252"/>
      <c r="SCF380" s="252"/>
      <c r="SCG380" s="252"/>
      <c r="SCH380" s="252"/>
      <c r="SCI380" s="252"/>
      <c r="SCJ380" s="252"/>
      <c r="SCK380" s="252"/>
      <c r="SCL380" s="252"/>
      <c r="SCM380" s="252"/>
      <c r="SCN380" s="252"/>
      <c r="SCO380" s="252"/>
      <c r="SCP380" s="252"/>
      <c r="SCQ380" s="252"/>
      <c r="SCR380" s="252"/>
      <c r="SCS380" s="252"/>
      <c r="SCT380" s="252"/>
      <c r="SCU380" s="252"/>
      <c r="SCV380" s="252"/>
      <c r="SCW380" s="252"/>
      <c r="SCX380" s="252"/>
      <c r="SCY380" s="252"/>
      <c r="SCZ380" s="252"/>
      <c r="SDA380" s="252"/>
      <c r="SDB380" s="252"/>
      <c r="SDC380" s="252"/>
      <c r="SDD380" s="252"/>
      <c r="SDE380" s="252"/>
      <c r="SDF380" s="252"/>
      <c r="SDG380" s="252"/>
      <c r="SDH380" s="252"/>
      <c r="SDI380" s="252"/>
      <c r="SDJ380" s="252"/>
      <c r="SDK380" s="252"/>
      <c r="SDL380" s="252"/>
      <c r="SDM380" s="252"/>
      <c r="SDN380" s="252"/>
      <c r="SDO380" s="252"/>
      <c r="SDP380" s="252"/>
      <c r="SDQ380" s="252"/>
      <c r="SDR380" s="252"/>
      <c r="SDS380" s="252"/>
      <c r="SDT380" s="252"/>
      <c r="SDU380" s="252"/>
      <c r="SDV380" s="252"/>
      <c r="SDW380" s="252"/>
      <c r="SDX380" s="252"/>
      <c r="SDY380" s="252"/>
      <c r="SDZ380" s="252"/>
      <c r="SEA380" s="252"/>
      <c r="SEB380" s="252"/>
      <c r="SEC380" s="252"/>
      <c r="SED380" s="252"/>
      <c r="SEE380" s="252"/>
      <c r="SEF380" s="252"/>
      <c r="SEG380" s="252"/>
      <c r="SEH380" s="252"/>
      <c r="SEI380" s="252"/>
      <c r="SEJ380" s="252"/>
      <c r="SEK380" s="252"/>
      <c r="SEL380" s="252"/>
      <c r="SEM380" s="252"/>
      <c r="SEN380" s="252"/>
      <c r="SEO380" s="252"/>
      <c r="SEP380" s="252"/>
      <c r="SEQ380" s="252"/>
      <c r="SER380" s="252"/>
      <c r="SES380" s="252"/>
      <c r="SET380" s="252"/>
      <c r="SEU380" s="252"/>
      <c r="SEV380" s="252"/>
      <c r="SEW380" s="252"/>
      <c r="SEX380" s="252"/>
      <c r="SEY380" s="252"/>
      <c r="SEZ380" s="252"/>
      <c r="SFA380" s="252"/>
      <c r="SFB380" s="252"/>
      <c r="SFC380" s="252"/>
      <c r="SFD380" s="252"/>
      <c r="SFE380" s="252"/>
      <c r="SFF380" s="252"/>
      <c r="SFG380" s="252"/>
      <c r="SFH380" s="252"/>
      <c r="SFI380" s="252"/>
      <c r="SFJ380" s="252"/>
      <c r="SFK380" s="252"/>
      <c r="SFL380" s="252"/>
      <c r="SFM380" s="252"/>
      <c r="SFN380" s="252"/>
      <c r="SFO380" s="252"/>
      <c r="SFP380" s="252"/>
      <c r="SFQ380" s="252"/>
      <c r="SFR380" s="252"/>
      <c r="SFS380" s="252"/>
      <c r="SFT380" s="252"/>
      <c r="SFU380" s="252"/>
      <c r="SFV380" s="252"/>
      <c r="SFW380" s="252"/>
      <c r="SFX380" s="252"/>
      <c r="SFY380" s="252"/>
      <c r="SFZ380" s="252"/>
      <c r="SGA380" s="252"/>
      <c r="SGB380" s="252"/>
      <c r="SGC380" s="252"/>
      <c r="SGD380" s="252"/>
      <c r="SGE380" s="252"/>
      <c r="SGF380" s="252"/>
      <c r="SGG380" s="252"/>
      <c r="SGH380" s="252"/>
      <c r="SGI380" s="252"/>
      <c r="SGJ380" s="252"/>
      <c r="SGK380" s="252"/>
      <c r="SGL380" s="252"/>
      <c r="SGM380" s="252"/>
      <c r="SGN380" s="252"/>
      <c r="SGO380" s="252"/>
      <c r="SGP380" s="252"/>
      <c r="SGQ380" s="252"/>
      <c r="SGR380" s="252"/>
      <c r="SGS380" s="252"/>
      <c r="SGT380" s="252"/>
      <c r="SGU380" s="252"/>
      <c r="SGV380" s="252"/>
      <c r="SGW380" s="252"/>
      <c r="SGX380" s="252"/>
      <c r="SGY380" s="252"/>
      <c r="SGZ380" s="252"/>
      <c r="SHA380" s="252"/>
      <c r="SHB380" s="252"/>
      <c r="SHC380" s="252"/>
      <c r="SHD380" s="252"/>
      <c r="SHE380" s="252"/>
      <c r="SHF380" s="252"/>
      <c r="SHG380" s="252"/>
      <c r="SHH380" s="252"/>
      <c r="SHI380" s="252"/>
      <c r="SHJ380" s="252"/>
      <c r="SHK380" s="252"/>
      <c r="SHL380" s="252"/>
      <c r="SHM380" s="252"/>
      <c r="SHN380" s="252"/>
      <c r="SHO380" s="252"/>
      <c r="SHP380" s="252"/>
      <c r="SHQ380" s="252"/>
      <c r="SHR380" s="252"/>
      <c r="SHS380" s="252"/>
      <c r="SHT380" s="252"/>
      <c r="SHU380" s="252"/>
      <c r="SHV380" s="252"/>
      <c r="SHW380" s="252"/>
      <c r="SHX380" s="252"/>
      <c r="SHY380" s="252"/>
      <c r="SHZ380" s="252"/>
      <c r="SIA380" s="252"/>
      <c r="SIB380" s="252"/>
      <c r="SIC380" s="252"/>
      <c r="SID380" s="252"/>
      <c r="SIE380" s="252"/>
      <c r="SIF380" s="252"/>
      <c r="SIG380" s="252"/>
      <c r="SIH380" s="252"/>
      <c r="SII380" s="252"/>
      <c r="SIJ380" s="252"/>
      <c r="SIK380" s="252"/>
      <c r="SIL380" s="252"/>
      <c r="SIM380" s="252"/>
      <c r="SIN380" s="252"/>
      <c r="SIO380" s="252"/>
      <c r="SIP380" s="252"/>
      <c r="SIQ380" s="252"/>
      <c r="SIR380" s="252"/>
      <c r="SIS380" s="252"/>
      <c r="SIT380" s="252"/>
      <c r="SIU380" s="252"/>
      <c r="SIV380" s="252"/>
      <c r="SIW380" s="252"/>
      <c r="SIX380" s="252"/>
      <c r="SIY380" s="252"/>
      <c r="SIZ380" s="252"/>
      <c r="SJA380" s="252"/>
      <c r="SJB380" s="252"/>
      <c r="SJC380" s="252"/>
      <c r="SJD380" s="252"/>
      <c r="SJE380" s="252"/>
      <c r="SJF380" s="252"/>
      <c r="SJG380" s="252"/>
      <c r="SJH380" s="252"/>
      <c r="SJI380" s="252"/>
      <c r="SJJ380" s="252"/>
      <c r="SJK380" s="252"/>
      <c r="SJL380" s="252"/>
      <c r="SJM380" s="252"/>
      <c r="SJN380" s="252"/>
      <c r="SJO380" s="252"/>
      <c r="SJP380" s="252"/>
      <c r="SJQ380" s="252"/>
      <c r="SJR380" s="252"/>
      <c r="SJS380" s="252"/>
      <c r="SJT380" s="252"/>
      <c r="SJU380" s="252"/>
      <c r="SJV380" s="252"/>
      <c r="SJW380" s="252"/>
      <c r="SJX380" s="252"/>
      <c r="SJY380" s="252"/>
      <c r="SJZ380" s="252"/>
      <c r="SKA380" s="252"/>
      <c r="SKB380" s="252"/>
      <c r="SKC380" s="252"/>
      <c r="SKD380" s="252"/>
      <c r="SKE380" s="252"/>
      <c r="SKF380" s="252"/>
      <c r="SKG380" s="252"/>
      <c r="SKH380" s="252"/>
      <c r="SKI380" s="252"/>
      <c r="SKJ380" s="252"/>
      <c r="SKK380" s="252"/>
      <c r="SKL380" s="252"/>
      <c r="SKM380" s="252"/>
      <c r="SKN380" s="252"/>
      <c r="SKO380" s="252"/>
      <c r="SKP380" s="252"/>
      <c r="SKQ380" s="252"/>
      <c r="SKR380" s="252"/>
      <c r="SKS380" s="252"/>
      <c r="SKT380" s="252"/>
      <c r="SKU380" s="252"/>
      <c r="SKV380" s="252"/>
      <c r="SKW380" s="252"/>
      <c r="SKX380" s="252"/>
      <c r="SKY380" s="252"/>
      <c r="SKZ380" s="252"/>
      <c r="SLA380" s="252"/>
      <c r="SLB380" s="252"/>
      <c r="SLC380" s="252"/>
      <c r="SLD380" s="252"/>
      <c r="SLE380" s="252"/>
      <c r="SLF380" s="252"/>
      <c r="SLG380" s="252"/>
      <c r="SLH380" s="252"/>
      <c r="SLI380" s="252"/>
      <c r="SLJ380" s="252"/>
      <c r="SLK380" s="252"/>
      <c r="SLL380" s="252"/>
      <c r="SLM380" s="252"/>
      <c r="SLN380" s="252"/>
      <c r="SLO380" s="252"/>
      <c r="SLP380" s="252"/>
      <c r="SLQ380" s="252"/>
      <c r="SLR380" s="252"/>
      <c r="SLS380" s="252"/>
      <c r="SLT380" s="252"/>
      <c r="SLU380" s="252"/>
      <c r="SLV380" s="252"/>
      <c r="SLW380" s="252"/>
      <c r="SLX380" s="252"/>
      <c r="SLY380" s="252"/>
      <c r="SLZ380" s="252"/>
      <c r="SMA380" s="252"/>
      <c r="SMB380" s="252"/>
      <c r="SMC380" s="252"/>
      <c r="SMD380" s="252"/>
      <c r="SME380" s="252"/>
      <c r="SMF380" s="252"/>
      <c r="SMG380" s="252"/>
      <c r="SMH380" s="252"/>
      <c r="SMI380" s="252"/>
      <c r="SMJ380" s="252"/>
      <c r="SMK380" s="252"/>
      <c r="SML380" s="252"/>
      <c r="SMM380" s="252"/>
      <c r="SMN380" s="252"/>
      <c r="SMO380" s="252"/>
      <c r="SMP380" s="252"/>
      <c r="SMQ380" s="252"/>
      <c r="SMR380" s="252"/>
      <c r="SMS380" s="252"/>
      <c r="SMT380" s="252"/>
      <c r="SMU380" s="252"/>
      <c r="SMV380" s="252"/>
      <c r="SMW380" s="252"/>
      <c r="SMX380" s="252"/>
      <c r="SMY380" s="252"/>
      <c r="SMZ380" s="252"/>
      <c r="SNA380" s="252"/>
      <c r="SNB380" s="252"/>
      <c r="SNC380" s="252"/>
      <c r="SND380" s="252"/>
      <c r="SNE380" s="252"/>
      <c r="SNF380" s="252"/>
      <c r="SNG380" s="252"/>
      <c r="SNH380" s="252"/>
      <c r="SNI380" s="252"/>
      <c r="SNJ380" s="252"/>
      <c r="SNK380" s="252"/>
      <c r="SNL380" s="252"/>
      <c r="SNM380" s="252"/>
      <c r="SNN380" s="252"/>
      <c r="SNO380" s="252"/>
      <c r="SNP380" s="252"/>
      <c r="SNQ380" s="252"/>
      <c r="SNR380" s="252"/>
      <c r="SNS380" s="252"/>
      <c r="SNT380" s="252"/>
      <c r="SNU380" s="252"/>
      <c r="SNV380" s="252"/>
      <c r="SNW380" s="252"/>
      <c r="SNX380" s="252"/>
      <c r="SNY380" s="252"/>
      <c r="SNZ380" s="252"/>
      <c r="SOA380" s="252"/>
      <c r="SOB380" s="252"/>
      <c r="SOC380" s="252"/>
      <c r="SOD380" s="252"/>
      <c r="SOE380" s="252"/>
      <c r="SOF380" s="252"/>
      <c r="SOG380" s="252"/>
      <c r="SOH380" s="252"/>
      <c r="SOI380" s="252"/>
      <c r="SOJ380" s="252"/>
      <c r="SOK380" s="252"/>
      <c r="SOL380" s="252"/>
      <c r="SOM380" s="252"/>
      <c r="SON380" s="252"/>
      <c r="SOO380" s="252"/>
      <c r="SOP380" s="252"/>
      <c r="SOQ380" s="252"/>
      <c r="SOR380" s="252"/>
      <c r="SOS380" s="252"/>
      <c r="SOT380" s="252"/>
      <c r="SOU380" s="252"/>
      <c r="SOV380" s="252"/>
      <c r="SOW380" s="252"/>
      <c r="SOX380" s="252"/>
      <c r="SOY380" s="252"/>
      <c r="SOZ380" s="252"/>
      <c r="SPA380" s="252"/>
      <c r="SPB380" s="252"/>
      <c r="SPC380" s="252"/>
      <c r="SPD380" s="252"/>
      <c r="SPE380" s="252"/>
      <c r="SPF380" s="252"/>
      <c r="SPG380" s="252"/>
      <c r="SPH380" s="252"/>
      <c r="SPI380" s="252"/>
      <c r="SPJ380" s="252"/>
      <c r="SPK380" s="252"/>
      <c r="SPL380" s="252"/>
      <c r="SPM380" s="252"/>
      <c r="SPN380" s="252"/>
      <c r="SPO380" s="252"/>
      <c r="SPP380" s="252"/>
      <c r="SPQ380" s="252"/>
      <c r="SPR380" s="252"/>
      <c r="SPS380" s="252"/>
      <c r="SPT380" s="252"/>
      <c r="SPU380" s="252"/>
      <c r="SPV380" s="252"/>
      <c r="SPW380" s="252"/>
      <c r="SPX380" s="252"/>
      <c r="SPY380" s="252"/>
      <c r="SPZ380" s="252"/>
      <c r="SQA380" s="252"/>
      <c r="SQB380" s="252"/>
      <c r="SQC380" s="252"/>
      <c r="SQD380" s="252"/>
      <c r="SQE380" s="252"/>
      <c r="SQF380" s="252"/>
      <c r="SQG380" s="252"/>
      <c r="SQH380" s="252"/>
      <c r="SQI380" s="252"/>
      <c r="SQJ380" s="252"/>
      <c r="SQK380" s="252"/>
      <c r="SQL380" s="252"/>
      <c r="SQM380" s="252"/>
      <c r="SQN380" s="252"/>
      <c r="SQO380" s="252"/>
      <c r="SQP380" s="252"/>
      <c r="SQQ380" s="252"/>
      <c r="SQR380" s="252"/>
      <c r="SQS380" s="252"/>
      <c r="SQT380" s="252"/>
      <c r="SQU380" s="252"/>
      <c r="SQV380" s="252"/>
      <c r="SQW380" s="252"/>
      <c r="SQX380" s="252"/>
      <c r="SQY380" s="252"/>
      <c r="SQZ380" s="252"/>
      <c r="SRA380" s="252"/>
      <c r="SRB380" s="252"/>
      <c r="SRC380" s="252"/>
      <c r="SRD380" s="252"/>
      <c r="SRE380" s="252"/>
      <c r="SRF380" s="252"/>
      <c r="SRG380" s="252"/>
      <c r="SRH380" s="252"/>
      <c r="SRI380" s="252"/>
      <c r="SRJ380" s="252"/>
      <c r="SRK380" s="252"/>
      <c r="SRL380" s="252"/>
      <c r="SRM380" s="252"/>
      <c r="SRN380" s="252"/>
      <c r="SRO380" s="252"/>
      <c r="SRP380" s="252"/>
      <c r="SRQ380" s="252"/>
      <c r="SRR380" s="252"/>
      <c r="SRS380" s="252"/>
      <c r="SRT380" s="252"/>
      <c r="SRU380" s="252"/>
      <c r="SRV380" s="252"/>
      <c r="SRW380" s="252"/>
      <c r="SRX380" s="252"/>
      <c r="SRY380" s="252"/>
      <c r="SRZ380" s="252"/>
      <c r="SSA380" s="252"/>
      <c r="SSB380" s="252"/>
      <c r="SSC380" s="252"/>
      <c r="SSD380" s="252"/>
      <c r="SSE380" s="252"/>
      <c r="SSF380" s="252"/>
      <c r="SSG380" s="252"/>
      <c r="SSH380" s="252"/>
      <c r="SSI380" s="252"/>
      <c r="SSJ380" s="252"/>
      <c r="SSK380" s="252"/>
      <c r="SSL380" s="252"/>
      <c r="SSM380" s="252"/>
      <c r="SSN380" s="252"/>
      <c r="SSO380" s="252"/>
      <c r="SSP380" s="252"/>
      <c r="SSQ380" s="252"/>
      <c r="SSR380" s="252"/>
      <c r="SSS380" s="252"/>
      <c r="SST380" s="252"/>
      <c r="SSU380" s="252"/>
      <c r="SSV380" s="252"/>
      <c r="SSW380" s="252"/>
      <c r="SSX380" s="252"/>
      <c r="SSY380" s="252"/>
      <c r="SSZ380" s="252"/>
      <c r="STA380" s="252"/>
      <c r="STB380" s="252"/>
      <c r="STC380" s="252"/>
      <c r="STD380" s="252"/>
      <c r="STE380" s="252"/>
      <c r="STF380" s="252"/>
      <c r="STG380" s="252"/>
      <c r="STH380" s="252"/>
      <c r="STI380" s="252"/>
      <c r="STJ380" s="252"/>
      <c r="STK380" s="252"/>
      <c r="STL380" s="252"/>
      <c r="STM380" s="252"/>
      <c r="STN380" s="252"/>
      <c r="STO380" s="252"/>
      <c r="STP380" s="252"/>
      <c r="STQ380" s="252"/>
      <c r="STR380" s="252"/>
      <c r="STS380" s="252"/>
      <c r="STT380" s="252"/>
      <c r="STU380" s="252"/>
      <c r="STV380" s="252"/>
      <c r="STW380" s="252"/>
      <c r="STX380" s="252"/>
      <c r="STY380" s="252"/>
      <c r="STZ380" s="252"/>
      <c r="SUA380" s="252"/>
      <c r="SUB380" s="252"/>
      <c r="SUC380" s="252"/>
      <c r="SUD380" s="252"/>
      <c r="SUE380" s="252"/>
      <c r="SUF380" s="252"/>
      <c r="SUG380" s="252"/>
      <c r="SUH380" s="252"/>
      <c r="SUI380" s="252"/>
      <c r="SUJ380" s="252"/>
      <c r="SUK380" s="252"/>
      <c r="SUL380" s="252"/>
      <c r="SUM380" s="252"/>
      <c r="SUN380" s="252"/>
      <c r="SUO380" s="252"/>
      <c r="SUP380" s="252"/>
      <c r="SUQ380" s="252"/>
      <c r="SUR380" s="252"/>
      <c r="SUS380" s="252"/>
      <c r="SUT380" s="252"/>
      <c r="SUU380" s="252"/>
      <c r="SUV380" s="252"/>
      <c r="SUW380" s="252"/>
      <c r="SUX380" s="252"/>
      <c r="SUY380" s="252"/>
      <c r="SUZ380" s="252"/>
      <c r="SVA380" s="252"/>
      <c r="SVB380" s="252"/>
      <c r="SVC380" s="252"/>
      <c r="SVD380" s="252"/>
      <c r="SVE380" s="252"/>
      <c r="SVF380" s="252"/>
      <c r="SVG380" s="252"/>
      <c r="SVH380" s="252"/>
      <c r="SVI380" s="252"/>
      <c r="SVJ380" s="252"/>
      <c r="SVK380" s="252"/>
      <c r="SVL380" s="252"/>
      <c r="SVM380" s="252"/>
      <c r="SVN380" s="252"/>
      <c r="SVO380" s="252"/>
      <c r="SVP380" s="252"/>
      <c r="SVQ380" s="252"/>
      <c r="SVR380" s="252"/>
      <c r="SVS380" s="252"/>
      <c r="SVT380" s="252"/>
      <c r="SVU380" s="252"/>
      <c r="SVV380" s="252"/>
      <c r="SVW380" s="252"/>
      <c r="SVX380" s="252"/>
      <c r="SVY380" s="252"/>
      <c r="SVZ380" s="252"/>
      <c r="SWA380" s="252"/>
      <c r="SWB380" s="252"/>
      <c r="SWC380" s="252"/>
      <c r="SWD380" s="252"/>
      <c r="SWE380" s="252"/>
      <c r="SWF380" s="252"/>
      <c r="SWG380" s="252"/>
      <c r="SWH380" s="252"/>
      <c r="SWI380" s="252"/>
      <c r="SWJ380" s="252"/>
      <c r="SWK380" s="252"/>
      <c r="SWL380" s="252"/>
      <c r="SWM380" s="252"/>
      <c r="SWN380" s="252"/>
      <c r="SWO380" s="252"/>
      <c r="SWP380" s="252"/>
      <c r="SWQ380" s="252"/>
      <c r="SWR380" s="252"/>
      <c r="SWS380" s="252"/>
      <c r="SWT380" s="252"/>
      <c r="SWU380" s="252"/>
      <c r="SWV380" s="252"/>
      <c r="SWW380" s="252"/>
      <c r="SWX380" s="252"/>
      <c r="SWY380" s="252"/>
      <c r="SWZ380" s="252"/>
      <c r="SXA380" s="252"/>
      <c r="SXB380" s="252"/>
      <c r="SXC380" s="252"/>
      <c r="SXD380" s="252"/>
      <c r="SXE380" s="252"/>
      <c r="SXF380" s="252"/>
      <c r="SXG380" s="252"/>
      <c r="SXH380" s="252"/>
      <c r="SXI380" s="252"/>
      <c r="SXJ380" s="252"/>
      <c r="SXK380" s="252"/>
      <c r="SXL380" s="252"/>
      <c r="SXM380" s="252"/>
      <c r="SXN380" s="252"/>
      <c r="SXO380" s="252"/>
      <c r="SXP380" s="252"/>
      <c r="SXQ380" s="252"/>
      <c r="SXR380" s="252"/>
      <c r="SXS380" s="252"/>
      <c r="SXT380" s="252"/>
      <c r="SXU380" s="252"/>
      <c r="SXV380" s="252"/>
      <c r="SXW380" s="252"/>
      <c r="SXX380" s="252"/>
      <c r="SXY380" s="252"/>
      <c r="SXZ380" s="252"/>
      <c r="SYA380" s="252"/>
      <c r="SYB380" s="252"/>
      <c r="SYC380" s="252"/>
      <c r="SYD380" s="252"/>
      <c r="SYE380" s="252"/>
      <c r="SYF380" s="252"/>
      <c r="SYG380" s="252"/>
      <c r="SYH380" s="252"/>
      <c r="SYI380" s="252"/>
      <c r="SYJ380" s="252"/>
      <c r="SYK380" s="252"/>
      <c r="SYL380" s="252"/>
      <c r="SYM380" s="252"/>
      <c r="SYN380" s="252"/>
      <c r="SYO380" s="252"/>
      <c r="SYP380" s="252"/>
      <c r="SYQ380" s="252"/>
      <c r="SYR380" s="252"/>
      <c r="SYS380" s="252"/>
      <c r="SYT380" s="252"/>
      <c r="SYU380" s="252"/>
      <c r="SYV380" s="252"/>
      <c r="SYW380" s="252"/>
      <c r="SYX380" s="252"/>
      <c r="SYY380" s="252"/>
      <c r="SYZ380" s="252"/>
      <c r="SZA380" s="252"/>
      <c r="SZB380" s="252"/>
      <c r="SZC380" s="252"/>
      <c r="SZD380" s="252"/>
      <c r="SZE380" s="252"/>
      <c r="SZF380" s="252"/>
      <c r="SZG380" s="252"/>
      <c r="SZH380" s="252"/>
      <c r="SZI380" s="252"/>
      <c r="SZJ380" s="252"/>
      <c r="SZK380" s="252"/>
      <c r="SZL380" s="252"/>
      <c r="SZM380" s="252"/>
      <c r="SZN380" s="252"/>
      <c r="SZO380" s="252"/>
      <c r="SZP380" s="252"/>
      <c r="SZQ380" s="252"/>
      <c r="SZR380" s="252"/>
      <c r="SZS380" s="252"/>
      <c r="SZT380" s="252"/>
      <c r="SZU380" s="252"/>
      <c r="SZV380" s="252"/>
      <c r="SZW380" s="252"/>
      <c r="SZX380" s="252"/>
      <c r="SZY380" s="252"/>
      <c r="SZZ380" s="252"/>
      <c r="TAA380" s="252"/>
      <c r="TAB380" s="252"/>
      <c r="TAC380" s="252"/>
      <c r="TAD380" s="252"/>
      <c r="TAE380" s="252"/>
      <c r="TAF380" s="252"/>
      <c r="TAG380" s="252"/>
      <c r="TAH380" s="252"/>
      <c r="TAI380" s="252"/>
      <c r="TAJ380" s="252"/>
      <c r="TAK380" s="252"/>
      <c r="TAL380" s="252"/>
      <c r="TAM380" s="252"/>
      <c r="TAN380" s="252"/>
      <c r="TAO380" s="252"/>
      <c r="TAP380" s="252"/>
      <c r="TAQ380" s="252"/>
      <c r="TAR380" s="252"/>
      <c r="TAS380" s="252"/>
      <c r="TAT380" s="252"/>
      <c r="TAU380" s="252"/>
      <c r="TAV380" s="252"/>
      <c r="TAW380" s="252"/>
      <c r="TAX380" s="252"/>
      <c r="TAY380" s="252"/>
      <c r="TAZ380" s="252"/>
      <c r="TBA380" s="252"/>
      <c r="TBB380" s="252"/>
      <c r="TBC380" s="252"/>
      <c r="TBD380" s="252"/>
      <c r="TBE380" s="252"/>
      <c r="TBF380" s="252"/>
      <c r="TBG380" s="252"/>
      <c r="TBH380" s="252"/>
      <c r="TBI380" s="252"/>
      <c r="TBJ380" s="252"/>
      <c r="TBK380" s="252"/>
      <c r="TBL380" s="252"/>
      <c r="TBM380" s="252"/>
      <c r="TBN380" s="252"/>
      <c r="TBO380" s="252"/>
      <c r="TBP380" s="252"/>
      <c r="TBQ380" s="252"/>
      <c r="TBR380" s="252"/>
      <c r="TBS380" s="252"/>
      <c r="TBT380" s="252"/>
      <c r="TBU380" s="252"/>
      <c r="TBV380" s="252"/>
      <c r="TBW380" s="252"/>
      <c r="TBX380" s="252"/>
      <c r="TBY380" s="252"/>
      <c r="TBZ380" s="252"/>
      <c r="TCA380" s="252"/>
      <c r="TCB380" s="252"/>
      <c r="TCC380" s="252"/>
      <c r="TCD380" s="252"/>
      <c r="TCE380" s="252"/>
      <c r="TCF380" s="252"/>
      <c r="TCG380" s="252"/>
      <c r="TCH380" s="252"/>
      <c r="TCI380" s="252"/>
      <c r="TCJ380" s="252"/>
      <c r="TCK380" s="252"/>
      <c r="TCL380" s="252"/>
      <c r="TCM380" s="252"/>
      <c r="TCN380" s="252"/>
      <c r="TCO380" s="252"/>
      <c r="TCP380" s="252"/>
      <c r="TCQ380" s="252"/>
      <c r="TCR380" s="252"/>
      <c r="TCS380" s="252"/>
      <c r="TCT380" s="252"/>
      <c r="TCU380" s="252"/>
      <c r="TCV380" s="252"/>
      <c r="TCW380" s="252"/>
      <c r="TCX380" s="252"/>
      <c r="TCY380" s="252"/>
      <c r="TCZ380" s="252"/>
      <c r="TDA380" s="252"/>
      <c r="TDB380" s="252"/>
      <c r="TDC380" s="252"/>
      <c r="TDD380" s="252"/>
      <c r="TDE380" s="252"/>
      <c r="TDF380" s="252"/>
      <c r="TDG380" s="252"/>
      <c r="TDH380" s="252"/>
      <c r="TDI380" s="252"/>
      <c r="TDJ380" s="252"/>
      <c r="TDK380" s="252"/>
      <c r="TDL380" s="252"/>
      <c r="TDM380" s="252"/>
      <c r="TDN380" s="252"/>
      <c r="TDO380" s="252"/>
      <c r="TDP380" s="252"/>
      <c r="TDQ380" s="252"/>
      <c r="TDR380" s="252"/>
      <c r="TDS380" s="252"/>
      <c r="TDT380" s="252"/>
      <c r="TDU380" s="252"/>
      <c r="TDV380" s="252"/>
      <c r="TDW380" s="252"/>
      <c r="TDX380" s="252"/>
      <c r="TDY380" s="252"/>
      <c r="TDZ380" s="252"/>
      <c r="TEA380" s="252"/>
      <c r="TEB380" s="252"/>
      <c r="TEC380" s="252"/>
      <c r="TED380" s="252"/>
      <c r="TEE380" s="252"/>
      <c r="TEF380" s="252"/>
      <c r="TEG380" s="252"/>
      <c r="TEH380" s="252"/>
      <c r="TEI380" s="252"/>
      <c r="TEJ380" s="252"/>
      <c r="TEK380" s="252"/>
      <c r="TEL380" s="252"/>
      <c r="TEM380" s="252"/>
      <c r="TEN380" s="252"/>
      <c r="TEO380" s="252"/>
      <c r="TEP380" s="252"/>
      <c r="TEQ380" s="252"/>
      <c r="TER380" s="252"/>
      <c r="TES380" s="252"/>
      <c r="TET380" s="252"/>
      <c r="TEU380" s="252"/>
      <c r="TEV380" s="252"/>
      <c r="TEW380" s="252"/>
      <c r="TEX380" s="252"/>
      <c r="TEY380" s="252"/>
      <c r="TEZ380" s="252"/>
      <c r="TFA380" s="252"/>
      <c r="TFB380" s="252"/>
      <c r="TFC380" s="252"/>
      <c r="TFD380" s="252"/>
      <c r="TFE380" s="252"/>
      <c r="TFF380" s="252"/>
      <c r="TFG380" s="252"/>
      <c r="TFH380" s="252"/>
      <c r="TFI380" s="252"/>
      <c r="TFJ380" s="252"/>
      <c r="TFK380" s="252"/>
      <c r="TFL380" s="252"/>
      <c r="TFM380" s="252"/>
      <c r="TFN380" s="252"/>
      <c r="TFO380" s="252"/>
      <c r="TFP380" s="252"/>
      <c r="TFQ380" s="252"/>
      <c r="TFR380" s="252"/>
      <c r="TFS380" s="252"/>
      <c r="TFT380" s="252"/>
      <c r="TFU380" s="252"/>
      <c r="TFV380" s="252"/>
      <c r="TFW380" s="252"/>
      <c r="TFX380" s="252"/>
      <c r="TFY380" s="252"/>
      <c r="TFZ380" s="252"/>
      <c r="TGA380" s="252"/>
      <c r="TGB380" s="252"/>
      <c r="TGC380" s="252"/>
      <c r="TGD380" s="252"/>
      <c r="TGE380" s="252"/>
      <c r="TGF380" s="252"/>
      <c r="TGG380" s="252"/>
      <c r="TGH380" s="252"/>
      <c r="TGI380" s="252"/>
      <c r="TGJ380" s="252"/>
      <c r="TGK380" s="252"/>
      <c r="TGL380" s="252"/>
      <c r="TGM380" s="252"/>
      <c r="TGN380" s="252"/>
      <c r="TGO380" s="252"/>
      <c r="TGP380" s="252"/>
      <c r="TGQ380" s="252"/>
      <c r="TGR380" s="252"/>
      <c r="TGS380" s="252"/>
      <c r="TGT380" s="252"/>
      <c r="TGU380" s="252"/>
      <c r="TGV380" s="252"/>
      <c r="TGW380" s="252"/>
      <c r="TGX380" s="252"/>
      <c r="TGY380" s="252"/>
      <c r="TGZ380" s="252"/>
      <c r="THA380" s="252"/>
      <c r="THB380" s="252"/>
      <c r="THC380" s="252"/>
      <c r="THD380" s="252"/>
      <c r="THE380" s="252"/>
      <c r="THF380" s="252"/>
      <c r="THG380" s="252"/>
      <c r="THH380" s="252"/>
      <c r="THI380" s="252"/>
      <c r="THJ380" s="252"/>
      <c r="THK380" s="252"/>
      <c r="THL380" s="252"/>
      <c r="THM380" s="252"/>
      <c r="THN380" s="252"/>
      <c r="THO380" s="252"/>
      <c r="THP380" s="252"/>
      <c r="THQ380" s="252"/>
      <c r="THR380" s="252"/>
      <c r="THS380" s="252"/>
      <c r="THT380" s="252"/>
      <c r="THU380" s="252"/>
      <c r="THV380" s="252"/>
      <c r="THW380" s="252"/>
      <c r="THX380" s="252"/>
      <c r="THY380" s="252"/>
      <c r="THZ380" s="252"/>
      <c r="TIA380" s="252"/>
      <c r="TIB380" s="252"/>
      <c r="TIC380" s="252"/>
      <c r="TID380" s="252"/>
      <c r="TIE380" s="252"/>
      <c r="TIF380" s="252"/>
      <c r="TIG380" s="252"/>
      <c r="TIH380" s="252"/>
      <c r="TII380" s="252"/>
      <c r="TIJ380" s="252"/>
      <c r="TIK380" s="252"/>
      <c r="TIL380" s="252"/>
      <c r="TIM380" s="252"/>
      <c r="TIN380" s="252"/>
      <c r="TIO380" s="252"/>
      <c r="TIP380" s="252"/>
      <c r="TIQ380" s="252"/>
      <c r="TIR380" s="252"/>
      <c r="TIS380" s="252"/>
      <c r="TIT380" s="252"/>
      <c r="TIU380" s="252"/>
      <c r="TIV380" s="252"/>
      <c r="TIW380" s="252"/>
      <c r="TIX380" s="252"/>
      <c r="TIY380" s="252"/>
      <c r="TIZ380" s="252"/>
      <c r="TJA380" s="252"/>
      <c r="TJB380" s="252"/>
      <c r="TJC380" s="252"/>
      <c r="TJD380" s="252"/>
      <c r="TJE380" s="252"/>
      <c r="TJF380" s="252"/>
      <c r="TJG380" s="252"/>
      <c r="TJH380" s="252"/>
      <c r="TJI380" s="252"/>
      <c r="TJJ380" s="252"/>
      <c r="TJK380" s="252"/>
      <c r="TJL380" s="252"/>
      <c r="TJM380" s="252"/>
      <c r="TJN380" s="252"/>
      <c r="TJO380" s="252"/>
      <c r="TJP380" s="252"/>
      <c r="TJQ380" s="252"/>
      <c r="TJR380" s="252"/>
      <c r="TJS380" s="252"/>
      <c r="TJT380" s="252"/>
      <c r="TJU380" s="252"/>
      <c r="TJV380" s="252"/>
      <c r="TJW380" s="252"/>
      <c r="TJX380" s="252"/>
      <c r="TJY380" s="252"/>
      <c r="TJZ380" s="252"/>
      <c r="TKA380" s="252"/>
      <c r="TKB380" s="252"/>
      <c r="TKC380" s="252"/>
      <c r="TKD380" s="252"/>
      <c r="TKE380" s="252"/>
      <c r="TKF380" s="252"/>
      <c r="TKG380" s="252"/>
      <c r="TKH380" s="252"/>
      <c r="TKI380" s="252"/>
      <c r="TKJ380" s="252"/>
      <c r="TKK380" s="252"/>
      <c r="TKL380" s="252"/>
      <c r="TKM380" s="252"/>
      <c r="TKN380" s="252"/>
      <c r="TKO380" s="252"/>
      <c r="TKP380" s="252"/>
      <c r="TKQ380" s="252"/>
      <c r="TKR380" s="252"/>
      <c r="TKS380" s="252"/>
      <c r="TKT380" s="252"/>
      <c r="TKU380" s="252"/>
      <c r="TKV380" s="252"/>
      <c r="TKW380" s="252"/>
      <c r="TKX380" s="252"/>
      <c r="TKY380" s="252"/>
      <c r="TKZ380" s="252"/>
      <c r="TLA380" s="252"/>
      <c r="TLB380" s="252"/>
      <c r="TLC380" s="252"/>
      <c r="TLD380" s="252"/>
      <c r="TLE380" s="252"/>
      <c r="TLF380" s="252"/>
      <c r="TLG380" s="252"/>
      <c r="TLH380" s="252"/>
      <c r="TLI380" s="252"/>
      <c r="TLJ380" s="252"/>
      <c r="TLK380" s="252"/>
      <c r="TLL380" s="252"/>
      <c r="TLM380" s="252"/>
      <c r="TLN380" s="252"/>
      <c r="TLO380" s="252"/>
      <c r="TLP380" s="252"/>
      <c r="TLQ380" s="252"/>
      <c r="TLR380" s="252"/>
      <c r="TLS380" s="252"/>
      <c r="TLT380" s="252"/>
      <c r="TLU380" s="252"/>
      <c r="TLV380" s="252"/>
      <c r="TLW380" s="252"/>
      <c r="TLX380" s="252"/>
      <c r="TLY380" s="252"/>
      <c r="TLZ380" s="252"/>
      <c r="TMA380" s="252"/>
      <c r="TMB380" s="252"/>
      <c r="TMC380" s="252"/>
      <c r="TMD380" s="252"/>
      <c r="TME380" s="252"/>
      <c r="TMF380" s="252"/>
      <c r="TMG380" s="252"/>
      <c r="TMH380" s="252"/>
      <c r="TMI380" s="252"/>
      <c r="TMJ380" s="252"/>
      <c r="TMK380" s="252"/>
      <c r="TML380" s="252"/>
      <c r="TMM380" s="252"/>
      <c r="TMN380" s="252"/>
      <c r="TMO380" s="252"/>
      <c r="TMP380" s="252"/>
      <c r="TMQ380" s="252"/>
      <c r="TMR380" s="252"/>
      <c r="TMS380" s="252"/>
      <c r="TMT380" s="252"/>
      <c r="TMU380" s="252"/>
      <c r="TMV380" s="252"/>
      <c r="TMW380" s="252"/>
      <c r="TMX380" s="252"/>
      <c r="TMY380" s="252"/>
      <c r="TMZ380" s="252"/>
      <c r="TNA380" s="252"/>
      <c r="TNB380" s="252"/>
      <c r="TNC380" s="252"/>
      <c r="TND380" s="252"/>
      <c r="TNE380" s="252"/>
      <c r="TNF380" s="252"/>
      <c r="TNG380" s="252"/>
      <c r="TNH380" s="252"/>
      <c r="TNI380" s="252"/>
      <c r="TNJ380" s="252"/>
      <c r="TNK380" s="252"/>
      <c r="TNL380" s="252"/>
      <c r="TNM380" s="252"/>
      <c r="TNN380" s="252"/>
      <c r="TNO380" s="252"/>
      <c r="TNP380" s="252"/>
      <c r="TNQ380" s="252"/>
      <c r="TNR380" s="252"/>
      <c r="TNS380" s="252"/>
      <c r="TNT380" s="252"/>
      <c r="TNU380" s="252"/>
      <c r="TNV380" s="252"/>
      <c r="TNW380" s="252"/>
      <c r="TNX380" s="252"/>
      <c r="TNY380" s="252"/>
      <c r="TNZ380" s="252"/>
      <c r="TOA380" s="252"/>
      <c r="TOB380" s="252"/>
      <c r="TOC380" s="252"/>
      <c r="TOD380" s="252"/>
      <c r="TOE380" s="252"/>
      <c r="TOF380" s="252"/>
      <c r="TOG380" s="252"/>
      <c r="TOH380" s="252"/>
      <c r="TOI380" s="252"/>
      <c r="TOJ380" s="252"/>
      <c r="TOK380" s="252"/>
      <c r="TOL380" s="252"/>
      <c r="TOM380" s="252"/>
      <c r="TON380" s="252"/>
      <c r="TOO380" s="252"/>
      <c r="TOP380" s="252"/>
      <c r="TOQ380" s="252"/>
      <c r="TOR380" s="252"/>
      <c r="TOS380" s="252"/>
      <c r="TOT380" s="252"/>
      <c r="TOU380" s="252"/>
      <c r="TOV380" s="252"/>
      <c r="TOW380" s="252"/>
      <c r="TOX380" s="252"/>
      <c r="TOY380" s="252"/>
      <c r="TOZ380" s="252"/>
      <c r="TPA380" s="252"/>
      <c r="TPB380" s="252"/>
      <c r="TPC380" s="252"/>
      <c r="TPD380" s="252"/>
      <c r="TPE380" s="252"/>
      <c r="TPF380" s="252"/>
      <c r="TPG380" s="252"/>
      <c r="TPH380" s="252"/>
      <c r="TPI380" s="252"/>
      <c r="TPJ380" s="252"/>
      <c r="TPK380" s="252"/>
      <c r="TPL380" s="252"/>
      <c r="TPM380" s="252"/>
      <c r="TPN380" s="252"/>
      <c r="TPO380" s="252"/>
      <c r="TPP380" s="252"/>
      <c r="TPQ380" s="252"/>
      <c r="TPR380" s="252"/>
      <c r="TPS380" s="252"/>
      <c r="TPT380" s="252"/>
      <c r="TPU380" s="252"/>
      <c r="TPV380" s="252"/>
      <c r="TPW380" s="252"/>
      <c r="TPX380" s="252"/>
      <c r="TPY380" s="252"/>
      <c r="TPZ380" s="252"/>
      <c r="TQA380" s="252"/>
      <c r="TQB380" s="252"/>
      <c r="TQC380" s="252"/>
      <c r="TQD380" s="252"/>
      <c r="TQE380" s="252"/>
      <c r="TQF380" s="252"/>
      <c r="TQG380" s="252"/>
      <c r="TQH380" s="252"/>
      <c r="TQI380" s="252"/>
      <c r="TQJ380" s="252"/>
      <c r="TQK380" s="252"/>
      <c r="TQL380" s="252"/>
      <c r="TQM380" s="252"/>
      <c r="TQN380" s="252"/>
      <c r="TQO380" s="252"/>
      <c r="TQP380" s="252"/>
      <c r="TQQ380" s="252"/>
      <c r="TQR380" s="252"/>
      <c r="TQS380" s="252"/>
      <c r="TQT380" s="252"/>
      <c r="TQU380" s="252"/>
      <c r="TQV380" s="252"/>
      <c r="TQW380" s="252"/>
      <c r="TQX380" s="252"/>
      <c r="TQY380" s="252"/>
      <c r="TQZ380" s="252"/>
      <c r="TRA380" s="252"/>
      <c r="TRB380" s="252"/>
      <c r="TRC380" s="252"/>
      <c r="TRD380" s="252"/>
      <c r="TRE380" s="252"/>
      <c r="TRF380" s="252"/>
      <c r="TRG380" s="252"/>
      <c r="TRH380" s="252"/>
      <c r="TRI380" s="252"/>
      <c r="TRJ380" s="252"/>
      <c r="TRK380" s="252"/>
      <c r="TRL380" s="252"/>
      <c r="TRM380" s="252"/>
      <c r="TRN380" s="252"/>
      <c r="TRO380" s="252"/>
      <c r="TRP380" s="252"/>
      <c r="TRQ380" s="252"/>
      <c r="TRR380" s="252"/>
      <c r="TRS380" s="252"/>
      <c r="TRT380" s="252"/>
      <c r="TRU380" s="252"/>
      <c r="TRV380" s="252"/>
      <c r="TRW380" s="252"/>
      <c r="TRX380" s="252"/>
      <c r="TRY380" s="252"/>
      <c r="TRZ380" s="252"/>
      <c r="TSA380" s="252"/>
      <c r="TSB380" s="252"/>
      <c r="TSC380" s="252"/>
      <c r="TSD380" s="252"/>
      <c r="TSE380" s="252"/>
      <c r="TSF380" s="252"/>
      <c r="TSG380" s="252"/>
      <c r="TSH380" s="252"/>
      <c r="TSI380" s="252"/>
      <c r="TSJ380" s="252"/>
      <c r="TSK380" s="252"/>
      <c r="TSL380" s="252"/>
      <c r="TSM380" s="252"/>
      <c r="TSN380" s="252"/>
      <c r="TSO380" s="252"/>
      <c r="TSP380" s="252"/>
      <c r="TSQ380" s="252"/>
      <c r="TSR380" s="252"/>
      <c r="TSS380" s="252"/>
      <c r="TST380" s="252"/>
      <c r="TSU380" s="252"/>
      <c r="TSV380" s="252"/>
      <c r="TSW380" s="252"/>
      <c r="TSX380" s="252"/>
      <c r="TSY380" s="252"/>
      <c r="TSZ380" s="252"/>
      <c r="TTA380" s="252"/>
      <c r="TTB380" s="252"/>
      <c r="TTC380" s="252"/>
      <c r="TTD380" s="252"/>
      <c r="TTE380" s="252"/>
      <c r="TTF380" s="252"/>
      <c r="TTG380" s="252"/>
      <c r="TTH380" s="252"/>
      <c r="TTI380" s="252"/>
      <c r="TTJ380" s="252"/>
      <c r="TTK380" s="252"/>
      <c r="TTL380" s="252"/>
      <c r="TTM380" s="252"/>
      <c r="TTN380" s="252"/>
      <c r="TTO380" s="252"/>
      <c r="TTP380" s="252"/>
      <c r="TTQ380" s="252"/>
      <c r="TTR380" s="252"/>
      <c r="TTS380" s="252"/>
      <c r="TTT380" s="252"/>
      <c r="TTU380" s="252"/>
      <c r="TTV380" s="252"/>
      <c r="TTW380" s="252"/>
      <c r="TTX380" s="252"/>
      <c r="TTY380" s="252"/>
      <c r="TTZ380" s="252"/>
      <c r="TUA380" s="252"/>
      <c r="TUB380" s="252"/>
      <c r="TUC380" s="252"/>
      <c r="TUD380" s="252"/>
      <c r="TUE380" s="252"/>
      <c r="TUF380" s="252"/>
      <c r="TUG380" s="252"/>
      <c r="TUH380" s="252"/>
      <c r="TUI380" s="252"/>
      <c r="TUJ380" s="252"/>
      <c r="TUK380" s="252"/>
      <c r="TUL380" s="252"/>
      <c r="TUM380" s="252"/>
      <c r="TUN380" s="252"/>
      <c r="TUO380" s="252"/>
      <c r="TUP380" s="252"/>
      <c r="TUQ380" s="252"/>
      <c r="TUR380" s="252"/>
      <c r="TUS380" s="252"/>
      <c r="TUT380" s="252"/>
      <c r="TUU380" s="252"/>
      <c r="TUV380" s="252"/>
      <c r="TUW380" s="252"/>
      <c r="TUX380" s="252"/>
      <c r="TUY380" s="252"/>
      <c r="TUZ380" s="252"/>
      <c r="TVA380" s="252"/>
      <c r="TVB380" s="252"/>
      <c r="TVC380" s="252"/>
      <c r="TVD380" s="252"/>
      <c r="TVE380" s="252"/>
      <c r="TVF380" s="252"/>
      <c r="TVG380" s="252"/>
      <c r="TVH380" s="252"/>
      <c r="TVI380" s="252"/>
      <c r="TVJ380" s="252"/>
      <c r="TVK380" s="252"/>
      <c r="TVL380" s="252"/>
      <c r="TVM380" s="252"/>
      <c r="TVN380" s="252"/>
      <c r="TVO380" s="252"/>
      <c r="TVP380" s="252"/>
      <c r="TVQ380" s="252"/>
      <c r="TVR380" s="252"/>
      <c r="TVS380" s="252"/>
      <c r="TVT380" s="252"/>
      <c r="TVU380" s="252"/>
      <c r="TVV380" s="252"/>
      <c r="TVW380" s="252"/>
      <c r="TVX380" s="252"/>
      <c r="TVY380" s="252"/>
      <c r="TVZ380" s="252"/>
      <c r="TWA380" s="252"/>
      <c r="TWB380" s="252"/>
      <c r="TWC380" s="252"/>
      <c r="TWD380" s="252"/>
      <c r="TWE380" s="252"/>
      <c r="TWF380" s="252"/>
      <c r="TWG380" s="252"/>
      <c r="TWH380" s="252"/>
      <c r="TWI380" s="252"/>
      <c r="TWJ380" s="252"/>
      <c r="TWK380" s="252"/>
      <c r="TWL380" s="252"/>
      <c r="TWM380" s="252"/>
      <c r="TWN380" s="252"/>
      <c r="TWO380" s="252"/>
      <c r="TWP380" s="252"/>
      <c r="TWQ380" s="252"/>
      <c r="TWR380" s="252"/>
      <c r="TWS380" s="252"/>
      <c r="TWT380" s="252"/>
      <c r="TWU380" s="252"/>
      <c r="TWV380" s="252"/>
      <c r="TWW380" s="252"/>
      <c r="TWX380" s="252"/>
      <c r="TWY380" s="252"/>
      <c r="TWZ380" s="252"/>
      <c r="TXA380" s="252"/>
      <c r="TXB380" s="252"/>
      <c r="TXC380" s="252"/>
      <c r="TXD380" s="252"/>
      <c r="TXE380" s="252"/>
      <c r="TXF380" s="252"/>
      <c r="TXG380" s="252"/>
      <c r="TXH380" s="252"/>
      <c r="TXI380" s="252"/>
      <c r="TXJ380" s="252"/>
      <c r="TXK380" s="252"/>
      <c r="TXL380" s="252"/>
      <c r="TXM380" s="252"/>
      <c r="TXN380" s="252"/>
      <c r="TXO380" s="252"/>
      <c r="TXP380" s="252"/>
      <c r="TXQ380" s="252"/>
      <c r="TXR380" s="252"/>
      <c r="TXS380" s="252"/>
      <c r="TXT380" s="252"/>
      <c r="TXU380" s="252"/>
      <c r="TXV380" s="252"/>
      <c r="TXW380" s="252"/>
      <c r="TXX380" s="252"/>
      <c r="TXY380" s="252"/>
      <c r="TXZ380" s="252"/>
      <c r="TYA380" s="252"/>
      <c r="TYB380" s="252"/>
      <c r="TYC380" s="252"/>
      <c r="TYD380" s="252"/>
      <c r="TYE380" s="252"/>
      <c r="TYF380" s="252"/>
      <c r="TYG380" s="252"/>
      <c r="TYH380" s="252"/>
      <c r="TYI380" s="252"/>
      <c r="TYJ380" s="252"/>
      <c r="TYK380" s="252"/>
      <c r="TYL380" s="252"/>
      <c r="TYM380" s="252"/>
      <c r="TYN380" s="252"/>
      <c r="TYO380" s="252"/>
      <c r="TYP380" s="252"/>
      <c r="TYQ380" s="252"/>
      <c r="TYR380" s="252"/>
      <c r="TYS380" s="252"/>
      <c r="TYT380" s="252"/>
      <c r="TYU380" s="252"/>
      <c r="TYV380" s="252"/>
      <c r="TYW380" s="252"/>
      <c r="TYX380" s="252"/>
      <c r="TYY380" s="252"/>
      <c r="TYZ380" s="252"/>
      <c r="TZA380" s="252"/>
      <c r="TZB380" s="252"/>
      <c r="TZC380" s="252"/>
      <c r="TZD380" s="252"/>
      <c r="TZE380" s="252"/>
      <c r="TZF380" s="252"/>
      <c r="TZG380" s="252"/>
      <c r="TZH380" s="252"/>
      <c r="TZI380" s="252"/>
      <c r="TZJ380" s="252"/>
      <c r="TZK380" s="252"/>
      <c r="TZL380" s="252"/>
      <c r="TZM380" s="252"/>
      <c r="TZN380" s="252"/>
      <c r="TZO380" s="252"/>
      <c r="TZP380" s="252"/>
      <c r="TZQ380" s="252"/>
      <c r="TZR380" s="252"/>
      <c r="TZS380" s="252"/>
      <c r="TZT380" s="252"/>
      <c r="TZU380" s="252"/>
      <c r="TZV380" s="252"/>
      <c r="TZW380" s="252"/>
      <c r="TZX380" s="252"/>
      <c r="TZY380" s="252"/>
      <c r="TZZ380" s="252"/>
      <c r="UAA380" s="252"/>
      <c r="UAB380" s="252"/>
      <c r="UAC380" s="252"/>
      <c r="UAD380" s="252"/>
      <c r="UAE380" s="252"/>
      <c r="UAF380" s="252"/>
      <c r="UAG380" s="252"/>
      <c r="UAH380" s="252"/>
      <c r="UAI380" s="252"/>
      <c r="UAJ380" s="252"/>
      <c r="UAK380" s="252"/>
      <c r="UAL380" s="252"/>
      <c r="UAM380" s="252"/>
      <c r="UAN380" s="252"/>
      <c r="UAO380" s="252"/>
      <c r="UAP380" s="252"/>
      <c r="UAQ380" s="252"/>
      <c r="UAR380" s="252"/>
      <c r="UAS380" s="252"/>
      <c r="UAT380" s="252"/>
      <c r="UAU380" s="252"/>
      <c r="UAV380" s="252"/>
      <c r="UAW380" s="252"/>
      <c r="UAX380" s="252"/>
      <c r="UAY380" s="252"/>
      <c r="UAZ380" s="252"/>
      <c r="UBA380" s="252"/>
      <c r="UBB380" s="252"/>
      <c r="UBC380" s="252"/>
      <c r="UBD380" s="252"/>
      <c r="UBE380" s="252"/>
      <c r="UBF380" s="252"/>
      <c r="UBG380" s="252"/>
      <c r="UBH380" s="252"/>
      <c r="UBI380" s="252"/>
      <c r="UBJ380" s="252"/>
      <c r="UBK380" s="252"/>
      <c r="UBL380" s="252"/>
      <c r="UBM380" s="252"/>
      <c r="UBN380" s="252"/>
      <c r="UBO380" s="252"/>
      <c r="UBP380" s="252"/>
      <c r="UBQ380" s="252"/>
      <c r="UBR380" s="252"/>
      <c r="UBS380" s="252"/>
      <c r="UBT380" s="252"/>
      <c r="UBU380" s="252"/>
      <c r="UBV380" s="252"/>
      <c r="UBW380" s="252"/>
      <c r="UBX380" s="252"/>
      <c r="UBY380" s="252"/>
      <c r="UBZ380" s="252"/>
      <c r="UCA380" s="252"/>
      <c r="UCB380" s="252"/>
      <c r="UCC380" s="252"/>
      <c r="UCD380" s="252"/>
      <c r="UCE380" s="252"/>
      <c r="UCF380" s="252"/>
      <c r="UCG380" s="252"/>
      <c r="UCH380" s="252"/>
      <c r="UCI380" s="252"/>
      <c r="UCJ380" s="252"/>
      <c r="UCK380" s="252"/>
      <c r="UCL380" s="252"/>
      <c r="UCM380" s="252"/>
      <c r="UCN380" s="252"/>
      <c r="UCO380" s="252"/>
      <c r="UCP380" s="252"/>
      <c r="UCQ380" s="252"/>
      <c r="UCR380" s="252"/>
      <c r="UCS380" s="252"/>
      <c r="UCT380" s="252"/>
      <c r="UCU380" s="252"/>
      <c r="UCV380" s="252"/>
      <c r="UCW380" s="252"/>
      <c r="UCX380" s="252"/>
      <c r="UCY380" s="252"/>
      <c r="UCZ380" s="252"/>
      <c r="UDA380" s="252"/>
      <c r="UDB380" s="252"/>
      <c r="UDC380" s="252"/>
      <c r="UDD380" s="252"/>
      <c r="UDE380" s="252"/>
      <c r="UDF380" s="252"/>
      <c r="UDG380" s="252"/>
      <c r="UDH380" s="252"/>
      <c r="UDI380" s="252"/>
      <c r="UDJ380" s="252"/>
      <c r="UDK380" s="252"/>
      <c r="UDL380" s="252"/>
      <c r="UDM380" s="252"/>
      <c r="UDN380" s="252"/>
      <c r="UDO380" s="252"/>
      <c r="UDP380" s="252"/>
      <c r="UDQ380" s="252"/>
      <c r="UDR380" s="252"/>
      <c r="UDS380" s="252"/>
      <c r="UDT380" s="252"/>
      <c r="UDU380" s="252"/>
      <c r="UDV380" s="252"/>
      <c r="UDW380" s="252"/>
      <c r="UDX380" s="252"/>
      <c r="UDY380" s="252"/>
      <c r="UDZ380" s="252"/>
      <c r="UEA380" s="252"/>
      <c r="UEB380" s="252"/>
      <c r="UEC380" s="252"/>
      <c r="UED380" s="252"/>
      <c r="UEE380" s="252"/>
      <c r="UEF380" s="252"/>
      <c r="UEG380" s="252"/>
      <c r="UEH380" s="252"/>
      <c r="UEI380" s="252"/>
      <c r="UEJ380" s="252"/>
      <c r="UEK380" s="252"/>
      <c r="UEL380" s="252"/>
      <c r="UEM380" s="252"/>
      <c r="UEN380" s="252"/>
      <c r="UEO380" s="252"/>
      <c r="UEP380" s="252"/>
      <c r="UEQ380" s="252"/>
      <c r="UER380" s="252"/>
      <c r="UES380" s="252"/>
      <c r="UET380" s="252"/>
      <c r="UEU380" s="252"/>
      <c r="UEV380" s="252"/>
      <c r="UEW380" s="252"/>
      <c r="UEX380" s="252"/>
      <c r="UEY380" s="252"/>
      <c r="UEZ380" s="252"/>
      <c r="UFA380" s="252"/>
      <c r="UFB380" s="252"/>
      <c r="UFC380" s="252"/>
      <c r="UFD380" s="252"/>
      <c r="UFE380" s="252"/>
      <c r="UFF380" s="252"/>
      <c r="UFG380" s="252"/>
      <c r="UFH380" s="252"/>
      <c r="UFI380" s="252"/>
      <c r="UFJ380" s="252"/>
      <c r="UFK380" s="252"/>
      <c r="UFL380" s="252"/>
      <c r="UFM380" s="252"/>
      <c r="UFN380" s="252"/>
      <c r="UFO380" s="252"/>
      <c r="UFP380" s="252"/>
      <c r="UFQ380" s="252"/>
      <c r="UFR380" s="252"/>
      <c r="UFS380" s="252"/>
      <c r="UFT380" s="252"/>
      <c r="UFU380" s="252"/>
      <c r="UFV380" s="252"/>
      <c r="UFW380" s="252"/>
      <c r="UFX380" s="252"/>
      <c r="UFY380" s="252"/>
      <c r="UFZ380" s="252"/>
      <c r="UGA380" s="252"/>
      <c r="UGB380" s="252"/>
      <c r="UGC380" s="252"/>
      <c r="UGD380" s="252"/>
      <c r="UGE380" s="252"/>
      <c r="UGF380" s="252"/>
      <c r="UGG380" s="252"/>
      <c r="UGH380" s="252"/>
      <c r="UGI380" s="252"/>
      <c r="UGJ380" s="252"/>
      <c r="UGK380" s="252"/>
      <c r="UGL380" s="252"/>
      <c r="UGM380" s="252"/>
      <c r="UGN380" s="252"/>
      <c r="UGO380" s="252"/>
      <c r="UGP380" s="252"/>
      <c r="UGQ380" s="252"/>
      <c r="UGR380" s="252"/>
      <c r="UGS380" s="252"/>
      <c r="UGT380" s="252"/>
      <c r="UGU380" s="252"/>
      <c r="UGV380" s="252"/>
      <c r="UGW380" s="252"/>
      <c r="UGX380" s="252"/>
      <c r="UGY380" s="252"/>
      <c r="UGZ380" s="252"/>
      <c r="UHA380" s="252"/>
      <c r="UHB380" s="252"/>
      <c r="UHC380" s="252"/>
      <c r="UHD380" s="252"/>
      <c r="UHE380" s="252"/>
      <c r="UHF380" s="252"/>
      <c r="UHG380" s="252"/>
      <c r="UHH380" s="252"/>
      <c r="UHI380" s="252"/>
      <c r="UHJ380" s="252"/>
      <c r="UHK380" s="252"/>
      <c r="UHL380" s="252"/>
      <c r="UHM380" s="252"/>
      <c r="UHN380" s="252"/>
      <c r="UHO380" s="252"/>
      <c r="UHP380" s="252"/>
      <c r="UHQ380" s="252"/>
      <c r="UHR380" s="252"/>
      <c r="UHS380" s="252"/>
      <c r="UHT380" s="252"/>
      <c r="UHU380" s="252"/>
      <c r="UHV380" s="252"/>
      <c r="UHW380" s="252"/>
      <c r="UHX380" s="252"/>
      <c r="UHY380" s="252"/>
      <c r="UHZ380" s="252"/>
      <c r="UIA380" s="252"/>
      <c r="UIB380" s="252"/>
      <c r="UIC380" s="252"/>
      <c r="UID380" s="252"/>
      <c r="UIE380" s="252"/>
      <c r="UIF380" s="252"/>
      <c r="UIG380" s="252"/>
      <c r="UIH380" s="252"/>
      <c r="UII380" s="252"/>
      <c r="UIJ380" s="252"/>
      <c r="UIK380" s="252"/>
      <c r="UIL380" s="252"/>
      <c r="UIM380" s="252"/>
      <c r="UIN380" s="252"/>
      <c r="UIO380" s="252"/>
      <c r="UIP380" s="252"/>
      <c r="UIQ380" s="252"/>
      <c r="UIR380" s="252"/>
      <c r="UIS380" s="252"/>
      <c r="UIT380" s="252"/>
      <c r="UIU380" s="252"/>
      <c r="UIV380" s="252"/>
      <c r="UIW380" s="252"/>
      <c r="UIX380" s="252"/>
      <c r="UIY380" s="252"/>
      <c r="UIZ380" s="252"/>
      <c r="UJA380" s="252"/>
      <c r="UJB380" s="252"/>
      <c r="UJC380" s="252"/>
      <c r="UJD380" s="252"/>
      <c r="UJE380" s="252"/>
      <c r="UJF380" s="252"/>
      <c r="UJG380" s="252"/>
      <c r="UJH380" s="252"/>
      <c r="UJI380" s="252"/>
      <c r="UJJ380" s="252"/>
      <c r="UJK380" s="252"/>
      <c r="UJL380" s="252"/>
      <c r="UJM380" s="252"/>
      <c r="UJN380" s="252"/>
      <c r="UJO380" s="252"/>
      <c r="UJP380" s="252"/>
      <c r="UJQ380" s="252"/>
      <c r="UJR380" s="252"/>
      <c r="UJS380" s="252"/>
      <c r="UJT380" s="252"/>
      <c r="UJU380" s="252"/>
      <c r="UJV380" s="252"/>
      <c r="UJW380" s="252"/>
      <c r="UJX380" s="252"/>
      <c r="UJY380" s="252"/>
      <c r="UJZ380" s="252"/>
      <c r="UKA380" s="252"/>
      <c r="UKB380" s="252"/>
      <c r="UKC380" s="252"/>
      <c r="UKD380" s="252"/>
      <c r="UKE380" s="252"/>
      <c r="UKF380" s="252"/>
      <c r="UKG380" s="252"/>
      <c r="UKH380" s="252"/>
      <c r="UKI380" s="252"/>
      <c r="UKJ380" s="252"/>
      <c r="UKK380" s="252"/>
      <c r="UKL380" s="252"/>
      <c r="UKM380" s="252"/>
      <c r="UKN380" s="252"/>
      <c r="UKO380" s="252"/>
      <c r="UKP380" s="252"/>
      <c r="UKQ380" s="252"/>
      <c r="UKR380" s="252"/>
      <c r="UKS380" s="252"/>
      <c r="UKT380" s="252"/>
      <c r="UKU380" s="252"/>
      <c r="UKV380" s="252"/>
      <c r="UKW380" s="252"/>
      <c r="UKX380" s="252"/>
      <c r="UKY380" s="252"/>
      <c r="UKZ380" s="252"/>
      <c r="ULA380" s="252"/>
      <c r="ULB380" s="252"/>
      <c r="ULC380" s="252"/>
      <c r="ULD380" s="252"/>
      <c r="ULE380" s="252"/>
      <c r="ULF380" s="252"/>
      <c r="ULG380" s="252"/>
      <c r="ULH380" s="252"/>
      <c r="ULI380" s="252"/>
      <c r="ULJ380" s="252"/>
      <c r="ULK380" s="252"/>
      <c r="ULL380" s="252"/>
      <c r="ULM380" s="252"/>
      <c r="ULN380" s="252"/>
      <c r="ULO380" s="252"/>
      <c r="ULP380" s="252"/>
      <c r="ULQ380" s="252"/>
      <c r="ULR380" s="252"/>
      <c r="ULS380" s="252"/>
      <c r="ULT380" s="252"/>
      <c r="ULU380" s="252"/>
      <c r="ULV380" s="252"/>
      <c r="ULW380" s="252"/>
      <c r="ULX380" s="252"/>
      <c r="ULY380" s="252"/>
      <c r="ULZ380" s="252"/>
      <c r="UMA380" s="252"/>
      <c r="UMB380" s="252"/>
      <c r="UMC380" s="252"/>
      <c r="UMD380" s="252"/>
      <c r="UME380" s="252"/>
      <c r="UMF380" s="252"/>
      <c r="UMG380" s="252"/>
      <c r="UMH380" s="252"/>
      <c r="UMI380" s="252"/>
      <c r="UMJ380" s="252"/>
      <c r="UMK380" s="252"/>
      <c r="UML380" s="252"/>
      <c r="UMM380" s="252"/>
      <c r="UMN380" s="252"/>
      <c r="UMO380" s="252"/>
      <c r="UMP380" s="252"/>
      <c r="UMQ380" s="252"/>
      <c r="UMR380" s="252"/>
      <c r="UMS380" s="252"/>
      <c r="UMT380" s="252"/>
      <c r="UMU380" s="252"/>
      <c r="UMV380" s="252"/>
      <c r="UMW380" s="252"/>
      <c r="UMX380" s="252"/>
      <c r="UMY380" s="252"/>
      <c r="UMZ380" s="252"/>
      <c r="UNA380" s="252"/>
      <c r="UNB380" s="252"/>
      <c r="UNC380" s="252"/>
      <c r="UND380" s="252"/>
      <c r="UNE380" s="252"/>
      <c r="UNF380" s="252"/>
      <c r="UNG380" s="252"/>
      <c r="UNH380" s="252"/>
      <c r="UNI380" s="252"/>
      <c r="UNJ380" s="252"/>
      <c r="UNK380" s="252"/>
      <c r="UNL380" s="252"/>
      <c r="UNM380" s="252"/>
      <c r="UNN380" s="252"/>
      <c r="UNO380" s="252"/>
      <c r="UNP380" s="252"/>
      <c r="UNQ380" s="252"/>
      <c r="UNR380" s="252"/>
      <c r="UNS380" s="252"/>
      <c r="UNT380" s="252"/>
      <c r="UNU380" s="252"/>
      <c r="UNV380" s="252"/>
      <c r="UNW380" s="252"/>
      <c r="UNX380" s="252"/>
      <c r="UNY380" s="252"/>
      <c r="UNZ380" s="252"/>
      <c r="UOA380" s="252"/>
      <c r="UOB380" s="252"/>
      <c r="UOC380" s="252"/>
      <c r="UOD380" s="252"/>
      <c r="UOE380" s="252"/>
      <c r="UOF380" s="252"/>
      <c r="UOG380" s="252"/>
      <c r="UOH380" s="252"/>
      <c r="UOI380" s="252"/>
      <c r="UOJ380" s="252"/>
      <c r="UOK380" s="252"/>
      <c r="UOL380" s="252"/>
      <c r="UOM380" s="252"/>
      <c r="UON380" s="252"/>
      <c r="UOO380" s="252"/>
      <c r="UOP380" s="252"/>
      <c r="UOQ380" s="252"/>
      <c r="UOR380" s="252"/>
      <c r="UOS380" s="252"/>
      <c r="UOT380" s="252"/>
      <c r="UOU380" s="252"/>
      <c r="UOV380" s="252"/>
      <c r="UOW380" s="252"/>
      <c r="UOX380" s="252"/>
      <c r="UOY380" s="252"/>
      <c r="UOZ380" s="252"/>
      <c r="UPA380" s="252"/>
      <c r="UPB380" s="252"/>
      <c r="UPC380" s="252"/>
      <c r="UPD380" s="252"/>
      <c r="UPE380" s="252"/>
      <c r="UPF380" s="252"/>
      <c r="UPG380" s="252"/>
      <c r="UPH380" s="252"/>
      <c r="UPI380" s="252"/>
      <c r="UPJ380" s="252"/>
      <c r="UPK380" s="252"/>
      <c r="UPL380" s="252"/>
      <c r="UPM380" s="252"/>
      <c r="UPN380" s="252"/>
      <c r="UPO380" s="252"/>
      <c r="UPP380" s="252"/>
      <c r="UPQ380" s="252"/>
      <c r="UPR380" s="252"/>
      <c r="UPS380" s="252"/>
      <c r="UPT380" s="252"/>
      <c r="UPU380" s="252"/>
      <c r="UPV380" s="252"/>
      <c r="UPW380" s="252"/>
      <c r="UPX380" s="252"/>
      <c r="UPY380" s="252"/>
      <c r="UPZ380" s="252"/>
      <c r="UQA380" s="252"/>
      <c r="UQB380" s="252"/>
      <c r="UQC380" s="252"/>
      <c r="UQD380" s="252"/>
      <c r="UQE380" s="252"/>
      <c r="UQF380" s="252"/>
      <c r="UQG380" s="252"/>
      <c r="UQH380" s="252"/>
      <c r="UQI380" s="252"/>
      <c r="UQJ380" s="252"/>
      <c r="UQK380" s="252"/>
      <c r="UQL380" s="252"/>
      <c r="UQM380" s="252"/>
      <c r="UQN380" s="252"/>
      <c r="UQO380" s="252"/>
      <c r="UQP380" s="252"/>
      <c r="UQQ380" s="252"/>
      <c r="UQR380" s="252"/>
      <c r="UQS380" s="252"/>
      <c r="UQT380" s="252"/>
      <c r="UQU380" s="252"/>
      <c r="UQV380" s="252"/>
      <c r="UQW380" s="252"/>
      <c r="UQX380" s="252"/>
      <c r="UQY380" s="252"/>
      <c r="UQZ380" s="252"/>
      <c r="URA380" s="252"/>
      <c r="URB380" s="252"/>
      <c r="URC380" s="252"/>
      <c r="URD380" s="252"/>
      <c r="URE380" s="252"/>
      <c r="URF380" s="252"/>
      <c r="URG380" s="252"/>
      <c r="URH380" s="252"/>
      <c r="URI380" s="252"/>
      <c r="URJ380" s="252"/>
      <c r="URK380" s="252"/>
      <c r="URL380" s="252"/>
      <c r="URM380" s="252"/>
      <c r="URN380" s="252"/>
      <c r="URO380" s="252"/>
      <c r="URP380" s="252"/>
      <c r="URQ380" s="252"/>
      <c r="URR380" s="252"/>
      <c r="URS380" s="252"/>
      <c r="URT380" s="252"/>
      <c r="URU380" s="252"/>
      <c r="URV380" s="252"/>
      <c r="URW380" s="252"/>
      <c r="URX380" s="252"/>
      <c r="URY380" s="252"/>
      <c r="URZ380" s="252"/>
      <c r="USA380" s="252"/>
      <c r="USB380" s="252"/>
      <c r="USC380" s="252"/>
      <c r="USD380" s="252"/>
      <c r="USE380" s="252"/>
      <c r="USF380" s="252"/>
      <c r="USG380" s="252"/>
      <c r="USH380" s="252"/>
      <c r="USI380" s="252"/>
      <c r="USJ380" s="252"/>
      <c r="USK380" s="252"/>
      <c r="USL380" s="252"/>
      <c r="USM380" s="252"/>
      <c r="USN380" s="252"/>
      <c r="USO380" s="252"/>
      <c r="USP380" s="252"/>
      <c r="USQ380" s="252"/>
      <c r="USR380" s="252"/>
      <c r="USS380" s="252"/>
      <c r="UST380" s="252"/>
      <c r="USU380" s="252"/>
      <c r="USV380" s="252"/>
      <c r="USW380" s="252"/>
      <c r="USX380" s="252"/>
      <c r="USY380" s="252"/>
      <c r="USZ380" s="252"/>
      <c r="UTA380" s="252"/>
      <c r="UTB380" s="252"/>
      <c r="UTC380" s="252"/>
      <c r="UTD380" s="252"/>
      <c r="UTE380" s="252"/>
      <c r="UTF380" s="252"/>
      <c r="UTG380" s="252"/>
      <c r="UTH380" s="252"/>
      <c r="UTI380" s="252"/>
      <c r="UTJ380" s="252"/>
      <c r="UTK380" s="252"/>
      <c r="UTL380" s="252"/>
      <c r="UTM380" s="252"/>
      <c r="UTN380" s="252"/>
      <c r="UTO380" s="252"/>
      <c r="UTP380" s="252"/>
      <c r="UTQ380" s="252"/>
      <c r="UTR380" s="252"/>
      <c r="UTS380" s="252"/>
      <c r="UTT380" s="252"/>
      <c r="UTU380" s="252"/>
      <c r="UTV380" s="252"/>
      <c r="UTW380" s="252"/>
      <c r="UTX380" s="252"/>
      <c r="UTY380" s="252"/>
      <c r="UTZ380" s="252"/>
      <c r="UUA380" s="252"/>
      <c r="UUB380" s="252"/>
      <c r="UUC380" s="252"/>
      <c r="UUD380" s="252"/>
      <c r="UUE380" s="252"/>
      <c r="UUF380" s="252"/>
      <c r="UUG380" s="252"/>
      <c r="UUH380" s="252"/>
      <c r="UUI380" s="252"/>
      <c r="UUJ380" s="252"/>
      <c r="UUK380" s="252"/>
      <c r="UUL380" s="252"/>
      <c r="UUM380" s="252"/>
      <c r="UUN380" s="252"/>
      <c r="UUO380" s="252"/>
      <c r="UUP380" s="252"/>
      <c r="UUQ380" s="252"/>
      <c r="UUR380" s="252"/>
      <c r="UUS380" s="252"/>
      <c r="UUT380" s="252"/>
      <c r="UUU380" s="252"/>
      <c r="UUV380" s="252"/>
      <c r="UUW380" s="252"/>
      <c r="UUX380" s="252"/>
      <c r="UUY380" s="252"/>
      <c r="UUZ380" s="252"/>
      <c r="UVA380" s="252"/>
      <c r="UVB380" s="252"/>
      <c r="UVC380" s="252"/>
      <c r="UVD380" s="252"/>
      <c r="UVE380" s="252"/>
      <c r="UVF380" s="252"/>
      <c r="UVG380" s="252"/>
      <c r="UVH380" s="252"/>
      <c r="UVI380" s="252"/>
      <c r="UVJ380" s="252"/>
      <c r="UVK380" s="252"/>
      <c r="UVL380" s="252"/>
      <c r="UVM380" s="252"/>
      <c r="UVN380" s="252"/>
      <c r="UVO380" s="252"/>
      <c r="UVP380" s="252"/>
      <c r="UVQ380" s="252"/>
      <c r="UVR380" s="252"/>
      <c r="UVS380" s="252"/>
      <c r="UVT380" s="252"/>
      <c r="UVU380" s="252"/>
      <c r="UVV380" s="252"/>
      <c r="UVW380" s="252"/>
      <c r="UVX380" s="252"/>
      <c r="UVY380" s="252"/>
      <c r="UVZ380" s="252"/>
      <c r="UWA380" s="252"/>
      <c r="UWB380" s="252"/>
      <c r="UWC380" s="252"/>
      <c r="UWD380" s="252"/>
      <c r="UWE380" s="252"/>
      <c r="UWF380" s="252"/>
      <c r="UWG380" s="252"/>
      <c r="UWH380" s="252"/>
      <c r="UWI380" s="252"/>
      <c r="UWJ380" s="252"/>
      <c r="UWK380" s="252"/>
      <c r="UWL380" s="252"/>
      <c r="UWM380" s="252"/>
      <c r="UWN380" s="252"/>
      <c r="UWO380" s="252"/>
      <c r="UWP380" s="252"/>
      <c r="UWQ380" s="252"/>
      <c r="UWR380" s="252"/>
      <c r="UWS380" s="252"/>
      <c r="UWT380" s="252"/>
      <c r="UWU380" s="252"/>
      <c r="UWV380" s="252"/>
      <c r="UWW380" s="252"/>
      <c r="UWX380" s="252"/>
      <c r="UWY380" s="252"/>
      <c r="UWZ380" s="252"/>
      <c r="UXA380" s="252"/>
      <c r="UXB380" s="252"/>
      <c r="UXC380" s="252"/>
      <c r="UXD380" s="252"/>
      <c r="UXE380" s="252"/>
      <c r="UXF380" s="252"/>
      <c r="UXG380" s="252"/>
      <c r="UXH380" s="252"/>
      <c r="UXI380" s="252"/>
      <c r="UXJ380" s="252"/>
      <c r="UXK380" s="252"/>
      <c r="UXL380" s="252"/>
      <c r="UXM380" s="252"/>
      <c r="UXN380" s="252"/>
      <c r="UXO380" s="252"/>
      <c r="UXP380" s="252"/>
      <c r="UXQ380" s="252"/>
      <c r="UXR380" s="252"/>
      <c r="UXS380" s="252"/>
      <c r="UXT380" s="252"/>
      <c r="UXU380" s="252"/>
      <c r="UXV380" s="252"/>
      <c r="UXW380" s="252"/>
      <c r="UXX380" s="252"/>
      <c r="UXY380" s="252"/>
      <c r="UXZ380" s="252"/>
      <c r="UYA380" s="252"/>
      <c r="UYB380" s="252"/>
      <c r="UYC380" s="252"/>
      <c r="UYD380" s="252"/>
      <c r="UYE380" s="252"/>
      <c r="UYF380" s="252"/>
      <c r="UYG380" s="252"/>
      <c r="UYH380" s="252"/>
      <c r="UYI380" s="252"/>
      <c r="UYJ380" s="252"/>
      <c r="UYK380" s="252"/>
      <c r="UYL380" s="252"/>
      <c r="UYM380" s="252"/>
      <c r="UYN380" s="252"/>
      <c r="UYO380" s="252"/>
      <c r="UYP380" s="252"/>
      <c r="UYQ380" s="252"/>
      <c r="UYR380" s="252"/>
      <c r="UYS380" s="252"/>
      <c r="UYT380" s="252"/>
      <c r="UYU380" s="252"/>
      <c r="UYV380" s="252"/>
      <c r="UYW380" s="252"/>
      <c r="UYX380" s="252"/>
      <c r="UYY380" s="252"/>
      <c r="UYZ380" s="252"/>
      <c r="UZA380" s="252"/>
      <c r="UZB380" s="252"/>
      <c r="UZC380" s="252"/>
      <c r="UZD380" s="252"/>
      <c r="UZE380" s="252"/>
      <c r="UZF380" s="252"/>
      <c r="UZG380" s="252"/>
      <c r="UZH380" s="252"/>
      <c r="UZI380" s="252"/>
      <c r="UZJ380" s="252"/>
      <c r="UZK380" s="252"/>
      <c r="UZL380" s="252"/>
      <c r="UZM380" s="252"/>
      <c r="UZN380" s="252"/>
      <c r="UZO380" s="252"/>
      <c r="UZP380" s="252"/>
      <c r="UZQ380" s="252"/>
      <c r="UZR380" s="252"/>
      <c r="UZS380" s="252"/>
      <c r="UZT380" s="252"/>
      <c r="UZU380" s="252"/>
      <c r="UZV380" s="252"/>
      <c r="UZW380" s="252"/>
      <c r="UZX380" s="252"/>
      <c r="UZY380" s="252"/>
      <c r="UZZ380" s="252"/>
      <c r="VAA380" s="252"/>
      <c r="VAB380" s="252"/>
      <c r="VAC380" s="252"/>
      <c r="VAD380" s="252"/>
      <c r="VAE380" s="252"/>
      <c r="VAF380" s="252"/>
      <c r="VAG380" s="252"/>
      <c r="VAH380" s="252"/>
      <c r="VAI380" s="252"/>
      <c r="VAJ380" s="252"/>
      <c r="VAK380" s="252"/>
      <c r="VAL380" s="252"/>
      <c r="VAM380" s="252"/>
      <c r="VAN380" s="252"/>
      <c r="VAO380" s="252"/>
      <c r="VAP380" s="252"/>
      <c r="VAQ380" s="252"/>
      <c r="VAR380" s="252"/>
      <c r="VAS380" s="252"/>
      <c r="VAT380" s="252"/>
      <c r="VAU380" s="252"/>
      <c r="VAV380" s="252"/>
      <c r="VAW380" s="252"/>
      <c r="VAX380" s="252"/>
      <c r="VAY380" s="252"/>
      <c r="VAZ380" s="252"/>
      <c r="VBA380" s="252"/>
      <c r="VBB380" s="252"/>
      <c r="VBC380" s="252"/>
      <c r="VBD380" s="252"/>
      <c r="VBE380" s="252"/>
      <c r="VBF380" s="252"/>
      <c r="VBG380" s="252"/>
      <c r="VBH380" s="252"/>
      <c r="VBI380" s="252"/>
      <c r="VBJ380" s="252"/>
      <c r="VBK380" s="252"/>
      <c r="VBL380" s="252"/>
      <c r="VBM380" s="252"/>
      <c r="VBN380" s="252"/>
      <c r="VBO380" s="252"/>
      <c r="VBP380" s="252"/>
      <c r="VBQ380" s="252"/>
      <c r="VBR380" s="252"/>
      <c r="VBS380" s="252"/>
      <c r="VBT380" s="252"/>
      <c r="VBU380" s="252"/>
      <c r="VBV380" s="252"/>
      <c r="VBW380" s="252"/>
      <c r="VBX380" s="252"/>
      <c r="VBY380" s="252"/>
      <c r="VBZ380" s="252"/>
      <c r="VCA380" s="252"/>
      <c r="VCB380" s="252"/>
      <c r="VCC380" s="252"/>
      <c r="VCD380" s="252"/>
      <c r="VCE380" s="252"/>
      <c r="VCF380" s="252"/>
      <c r="VCG380" s="252"/>
      <c r="VCH380" s="252"/>
      <c r="VCI380" s="252"/>
      <c r="VCJ380" s="252"/>
      <c r="VCK380" s="252"/>
      <c r="VCL380" s="252"/>
      <c r="VCM380" s="252"/>
      <c r="VCN380" s="252"/>
      <c r="VCO380" s="252"/>
      <c r="VCP380" s="252"/>
      <c r="VCQ380" s="252"/>
      <c r="VCR380" s="252"/>
      <c r="VCS380" s="252"/>
      <c r="VCT380" s="252"/>
      <c r="VCU380" s="252"/>
      <c r="VCV380" s="252"/>
      <c r="VCW380" s="252"/>
      <c r="VCX380" s="252"/>
      <c r="VCY380" s="252"/>
      <c r="VCZ380" s="252"/>
      <c r="VDA380" s="252"/>
      <c r="VDB380" s="252"/>
      <c r="VDC380" s="252"/>
      <c r="VDD380" s="252"/>
      <c r="VDE380" s="252"/>
      <c r="VDF380" s="252"/>
      <c r="VDG380" s="252"/>
      <c r="VDH380" s="252"/>
      <c r="VDI380" s="252"/>
      <c r="VDJ380" s="252"/>
      <c r="VDK380" s="252"/>
      <c r="VDL380" s="252"/>
      <c r="VDM380" s="252"/>
      <c r="VDN380" s="252"/>
      <c r="VDO380" s="252"/>
      <c r="VDP380" s="252"/>
      <c r="VDQ380" s="252"/>
      <c r="VDR380" s="252"/>
      <c r="VDS380" s="252"/>
      <c r="VDT380" s="252"/>
      <c r="VDU380" s="252"/>
      <c r="VDV380" s="252"/>
      <c r="VDW380" s="252"/>
      <c r="VDX380" s="252"/>
      <c r="VDY380" s="252"/>
      <c r="VDZ380" s="252"/>
      <c r="VEA380" s="252"/>
      <c r="VEB380" s="252"/>
      <c r="VEC380" s="252"/>
      <c r="VED380" s="252"/>
      <c r="VEE380" s="252"/>
      <c r="VEF380" s="252"/>
      <c r="VEG380" s="252"/>
      <c r="VEH380" s="252"/>
      <c r="VEI380" s="252"/>
      <c r="VEJ380" s="252"/>
      <c r="VEK380" s="252"/>
      <c r="VEL380" s="252"/>
      <c r="VEM380" s="252"/>
      <c r="VEN380" s="252"/>
      <c r="VEO380" s="252"/>
      <c r="VEP380" s="252"/>
      <c r="VEQ380" s="252"/>
      <c r="VER380" s="252"/>
      <c r="VES380" s="252"/>
      <c r="VET380" s="252"/>
      <c r="VEU380" s="252"/>
      <c r="VEV380" s="252"/>
      <c r="VEW380" s="252"/>
      <c r="VEX380" s="252"/>
      <c r="VEY380" s="252"/>
      <c r="VEZ380" s="252"/>
      <c r="VFA380" s="252"/>
      <c r="VFB380" s="252"/>
      <c r="VFC380" s="252"/>
      <c r="VFD380" s="252"/>
      <c r="VFE380" s="252"/>
      <c r="VFF380" s="252"/>
      <c r="VFG380" s="252"/>
      <c r="VFH380" s="252"/>
      <c r="VFI380" s="252"/>
      <c r="VFJ380" s="252"/>
      <c r="VFK380" s="252"/>
      <c r="VFL380" s="252"/>
      <c r="VFM380" s="252"/>
      <c r="VFN380" s="252"/>
      <c r="VFO380" s="252"/>
      <c r="VFP380" s="252"/>
      <c r="VFQ380" s="252"/>
      <c r="VFR380" s="252"/>
      <c r="VFS380" s="252"/>
      <c r="VFT380" s="252"/>
      <c r="VFU380" s="252"/>
      <c r="VFV380" s="252"/>
      <c r="VFW380" s="252"/>
      <c r="VFX380" s="252"/>
      <c r="VFY380" s="252"/>
      <c r="VFZ380" s="252"/>
      <c r="VGA380" s="252"/>
      <c r="VGB380" s="252"/>
      <c r="VGC380" s="252"/>
      <c r="VGD380" s="252"/>
      <c r="VGE380" s="252"/>
      <c r="VGF380" s="252"/>
      <c r="VGG380" s="252"/>
      <c r="VGH380" s="252"/>
      <c r="VGI380" s="252"/>
      <c r="VGJ380" s="252"/>
      <c r="VGK380" s="252"/>
      <c r="VGL380" s="252"/>
      <c r="VGM380" s="252"/>
      <c r="VGN380" s="252"/>
      <c r="VGO380" s="252"/>
      <c r="VGP380" s="252"/>
      <c r="VGQ380" s="252"/>
      <c r="VGR380" s="252"/>
      <c r="VGS380" s="252"/>
      <c r="VGT380" s="252"/>
      <c r="VGU380" s="252"/>
      <c r="VGV380" s="252"/>
      <c r="VGW380" s="252"/>
      <c r="VGX380" s="252"/>
      <c r="VGY380" s="252"/>
      <c r="VGZ380" s="252"/>
      <c r="VHA380" s="252"/>
      <c r="VHB380" s="252"/>
      <c r="VHC380" s="252"/>
      <c r="VHD380" s="252"/>
      <c r="VHE380" s="252"/>
      <c r="VHF380" s="252"/>
      <c r="VHG380" s="252"/>
      <c r="VHH380" s="252"/>
      <c r="VHI380" s="252"/>
      <c r="VHJ380" s="252"/>
      <c r="VHK380" s="252"/>
      <c r="VHL380" s="252"/>
      <c r="VHM380" s="252"/>
      <c r="VHN380" s="252"/>
      <c r="VHO380" s="252"/>
      <c r="VHP380" s="252"/>
      <c r="VHQ380" s="252"/>
      <c r="VHR380" s="252"/>
      <c r="VHS380" s="252"/>
      <c r="VHT380" s="252"/>
      <c r="VHU380" s="252"/>
      <c r="VHV380" s="252"/>
      <c r="VHW380" s="252"/>
      <c r="VHX380" s="252"/>
      <c r="VHY380" s="252"/>
      <c r="VHZ380" s="252"/>
      <c r="VIA380" s="252"/>
      <c r="VIB380" s="252"/>
      <c r="VIC380" s="252"/>
      <c r="VID380" s="252"/>
      <c r="VIE380" s="252"/>
      <c r="VIF380" s="252"/>
      <c r="VIG380" s="252"/>
      <c r="VIH380" s="252"/>
      <c r="VII380" s="252"/>
      <c r="VIJ380" s="252"/>
      <c r="VIK380" s="252"/>
      <c r="VIL380" s="252"/>
      <c r="VIM380" s="252"/>
      <c r="VIN380" s="252"/>
      <c r="VIO380" s="252"/>
      <c r="VIP380" s="252"/>
      <c r="VIQ380" s="252"/>
      <c r="VIR380" s="252"/>
      <c r="VIS380" s="252"/>
      <c r="VIT380" s="252"/>
      <c r="VIU380" s="252"/>
      <c r="VIV380" s="252"/>
      <c r="VIW380" s="252"/>
      <c r="VIX380" s="252"/>
      <c r="VIY380" s="252"/>
      <c r="VIZ380" s="252"/>
      <c r="VJA380" s="252"/>
      <c r="VJB380" s="252"/>
      <c r="VJC380" s="252"/>
      <c r="VJD380" s="252"/>
      <c r="VJE380" s="252"/>
      <c r="VJF380" s="252"/>
      <c r="VJG380" s="252"/>
      <c r="VJH380" s="252"/>
      <c r="VJI380" s="252"/>
      <c r="VJJ380" s="252"/>
      <c r="VJK380" s="252"/>
      <c r="VJL380" s="252"/>
      <c r="VJM380" s="252"/>
      <c r="VJN380" s="252"/>
      <c r="VJO380" s="252"/>
      <c r="VJP380" s="252"/>
      <c r="VJQ380" s="252"/>
      <c r="VJR380" s="252"/>
      <c r="VJS380" s="252"/>
      <c r="VJT380" s="252"/>
      <c r="VJU380" s="252"/>
      <c r="VJV380" s="252"/>
      <c r="VJW380" s="252"/>
      <c r="VJX380" s="252"/>
      <c r="VJY380" s="252"/>
      <c r="VJZ380" s="252"/>
      <c r="VKA380" s="252"/>
      <c r="VKB380" s="252"/>
      <c r="VKC380" s="252"/>
      <c r="VKD380" s="252"/>
      <c r="VKE380" s="252"/>
      <c r="VKF380" s="252"/>
      <c r="VKG380" s="252"/>
      <c r="VKH380" s="252"/>
      <c r="VKI380" s="252"/>
      <c r="VKJ380" s="252"/>
      <c r="VKK380" s="252"/>
      <c r="VKL380" s="252"/>
      <c r="VKM380" s="252"/>
      <c r="VKN380" s="252"/>
      <c r="VKO380" s="252"/>
      <c r="VKP380" s="252"/>
      <c r="VKQ380" s="252"/>
      <c r="VKR380" s="252"/>
      <c r="VKS380" s="252"/>
      <c r="VKT380" s="252"/>
      <c r="VKU380" s="252"/>
      <c r="VKV380" s="252"/>
      <c r="VKW380" s="252"/>
      <c r="VKX380" s="252"/>
      <c r="VKY380" s="252"/>
      <c r="VKZ380" s="252"/>
      <c r="VLA380" s="252"/>
      <c r="VLB380" s="252"/>
      <c r="VLC380" s="252"/>
      <c r="VLD380" s="252"/>
      <c r="VLE380" s="252"/>
      <c r="VLF380" s="252"/>
      <c r="VLG380" s="252"/>
      <c r="VLH380" s="252"/>
      <c r="VLI380" s="252"/>
      <c r="VLJ380" s="252"/>
      <c r="VLK380" s="252"/>
      <c r="VLL380" s="252"/>
      <c r="VLM380" s="252"/>
      <c r="VLN380" s="252"/>
      <c r="VLO380" s="252"/>
      <c r="VLP380" s="252"/>
      <c r="VLQ380" s="252"/>
      <c r="VLR380" s="252"/>
      <c r="VLS380" s="252"/>
      <c r="VLT380" s="252"/>
      <c r="VLU380" s="252"/>
      <c r="VLV380" s="252"/>
      <c r="VLW380" s="252"/>
      <c r="VLX380" s="252"/>
      <c r="VLY380" s="252"/>
      <c r="VLZ380" s="252"/>
      <c r="VMA380" s="252"/>
      <c r="VMB380" s="252"/>
      <c r="VMC380" s="252"/>
      <c r="VMD380" s="252"/>
      <c r="VME380" s="252"/>
      <c r="VMF380" s="252"/>
      <c r="VMG380" s="252"/>
      <c r="VMH380" s="252"/>
      <c r="VMI380" s="252"/>
      <c r="VMJ380" s="252"/>
      <c r="VMK380" s="252"/>
      <c r="VML380" s="252"/>
      <c r="VMM380" s="252"/>
      <c r="VMN380" s="252"/>
      <c r="VMO380" s="252"/>
      <c r="VMP380" s="252"/>
      <c r="VMQ380" s="252"/>
      <c r="VMR380" s="252"/>
      <c r="VMS380" s="252"/>
      <c r="VMT380" s="252"/>
      <c r="VMU380" s="252"/>
      <c r="VMV380" s="252"/>
      <c r="VMW380" s="252"/>
      <c r="VMX380" s="252"/>
      <c r="VMY380" s="252"/>
      <c r="VMZ380" s="252"/>
      <c r="VNA380" s="252"/>
      <c r="VNB380" s="252"/>
      <c r="VNC380" s="252"/>
      <c r="VND380" s="252"/>
      <c r="VNE380" s="252"/>
      <c r="VNF380" s="252"/>
      <c r="VNG380" s="252"/>
      <c r="VNH380" s="252"/>
      <c r="VNI380" s="252"/>
      <c r="VNJ380" s="252"/>
      <c r="VNK380" s="252"/>
      <c r="VNL380" s="252"/>
      <c r="VNM380" s="252"/>
      <c r="VNN380" s="252"/>
      <c r="VNO380" s="252"/>
      <c r="VNP380" s="252"/>
      <c r="VNQ380" s="252"/>
      <c r="VNR380" s="252"/>
      <c r="VNS380" s="252"/>
      <c r="VNT380" s="252"/>
      <c r="VNU380" s="252"/>
      <c r="VNV380" s="252"/>
      <c r="VNW380" s="252"/>
      <c r="VNX380" s="252"/>
      <c r="VNY380" s="252"/>
      <c r="VNZ380" s="252"/>
      <c r="VOA380" s="252"/>
      <c r="VOB380" s="252"/>
      <c r="VOC380" s="252"/>
      <c r="VOD380" s="252"/>
      <c r="VOE380" s="252"/>
      <c r="VOF380" s="252"/>
      <c r="VOG380" s="252"/>
      <c r="VOH380" s="252"/>
      <c r="VOI380" s="252"/>
      <c r="VOJ380" s="252"/>
      <c r="VOK380" s="252"/>
      <c r="VOL380" s="252"/>
      <c r="VOM380" s="252"/>
      <c r="VON380" s="252"/>
      <c r="VOO380" s="252"/>
      <c r="VOP380" s="252"/>
      <c r="VOQ380" s="252"/>
      <c r="VOR380" s="252"/>
      <c r="VOS380" s="252"/>
      <c r="VOT380" s="252"/>
      <c r="VOU380" s="252"/>
      <c r="VOV380" s="252"/>
      <c r="VOW380" s="252"/>
      <c r="VOX380" s="252"/>
      <c r="VOY380" s="252"/>
      <c r="VOZ380" s="252"/>
      <c r="VPA380" s="252"/>
      <c r="VPB380" s="252"/>
      <c r="VPC380" s="252"/>
      <c r="VPD380" s="252"/>
      <c r="VPE380" s="252"/>
      <c r="VPF380" s="252"/>
      <c r="VPG380" s="252"/>
      <c r="VPH380" s="252"/>
      <c r="VPI380" s="252"/>
      <c r="VPJ380" s="252"/>
      <c r="VPK380" s="252"/>
      <c r="VPL380" s="252"/>
      <c r="VPM380" s="252"/>
      <c r="VPN380" s="252"/>
      <c r="VPO380" s="252"/>
      <c r="VPP380" s="252"/>
      <c r="VPQ380" s="252"/>
      <c r="VPR380" s="252"/>
      <c r="VPS380" s="252"/>
      <c r="VPT380" s="252"/>
      <c r="VPU380" s="252"/>
      <c r="VPV380" s="252"/>
      <c r="VPW380" s="252"/>
      <c r="VPX380" s="252"/>
      <c r="VPY380" s="252"/>
      <c r="VPZ380" s="252"/>
      <c r="VQA380" s="252"/>
      <c r="VQB380" s="252"/>
      <c r="VQC380" s="252"/>
      <c r="VQD380" s="252"/>
      <c r="VQE380" s="252"/>
      <c r="VQF380" s="252"/>
      <c r="VQG380" s="252"/>
      <c r="VQH380" s="252"/>
      <c r="VQI380" s="252"/>
      <c r="VQJ380" s="252"/>
      <c r="VQK380" s="252"/>
      <c r="VQL380" s="252"/>
      <c r="VQM380" s="252"/>
      <c r="VQN380" s="252"/>
      <c r="VQO380" s="252"/>
      <c r="VQP380" s="252"/>
      <c r="VQQ380" s="252"/>
      <c r="VQR380" s="252"/>
      <c r="VQS380" s="252"/>
      <c r="VQT380" s="252"/>
      <c r="VQU380" s="252"/>
      <c r="VQV380" s="252"/>
      <c r="VQW380" s="252"/>
      <c r="VQX380" s="252"/>
      <c r="VQY380" s="252"/>
      <c r="VQZ380" s="252"/>
      <c r="VRA380" s="252"/>
      <c r="VRB380" s="252"/>
      <c r="VRC380" s="252"/>
      <c r="VRD380" s="252"/>
      <c r="VRE380" s="252"/>
      <c r="VRF380" s="252"/>
      <c r="VRG380" s="252"/>
      <c r="VRH380" s="252"/>
      <c r="VRI380" s="252"/>
      <c r="VRJ380" s="252"/>
      <c r="VRK380" s="252"/>
      <c r="VRL380" s="252"/>
      <c r="VRM380" s="252"/>
      <c r="VRN380" s="252"/>
      <c r="VRO380" s="252"/>
      <c r="VRP380" s="252"/>
      <c r="VRQ380" s="252"/>
      <c r="VRR380" s="252"/>
      <c r="VRS380" s="252"/>
      <c r="VRT380" s="252"/>
      <c r="VRU380" s="252"/>
      <c r="VRV380" s="252"/>
      <c r="VRW380" s="252"/>
      <c r="VRX380" s="252"/>
      <c r="VRY380" s="252"/>
      <c r="VRZ380" s="252"/>
      <c r="VSA380" s="252"/>
      <c r="VSB380" s="252"/>
      <c r="VSC380" s="252"/>
      <c r="VSD380" s="252"/>
      <c r="VSE380" s="252"/>
      <c r="VSF380" s="252"/>
      <c r="VSG380" s="252"/>
      <c r="VSH380" s="252"/>
      <c r="VSI380" s="252"/>
      <c r="VSJ380" s="252"/>
      <c r="VSK380" s="252"/>
      <c r="VSL380" s="252"/>
      <c r="VSM380" s="252"/>
      <c r="VSN380" s="252"/>
      <c r="VSO380" s="252"/>
      <c r="VSP380" s="252"/>
      <c r="VSQ380" s="252"/>
      <c r="VSR380" s="252"/>
      <c r="VSS380" s="252"/>
      <c r="VST380" s="252"/>
      <c r="VSU380" s="252"/>
      <c r="VSV380" s="252"/>
      <c r="VSW380" s="252"/>
      <c r="VSX380" s="252"/>
      <c r="VSY380" s="252"/>
      <c r="VSZ380" s="252"/>
      <c r="VTA380" s="252"/>
      <c r="VTB380" s="252"/>
      <c r="VTC380" s="252"/>
      <c r="VTD380" s="252"/>
      <c r="VTE380" s="252"/>
      <c r="VTF380" s="252"/>
      <c r="VTG380" s="252"/>
      <c r="VTH380" s="252"/>
      <c r="VTI380" s="252"/>
      <c r="VTJ380" s="252"/>
      <c r="VTK380" s="252"/>
      <c r="VTL380" s="252"/>
      <c r="VTM380" s="252"/>
      <c r="VTN380" s="252"/>
      <c r="VTO380" s="252"/>
      <c r="VTP380" s="252"/>
      <c r="VTQ380" s="252"/>
      <c r="VTR380" s="252"/>
      <c r="VTS380" s="252"/>
      <c r="VTT380" s="252"/>
      <c r="VTU380" s="252"/>
      <c r="VTV380" s="252"/>
      <c r="VTW380" s="252"/>
      <c r="VTX380" s="252"/>
      <c r="VTY380" s="252"/>
      <c r="VTZ380" s="252"/>
      <c r="VUA380" s="252"/>
      <c r="VUB380" s="252"/>
      <c r="VUC380" s="252"/>
      <c r="VUD380" s="252"/>
      <c r="VUE380" s="252"/>
      <c r="VUF380" s="252"/>
      <c r="VUG380" s="252"/>
      <c r="VUH380" s="252"/>
      <c r="VUI380" s="252"/>
      <c r="VUJ380" s="252"/>
      <c r="VUK380" s="252"/>
      <c r="VUL380" s="252"/>
      <c r="VUM380" s="252"/>
      <c r="VUN380" s="252"/>
      <c r="VUO380" s="252"/>
      <c r="VUP380" s="252"/>
      <c r="VUQ380" s="252"/>
      <c r="VUR380" s="252"/>
      <c r="VUS380" s="252"/>
      <c r="VUT380" s="252"/>
      <c r="VUU380" s="252"/>
      <c r="VUV380" s="252"/>
      <c r="VUW380" s="252"/>
      <c r="VUX380" s="252"/>
      <c r="VUY380" s="252"/>
      <c r="VUZ380" s="252"/>
      <c r="VVA380" s="252"/>
      <c r="VVB380" s="252"/>
      <c r="VVC380" s="252"/>
      <c r="VVD380" s="252"/>
      <c r="VVE380" s="252"/>
      <c r="VVF380" s="252"/>
      <c r="VVG380" s="252"/>
      <c r="VVH380" s="252"/>
      <c r="VVI380" s="252"/>
      <c r="VVJ380" s="252"/>
      <c r="VVK380" s="252"/>
      <c r="VVL380" s="252"/>
      <c r="VVM380" s="252"/>
      <c r="VVN380" s="252"/>
      <c r="VVO380" s="252"/>
      <c r="VVP380" s="252"/>
      <c r="VVQ380" s="252"/>
      <c r="VVR380" s="252"/>
      <c r="VVS380" s="252"/>
      <c r="VVT380" s="252"/>
      <c r="VVU380" s="252"/>
      <c r="VVV380" s="252"/>
      <c r="VVW380" s="252"/>
      <c r="VVX380" s="252"/>
      <c r="VVY380" s="252"/>
      <c r="VVZ380" s="252"/>
      <c r="VWA380" s="252"/>
      <c r="VWB380" s="252"/>
      <c r="VWC380" s="252"/>
      <c r="VWD380" s="252"/>
      <c r="VWE380" s="252"/>
      <c r="VWF380" s="252"/>
      <c r="VWG380" s="252"/>
      <c r="VWH380" s="252"/>
      <c r="VWI380" s="252"/>
      <c r="VWJ380" s="252"/>
      <c r="VWK380" s="252"/>
      <c r="VWL380" s="252"/>
      <c r="VWM380" s="252"/>
      <c r="VWN380" s="252"/>
      <c r="VWO380" s="252"/>
      <c r="VWP380" s="252"/>
      <c r="VWQ380" s="252"/>
      <c r="VWR380" s="252"/>
      <c r="VWS380" s="252"/>
      <c r="VWT380" s="252"/>
      <c r="VWU380" s="252"/>
      <c r="VWV380" s="252"/>
      <c r="VWW380" s="252"/>
      <c r="VWX380" s="252"/>
      <c r="VWY380" s="252"/>
      <c r="VWZ380" s="252"/>
      <c r="VXA380" s="252"/>
      <c r="VXB380" s="252"/>
      <c r="VXC380" s="252"/>
      <c r="VXD380" s="252"/>
      <c r="VXE380" s="252"/>
      <c r="VXF380" s="252"/>
      <c r="VXG380" s="252"/>
      <c r="VXH380" s="252"/>
      <c r="VXI380" s="252"/>
      <c r="VXJ380" s="252"/>
      <c r="VXK380" s="252"/>
      <c r="VXL380" s="252"/>
      <c r="VXM380" s="252"/>
      <c r="VXN380" s="252"/>
      <c r="VXO380" s="252"/>
      <c r="VXP380" s="252"/>
      <c r="VXQ380" s="252"/>
      <c r="VXR380" s="252"/>
      <c r="VXS380" s="252"/>
      <c r="VXT380" s="252"/>
      <c r="VXU380" s="252"/>
      <c r="VXV380" s="252"/>
      <c r="VXW380" s="252"/>
      <c r="VXX380" s="252"/>
      <c r="VXY380" s="252"/>
      <c r="VXZ380" s="252"/>
      <c r="VYA380" s="252"/>
      <c r="VYB380" s="252"/>
      <c r="VYC380" s="252"/>
      <c r="VYD380" s="252"/>
      <c r="VYE380" s="252"/>
      <c r="VYF380" s="252"/>
      <c r="VYG380" s="252"/>
      <c r="VYH380" s="252"/>
      <c r="VYI380" s="252"/>
      <c r="VYJ380" s="252"/>
      <c r="VYK380" s="252"/>
      <c r="VYL380" s="252"/>
      <c r="VYM380" s="252"/>
      <c r="VYN380" s="252"/>
      <c r="VYO380" s="252"/>
      <c r="VYP380" s="252"/>
      <c r="VYQ380" s="252"/>
      <c r="VYR380" s="252"/>
      <c r="VYS380" s="252"/>
      <c r="VYT380" s="252"/>
      <c r="VYU380" s="252"/>
      <c r="VYV380" s="252"/>
      <c r="VYW380" s="252"/>
      <c r="VYX380" s="252"/>
      <c r="VYY380" s="252"/>
      <c r="VYZ380" s="252"/>
      <c r="VZA380" s="252"/>
      <c r="VZB380" s="252"/>
      <c r="VZC380" s="252"/>
      <c r="VZD380" s="252"/>
      <c r="VZE380" s="252"/>
      <c r="VZF380" s="252"/>
      <c r="VZG380" s="252"/>
      <c r="VZH380" s="252"/>
      <c r="VZI380" s="252"/>
      <c r="VZJ380" s="252"/>
      <c r="VZK380" s="252"/>
      <c r="VZL380" s="252"/>
      <c r="VZM380" s="252"/>
      <c r="VZN380" s="252"/>
      <c r="VZO380" s="252"/>
      <c r="VZP380" s="252"/>
      <c r="VZQ380" s="252"/>
      <c r="VZR380" s="252"/>
      <c r="VZS380" s="252"/>
      <c r="VZT380" s="252"/>
      <c r="VZU380" s="252"/>
      <c r="VZV380" s="252"/>
      <c r="VZW380" s="252"/>
      <c r="VZX380" s="252"/>
      <c r="VZY380" s="252"/>
      <c r="VZZ380" s="252"/>
      <c r="WAA380" s="252"/>
      <c r="WAB380" s="252"/>
      <c r="WAC380" s="252"/>
      <c r="WAD380" s="252"/>
      <c r="WAE380" s="252"/>
      <c r="WAF380" s="252"/>
      <c r="WAG380" s="252"/>
      <c r="WAH380" s="252"/>
      <c r="WAI380" s="252"/>
      <c r="WAJ380" s="252"/>
      <c r="WAK380" s="252"/>
      <c r="WAL380" s="252"/>
      <c r="WAM380" s="252"/>
      <c r="WAN380" s="252"/>
      <c r="WAO380" s="252"/>
      <c r="WAP380" s="252"/>
      <c r="WAQ380" s="252"/>
      <c r="WAR380" s="252"/>
      <c r="WAS380" s="252"/>
      <c r="WAT380" s="252"/>
      <c r="WAU380" s="252"/>
      <c r="WAV380" s="252"/>
      <c r="WAW380" s="252"/>
      <c r="WAX380" s="252"/>
      <c r="WAY380" s="252"/>
      <c r="WAZ380" s="252"/>
      <c r="WBA380" s="252"/>
      <c r="WBB380" s="252"/>
      <c r="WBC380" s="252"/>
      <c r="WBD380" s="252"/>
      <c r="WBE380" s="252"/>
      <c r="WBF380" s="252"/>
      <c r="WBG380" s="252"/>
      <c r="WBH380" s="252"/>
      <c r="WBI380" s="252"/>
      <c r="WBJ380" s="252"/>
      <c r="WBK380" s="252"/>
      <c r="WBL380" s="252"/>
      <c r="WBM380" s="252"/>
      <c r="WBN380" s="252"/>
      <c r="WBO380" s="252"/>
      <c r="WBP380" s="252"/>
      <c r="WBQ380" s="252"/>
      <c r="WBR380" s="252"/>
      <c r="WBS380" s="252"/>
      <c r="WBT380" s="252"/>
      <c r="WBU380" s="252"/>
      <c r="WBV380" s="252"/>
      <c r="WBW380" s="252"/>
      <c r="WBX380" s="252"/>
      <c r="WBY380" s="252"/>
      <c r="WBZ380" s="252"/>
      <c r="WCA380" s="252"/>
      <c r="WCB380" s="252"/>
      <c r="WCC380" s="252"/>
      <c r="WCD380" s="252"/>
      <c r="WCE380" s="252"/>
      <c r="WCF380" s="252"/>
      <c r="WCG380" s="252"/>
      <c r="WCH380" s="252"/>
      <c r="WCI380" s="252"/>
      <c r="WCJ380" s="252"/>
      <c r="WCK380" s="252"/>
      <c r="WCL380" s="252"/>
      <c r="WCM380" s="252"/>
      <c r="WCN380" s="252"/>
      <c r="WCO380" s="252"/>
      <c r="WCP380" s="252"/>
      <c r="WCQ380" s="252"/>
      <c r="WCR380" s="252"/>
      <c r="WCS380" s="252"/>
      <c r="WCT380" s="252"/>
      <c r="WCU380" s="252"/>
      <c r="WCV380" s="252"/>
      <c r="WCW380" s="252"/>
      <c r="WCX380" s="252"/>
      <c r="WCY380" s="252"/>
      <c r="WCZ380" s="252"/>
      <c r="WDA380" s="252"/>
      <c r="WDB380" s="252"/>
      <c r="WDC380" s="252"/>
      <c r="WDD380" s="252"/>
      <c r="WDE380" s="252"/>
      <c r="WDF380" s="252"/>
      <c r="WDG380" s="252"/>
      <c r="WDH380" s="252"/>
      <c r="WDI380" s="252"/>
      <c r="WDJ380" s="252"/>
      <c r="WDK380" s="252"/>
      <c r="WDL380" s="252"/>
      <c r="WDM380" s="252"/>
      <c r="WDN380" s="252"/>
      <c r="WDO380" s="252"/>
      <c r="WDP380" s="252"/>
      <c r="WDQ380" s="252"/>
      <c r="WDR380" s="252"/>
      <c r="WDS380" s="252"/>
      <c r="WDT380" s="252"/>
      <c r="WDU380" s="252"/>
      <c r="WDV380" s="252"/>
      <c r="WDW380" s="252"/>
      <c r="WDX380" s="252"/>
      <c r="WDY380" s="252"/>
      <c r="WDZ380" s="252"/>
      <c r="WEA380" s="252"/>
      <c r="WEB380" s="252"/>
      <c r="WEC380" s="252"/>
      <c r="WED380" s="252"/>
      <c r="WEE380" s="252"/>
      <c r="WEF380" s="252"/>
      <c r="WEG380" s="252"/>
      <c r="WEH380" s="252"/>
      <c r="WEI380" s="252"/>
      <c r="WEJ380" s="252"/>
      <c r="WEK380" s="252"/>
      <c r="WEL380" s="252"/>
      <c r="WEM380" s="252"/>
      <c r="WEN380" s="252"/>
      <c r="WEO380" s="252"/>
      <c r="WEP380" s="252"/>
      <c r="WEQ380" s="252"/>
      <c r="WER380" s="252"/>
      <c r="WES380" s="252"/>
      <c r="WET380" s="252"/>
      <c r="WEU380" s="252"/>
      <c r="WEV380" s="252"/>
      <c r="WEW380" s="252"/>
      <c r="WEX380" s="252"/>
      <c r="WEY380" s="252"/>
      <c r="WEZ380" s="252"/>
      <c r="WFA380" s="252"/>
      <c r="WFB380" s="252"/>
      <c r="WFC380" s="252"/>
      <c r="WFD380" s="252"/>
      <c r="WFE380" s="252"/>
      <c r="WFF380" s="252"/>
      <c r="WFG380" s="252"/>
      <c r="WFH380" s="252"/>
      <c r="WFI380" s="252"/>
      <c r="WFJ380" s="252"/>
      <c r="WFK380" s="252"/>
      <c r="WFL380" s="252"/>
      <c r="WFM380" s="252"/>
      <c r="WFN380" s="252"/>
      <c r="WFO380" s="252"/>
      <c r="WFP380" s="252"/>
      <c r="WFQ380" s="252"/>
      <c r="WFR380" s="252"/>
      <c r="WFS380" s="252"/>
      <c r="WFT380" s="252"/>
      <c r="WFU380" s="252"/>
      <c r="WFV380" s="252"/>
      <c r="WFW380" s="252"/>
      <c r="WFX380" s="252"/>
      <c r="WFY380" s="252"/>
      <c r="WFZ380" s="252"/>
      <c r="WGA380" s="252"/>
      <c r="WGB380" s="252"/>
      <c r="WGC380" s="252"/>
      <c r="WGD380" s="252"/>
      <c r="WGE380" s="252"/>
      <c r="WGF380" s="252"/>
      <c r="WGG380" s="252"/>
      <c r="WGH380" s="252"/>
      <c r="WGI380" s="252"/>
      <c r="WGJ380" s="252"/>
      <c r="WGK380" s="252"/>
      <c r="WGL380" s="252"/>
      <c r="WGM380" s="252"/>
      <c r="WGN380" s="252"/>
      <c r="WGO380" s="252"/>
      <c r="WGP380" s="252"/>
      <c r="WGQ380" s="252"/>
      <c r="WGR380" s="252"/>
      <c r="WGS380" s="252"/>
      <c r="WGT380" s="252"/>
      <c r="WGU380" s="252"/>
      <c r="WGV380" s="252"/>
      <c r="WGW380" s="252"/>
      <c r="WGX380" s="252"/>
      <c r="WGY380" s="252"/>
      <c r="WGZ380" s="252"/>
      <c r="WHA380" s="252"/>
      <c r="WHB380" s="252"/>
      <c r="WHC380" s="252"/>
      <c r="WHD380" s="252"/>
      <c r="WHE380" s="252"/>
      <c r="WHF380" s="252"/>
      <c r="WHG380" s="252"/>
      <c r="WHH380" s="252"/>
      <c r="WHI380" s="252"/>
      <c r="WHJ380" s="252"/>
      <c r="WHK380" s="252"/>
      <c r="WHL380" s="252"/>
      <c r="WHM380" s="252"/>
      <c r="WHN380" s="252"/>
      <c r="WHO380" s="252"/>
      <c r="WHP380" s="252"/>
      <c r="WHQ380" s="252"/>
      <c r="WHR380" s="252"/>
      <c r="WHS380" s="252"/>
      <c r="WHT380" s="252"/>
      <c r="WHU380" s="252"/>
      <c r="WHV380" s="252"/>
      <c r="WHW380" s="252"/>
      <c r="WHX380" s="252"/>
      <c r="WHY380" s="252"/>
      <c r="WHZ380" s="252"/>
      <c r="WIA380" s="252"/>
      <c r="WIB380" s="252"/>
      <c r="WIC380" s="252"/>
      <c r="WID380" s="252"/>
      <c r="WIE380" s="252"/>
      <c r="WIF380" s="252"/>
      <c r="WIG380" s="252"/>
      <c r="WIH380" s="252"/>
      <c r="WII380" s="252"/>
      <c r="WIJ380" s="252"/>
      <c r="WIK380" s="252"/>
      <c r="WIL380" s="252"/>
      <c r="WIM380" s="252"/>
      <c r="WIN380" s="252"/>
      <c r="WIO380" s="252"/>
      <c r="WIP380" s="252"/>
      <c r="WIQ380" s="252"/>
      <c r="WIR380" s="252"/>
      <c r="WIS380" s="252"/>
      <c r="WIT380" s="252"/>
      <c r="WIU380" s="252"/>
      <c r="WIV380" s="252"/>
      <c r="WIW380" s="252"/>
      <c r="WIX380" s="252"/>
      <c r="WIY380" s="252"/>
      <c r="WIZ380" s="252"/>
      <c r="WJA380" s="252"/>
      <c r="WJB380" s="252"/>
      <c r="WJC380" s="252"/>
      <c r="WJD380" s="252"/>
      <c r="WJE380" s="252"/>
      <c r="WJF380" s="252"/>
      <c r="WJG380" s="252"/>
      <c r="WJH380" s="252"/>
      <c r="WJI380" s="252"/>
      <c r="WJJ380" s="252"/>
      <c r="WJK380" s="252"/>
      <c r="WJL380" s="252"/>
      <c r="WJM380" s="252"/>
      <c r="WJN380" s="252"/>
      <c r="WJO380" s="252"/>
      <c r="WJP380" s="252"/>
      <c r="WJQ380" s="252"/>
      <c r="WJR380" s="252"/>
      <c r="WJS380" s="252"/>
      <c r="WJT380" s="252"/>
      <c r="WJU380" s="252"/>
      <c r="WJV380" s="252"/>
      <c r="WJW380" s="252"/>
      <c r="WJX380" s="252"/>
      <c r="WJY380" s="252"/>
      <c r="WJZ380" s="252"/>
      <c r="WKA380" s="252"/>
      <c r="WKB380" s="252"/>
      <c r="WKC380" s="252"/>
      <c r="WKD380" s="252"/>
      <c r="WKE380" s="252"/>
      <c r="WKF380" s="252"/>
      <c r="WKG380" s="252"/>
      <c r="WKH380" s="252"/>
      <c r="WKI380" s="252"/>
      <c r="WKJ380" s="252"/>
      <c r="WKK380" s="252"/>
      <c r="WKL380" s="252"/>
      <c r="WKM380" s="252"/>
      <c r="WKN380" s="252"/>
      <c r="WKO380" s="252"/>
      <c r="WKP380" s="252"/>
      <c r="WKQ380" s="252"/>
      <c r="WKR380" s="252"/>
      <c r="WKS380" s="252"/>
      <c r="WKT380" s="252"/>
      <c r="WKU380" s="252"/>
      <c r="WKV380" s="252"/>
      <c r="WKW380" s="252"/>
      <c r="WKX380" s="252"/>
      <c r="WKY380" s="252"/>
      <c r="WKZ380" s="252"/>
      <c r="WLA380" s="252"/>
      <c r="WLB380" s="252"/>
      <c r="WLC380" s="252"/>
      <c r="WLD380" s="252"/>
      <c r="WLE380" s="252"/>
      <c r="WLF380" s="252"/>
      <c r="WLG380" s="252"/>
      <c r="WLH380" s="252"/>
      <c r="WLI380" s="252"/>
      <c r="WLJ380" s="252"/>
      <c r="WLK380" s="252"/>
      <c r="WLL380" s="252"/>
      <c r="WLM380" s="252"/>
      <c r="WLN380" s="252"/>
      <c r="WLO380" s="252"/>
      <c r="WLP380" s="252"/>
      <c r="WLQ380" s="252"/>
      <c r="WLR380" s="252"/>
      <c r="WLS380" s="252"/>
      <c r="WLT380" s="252"/>
      <c r="WLU380" s="252"/>
      <c r="WLV380" s="252"/>
      <c r="WLW380" s="252"/>
      <c r="WLX380" s="252"/>
      <c r="WLY380" s="252"/>
      <c r="WLZ380" s="252"/>
      <c r="WMA380" s="252"/>
      <c r="WMB380" s="252"/>
      <c r="WMC380" s="252"/>
      <c r="WMD380" s="252"/>
      <c r="WME380" s="252"/>
      <c r="WMF380" s="252"/>
      <c r="WMG380" s="252"/>
      <c r="WMH380" s="252"/>
      <c r="WMI380" s="252"/>
      <c r="WMJ380" s="252"/>
      <c r="WMK380" s="252"/>
      <c r="WML380" s="252"/>
      <c r="WMM380" s="252"/>
      <c r="WMN380" s="252"/>
      <c r="WMO380" s="252"/>
      <c r="WMP380" s="252"/>
      <c r="WMQ380" s="252"/>
      <c r="WMR380" s="252"/>
      <c r="WMS380" s="252"/>
      <c r="WMT380" s="252"/>
      <c r="WMU380" s="252"/>
      <c r="WMV380" s="252"/>
      <c r="WMW380" s="252"/>
      <c r="WMX380" s="252"/>
      <c r="WMY380" s="252"/>
      <c r="WMZ380" s="252"/>
      <c r="WNA380" s="252"/>
      <c r="WNB380" s="252"/>
      <c r="WNC380" s="252"/>
      <c r="WND380" s="252"/>
      <c r="WNE380" s="252"/>
      <c r="WNF380" s="252"/>
      <c r="WNG380" s="252"/>
      <c r="WNH380" s="252"/>
      <c r="WNI380" s="252"/>
      <c r="WNJ380" s="252"/>
      <c r="WNK380" s="252"/>
      <c r="WNL380" s="252"/>
      <c r="WNM380" s="252"/>
      <c r="WNN380" s="252"/>
      <c r="WNO380" s="252"/>
      <c r="WNP380" s="252"/>
      <c r="WNQ380" s="252"/>
      <c r="WNR380" s="252"/>
      <c r="WNS380" s="252"/>
      <c r="WNT380" s="252"/>
      <c r="WNU380" s="252"/>
      <c r="WNV380" s="252"/>
      <c r="WNW380" s="252"/>
      <c r="WNX380" s="252"/>
      <c r="WNY380" s="252"/>
      <c r="WNZ380" s="252"/>
      <c r="WOA380" s="252"/>
      <c r="WOB380" s="252"/>
      <c r="WOC380" s="252"/>
      <c r="WOD380" s="252"/>
      <c r="WOE380" s="252"/>
      <c r="WOF380" s="252"/>
      <c r="WOG380" s="252"/>
      <c r="WOH380" s="252"/>
      <c r="WOI380" s="252"/>
      <c r="WOJ380" s="252"/>
      <c r="WOK380" s="252"/>
      <c r="WOL380" s="252"/>
      <c r="WOM380" s="252"/>
      <c r="WON380" s="252"/>
      <c r="WOO380" s="252"/>
      <c r="WOP380" s="252"/>
      <c r="WOQ380" s="252"/>
      <c r="WOR380" s="252"/>
      <c r="WOS380" s="252"/>
      <c r="WOT380" s="252"/>
      <c r="WOU380" s="252"/>
      <c r="WOV380" s="252"/>
      <c r="WOW380" s="252"/>
      <c r="WOX380" s="252"/>
      <c r="WOY380" s="252"/>
      <c r="WOZ380" s="252"/>
      <c r="WPA380" s="252"/>
      <c r="WPB380" s="252"/>
      <c r="WPC380" s="252"/>
      <c r="WPD380" s="252"/>
      <c r="WPE380" s="252"/>
      <c r="WPF380" s="252"/>
      <c r="WPG380" s="252"/>
      <c r="WPH380" s="252"/>
      <c r="WPI380" s="252"/>
      <c r="WPJ380" s="252"/>
      <c r="WPK380" s="252"/>
      <c r="WPL380" s="252"/>
      <c r="WPM380" s="252"/>
      <c r="WPN380" s="252"/>
      <c r="WPO380" s="252"/>
      <c r="WPP380" s="252"/>
      <c r="WPQ380" s="252"/>
      <c r="WPR380" s="252"/>
      <c r="WPS380" s="252"/>
      <c r="WPT380" s="252"/>
      <c r="WPU380" s="252"/>
      <c r="WPV380" s="252"/>
      <c r="WPW380" s="252"/>
      <c r="WPX380" s="252"/>
      <c r="WPY380" s="252"/>
      <c r="WPZ380" s="252"/>
      <c r="WQA380" s="252"/>
      <c r="WQB380" s="252"/>
      <c r="WQC380" s="252"/>
      <c r="WQD380" s="252"/>
      <c r="WQE380" s="252"/>
      <c r="WQF380" s="252"/>
      <c r="WQG380" s="252"/>
      <c r="WQH380" s="252"/>
      <c r="WQI380" s="252"/>
      <c r="WQJ380" s="252"/>
      <c r="WQK380" s="252"/>
      <c r="WQL380" s="252"/>
      <c r="WQM380" s="252"/>
      <c r="WQN380" s="252"/>
      <c r="WQO380" s="252"/>
      <c r="WQP380" s="252"/>
      <c r="WQQ380" s="252"/>
      <c r="WQR380" s="252"/>
      <c r="WQS380" s="252"/>
      <c r="WQT380" s="252"/>
      <c r="WQU380" s="252"/>
      <c r="WQV380" s="252"/>
      <c r="WQW380" s="252"/>
      <c r="WQX380" s="252"/>
      <c r="WQY380" s="252"/>
      <c r="WQZ380" s="252"/>
      <c r="WRA380" s="252"/>
      <c r="WRB380" s="252"/>
      <c r="WRC380" s="252"/>
      <c r="WRD380" s="252"/>
      <c r="WRE380" s="252"/>
      <c r="WRF380" s="252"/>
      <c r="WRG380" s="252"/>
      <c r="WRH380" s="252"/>
      <c r="WRI380" s="252"/>
      <c r="WRJ380" s="252"/>
      <c r="WRK380" s="252"/>
      <c r="WRL380" s="252"/>
      <c r="WRM380" s="252"/>
      <c r="WRN380" s="252"/>
      <c r="WRO380" s="252"/>
      <c r="WRP380" s="252"/>
      <c r="WRQ380" s="252"/>
      <c r="WRR380" s="252"/>
      <c r="WRS380" s="252"/>
      <c r="WRT380" s="252"/>
      <c r="WRU380" s="252"/>
      <c r="WRV380" s="252"/>
      <c r="WRW380" s="252"/>
      <c r="WRX380" s="252"/>
      <c r="WRY380" s="252"/>
      <c r="WRZ380" s="252"/>
      <c r="WSA380" s="252"/>
      <c r="WSB380" s="252"/>
      <c r="WSC380" s="252"/>
      <c r="WSD380" s="252"/>
      <c r="WSE380" s="252"/>
      <c r="WSF380" s="252"/>
      <c r="WSG380" s="252"/>
      <c r="WSH380" s="252"/>
      <c r="WSI380" s="252"/>
      <c r="WSJ380" s="252"/>
      <c r="WSK380" s="252"/>
      <c r="WSL380" s="252"/>
      <c r="WSM380" s="252"/>
      <c r="WSN380" s="252"/>
      <c r="WSO380" s="252"/>
      <c r="WSP380" s="252"/>
      <c r="WSQ380" s="252"/>
      <c r="WSR380" s="252"/>
      <c r="WSS380" s="252"/>
      <c r="WST380" s="252"/>
      <c r="WSU380" s="252"/>
      <c r="WSV380" s="252"/>
      <c r="WSW380" s="252"/>
      <c r="WSX380" s="252"/>
      <c r="WSY380" s="252"/>
      <c r="WSZ380" s="252"/>
      <c r="WTA380" s="252"/>
      <c r="WTB380" s="252"/>
      <c r="WTC380" s="252"/>
      <c r="WTD380" s="252"/>
      <c r="WTE380" s="252"/>
      <c r="WTF380" s="252"/>
      <c r="WTG380" s="252"/>
      <c r="WTH380" s="252"/>
      <c r="WTI380" s="252"/>
      <c r="WTJ380" s="252"/>
      <c r="WTK380" s="252"/>
      <c r="WTL380" s="252"/>
      <c r="WTM380" s="252"/>
      <c r="WTN380" s="252"/>
      <c r="WTO380" s="252"/>
      <c r="WTP380" s="252"/>
      <c r="WTQ380" s="252"/>
      <c r="WTR380" s="252"/>
      <c r="WTS380" s="252"/>
      <c r="WTT380" s="252"/>
      <c r="WTU380" s="252"/>
      <c r="WTV380" s="252"/>
      <c r="WTW380" s="252"/>
      <c r="WTX380" s="252"/>
      <c r="WTY380" s="252"/>
      <c r="WTZ380" s="252"/>
      <c r="WUA380" s="252"/>
      <c r="WUB380" s="252"/>
      <c r="WUC380" s="252"/>
      <c r="WUD380" s="252"/>
      <c r="WUE380" s="252"/>
      <c r="WUF380" s="252"/>
      <c r="WUG380" s="252"/>
      <c r="WUH380" s="252"/>
      <c r="WUI380" s="252"/>
      <c r="WUJ380" s="252"/>
      <c r="WUK380" s="252"/>
      <c r="WUL380" s="252"/>
      <c r="WUM380" s="252"/>
      <c r="WUN380" s="252"/>
      <c r="WUO380" s="252"/>
      <c r="WUP380" s="252"/>
      <c r="WUQ380" s="252"/>
      <c r="WUR380" s="252"/>
      <c r="WUS380" s="252"/>
      <c r="WUT380" s="252"/>
      <c r="WUU380" s="252"/>
      <c r="WUV380" s="252"/>
      <c r="WUW380" s="252"/>
      <c r="WUX380" s="252"/>
      <c r="WUY380" s="252"/>
      <c r="WUZ380" s="252"/>
      <c r="WVA380" s="252"/>
      <c r="WVB380" s="252"/>
      <c r="WVC380" s="252"/>
      <c r="WVD380" s="252"/>
      <c r="WVE380" s="252"/>
      <c r="WVF380" s="252"/>
      <c r="WVG380" s="252"/>
      <c r="WVH380" s="252"/>
      <c r="WVI380" s="252"/>
      <c r="WVJ380" s="252"/>
      <c r="WVK380" s="252"/>
      <c r="WVL380" s="252"/>
      <c r="WVM380" s="252"/>
      <c r="WVN380" s="252"/>
      <c r="WVO380" s="252"/>
      <c r="WVP380" s="252"/>
      <c r="WVQ380" s="252"/>
      <c r="WVR380" s="252"/>
      <c r="WVS380" s="252"/>
      <c r="WVT380" s="252"/>
      <c r="WVU380" s="252"/>
      <c r="WVV380" s="252"/>
      <c r="WVW380" s="252"/>
      <c r="WVX380" s="252"/>
      <c r="WVY380" s="252"/>
      <c r="WVZ380" s="252"/>
      <c r="WWA380" s="252"/>
      <c r="WWB380" s="252"/>
      <c r="WWC380" s="252"/>
      <c r="WWD380" s="252"/>
      <c r="WWE380" s="252"/>
      <c r="WWF380" s="252"/>
      <c r="WWG380" s="252"/>
      <c r="WWH380" s="252"/>
      <c r="WWI380" s="252"/>
      <c r="WWJ380" s="252"/>
      <c r="WWK380" s="252"/>
      <c r="WWL380" s="252"/>
      <c r="WWM380" s="252"/>
      <c r="WWN380" s="252"/>
      <c r="WWO380" s="252"/>
      <c r="WWP380" s="252"/>
      <c r="WWQ380" s="252"/>
      <c r="WWR380" s="252"/>
      <c r="WWS380" s="252"/>
      <c r="WWT380" s="252"/>
      <c r="WWU380" s="252"/>
      <c r="WWV380" s="252"/>
      <c r="WWW380" s="252"/>
      <c r="WWX380" s="252"/>
      <c r="WWY380" s="252"/>
      <c r="WWZ380" s="252"/>
      <c r="WXA380" s="252"/>
      <c r="WXB380" s="252"/>
      <c r="WXC380" s="252"/>
      <c r="WXD380" s="252"/>
      <c r="WXE380" s="252"/>
      <c r="WXF380" s="252"/>
      <c r="WXG380" s="252"/>
      <c r="WXH380" s="252"/>
      <c r="WXI380" s="252"/>
      <c r="WXJ380" s="252"/>
      <c r="WXK380" s="252"/>
      <c r="WXL380" s="252"/>
      <c r="WXM380" s="252"/>
      <c r="WXN380" s="252"/>
      <c r="WXO380" s="252"/>
      <c r="WXP380" s="252"/>
      <c r="WXQ380" s="252"/>
      <c r="WXR380" s="252"/>
      <c r="WXS380" s="252"/>
      <c r="WXT380" s="252"/>
      <c r="WXU380" s="252"/>
      <c r="WXV380" s="252"/>
      <c r="WXW380" s="252"/>
      <c r="WXX380" s="252"/>
      <c r="WXY380" s="252"/>
      <c r="WXZ380" s="252"/>
      <c r="WYA380" s="252"/>
      <c r="WYB380" s="252"/>
      <c r="WYC380" s="252"/>
      <c r="WYD380" s="252"/>
      <c r="WYE380" s="252"/>
      <c r="WYF380" s="252"/>
      <c r="WYG380" s="252"/>
      <c r="WYH380" s="252"/>
      <c r="WYI380" s="252"/>
      <c r="WYJ380" s="252"/>
      <c r="WYK380" s="252"/>
      <c r="WYL380" s="252"/>
      <c r="WYM380" s="252"/>
      <c r="WYN380" s="252"/>
      <c r="WYO380" s="252"/>
      <c r="WYP380" s="252"/>
      <c r="WYQ380" s="252"/>
      <c r="WYR380" s="252"/>
      <c r="WYS380" s="252"/>
      <c r="WYT380" s="252"/>
      <c r="WYU380" s="252"/>
      <c r="WYV380" s="252"/>
      <c r="WYW380" s="252"/>
      <c r="WYX380" s="252"/>
      <c r="WYY380" s="252"/>
      <c r="WYZ380" s="252"/>
      <c r="WZA380" s="252"/>
      <c r="WZB380" s="252"/>
      <c r="WZC380" s="252"/>
      <c r="WZD380" s="252"/>
      <c r="WZE380" s="252"/>
      <c r="WZF380" s="252"/>
      <c r="WZG380" s="252"/>
      <c r="WZH380" s="252"/>
      <c r="WZI380" s="252"/>
      <c r="WZJ380" s="252"/>
      <c r="WZK380" s="252"/>
      <c r="WZL380" s="252"/>
      <c r="WZM380" s="252"/>
      <c r="WZN380" s="252"/>
      <c r="WZO380" s="252"/>
      <c r="WZP380" s="252"/>
      <c r="WZQ380" s="252"/>
      <c r="WZR380" s="252"/>
      <c r="WZS380" s="252"/>
      <c r="WZT380" s="252"/>
      <c r="WZU380" s="252"/>
      <c r="WZV380" s="252"/>
      <c r="WZW380" s="252"/>
      <c r="WZX380" s="252"/>
      <c r="WZY380" s="252"/>
      <c r="WZZ380" s="252"/>
      <c r="XAA380" s="252"/>
      <c r="XAB380" s="252"/>
      <c r="XAC380" s="252"/>
      <c r="XAD380" s="252"/>
      <c r="XAE380" s="252"/>
      <c r="XAF380" s="252"/>
      <c r="XAG380" s="252"/>
      <c r="XAH380" s="252"/>
      <c r="XAI380" s="252"/>
      <c r="XAJ380" s="252"/>
      <c r="XAK380" s="252"/>
      <c r="XAL380" s="252"/>
      <c r="XAM380" s="252"/>
      <c r="XAN380" s="252"/>
      <c r="XAO380" s="252"/>
      <c r="XAP380" s="252"/>
      <c r="XAQ380" s="252"/>
      <c r="XAR380" s="252"/>
      <c r="XAS380" s="252"/>
      <c r="XAT380" s="252"/>
      <c r="XAU380" s="252"/>
      <c r="XAV380" s="252"/>
      <c r="XAW380" s="252"/>
      <c r="XAX380" s="252"/>
      <c r="XAY380" s="252"/>
      <c r="XAZ380" s="252"/>
      <c r="XBA380" s="252"/>
      <c r="XBB380" s="252"/>
      <c r="XBC380" s="252"/>
      <c r="XBD380" s="252"/>
      <c r="XBE380" s="252"/>
      <c r="XBF380" s="252"/>
      <c r="XBG380" s="252"/>
      <c r="XBH380" s="252"/>
      <c r="XBI380" s="252"/>
      <c r="XBJ380" s="252"/>
      <c r="XBK380" s="252"/>
      <c r="XBL380" s="252"/>
      <c r="XBM380" s="252"/>
      <c r="XBN380" s="252"/>
      <c r="XBO380" s="252"/>
      <c r="XBP380" s="252"/>
      <c r="XBQ380" s="252"/>
      <c r="XBR380" s="252"/>
      <c r="XBS380" s="252"/>
      <c r="XBT380" s="252"/>
      <c r="XBU380" s="252"/>
      <c r="XBV380" s="252"/>
      <c r="XBW380" s="252"/>
      <c r="XBX380" s="252"/>
      <c r="XBY380" s="252"/>
      <c r="XBZ380" s="252"/>
      <c r="XCA380" s="252"/>
      <c r="XCB380" s="252"/>
      <c r="XCC380" s="252"/>
      <c r="XCD380" s="252"/>
      <c r="XCE380" s="252"/>
      <c r="XCF380" s="252"/>
      <c r="XCG380" s="252"/>
      <c r="XCH380" s="252"/>
      <c r="XCI380" s="252"/>
      <c r="XCJ380" s="252"/>
      <c r="XCK380" s="252"/>
      <c r="XCL380" s="252"/>
      <c r="XCM380" s="252"/>
      <c r="XCN380" s="252"/>
      <c r="XCO380" s="252"/>
      <c r="XCP380" s="252"/>
      <c r="XCQ380" s="252"/>
      <c r="XCR380" s="252"/>
      <c r="XCS380" s="252"/>
      <c r="XCT380" s="252"/>
      <c r="XCU380" s="252"/>
      <c r="XCV380" s="252"/>
      <c r="XCW380" s="252"/>
      <c r="XCX380" s="252"/>
      <c r="XCY380" s="252"/>
      <c r="XCZ380" s="252"/>
      <c r="XDA380" s="252"/>
      <c r="XDB380" s="252"/>
      <c r="XDC380" s="252"/>
      <c r="XDD380" s="252"/>
      <c r="XDE380" s="252"/>
      <c r="XDF380" s="252"/>
      <c r="XDG380" s="252"/>
      <c r="XDH380" s="252"/>
      <c r="XDI380" s="252"/>
      <c r="XDJ380" s="252"/>
      <c r="XDK380" s="252"/>
      <c r="XDL380" s="252"/>
      <c r="XDM380" s="252"/>
      <c r="XDN380" s="252"/>
      <c r="XDO380" s="252"/>
      <c r="XDP380" s="252"/>
      <c r="XDQ380" s="252"/>
      <c r="XDR380" s="252"/>
      <c r="XDS380" s="252"/>
      <c r="XDT380" s="252"/>
      <c r="XDU380" s="252"/>
      <c r="XDV380" s="252"/>
      <c r="XDW380" s="252"/>
      <c r="XDX380" s="252"/>
      <c r="XDY380" s="252"/>
      <c r="XDZ380" s="252"/>
      <c r="XEA380" s="252"/>
      <c r="XEB380" s="252"/>
      <c r="XEC380" s="252"/>
      <c r="XED380" s="252"/>
      <c r="XEE380" s="252"/>
      <c r="XEF380" s="252"/>
      <c r="XEG380" s="252"/>
      <c r="XEH380" s="252"/>
      <c r="XEI380" s="252"/>
      <c r="XEJ380" s="252"/>
      <c r="XEK380" s="252"/>
      <c r="XEL380" s="252"/>
      <c r="XEM380" s="252"/>
      <c r="XEN380" s="252"/>
      <c r="XEO380" s="252"/>
      <c r="XEP380" s="252"/>
      <c r="XEQ380" s="252"/>
      <c r="XER380" s="252"/>
      <c r="XES380" s="252"/>
      <c r="XET380" s="252"/>
      <c r="XEU380" s="252"/>
    </row>
    <row r="381" spans="2:16375" ht="158.4" hidden="1">
      <c r="B381" s="941" t="s">
        <v>2441</v>
      </c>
      <c r="C381" s="502" t="s">
        <v>134</v>
      </c>
      <c r="D381" s="502" t="s">
        <v>134</v>
      </c>
      <c r="E381" s="312"/>
      <c r="F381" s="584" t="s">
        <v>1017</v>
      </c>
      <c r="G381" s="1000" t="s">
        <v>1629</v>
      </c>
      <c r="H381" s="1001">
        <v>1</v>
      </c>
      <c r="I381" s="1001" t="s">
        <v>200</v>
      </c>
      <c r="J381" s="1002" t="s">
        <v>1646</v>
      </c>
      <c r="K381" s="312"/>
      <c r="L381" s="1003" t="s">
        <v>134</v>
      </c>
      <c r="M381" s="1004"/>
      <c r="N381" s="961"/>
      <c r="O381" s="1005"/>
      <c r="P381" s="961"/>
      <c r="Q381" s="1006" t="s">
        <v>134</v>
      </c>
      <c r="R381" s="1004" t="s">
        <v>134</v>
      </c>
      <c r="S381" s="1003"/>
      <c r="T381" s="1007"/>
      <c r="U381" s="1008"/>
      <c r="V381" s="1009"/>
      <c r="W381" s="941" t="s">
        <v>2374</v>
      </c>
      <c r="X381" s="1010"/>
      <c r="Y381" s="1011"/>
      <c r="Z381" s="1012"/>
      <c r="AA381" s="1010"/>
      <c r="AB381" s="1011"/>
      <c r="AC381" s="1012"/>
      <c r="AE381" s="1000" t="str">
        <f t="shared" si="61"/>
        <v>0x0000 ~ 0x0FFA (0~818Hz)</v>
      </c>
      <c r="AF381" s="312"/>
      <c r="AG381" s="1015">
        <v>0</v>
      </c>
      <c r="AH381" s="1016">
        <v>0.2</v>
      </c>
      <c r="AI381" s="1024" t="s">
        <v>780</v>
      </c>
      <c r="AJ381" s="1017" t="s">
        <v>781</v>
      </c>
      <c r="AK381" s="1027">
        <f t="shared" ref="AK381:AK386" si="64">HEX2DEC(AI381)*AH381+AG381</f>
        <v>0</v>
      </c>
      <c r="AL381" s="1018">
        <f t="shared" ref="AL381:AL386" si="65">HEX2DEC(AJ381)*AH381+AG381</f>
        <v>818</v>
      </c>
      <c r="AM381" s="1019" t="s">
        <v>755</v>
      </c>
      <c r="AN381" s="1014"/>
      <c r="AP381" s="1030" t="s">
        <v>855</v>
      </c>
      <c r="AQ381" s="1030" t="s">
        <v>365</v>
      </c>
      <c r="AS381" s="1046" t="s">
        <v>1398</v>
      </c>
      <c r="AT381" s="1046" t="s">
        <v>1389</v>
      </c>
      <c r="AU381" s="1031" t="s">
        <v>1222</v>
      </c>
      <c r="AV381" s="1031" t="s">
        <v>1222</v>
      </c>
      <c r="AW381" s="252"/>
      <c r="AX381" s="252"/>
      <c r="AY381" s="252"/>
      <c r="AZ381" s="252"/>
      <c r="BA381" s="252"/>
      <c r="BB381" s="252"/>
      <c r="BC381" s="252"/>
      <c r="BD381" s="252"/>
      <c r="BE381" s="252"/>
      <c r="BF381" s="252"/>
      <c r="BG381" s="252"/>
      <c r="BH381" s="252"/>
      <c r="BI381" s="252"/>
      <c r="BJ381" s="252"/>
      <c r="BK381" s="252"/>
      <c r="BL381" s="252"/>
      <c r="BM381" s="252"/>
      <c r="BN381" s="252"/>
      <c r="BO381" s="252"/>
      <c r="BP381" s="252"/>
      <c r="BQ381" s="252"/>
      <c r="BR381" s="252"/>
      <c r="BS381" s="252"/>
      <c r="BT381" s="252"/>
      <c r="BU381" s="252"/>
      <c r="BV381" s="252"/>
      <c r="BW381" s="252"/>
      <c r="BX381" s="252"/>
      <c r="BY381" s="252"/>
      <c r="BZ381" s="252"/>
      <c r="CA381" s="252"/>
      <c r="CB381" s="252"/>
      <c r="CC381" s="252"/>
      <c r="CD381" s="252"/>
      <c r="CE381" s="252"/>
      <c r="CF381" s="252"/>
      <c r="CG381" s="252"/>
      <c r="CH381" s="252"/>
      <c r="CI381" s="252"/>
      <c r="CJ381" s="252"/>
      <c r="CK381" s="252"/>
      <c r="CL381" s="252"/>
      <c r="CM381" s="252"/>
      <c r="CN381" s="252"/>
      <c r="CO381" s="252"/>
      <c r="CP381" s="252"/>
      <c r="CQ381" s="252"/>
      <c r="CR381" s="252"/>
      <c r="CS381" s="252"/>
      <c r="CT381" s="252"/>
      <c r="CU381" s="252"/>
      <c r="CV381" s="252"/>
      <c r="CW381" s="252"/>
      <c r="CX381" s="252"/>
      <c r="CY381" s="252"/>
      <c r="CZ381" s="252"/>
      <c r="DA381" s="252"/>
      <c r="DB381" s="252"/>
      <c r="DC381" s="252"/>
      <c r="DD381" s="252"/>
      <c r="DE381" s="252"/>
      <c r="DF381" s="252"/>
      <c r="DG381" s="252"/>
      <c r="DH381" s="252"/>
      <c r="DI381" s="252"/>
      <c r="DJ381" s="252"/>
      <c r="DK381" s="252"/>
      <c r="DL381" s="252"/>
      <c r="DM381" s="252"/>
      <c r="DN381" s="252"/>
      <c r="DO381" s="252"/>
      <c r="DP381" s="252"/>
      <c r="DQ381" s="252"/>
      <c r="DR381" s="252"/>
      <c r="DS381" s="252"/>
      <c r="DT381" s="252"/>
      <c r="DU381" s="252"/>
      <c r="DV381" s="252"/>
      <c r="DW381" s="252"/>
      <c r="DX381" s="252"/>
      <c r="DY381" s="252"/>
      <c r="DZ381" s="252"/>
      <c r="EA381" s="252"/>
      <c r="EB381" s="252"/>
      <c r="EC381" s="252"/>
      <c r="ED381" s="252"/>
      <c r="EE381" s="252"/>
      <c r="EF381" s="252"/>
      <c r="EG381" s="252"/>
      <c r="EH381" s="252"/>
      <c r="EI381" s="252"/>
      <c r="EJ381" s="252"/>
      <c r="EK381" s="252"/>
      <c r="EL381" s="252"/>
      <c r="EM381" s="252"/>
      <c r="EN381" s="252"/>
      <c r="EO381" s="252"/>
      <c r="EP381" s="252"/>
      <c r="EQ381" s="252"/>
      <c r="ER381" s="252"/>
      <c r="ES381" s="252"/>
      <c r="ET381" s="252"/>
      <c r="EU381" s="252"/>
      <c r="EV381" s="252"/>
      <c r="EW381" s="252"/>
      <c r="EX381" s="252"/>
      <c r="EY381" s="252"/>
      <c r="EZ381" s="252"/>
      <c r="FA381" s="252"/>
      <c r="FB381" s="252"/>
      <c r="FC381" s="252"/>
      <c r="FD381" s="252"/>
      <c r="FE381" s="252"/>
      <c r="FF381" s="252"/>
      <c r="FG381" s="252"/>
      <c r="FH381" s="252"/>
      <c r="FI381" s="252"/>
      <c r="FJ381" s="252"/>
      <c r="FK381" s="252"/>
      <c r="FL381" s="252"/>
      <c r="FM381" s="252"/>
      <c r="FN381" s="252"/>
      <c r="FO381" s="252"/>
      <c r="FP381" s="252"/>
      <c r="FQ381" s="252"/>
      <c r="FR381" s="252"/>
      <c r="FS381" s="252"/>
      <c r="FT381" s="252"/>
      <c r="FU381" s="252"/>
      <c r="FV381" s="252"/>
      <c r="FW381" s="252"/>
      <c r="FX381" s="252"/>
      <c r="FY381" s="252"/>
      <c r="FZ381" s="252"/>
      <c r="GA381" s="252"/>
      <c r="GB381" s="252"/>
      <c r="GC381" s="252"/>
      <c r="GD381" s="252"/>
      <c r="GE381" s="252"/>
      <c r="GF381" s="252"/>
      <c r="GG381" s="252"/>
      <c r="GH381" s="252"/>
      <c r="GI381" s="252"/>
      <c r="GJ381" s="252"/>
      <c r="GK381" s="252"/>
      <c r="GL381" s="252"/>
      <c r="GM381" s="252"/>
      <c r="GN381" s="252"/>
      <c r="GO381" s="252"/>
      <c r="GP381" s="252"/>
      <c r="GQ381" s="252"/>
      <c r="GR381" s="252"/>
      <c r="GS381" s="252"/>
      <c r="GT381" s="252"/>
      <c r="GU381" s="252"/>
      <c r="GV381" s="252"/>
      <c r="GW381" s="252"/>
      <c r="GX381" s="252"/>
      <c r="GY381" s="252"/>
      <c r="GZ381" s="252"/>
      <c r="HA381" s="252"/>
      <c r="HB381" s="252"/>
      <c r="HC381" s="252"/>
      <c r="HD381" s="252"/>
      <c r="HE381" s="252"/>
      <c r="HF381" s="252"/>
      <c r="HG381" s="252"/>
      <c r="HH381" s="252"/>
      <c r="HI381" s="252"/>
      <c r="HJ381" s="252"/>
      <c r="HK381" s="252"/>
      <c r="HL381" s="252"/>
      <c r="HM381" s="252"/>
      <c r="HN381" s="252"/>
      <c r="HO381" s="252"/>
      <c r="HP381" s="252"/>
      <c r="HQ381" s="252"/>
      <c r="HR381" s="252"/>
      <c r="HS381" s="252"/>
      <c r="HT381" s="252"/>
      <c r="HU381" s="252"/>
      <c r="HV381" s="252"/>
      <c r="HW381" s="252"/>
      <c r="HX381" s="252"/>
      <c r="HY381" s="252"/>
      <c r="HZ381" s="252"/>
      <c r="IA381" s="252"/>
      <c r="IB381" s="252"/>
      <c r="IC381" s="252"/>
      <c r="ID381" s="252"/>
      <c r="IE381" s="252"/>
      <c r="IF381" s="252"/>
      <c r="IG381" s="252"/>
      <c r="IH381" s="252"/>
      <c r="II381" s="252"/>
      <c r="IJ381" s="252"/>
      <c r="IK381" s="252"/>
      <c r="IL381" s="252"/>
      <c r="IM381" s="252"/>
      <c r="IN381" s="252"/>
      <c r="IO381" s="252"/>
      <c r="IP381" s="252"/>
      <c r="IQ381" s="252"/>
      <c r="IR381" s="252"/>
      <c r="IS381" s="252"/>
      <c r="IT381" s="252"/>
      <c r="IU381" s="252"/>
      <c r="IV381" s="252"/>
      <c r="IW381" s="252"/>
      <c r="IX381" s="252"/>
      <c r="IY381" s="252"/>
      <c r="IZ381" s="252"/>
      <c r="JA381" s="252"/>
      <c r="JB381" s="252"/>
      <c r="JC381" s="252"/>
      <c r="JD381" s="252"/>
      <c r="JE381" s="252"/>
      <c r="JF381" s="252"/>
      <c r="JG381" s="252"/>
      <c r="JH381" s="252"/>
      <c r="JI381" s="252"/>
      <c r="JJ381" s="252"/>
      <c r="JK381" s="252"/>
      <c r="JL381" s="252"/>
      <c r="JM381" s="252"/>
      <c r="JN381" s="252"/>
      <c r="JO381" s="252"/>
      <c r="JP381" s="252"/>
      <c r="JQ381" s="252"/>
      <c r="JR381" s="252"/>
      <c r="JS381" s="252"/>
      <c r="JT381" s="252"/>
      <c r="JU381" s="252"/>
      <c r="JV381" s="252"/>
      <c r="JW381" s="252"/>
      <c r="JX381" s="252"/>
      <c r="JY381" s="252"/>
      <c r="JZ381" s="252"/>
      <c r="KA381" s="252"/>
      <c r="KB381" s="252"/>
      <c r="KC381" s="252"/>
      <c r="KD381" s="252"/>
      <c r="KE381" s="252"/>
      <c r="KF381" s="252"/>
      <c r="KG381" s="252"/>
      <c r="KH381" s="252"/>
      <c r="KI381" s="252"/>
      <c r="KJ381" s="252"/>
      <c r="KK381" s="252"/>
      <c r="KL381" s="252"/>
      <c r="KM381" s="252"/>
      <c r="KN381" s="252"/>
      <c r="KO381" s="252"/>
      <c r="KP381" s="252"/>
      <c r="KQ381" s="252"/>
      <c r="KR381" s="252"/>
      <c r="KS381" s="252"/>
      <c r="KT381" s="252"/>
      <c r="KU381" s="252"/>
      <c r="KV381" s="252"/>
      <c r="KW381" s="252"/>
      <c r="KX381" s="252"/>
      <c r="KY381" s="252"/>
      <c r="KZ381" s="252"/>
      <c r="LA381" s="252"/>
      <c r="LB381" s="252"/>
      <c r="LC381" s="252"/>
      <c r="LD381" s="252"/>
      <c r="LE381" s="252"/>
      <c r="LF381" s="252"/>
      <c r="LG381" s="252"/>
      <c r="LH381" s="252"/>
      <c r="LI381" s="252"/>
      <c r="LJ381" s="252"/>
      <c r="LK381" s="252"/>
      <c r="LL381" s="252"/>
      <c r="LM381" s="252"/>
      <c r="LN381" s="252"/>
      <c r="LO381" s="252"/>
      <c r="LP381" s="252"/>
      <c r="LQ381" s="252"/>
      <c r="LR381" s="252"/>
      <c r="LS381" s="252"/>
      <c r="LT381" s="252"/>
      <c r="LU381" s="252"/>
      <c r="LV381" s="252"/>
      <c r="LW381" s="252"/>
      <c r="LX381" s="252"/>
      <c r="LY381" s="252"/>
      <c r="LZ381" s="252"/>
      <c r="MA381" s="252"/>
      <c r="MB381" s="252"/>
      <c r="MC381" s="252"/>
      <c r="MD381" s="252"/>
      <c r="ME381" s="252"/>
      <c r="MF381" s="252"/>
      <c r="MG381" s="252"/>
      <c r="MH381" s="252"/>
      <c r="MI381" s="252"/>
      <c r="MJ381" s="252"/>
      <c r="MK381" s="252"/>
      <c r="ML381" s="252"/>
      <c r="MM381" s="252"/>
      <c r="MN381" s="252"/>
      <c r="MO381" s="252"/>
      <c r="MP381" s="252"/>
      <c r="MQ381" s="252"/>
      <c r="MR381" s="252"/>
      <c r="MS381" s="252"/>
      <c r="MT381" s="252"/>
      <c r="MU381" s="252"/>
      <c r="MV381" s="252"/>
      <c r="MW381" s="252"/>
      <c r="MX381" s="252"/>
      <c r="MY381" s="252"/>
      <c r="MZ381" s="252"/>
      <c r="NA381" s="252"/>
      <c r="NB381" s="252"/>
      <c r="NC381" s="252"/>
      <c r="ND381" s="252"/>
      <c r="NE381" s="252"/>
      <c r="NF381" s="252"/>
      <c r="NG381" s="252"/>
      <c r="NH381" s="252"/>
      <c r="NI381" s="252"/>
      <c r="NJ381" s="252"/>
      <c r="NK381" s="252"/>
      <c r="NL381" s="252"/>
      <c r="NM381" s="252"/>
      <c r="NN381" s="252"/>
      <c r="NO381" s="252"/>
      <c r="NP381" s="252"/>
      <c r="NQ381" s="252"/>
      <c r="NR381" s="252"/>
      <c r="NS381" s="252"/>
      <c r="NT381" s="252"/>
      <c r="NU381" s="252"/>
      <c r="NV381" s="252"/>
      <c r="NW381" s="252"/>
      <c r="NX381" s="252"/>
      <c r="NY381" s="252"/>
      <c r="NZ381" s="252"/>
      <c r="OA381" s="252"/>
      <c r="OB381" s="252"/>
      <c r="OC381" s="252"/>
      <c r="OD381" s="252"/>
      <c r="OE381" s="252"/>
      <c r="OF381" s="252"/>
      <c r="OG381" s="252"/>
      <c r="OH381" s="252"/>
      <c r="OI381" s="252"/>
      <c r="OJ381" s="252"/>
      <c r="OK381" s="252"/>
      <c r="OL381" s="252"/>
      <c r="OM381" s="252"/>
      <c r="ON381" s="252"/>
      <c r="OO381" s="252"/>
      <c r="OP381" s="252"/>
      <c r="OQ381" s="252"/>
      <c r="OR381" s="252"/>
      <c r="OS381" s="252"/>
      <c r="OT381" s="252"/>
      <c r="OU381" s="252"/>
      <c r="OV381" s="252"/>
      <c r="OW381" s="252"/>
      <c r="OX381" s="252"/>
      <c r="OY381" s="252"/>
      <c r="OZ381" s="252"/>
      <c r="PA381" s="252"/>
      <c r="PB381" s="252"/>
      <c r="PC381" s="252"/>
      <c r="PD381" s="252"/>
      <c r="PE381" s="252"/>
      <c r="PF381" s="252"/>
      <c r="PG381" s="252"/>
      <c r="PH381" s="252"/>
      <c r="PI381" s="252"/>
      <c r="PJ381" s="252"/>
      <c r="PK381" s="252"/>
      <c r="PL381" s="252"/>
      <c r="PM381" s="252"/>
      <c r="PN381" s="252"/>
      <c r="PO381" s="252"/>
      <c r="PP381" s="252"/>
      <c r="PQ381" s="252"/>
      <c r="PR381" s="252"/>
      <c r="PS381" s="252"/>
      <c r="PT381" s="252"/>
      <c r="PU381" s="252"/>
      <c r="PV381" s="252"/>
      <c r="PW381" s="252"/>
      <c r="PX381" s="252"/>
      <c r="PY381" s="252"/>
      <c r="PZ381" s="252"/>
      <c r="QA381" s="252"/>
      <c r="QB381" s="252"/>
      <c r="QC381" s="252"/>
      <c r="QD381" s="252"/>
      <c r="QE381" s="252"/>
      <c r="QF381" s="252"/>
      <c r="QG381" s="252"/>
      <c r="QH381" s="252"/>
      <c r="QI381" s="252"/>
      <c r="QJ381" s="252"/>
      <c r="QK381" s="252"/>
      <c r="QL381" s="252"/>
      <c r="QM381" s="252"/>
      <c r="QN381" s="252"/>
      <c r="QO381" s="252"/>
      <c r="QP381" s="252"/>
      <c r="QQ381" s="252"/>
      <c r="QR381" s="252"/>
      <c r="QS381" s="252"/>
      <c r="QT381" s="252"/>
      <c r="QU381" s="252"/>
      <c r="QV381" s="252"/>
      <c r="QW381" s="252"/>
      <c r="QX381" s="252"/>
      <c r="QY381" s="252"/>
      <c r="QZ381" s="252"/>
      <c r="RA381" s="252"/>
      <c r="RB381" s="252"/>
      <c r="RC381" s="252"/>
      <c r="RD381" s="252"/>
      <c r="RE381" s="252"/>
      <c r="RF381" s="252"/>
      <c r="RG381" s="252"/>
      <c r="RH381" s="252"/>
      <c r="RI381" s="252"/>
      <c r="RJ381" s="252"/>
      <c r="RK381" s="252"/>
      <c r="RL381" s="252"/>
      <c r="RM381" s="252"/>
      <c r="RN381" s="252"/>
      <c r="RO381" s="252"/>
      <c r="RP381" s="252"/>
      <c r="RQ381" s="252"/>
      <c r="RR381" s="252"/>
      <c r="RS381" s="252"/>
      <c r="RT381" s="252"/>
      <c r="RU381" s="252"/>
      <c r="RV381" s="252"/>
      <c r="RW381" s="252"/>
      <c r="RX381" s="252"/>
      <c r="RY381" s="252"/>
      <c r="RZ381" s="252"/>
      <c r="SA381" s="252"/>
      <c r="SB381" s="252"/>
      <c r="SC381" s="252"/>
      <c r="SD381" s="252"/>
      <c r="SE381" s="252"/>
      <c r="SF381" s="252"/>
      <c r="SG381" s="252"/>
      <c r="SH381" s="252"/>
      <c r="SI381" s="252"/>
      <c r="SJ381" s="252"/>
      <c r="SK381" s="252"/>
      <c r="SL381" s="252"/>
      <c r="SM381" s="252"/>
      <c r="SN381" s="252"/>
      <c r="SO381" s="252"/>
      <c r="SP381" s="252"/>
      <c r="SQ381" s="252"/>
      <c r="SR381" s="252"/>
      <c r="SS381" s="252"/>
      <c r="ST381" s="252"/>
      <c r="SU381" s="252"/>
      <c r="SV381" s="252"/>
      <c r="SW381" s="252"/>
      <c r="SX381" s="252"/>
      <c r="SY381" s="252"/>
      <c r="SZ381" s="252"/>
      <c r="TA381" s="252"/>
      <c r="TB381" s="252"/>
      <c r="TC381" s="252"/>
      <c r="TD381" s="252"/>
      <c r="TE381" s="252"/>
      <c r="TF381" s="252"/>
      <c r="TG381" s="252"/>
      <c r="TH381" s="252"/>
      <c r="TI381" s="252"/>
      <c r="TJ381" s="252"/>
      <c r="TK381" s="252"/>
      <c r="TL381" s="252"/>
      <c r="TM381" s="252"/>
      <c r="TN381" s="252"/>
      <c r="TO381" s="252"/>
      <c r="TP381" s="252"/>
      <c r="TQ381" s="252"/>
      <c r="TR381" s="252"/>
      <c r="TS381" s="252"/>
      <c r="TT381" s="252"/>
      <c r="TU381" s="252"/>
      <c r="TV381" s="252"/>
      <c r="TW381" s="252"/>
      <c r="TX381" s="252"/>
      <c r="TY381" s="252"/>
      <c r="TZ381" s="252"/>
      <c r="UA381" s="252"/>
      <c r="UB381" s="252"/>
      <c r="UC381" s="252"/>
      <c r="UD381" s="252"/>
      <c r="UE381" s="252"/>
      <c r="UF381" s="252"/>
      <c r="UG381" s="252"/>
      <c r="UH381" s="252"/>
      <c r="UI381" s="252"/>
      <c r="UJ381" s="252"/>
      <c r="UK381" s="252"/>
      <c r="UL381" s="252"/>
      <c r="UM381" s="252"/>
      <c r="UN381" s="252"/>
      <c r="UO381" s="252"/>
      <c r="UP381" s="252"/>
      <c r="UQ381" s="252"/>
      <c r="UR381" s="252"/>
      <c r="US381" s="252"/>
      <c r="UT381" s="252"/>
      <c r="UU381" s="252"/>
      <c r="UV381" s="252"/>
      <c r="UW381" s="252"/>
      <c r="UX381" s="252"/>
      <c r="UY381" s="252"/>
      <c r="UZ381" s="252"/>
      <c r="VA381" s="252"/>
      <c r="VB381" s="252"/>
      <c r="VC381" s="252"/>
      <c r="VD381" s="252"/>
      <c r="VE381" s="252"/>
      <c r="VF381" s="252"/>
      <c r="VG381" s="252"/>
      <c r="VH381" s="252"/>
      <c r="VI381" s="252"/>
      <c r="VJ381" s="252"/>
      <c r="VK381" s="252"/>
      <c r="VL381" s="252"/>
      <c r="VM381" s="252"/>
      <c r="VN381" s="252"/>
      <c r="VO381" s="252"/>
      <c r="VP381" s="252"/>
      <c r="VQ381" s="252"/>
      <c r="VR381" s="252"/>
      <c r="VS381" s="252"/>
      <c r="VT381" s="252"/>
      <c r="VU381" s="252"/>
      <c r="VV381" s="252"/>
      <c r="VW381" s="252"/>
      <c r="VX381" s="252"/>
      <c r="VY381" s="252"/>
      <c r="VZ381" s="252"/>
      <c r="WA381" s="252"/>
      <c r="WB381" s="252"/>
      <c r="WC381" s="252"/>
      <c r="WD381" s="252"/>
      <c r="WE381" s="252"/>
      <c r="WF381" s="252"/>
      <c r="WG381" s="252"/>
      <c r="WH381" s="252"/>
      <c r="WI381" s="252"/>
      <c r="WJ381" s="252"/>
      <c r="WK381" s="252"/>
      <c r="WL381" s="252"/>
      <c r="WM381" s="252"/>
      <c r="WN381" s="252"/>
      <c r="WO381" s="252"/>
      <c r="WP381" s="252"/>
      <c r="WQ381" s="252"/>
      <c r="WR381" s="252"/>
      <c r="WS381" s="252"/>
      <c r="WT381" s="252"/>
      <c r="WU381" s="252"/>
      <c r="WV381" s="252"/>
      <c r="WW381" s="252"/>
      <c r="WX381" s="252"/>
      <c r="WY381" s="252"/>
      <c r="WZ381" s="252"/>
      <c r="XA381" s="252"/>
      <c r="XB381" s="252"/>
      <c r="XC381" s="252"/>
      <c r="XD381" s="252"/>
      <c r="XE381" s="252"/>
      <c r="XF381" s="252"/>
      <c r="XG381" s="252"/>
      <c r="XH381" s="252"/>
      <c r="XI381" s="252"/>
      <c r="XJ381" s="252"/>
      <c r="XK381" s="252"/>
      <c r="XL381" s="252"/>
      <c r="XM381" s="252"/>
      <c r="XN381" s="252"/>
      <c r="XO381" s="252"/>
      <c r="XP381" s="252"/>
      <c r="XQ381" s="252"/>
      <c r="XR381" s="252"/>
      <c r="XS381" s="252"/>
      <c r="XT381" s="252"/>
      <c r="XU381" s="252"/>
      <c r="XV381" s="252"/>
      <c r="XW381" s="252"/>
      <c r="XX381" s="252"/>
      <c r="XY381" s="252"/>
      <c r="XZ381" s="252"/>
      <c r="YA381" s="252"/>
      <c r="YB381" s="252"/>
      <c r="YC381" s="252"/>
      <c r="YD381" s="252"/>
      <c r="YE381" s="252"/>
      <c r="YF381" s="252"/>
      <c r="YG381" s="252"/>
      <c r="YH381" s="252"/>
      <c r="YI381" s="252"/>
      <c r="YJ381" s="252"/>
      <c r="YK381" s="252"/>
      <c r="YL381" s="252"/>
      <c r="YM381" s="252"/>
      <c r="YN381" s="252"/>
      <c r="YO381" s="252"/>
      <c r="YP381" s="252"/>
      <c r="YQ381" s="252"/>
      <c r="YR381" s="252"/>
      <c r="YS381" s="252"/>
      <c r="YT381" s="252"/>
      <c r="YU381" s="252"/>
      <c r="YV381" s="252"/>
      <c r="YW381" s="252"/>
      <c r="YX381" s="252"/>
      <c r="YY381" s="252"/>
      <c r="YZ381" s="252"/>
      <c r="ZA381" s="252"/>
      <c r="ZB381" s="252"/>
      <c r="ZC381" s="252"/>
      <c r="ZD381" s="252"/>
      <c r="ZE381" s="252"/>
      <c r="ZF381" s="252"/>
      <c r="ZG381" s="252"/>
      <c r="ZH381" s="252"/>
      <c r="ZI381" s="252"/>
      <c r="ZJ381" s="252"/>
      <c r="ZK381" s="252"/>
      <c r="ZL381" s="252"/>
      <c r="ZM381" s="252"/>
      <c r="ZN381" s="252"/>
      <c r="ZO381" s="252"/>
      <c r="ZP381" s="252"/>
      <c r="ZQ381" s="252"/>
      <c r="ZR381" s="252"/>
      <c r="ZS381" s="252"/>
      <c r="ZT381" s="252"/>
      <c r="ZU381" s="252"/>
      <c r="ZV381" s="252"/>
      <c r="ZW381" s="252"/>
      <c r="ZX381" s="252"/>
      <c r="ZY381" s="252"/>
      <c r="ZZ381" s="252"/>
      <c r="AAA381" s="252"/>
      <c r="AAB381" s="252"/>
      <c r="AAC381" s="252"/>
      <c r="AAD381" s="252"/>
      <c r="AAE381" s="252"/>
      <c r="AAF381" s="252"/>
      <c r="AAG381" s="252"/>
      <c r="AAH381" s="252"/>
      <c r="AAI381" s="252"/>
      <c r="AAJ381" s="252"/>
      <c r="AAK381" s="252"/>
      <c r="AAL381" s="252"/>
      <c r="AAM381" s="252"/>
      <c r="AAN381" s="252"/>
      <c r="AAO381" s="252"/>
      <c r="AAP381" s="252"/>
      <c r="AAQ381" s="252"/>
      <c r="AAR381" s="252"/>
      <c r="AAS381" s="252"/>
      <c r="AAT381" s="252"/>
      <c r="AAU381" s="252"/>
      <c r="AAV381" s="252"/>
      <c r="AAW381" s="252"/>
      <c r="AAX381" s="252"/>
      <c r="AAY381" s="252"/>
      <c r="AAZ381" s="252"/>
      <c r="ABA381" s="252"/>
      <c r="ABB381" s="252"/>
      <c r="ABC381" s="252"/>
      <c r="ABD381" s="252"/>
      <c r="ABE381" s="252"/>
      <c r="ABF381" s="252"/>
      <c r="ABG381" s="252"/>
      <c r="ABH381" s="252"/>
      <c r="ABI381" s="252"/>
      <c r="ABJ381" s="252"/>
      <c r="ABK381" s="252"/>
      <c r="ABL381" s="252"/>
      <c r="ABM381" s="252"/>
      <c r="ABN381" s="252"/>
      <c r="ABO381" s="252"/>
      <c r="ABP381" s="252"/>
      <c r="ABQ381" s="252"/>
      <c r="ABR381" s="252"/>
      <c r="ABS381" s="252"/>
      <c r="ABT381" s="252"/>
      <c r="ABU381" s="252"/>
      <c r="ABV381" s="252"/>
      <c r="ABW381" s="252"/>
      <c r="ABX381" s="252"/>
      <c r="ABY381" s="252"/>
      <c r="ABZ381" s="252"/>
      <c r="ACA381" s="252"/>
      <c r="ACB381" s="252"/>
      <c r="ACC381" s="252"/>
      <c r="ACD381" s="252"/>
      <c r="ACE381" s="252"/>
      <c r="ACF381" s="252"/>
      <c r="ACG381" s="252"/>
      <c r="ACH381" s="252"/>
      <c r="ACI381" s="252"/>
      <c r="ACJ381" s="252"/>
      <c r="ACK381" s="252"/>
      <c r="ACL381" s="252"/>
      <c r="ACM381" s="252"/>
      <c r="ACN381" s="252"/>
      <c r="ACO381" s="252"/>
      <c r="ACP381" s="252"/>
      <c r="ACQ381" s="252"/>
      <c r="ACR381" s="252"/>
      <c r="ACS381" s="252"/>
      <c r="ACT381" s="252"/>
      <c r="ACU381" s="252"/>
      <c r="ACV381" s="252"/>
      <c r="ACW381" s="252"/>
      <c r="ACX381" s="252"/>
      <c r="ACY381" s="252"/>
      <c r="ACZ381" s="252"/>
      <c r="ADA381" s="252"/>
      <c r="ADB381" s="252"/>
      <c r="ADC381" s="252"/>
      <c r="ADD381" s="252"/>
      <c r="ADE381" s="252"/>
      <c r="ADF381" s="252"/>
      <c r="ADG381" s="252"/>
      <c r="ADH381" s="252"/>
      <c r="ADI381" s="252"/>
      <c r="ADJ381" s="252"/>
      <c r="ADK381" s="252"/>
      <c r="ADL381" s="252"/>
      <c r="ADM381" s="252"/>
      <c r="ADN381" s="252"/>
      <c r="ADO381" s="252"/>
      <c r="ADP381" s="252"/>
      <c r="ADQ381" s="252"/>
      <c r="ADR381" s="252"/>
      <c r="ADS381" s="252"/>
      <c r="ADT381" s="252"/>
      <c r="ADU381" s="252"/>
      <c r="ADV381" s="252"/>
      <c r="ADW381" s="252"/>
      <c r="ADX381" s="252"/>
      <c r="ADY381" s="252"/>
      <c r="ADZ381" s="252"/>
      <c r="AEA381" s="252"/>
      <c r="AEB381" s="252"/>
      <c r="AEC381" s="252"/>
      <c r="AED381" s="252"/>
      <c r="AEE381" s="252"/>
      <c r="AEF381" s="252"/>
      <c r="AEG381" s="252"/>
      <c r="AEH381" s="252"/>
      <c r="AEI381" s="252"/>
      <c r="AEJ381" s="252"/>
      <c r="AEK381" s="252"/>
      <c r="AEL381" s="252"/>
      <c r="AEM381" s="252"/>
      <c r="AEN381" s="252"/>
      <c r="AEO381" s="252"/>
      <c r="AEP381" s="252"/>
      <c r="AEQ381" s="252"/>
      <c r="AER381" s="252"/>
      <c r="AES381" s="252"/>
      <c r="AET381" s="252"/>
      <c r="AEU381" s="252"/>
      <c r="AEV381" s="252"/>
      <c r="AEW381" s="252"/>
      <c r="AEX381" s="252"/>
      <c r="AEY381" s="252"/>
      <c r="AEZ381" s="252"/>
      <c r="AFA381" s="252"/>
      <c r="AFB381" s="252"/>
      <c r="AFC381" s="252"/>
      <c r="AFD381" s="252"/>
      <c r="AFE381" s="252"/>
      <c r="AFF381" s="252"/>
      <c r="AFG381" s="252"/>
      <c r="AFH381" s="252"/>
      <c r="AFI381" s="252"/>
      <c r="AFJ381" s="252"/>
      <c r="AFK381" s="252"/>
      <c r="AFL381" s="252"/>
      <c r="AFM381" s="252"/>
      <c r="AFN381" s="252"/>
      <c r="AFO381" s="252"/>
      <c r="AFP381" s="252"/>
      <c r="AFQ381" s="252"/>
      <c r="AFR381" s="252"/>
      <c r="AFS381" s="252"/>
      <c r="AFT381" s="252"/>
      <c r="AFU381" s="252"/>
      <c r="AFV381" s="252"/>
      <c r="AFW381" s="252"/>
      <c r="AFX381" s="252"/>
      <c r="AFY381" s="252"/>
      <c r="AFZ381" s="252"/>
      <c r="AGA381" s="252"/>
      <c r="AGB381" s="252"/>
      <c r="AGC381" s="252"/>
      <c r="AGD381" s="252"/>
      <c r="AGE381" s="252"/>
      <c r="AGF381" s="252"/>
      <c r="AGG381" s="252"/>
      <c r="AGH381" s="252"/>
      <c r="AGI381" s="252"/>
      <c r="AGJ381" s="252"/>
      <c r="AGK381" s="252"/>
      <c r="AGL381" s="252"/>
      <c r="AGM381" s="252"/>
      <c r="AGN381" s="252"/>
      <c r="AGO381" s="252"/>
      <c r="AGP381" s="252"/>
      <c r="AGQ381" s="252"/>
      <c r="AGR381" s="252"/>
      <c r="AGS381" s="252"/>
      <c r="AGT381" s="252"/>
      <c r="AGU381" s="252"/>
      <c r="AGV381" s="252"/>
      <c r="AGW381" s="252"/>
      <c r="AGX381" s="252"/>
      <c r="AGY381" s="252"/>
      <c r="AGZ381" s="252"/>
      <c r="AHA381" s="252"/>
      <c r="AHB381" s="252"/>
      <c r="AHC381" s="252"/>
      <c r="AHD381" s="252"/>
      <c r="AHE381" s="252"/>
      <c r="AHF381" s="252"/>
      <c r="AHG381" s="252"/>
      <c r="AHH381" s="252"/>
      <c r="AHI381" s="252"/>
      <c r="AHJ381" s="252"/>
      <c r="AHK381" s="252"/>
      <c r="AHL381" s="252"/>
      <c r="AHM381" s="252"/>
      <c r="AHN381" s="252"/>
      <c r="AHO381" s="252"/>
      <c r="AHP381" s="252"/>
      <c r="AHQ381" s="252"/>
      <c r="AHR381" s="252"/>
      <c r="AHS381" s="252"/>
      <c r="AHT381" s="252"/>
      <c r="AHU381" s="252"/>
      <c r="AHV381" s="252"/>
      <c r="AHW381" s="252"/>
      <c r="AHX381" s="252"/>
      <c r="AHY381" s="252"/>
      <c r="AHZ381" s="252"/>
      <c r="AIA381" s="252"/>
      <c r="AIB381" s="252"/>
      <c r="AIC381" s="252"/>
      <c r="AID381" s="252"/>
      <c r="AIE381" s="252"/>
      <c r="AIF381" s="252"/>
      <c r="AIG381" s="252"/>
      <c r="AIH381" s="252"/>
      <c r="AII381" s="252"/>
      <c r="AIJ381" s="252"/>
      <c r="AIK381" s="252"/>
      <c r="AIL381" s="252"/>
      <c r="AIM381" s="252"/>
      <c r="AIN381" s="252"/>
      <c r="AIO381" s="252"/>
      <c r="AIP381" s="252"/>
      <c r="AIQ381" s="252"/>
      <c r="AIR381" s="252"/>
      <c r="AIS381" s="252"/>
      <c r="AIT381" s="252"/>
      <c r="AIU381" s="252"/>
      <c r="AIV381" s="252"/>
      <c r="AIW381" s="252"/>
      <c r="AIX381" s="252"/>
      <c r="AIY381" s="252"/>
      <c r="AIZ381" s="252"/>
      <c r="AJA381" s="252"/>
      <c r="AJB381" s="252"/>
      <c r="AJC381" s="252"/>
      <c r="AJD381" s="252"/>
      <c r="AJE381" s="252"/>
      <c r="AJF381" s="252"/>
      <c r="AJG381" s="252"/>
      <c r="AJH381" s="252"/>
      <c r="AJI381" s="252"/>
      <c r="AJJ381" s="252"/>
      <c r="AJK381" s="252"/>
      <c r="AJL381" s="252"/>
      <c r="AJM381" s="252"/>
      <c r="AJN381" s="252"/>
      <c r="AJO381" s="252"/>
      <c r="AJP381" s="252"/>
      <c r="AJQ381" s="252"/>
      <c r="AJR381" s="252"/>
      <c r="AJS381" s="252"/>
      <c r="AJT381" s="252"/>
      <c r="AJU381" s="252"/>
      <c r="AJV381" s="252"/>
      <c r="AJW381" s="252"/>
      <c r="AJX381" s="252"/>
      <c r="AJY381" s="252"/>
      <c r="AJZ381" s="252"/>
      <c r="AKA381" s="252"/>
      <c r="AKB381" s="252"/>
      <c r="AKC381" s="252"/>
      <c r="AKD381" s="252"/>
      <c r="AKE381" s="252"/>
      <c r="AKF381" s="252"/>
      <c r="AKG381" s="252"/>
      <c r="AKH381" s="252"/>
      <c r="AKI381" s="252"/>
      <c r="AKJ381" s="252"/>
      <c r="AKK381" s="252"/>
      <c r="AKL381" s="252"/>
      <c r="AKM381" s="252"/>
      <c r="AKN381" s="252"/>
      <c r="AKO381" s="252"/>
      <c r="AKP381" s="252"/>
      <c r="AKQ381" s="252"/>
      <c r="AKR381" s="252"/>
      <c r="AKS381" s="252"/>
      <c r="AKT381" s="252"/>
      <c r="AKU381" s="252"/>
      <c r="AKV381" s="252"/>
      <c r="AKW381" s="252"/>
      <c r="AKX381" s="252"/>
      <c r="AKY381" s="252"/>
      <c r="AKZ381" s="252"/>
      <c r="ALA381" s="252"/>
      <c r="ALB381" s="252"/>
      <c r="ALC381" s="252"/>
      <c r="ALD381" s="252"/>
      <c r="ALE381" s="252"/>
      <c r="ALF381" s="252"/>
      <c r="ALG381" s="252"/>
      <c r="ALH381" s="252"/>
      <c r="ALI381" s="252"/>
      <c r="ALJ381" s="252"/>
      <c r="ALK381" s="252"/>
      <c r="ALL381" s="252"/>
      <c r="ALM381" s="252"/>
      <c r="ALN381" s="252"/>
      <c r="ALO381" s="252"/>
      <c r="ALP381" s="252"/>
      <c r="ALQ381" s="252"/>
      <c r="ALR381" s="252"/>
      <c r="ALS381" s="252"/>
      <c r="ALT381" s="252"/>
      <c r="ALU381" s="252"/>
      <c r="ALV381" s="252"/>
      <c r="ALW381" s="252"/>
      <c r="ALX381" s="252"/>
      <c r="ALY381" s="252"/>
      <c r="ALZ381" s="252"/>
      <c r="AMA381" s="252"/>
      <c r="AMB381" s="252"/>
      <c r="AMC381" s="252"/>
      <c r="AMD381" s="252"/>
      <c r="AME381" s="252"/>
      <c r="AMF381" s="252"/>
      <c r="AMG381" s="252"/>
      <c r="AMH381" s="252"/>
      <c r="AMI381" s="252"/>
      <c r="AMJ381" s="252"/>
      <c r="AMK381" s="252"/>
      <c r="AML381" s="252"/>
      <c r="AMM381" s="252"/>
      <c r="AMN381" s="252"/>
      <c r="AMO381" s="252"/>
      <c r="AMP381" s="252"/>
      <c r="AMQ381" s="252"/>
      <c r="AMR381" s="252"/>
      <c r="AMS381" s="252"/>
      <c r="AMT381" s="252"/>
      <c r="AMU381" s="252"/>
      <c r="AMV381" s="252"/>
      <c r="AMW381" s="252"/>
      <c r="AMX381" s="252"/>
      <c r="AMY381" s="252"/>
      <c r="AMZ381" s="252"/>
      <c r="ANA381" s="252"/>
      <c r="ANB381" s="252"/>
      <c r="ANC381" s="252"/>
      <c r="AND381" s="252"/>
      <c r="ANE381" s="252"/>
      <c r="ANF381" s="252"/>
      <c r="ANG381" s="252"/>
      <c r="ANH381" s="252"/>
      <c r="ANI381" s="252"/>
      <c r="ANJ381" s="252"/>
      <c r="ANK381" s="252"/>
      <c r="ANL381" s="252"/>
      <c r="ANM381" s="252"/>
      <c r="ANN381" s="252"/>
      <c r="ANO381" s="252"/>
      <c r="ANP381" s="252"/>
      <c r="ANQ381" s="252"/>
      <c r="ANR381" s="252"/>
      <c r="ANS381" s="252"/>
      <c r="ANT381" s="252"/>
      <c r="ANU381" s="252"/>
      <c r="ANV381" s="252"/>
      <c r="ANW381" s="252"/>
      <c r="ANX381" s="252"/>
      <c r="ANY381" s="252"/>
      <c r="ANZ381" s="252"/>
      <c r="AOA381" s="252"/>
      <c r="AOB381" s="252"/>
      <c r="AOC381" s="252"/>
      <c r="AOD381" s="252"/>
      <c r="AOE381" s="252"/>
      <c r="AOF381" s="252"/>
      <c r="AOG381" s="252"/>
      <c r="AOH381" s="252"/>
      <c r="AOI381" s="252"/>
      <c r="AOJ381" s="252"/>
      <c r="AOK381" s="252"/>
      <c r="AOL381" s="252"/>
      <c r="AOM381" s="252"/>
      <c r="AON381" s="252"/>
      <c r="AOO381" s="252"/>
      <c r="AOP381" s="252"/>
      <c r="AOQ381" s="252"/>
      <c r="AOR381" s="252"/>
      <c r="AOS381" s="252"/>
      <c r="AOT381" s="252"/>
      <c r="AOU381" s="252"/>
      <c r="AOV381" s="252"/>
      <c r="AOW381" s="252"/>
      <c r="AOX381" s="252"/>
      <c r="AOY381" s="252"/>
      <c r="AOZ381" s="252"/>
      <c r="APA381" s="252"/>
      <c r="APB381" s="252"/>
      <c r="APC381" s="252"/>
      <c r="APD381" s="252"/>
      <c r="APE381" s="252"/>
      <c r="APF381" s="252"/>
      <c r="APG381" s="252"/>
      <c r="APH381" s="252"/>
      <c r="API381" s="252"/>
      <c r="APJ381" s="252"/>
      <c r="APK381" s="252"/>
      <c r="APL381" s="252"/>
      <c r="APM381" s="252"/>
      <c r="APN381" s="252"/>
      <c r="APO381" s="252"/>
      <c r="APP381" s="252"/>
      <c r="APQ381" s="252"/>
      <c r="APR381" s="252"/>
      <c r="APS381" s="252"/>
      <c r="APT381" s="252"/>
      <c r="APU381" s="252"/>
      <c r="APV381" s="252"/>
      <c r="APW381" s="252"/>
      <c r="APX381" s="252"/>
      <c r="APY381" s="252"/>
      <c r="APZ381" s="252"/>
      <c r="AQA381" s="252"/>
      <c r="AQB381" s="252"/>
      <c r="AQC381" s="252"/>
      <c r="AQD381" s="252"/>
      <c r="AQE381" s="252"/>
      <c r="AQF381" s="252"/>
      <c r="AQG381" s="252"/>
      <c r="AQH381" s="252"/>
      <c r="AQI381" s="252"/>
      <c r="AQJ381" s="252"/>
      <c r="AQK381" s="252"/>
      <c r="AQL381" s="252"/>
      <c r="AQM381" s="252"/>
      <c r="AQN381" s="252"/>
      <c r="AQO381" s="252"/>
      <c r="AQP381" s="252"/>
      <c r="AQQ381" s="252"/>
      <c r="AQR381" s="252"/>
      <c r="AQS381" s="252"/>
      <c r="AQT381" s="252"/>
      <c r="AQU381" s="252"/>
      <c r="AQV381" s="252"/>
      <c r="AQW381" s="252"/>
      <c r="AQX381" s="252"/>
      <c r="AQY381" s="252"/>
      <c r="AQZ381" s="252"/>
      <c r="ARA381" s="252"/>
      <c r="ARB381" s="252"/>
      <c r="ARC381" s="252"/>
      <c r="ARD381" s="252"/>
      <c r="ARE381" s="252"/>
      <c r="ARF381" s="252"/>
      <c r="ARG381" s="252"/>
      <c r="ARH381" s="252"/>
      <c r="ARI381" s="252"/>
      <c r="ARJ381" s="252"/>
      <c r="ARK381" s="252"/>
      <c r="ARL381" s="252"/>
      <c r="ARM381" s="252"/>
      <c r="ARN381" s="252"/>
      <c r="ARO381" s="252"/>
      <c r="ARP381" s="252"/>
      <c r="ARQ381" s="252"/>
      <c r="ARR381" s="252"/>
      <c r="ARS381" s="252"/>
      <c r="ART381" s="252"/>
      <c r="ARU381" s="252"/>
      <c r="ARV381" s="252"/>
      <c r="ARW381" s="252"/>
      <c r="ARX381" s="252"/>
      <c r="ARY381" s="252"/>
      <c r="ARZ381" s="252"/>
      <c r="ASA381" s="252"/>
      <c r="ASB381" s="252"/>
      <c r="ASC381" s="252"/>
      <c r="ASD381" s="252"/>
      <c r="ASE381" s="252"/>
      <c r="ASF381" s="252"/>
      <c r="ASG381" s="252"/>
      <c r="ASH381" s="252"/>
      <c r="ASI381" s="252"/>
      <c r="ASJ381" s="252"/>
      <c r="ASK381" s="252"/>
      <c r="ASL381" s="252"/>
      <c r="ASM381" s="252"/>
      <c r="ASN381" s="252"/>
      <c r="ASO381" s="252"/>
      <c r="ASP381" s="252"/>
      <c r="ASQ381" s="252"/>
      <c r="ASR381" s="252"/>
      <c r="ASS381" s="252"/>
      <c r="AST381" s="252"/>
      <c r="ASU381" s="252"/>
      <c r="ASV381" s="252"/>
      <c r="ASW381" s="252"/>
      <c r="ASX381" s="252"/>
      <c r="ASY381" s="252"/>
      <c r="ASZ381" s="252"/>
      <c r="ATA381" s="252"/>
      <c r="ATB381" s="252"/>
      <c r="ATC381" s="252"/>
      <c r="ATD381" s="252"/>
      <c r="ATE381" s="252"/>
      <c r="ATF381" s="252"/>
      <c r="ATG381" s="252"/>
      <c r="ATH381" s="252"/>
      <c r="ATI381" s="252"/>
      <c r="ATJ381" s="252"/>
      <c r="ATK381" s="252"/>
      <c r="ATL381" s="252"/>
      <c r="ATM381" s="252"/>
      <c r="ATN381" s="252"/>
      <c r="ATO381" s="252"/>
      <c r="ATP381" s="252"/>
      <c r="ATQ381" s="252"/>
      <c r="ATR381" s="252"/>
      <c r="ATS381" s="252"/>
      <c r="ATT381" s="252"/>
      <c r="ATU381" s="252"/>
      <c r="ATV381" s="252"/>
      <c r="ATW381" s="252"/>
      <c r="ATX381" s="252"/>
      <c r="ATY381" s="252"/>
      <c r="ATZ381" s="252"/>
      <c r="AUA381" s="252"/>
      <c r="AUB381" s="252"/>
      <c r="AUC381" s="252"/>
      <c r="AUD381" s="252"/>
      <c r="AUE381" s="252"/>
      <c r="AUF381" s="252"/>
      <c r="AUG381" s="252"/>
      <c r="AUH381" s="252"/>
      <c r="AUI381" s="252"/>
      <c r="AUJ381" s="252"/>
      <c r="AUK381" s="252"/>
      <c r="AUL381" s="252"/>
      <c r="AUM381" s="252"/>
      <c r="AUN381" s="252"/>
      <c r="AUO381" s="252"/>
      <c r="AUP381" s="252"/>
      <c r="AUQ381" s="252"/>
      <c r="AUR381" s="252"/>
      <c r="AUS381" s="252"/>
      <c r="AUT381" s="252"/>
      <c r="AUU381" s="252"/>
      <c r="AUV381" s="252"/>
      <c r="AUW381" s="252"/>
      <c r="AUX381" s="252"/>
      <c r="AUY381" s="252"/>
      <c r="AUZ381" s="252"/>
      <c r="AVA381" s="252"/>
      <c r="AVB381" s="252"/>
      <c r="AVC381" s="252"/>
      <c r="AVD381" s="252"/>
      <c r="AVE381" s="252"/>
      <c r="AVF381" s="252"/>
      <c r="AVG381" s="252"/>
      <c r="AVH381" s="252"/>
      <c r="AVI381" s="252"/>
      <c r="AVJ381" s="252"/>
      <c r="AVK381" s="252"/>
      <c r="AVL381" s="252"/>
      <c r="AVM381" s="252"/>
      <c r="AVN381" s="252"/>
      <c r="AVO381" s="252"/>
      <c r="AVP381" s="252"/>
      <c r="AVQ381" s="252"/>
      <c r="AVR381" s="252"/>
      <c r="AVS381" s="252"/>
      <c r="AVT381" s="252"/>
      <c r="AVU381" s="252"/>
      <c r="AVV381" s="252"/>
      <c r="AVW381" s="252"/>
      <c r="AVX381" s="252"/>
      <c r="AVY381" s="252"/>
      <c r="AVZ381" s="252"/>
      <c r="AWA381" s="252"/>
      <c r="AWB381" s="252"/>
      <c r="AWC381" s="252"/>
      <c r="AWD381" s="252"/>
      <c r="AWE381" s="252"/>
      <c r="AWF381" s="252"/>
      <c r="AWG381" s="252"/>
      <c r="AWH381" s="252"/>
      <c r="AWI381" s="252"/>
      <c r="AWJ381" s="252"/>
      <c r="AWK381" s="252"/>
      <c r="AWL381" s="252"/>
      <c r="AWM381" s="252"/>
      <c r="AWN381" s="252"/>
      <c r="AWO381" s="252"/>
      <c r="AWP381" s="252"/>
      <c r="AWQ381" s="252"/>
      <c r="AWR381" s="252"/>
      <c r="AWS381" s="252"/>
      <c r="AWT381" s="252"/>
      <c r="AWU381" s="252"/>
      <c r="AWV381" s="252"/>
      <c r="AWW381" s="252"/>
      <c r="AWX381" s="252"/>
      <c r="AWY381" s="252"/>
      <c r="AWZ381" s="252"/>
      <c r="AXA381" s="252"/>
      <c r="AXB381" s="252"/>
      <c r="AXC381" s="252"/>
      <c r="AXD381" s="252"/>
      <c r="AXE381" s="252"/>
      <c r="AXF381" s="252"/>
      <c r="AXG381" s="252"/>
      <c r="AXH381" s="252"/>
      <c r="AXI381" s="252"/>
      <c r="AXJ381" s="252"/>
      <c r="AXK381" s="252"/>
      <c r="AXL381" s="252"/>
      <c r="AXM381" s="252"/>
      <c r="AXN381" s="252"/>
      <c r="AXO381" s="252"/>
      <c r="AXP381" s="252"/>
      <c r="AXQ381" s="252"/>
      <c r="AXR381" s="252"/>
      <c r="AXS381" s="252"/>
      <c r="AXT381" s="252"/>
      <c r="AXU381" s="252"/>
      <c r="AXV381" s="252"/>
      <c r="AXW381" s="252"/>
      <c r="AXX381" s="252"/>
      <c r="AXY381" s="252"/>
      <c r="AXZ381" s="252"/>
      <c r="AYA381" s="252"/>
      <c r="AYB381" s="252"/>
      <c r="AYC381" s="252"/>
      <c r="AYD381" s="252"/>
      <c r="AYE381" s="252"/>
      <c r="AYF381" s="252"/>
      <c r="AYG381" s="252"/>
      <c r="AYH381" s="252"/>
      <c r="AYI381" s="252"/>
      <c r="AYJ381" s="252"/>
      <c r="AYK381" s="252"/>
      <c r="AYL381" s="252"/>
      <c r="AYM381" s="252"/>
      <c r="AYN381" s="252"/>
      <c r="AYO381" s="252"/>
      <c r="AYP381" s="252"/>
      <c r="AYQ381" s="252"/>
      <c r="AYR381" s="252"/>
      <c r="AYS381" s="252"/>
      <c r="AYT381" s="252"/>
      <c r="AYU381" s="252"/>
      <c r="AYV381" s="252"/>
      <c r="AYW381" s="252"/>
      <c r="AYX381" s="252"/>
      <c r="AYY381" s="252"/>
      <c r="AYZ381" s="252"/>
      <c r="AZA381" s="252"/>
      <c r="AZB381" s="252"/>
      <c r="AZC381" s="252"/>
      <c r="AZD381" s="252"/>
      <c r="AZE381" s="252"/>
      <c r="AZF381" s="252"/>
      <c r="AZG381" s="252"/>
      <c r="AZH381" s="252"/>
      <c r="AZI381" s="252"/>
      <c r="AZJ381" s="252"/>
      <c r="AZK381" s="252"/>
      <c r="AZL381" s="252"/>
      <c r="AZM381" s="252"/>
      <c r="AZN381" s="252"/>
      <c r="AZO381" s="252"/>
      <c r="AZP381" s="252"/>
      <c r="AZQ381" s="252"/>
      <c r="AZR381" s="252"/>
      <c r="AZS381" s="252"/>
      <c r="AZT381" s="252"/>
      <c r="AZU381" s="252"/>
      <c r="AZV381" s="252"/>
      <c r="AZW381" s="252"/>
      <c r="AZX381" s="252"/>
      <c r="AZY381" s="252"/>
      <c r="AZZ381" s="252"/>
      <c r="BAA381" s="252"/>
      <c r="BAB381" s="252"/>
      <c r="BAC381" s="252"/>
      <c r="BAD381" s="252"/>
      <c r="BAE381" s="252"/>
      <c r="BAF381" s="252"/>
      <c r="BAG381" s="252"/>
      <c r="BAH381" s="252"/>
      <c r="BAI381" s="252"/>
      <c r="BAJ381" s="252"/>
      <c r="BAK381" s="252"/>
      <c r="BAL381" s="252"/>
      <c r="BAM381" s="252"/>
      <c r="BAN381" s="252"/>
      <c r="BAO381" s="252"/>
      <c r="BAP381" s="252"/>
      <c r="BAQ381" s="252"/>
      <c r="BAR381" s="252"/>
      <c r="BAS381" s="252"/>
      <c r="BAT381" s="252"/>
      <c r="BAU381" s="252"/>
      <c r="BAV381" s="252"/>
      <c r="BAW381" s="252"/>
      <c r="BAX381" s="252"/>
      <c r="BAY381" s="252"/>
      <c r="BAZ381" s="252"/>
      <c r="BBA381" s="252"/>
      <c r="BBB381" s="252"/>
      <c r="BBC381" s="252"/>
      <c r="BBD381" s="252"/>
      <c r="BBE381" s="252"/>
      <c r="BBF381" s="252"/>
      <c r="BBG381" s="252"/>
      <c r="BBH381" s="252"/>
      <c r="BBI381" s="252"/>
      <c r="BBJ381" s="252"/>
      <c r="BBK381" s="252"/>
      <c r="BBL381" s="252"/>
      <c r="BBM381" s="252"/>
      <c r="BBN381" s="252"/>
      <c r="BBO381" s="252"/>
      <c r="BBP381" s="252"/>
      <c r="BBQ381" s="252"/>
      <c r="BBR381" s="252"/>
      <c r="BBS381" s="252"/>
      <c r="BBT381" s="252"/>
      <c r="BBU381" s="252"/>
      <c r="BBV381" s="252"/>
      <c r="BBW381" s="252"/>
      <c r="BBX381" s="252"/>
      <c r="BBY381" s="252"/>
      <c r="BBZ381" s="252"/>
      <c r="BCA381" s="252"/>
      <c r="BCB381" s="252"/>
      <c r="BCC381" s="252"/>
      <c r="BCD381" s="252"/>
      <c r="BCE381" s="252"/>
      <c r="BCF381" s="252"/>
      <c r="BCG381" s="252"/>
      <c r="BCH381" s="252"/>
      <c r="BCI381" s="252"/>
      <c r="BCJ381" s="252"/>
      <c r="BCK381" s="252"/>
      <c r="BCL381" s="252"/>
      <c r="BCM381" s="252"/>
      <c r="BCN381" s="252"/>
      <c r="BCO381" s="252"/>
      <c r="BCP381" s="252"/>
      <c r="BCQ381" s="252"/>
      <c r="BCR381" s="252"/>
      <c r="BCS381" s="252"/>
      <c r="BCT381" s="252"/>
      <c r="BCU381" s="252"/>
      <c r="BCV381" s="252"/>
      <c r="BCW381" s="252"/>
      <c r="BCX381" s="252"/>
      <c r="BCY381" s="252"/>
      <c r="BCZ381" s="252"/>
      <c r="BDA381" s="252"/>
      <c r="BDB381" s="252"/>
      <c r="BDC381" s="252"/>
      <c r="BDD381" s="252"/>
      <c r="BDE381" s="252"/>
      <c r="BDF381" s="252"/>
      <c r="BDG381" s="252"/>
      <c r="BDH381" s="252"/>
      <c r="BDI381" s="252"/>
      <c r="BDJ381" s="252"/>
      <c r="BDK381" s="252"/>
      <c r="BDL381" s="252"/>
      <c r="BDM381" s="252"/>
      <c r="BDN381" s="252"/>
      <c r="BDO381" s="252"/>
      <c r="BDP381" s="252"/>
      <c r="BDQ381" s="252"/>
      <c r="BDR381" s="252"/>
      <c r="BDS381" s="252"/>
      <c r="BDT381" s="252"/>
      <c r="BDU381" s="252"/>
      <c r="BDV381" s="252"/>
      <c r="BDW381" s="252"/>
      <c r="BDX381" s="252"/>
      <c r="BDY381" s="252"/>
      <c r="BDZ381" s="252"/>
      <c r="BEA381" s="252"/>
      <c r="BEB381" s="252"/>
      <c r="BEC381" s="252"/>
      <c r="BED381" s="252"/>
      <c r="BEE381" s="252"/>
      <c r="BEF381" s="252"/>
      <c r="BEG381" s="252"/>
      <c r="BEH381" s="252"/>
      <c r="BEI381" s="252"/>
      <c r="BEJ381" s="252"/>
      <c r="BEK381" s="252"/>
      <c r="BEL381" s="252"/>
      <c r="BEM381" s="252"/>
      <c r="BEN381" s="252"/>
      <c r="BEO381" s="252"/>
      <c r="BEP381" s="252"/>
      <c r="BEQ381" s="252"/>
      <c r="BER381" s="252"/>
      <c r="BES381" s="252"/>
      <c r="BET381" s="252"/>
      <c r="BEU381" s="252"/>
      <c r="BEV381" s="252"/>
      <c r="BEW381" s="252"/>
      <c r="BEX381" s="252"/>
      <c r="BEY381" s="252"/>
      <c r="BEZ381" s="252"/>
      <c r="BFA381" s="252"/>
      <c r="BFB381" s="252"/>
      <c r="BFC381" s="252"/>
      <c r="BFD381" s="252"/>
      <c r="BFE381" s="252"/>
      <c r="BFF381" s="252"/>
      <c r="BFG381" s="252"/>
      <c r="BFH381" s="252"/>
      <c r="BFI381" s="252"/>
      <c r="BFJ381" s="252"/>
      <c r="BFK381" s="252"/>
      <c r="BFL381" s="252"/>
      <c r="BFM381" s="252"/>
      <c r="BFN381" s="252"/>
      <c r="BFO381" s="252"/>
      <c r="BFP381" s="252"/>
      <c r="BFQ381" s="252"/>
      <c r="BFR381" s="252"/>
      <c r="BFS381" s="252"/>
      <c r="BFT381" s="252"/>
      <c r="BFU381" s="252"/>
      <c r="BFV381" s="252"/>
      <c r="BFW381" s="252"/>
      <c r="BFX381" s="252"/>
      <c r="BFY381" s="252"/>
      <c r="BFZ381" s="252"/>
      <c r="BGA381" s="252"/>
      <c r="BGB381" s="252"/>
      <c r="BGC381" s="252"/>
      <c r="BGD381" s="252"/>
      <c r="BGE381" s="252"/>
      <c r="BGF381" s="252"/>
      <c r="BGG381" s="252"/>
      <c r="BGH381" s="252"/>
      <c r="BGI381" s="252"/>
      <c r="BGJ381" s="252"/>
      <c r="BGK381" s="252"/>
      <c r="BGL381" s="252"/>
      <c r="BGM381" s="252"/>
      <c r="BGN381" s="252"/>
      <c r="BGO381" s="252"/>
      <c r="BGP381" s="252"/>
      <c r="BGQ381" s="252"/>
      <c r="BGR381" s="252"/>
      <c r="BGS381" s="252"/>
      <c r="BGT381" s="252"/>
      <c r="BGU381" s="252"/>
      <c r="BGV381" s="252"/>
      <c r="BGW381" s="252"/>
      <c r="BGX381" s="252"/>
      <c r="BGY381" s="252"/>
      <c r="BGZ381" s="252"/>
      <c r="BHA381" s="252"/>
      <c r="BHB381" s="252"/>
      <c r="BHC381" s="252"/>
      <c r="BHD381" s="252"/>
      <c r="BHE381" s="252"/>
      <c r="BHF381" s="252"/>
      <c r="BHG381" s="252"/>
      <c r="BHH381" s="252"/>
      <c r="BHI381" s="252"/>
      <c r="BHJ381" s="252"/>
      <c r="BHK381" s="252"/>
      <c r="BHL381" s="252"/>
      <c r="BHM381" s="252"/>
      <c r="BHN381" s="252"/>
      <c r="BHO381" s="252"/>
      <c r="BHP381" s="252"/>
      <c r="BHQ381" s="252"/>
      <c r="BHR381" s="252"/>
      <c r="BHS381" s="252"/>
      <c r="BHT381" s="252"/>
      <c r="BHU381" s="252"/>
      <c r="BHV381" s="252"/>
      <c r="BHW381" s="252"/>
      <c r="BHX381" s="252"/>
      <c r="BHY381" s="252"/>
      <c r="BHZ381" s="252"/>
      <c r="BIA381" s="252"/>
      <c r="BIB381" s="252"/>
      <c r="BIC381" s="252"/>
      <c r="BID381" s="252"/>
      <c r="BIE381" s="252"/>
      <c r="BIF381" s="252"/>
      <c r="BIG381" s="252"/>
      <c r="BIH381" s="252"/>
      <c r="BII381" s="252"/>
      <c r="BIJ381" s="252"/>
      <c r="BIK381" s="252"/>
      <c r="BIL381" s="252"/>
      <c r="BIM381" s="252"/>
      <c r="BIN381" s="252"/>
      <c r="BIO381" s="252"/>
      <c r="BIP381" s="252"/>
      <c r="BIQ381" s="252"/>
      <c r="BIR381" s="252"/>
      <c r="BIS381" s="252"/>
      <c r="BIT381" s="252"/>
      <c r="BIU381" s="252"/>
      <c r="BIV381" s="252"/>
      <c r="BIW381" s="252"/>
      <c r="BIX381" s="252"/>
      <c r="BIY381" s="252"/>
      <c r="BIZ381" s="252"/>
      <c r="BJA381" s="252"/>
      <c r="BJB381" s="252"/>
      <c r="BJC381" s="252"/>
      <c r="BJD381" s="252"/>
      <c r="BJE381" s="252"/>
      <c r="BJF381" s="252"/>
      <c r="BJG381" s="252"/>
      <c r="BJH381" s="252"/>
      <c r="BJI381" s="252"/>
      <c r="BJJ381" s="252"/>
      <c r="BJK381" s="252"/>
      <c r="BJL381" s="252"/>
      <c r="BJM381" s="252"/>
      <c r="BJN381" s="252"/>
      <c r="BJO381" s="252"/>
      <c r="BJP381" s="252"/>
      <c r="BJQ381" s="252"/>
      <c r="BJR381" s="252"/>
      <c r="BJS381" s="252"/>
      <c r="BJT381" s="252"/>
      <c r="BJU381" s="252"/>
      <c r="BJV381" s="252"/>
      <c r="BJW381" s="252"/>
      <c r="BJX381" s="252"/>
      <c r="BJY381" s="252"/>
      <c r="BJZ381" s="252"/>
      <c r="BKA381" s="252"/>
      <c r="BKB381" s="252"/>
      <c r="BKC381" s="252"/>
      <c r="BKD381" s="252"/>
      <c r="BKE381" s="252"/>
      <c r="BKF381" s="252"/>
      <c r="BKG381" s="252"/>
      <c r="BKH381" s="252"/>
      <c r="BKI381" s="252"/>
      <c r="BKJ381" s="252"/>
      <c r="BKK381" s="252"/>
      <c r="BKL381" s="252"/>
      <c r="BKM381" s="252"/>
      <c r="BKN381" s="252"/>
      <c r="BKO381" s="252"/>
      <c r="BKP381" s="252"/>
      <c r="BKQ381" s="252"/>
      <c r="BKR381" s="252"/>
      <c r="BKS381" s="252"/>
      <c r="BKT381" s="252"/>
      <c r="BKU381" s="252"/>
      <c r="BKV381" s="252"/>
      <c r="BKW381" s="252"/>
      <c r="BKX381" s="252"/>
      <c r="BKY381" s="252"/>
      <c r="BKZ381" s="252"/>
      <c r="BLA381" s="252"/>
      <c r="BLB381" s="252"/>
      <c r="BLC381" s="252"/>
      <c r="BLD381" s="252"/>
      <c r="BLE381" s="252"/>
      <c r="BLF381" s="252"/>
      <c r="BLG381" s="252"/>
      <c r="BLH381" s="252"/>
      <c r="BLI381" s="252"/>
      <c r="BLJ381" s="252"/>
      <c r="BLK381" s="252"/>
      <c r="BLL381" s="252"/>
      <c r="BLM381" s="252"/>
      <c r="BLN381" s="252"/>
      <c r="BLO381" s="252"/>
      <c r="BLP381" s="252"/>
      <c r="BLQ381" s="252"/>
      <c r="BLR381" s="252"/>
      <c r="BLS381" s="252"/>
      <c r="BLT381" s="252"/>
      <c r="BLU381" s="252"/>
      <c r="BLV381" s="252"/>
      <c r="BLW381" s="252"/>
      <c r="BLX381" s="252"/>
      <c r="BLY381" s="252"/>
      <c r="BLZ381" s="252"/>
      <c r="BMA381" s="252"/>
      <c r="BMB381" s="252"/>
      <c r="BMC381" s="252"/>
      <c r="BMD381" s="252"/>
      <c r="BME381" s="252"/>
      <c r="BMF381" s="252"/>
      <c r="BMG381" s="252"/>
      <c r="BMH381" s="252"/>
      <c r="BMI381" s="252"/>
      <c r="BMJ381" s="252"/>
      <c r="BMK381" s="252"/>
      <c r="BML381" s="252"/>
      <c r="BMM381" s="252"/>
      <c r="BMN381" s="252"/>
      <c r="BMO381" s="252"/>
      <c r="BMP381" s="252"/>
      <c r="BMQ381" s="252"/>
      <c r="BMR381" s="252"/>
      <c r="BMS381" s="252"/>
      <c r="BMT381" s="252"/>
      <c r="BMU381" s="252"/>
      <c r="BMV381" s="252"/>
      <c r="BMW381" s="252"/>
      <c r="BMX381" s="252"/>
      <c r="BMY381" s="252"/>
      <c r="BMZ381" s="252"/>
      <c r="BNA381" s="252"/>
      <c r="BNB381" s="252"/>
      <c r="BNC381" s="252"/>
      <c r="BND381" s="252"/>
      <c r="BNE381" s="252"/>
      <c r="BNF381" s="252"/>
      <c r="BNG381" s="252"/>
      <c r="BNH381" s="252"/>
      <c r="BNI381" s="252"/>
      <c r="BNJ381" s="252"/>
      <c r="BNK381" s="252"/>
      <c r="BNL381" s="252"/>
      <c r="BNM381" s="252"/>
      <c r="BNN381" s="252"/>
      <c r="BNO381" s="252"/>
      <c r="BNP381" s="252"/>
      <c r="BNQ381" s="252"/>
      <c r="BNR381" s="252"/>
      <c r="BNS381" s="252"/>
      <c r="BNT381" s="252"/>
      <c r="BNU381" s="252"/>
      <c r="BNV381" s="252"/>
      <c r="BNW381" s="252"/>
      <c r="BNX381" s="252"/>
      <c r="BNY381" s="252"/>
      <c r="BNZ381" s="252"/>
      <c r="BOA381" s="252"/>
      <c r="BOB381" s="252"/>
      <c r="BOC381" s="252"/>
      <c r="BOD381" s="252"/>
      <c r="BOE381" s="252"/>
      <c r="BOF381" s="252"/>
      <c r="BOG381" s="252"/>
      <c r="BOH381" s="252"/>
      <c r="BOI381" s="252"/>
      <c r="BOJ381" s="252"/>
      <c r="BOK381" s="252"/>
      <c r="BOL381" s="252"/>
      <c r="BOM381" s="252"/>
      <c r="BON381" s="252"/>
      <c r="BOO381" s="252"/>
      <c r="BOP381" s="252"/>
      <c r="BOQ381" s="252"/>
      <c r="BOR381" s="252"/>
      <c r="BOS381" s="252"/>
      <c r="BOT381" s="252"/>
      <c r="BOU381" s="252"/>
      <c r="BOV381" s="252"/>
      <c r="BOW381" s="252"/>
      <c r="BOX381" s="252"/>
      <c r="BOY381" s="252"/>
      <c r="BOZ381" s="252"/>
      <c r="BPA381" s="252"/>
      <c r="BPB381" s="252"/>
      <c r="BPC381" s="252"/>
      <c r="BPD381" s="252"/>
      <c r="BPE381" s="252"/>
      <c r="BPF381" s="252"/>
      <c r="BPG381" s="252"/>
      <c r="BPH381" s="252"/>
      <c r="BPI381" s="252"/>
      <c r="BPJ381" s="252"/>
      <c r="BPK381" s="252"/>
      <c r="BPL381" s="252"/>
      <c r="BPM381" s="252"/>
      <c r="BPN381" s="252"/>
      <c r="BPO381" s="252"/>
      <c r="BPP381" s="252"/>
      <c r="BPQ381" s="252"/>
      <c r="BPR381" s="252"/>
      <c r="BPS381" s="252"/>
      <c r="BPT381" s="252"/>
      <c r="BPU381" s="252"/>
      <c r="BPV381" s="252"/>
      <c r="BPW381" s="252"/>
      <c r="BPX381" s="252"/>
      <c r="BPY381" s="252"/>
      <c r="BPZ381" s="252"/>
      <c r="BQA381" s="252"/>
      <c r="BQB381" s="252"/>
      <c r="BQC381" s="252"/>
      <c r="BQD381" s="252"/>
      <c r="BQE381" s="252"/>
      <c r="BQF381" s="252"/>
      <c r="BQG381" s="252"/>
      <c r="BQH381" s="252"/>
      <c r="BQI381" s="252"/>
      <c r="BQJ381" s="252"/>
      <c r="BQK381" s="252"/>
      <c r="BQL381" s="252"/>
      <c r="BQM381" s="252"/>
      <c r="BQN381" s="252"/>
      <c r="BQO381" s="252"/>
      <c r="BQP381" s="252"/>
      <c r="BQQ381" s="252"/>
      <c r="BQR381" s="252"/>
      <c r="BQS381" s="252"/>
      <c r="BQT381" s="252"/>
      <c r="BQU381" s="252"/>
      <c r="BQV381" s="252"/>
      <c r="BQW381" s="252"/>
      <c r="BQX381" s="252"/>
      <c r="BQY381" s="252"/>
      <c r="BQZ381" s="252"/>
      <c r="BRA381" s="252"/>
      <c r="BRB381" s="252"/>
      <c r="BRC381" s="252"/>
      <c r="BRD381" s="252"/>
      <c r="BRE381" s="252"/>
      <c r="BRF381" s="252"/>
      <c r="BRG381" s="252"/>
      <c r="BRH381" s="252"/>
      <c r="BRI381" s="252"/>
      <c r="BRJ381" s="252"/>
      <c r="BRK381" s="252"/>
      <c r="BRL381" s="252"/>
      <c r="BRM381" s="252"/>
      <c r="BRN381" s="252"/>
      <c r="BRO381" s="252"/>
      <c r="BRP381" s="252"/>
      <c r="BRQ381" s="252"/>
      <c r="BRR381" s="252"/>
      <c r="BRS381" s="252"/>
      <c r="BRT381" s="252"/>
      <c r="BRU381" s="252"/>
      <c r="BRV381" s="252"/>
      <c r="BRW381" s="252"/>
      <c r="BRX381" s="252"/>
      <c r="BRY381" s="252"/>
      <c r="BRZ381" s="252"/>
      <c r="BSA381" s="252"/>
      <c r="BSB381" s="252"/>
      <c r="BSC381" s="252"/>
      <c r="BSD381" s="252"/>
      <c r="BSE381" s="252"/>
      <c r="BSF381" s="252"/>
      <c r="BSG381" s="252"/>
      <c r="BSH381" s="252"/>
      <c r="BSI381" s="252"/>
      <c r="BSJ381" s="252"/>
      <c r="BSK381" s="252"/>
      <c r="BSL381" s="252"/>
      <c r="BSM381" s="252"/>
      <c r="BSN381" s="252"/>
      <c r="BSO381" s="252"/>
      <c r="BSP381" s="252"/>
      <c r="BSQ381" s="252"/>
      <c r="BSR381" s="252"/>
      <c r="BSS381" s="252"/>
      <c r="BST381" s="252"/>
      <c r="BSU381" s="252"/>
      <c r="BSV381" s="252"/>
      <c r="BSW381" s="252"/>
      <c r="BSX381" s="252"/>
      <c r="BSY381" s="252"/>
      <c r="BSZ381" s="252"/>
      <c r="BTA381" s="252"/>
      <c r="BTB381" s="252"/>
      <c r="BTC381" s="252"/>
      <c r="BTD381" s="252"/>
      <c r="BTE381" s="252"/>
      <c r="BTF381" s="252"/>
      <c r="BTG381" s="252"/>
      <c r="BTH381" s="252"/>
      <c r="BTI381" s="252"/>
      <c r="BTJ381" s="252"/>
      <c r="BTK381" s="252"/>
      <c r="BTL381" s="252"/>
      <c r="BTM381" s="252"/>
      <c r="BTN381" s="252"/>
      <c r="BTO381" s="252"/>
      <c r="BTP381" s="252"/>
      <c r="BTQ381" s="252"/>
      <c r="BTR381" s="252"/>
      <c r="BTS381" s="252"/>
      <c r="BTT381" s="252"/>
      <c r="BTU381" s="252"/>
      <c r="BTV381" s="252"/>
      <c r="BTW381" s="252"/>
      <c r="BTX381" s="252"/>
      <c r="BTY381" s="252"/>
      <c r="BTZ381" s="252"/>
      <c r="BUA381" s="252"/>
      <c r="BUB381" s="252"/>
      <c r="BUC381" s="252"/>
      <c r="BUD381" s="252"/>
      <c r="BUE381" s="252"/>
      <c r="BUF381" s="252"/>
      <c r="BUG381" s="252"/>
      <c r="BUH381" s="252"/>
      <c r="BUI381" s="252"/>
      <c r="BUJ381" s="252"/>
      <c r="BUK381" s="252"/>
      <c r="BUL381" s="252"/>
      <c r="BUM381" s="252"/>
      <c r="BUN381" s="252"/>
      <c r="BUO381" s="252"/>
      <c r="BUP381" s="252"/>
      <c r="BUQ381" s="252"/>
      <c r="BUR381" s="252"/>
      <c r="BUS381" s="252"/>
      <c r="BUT381" s="252"/>
      <c r="BUU381" s="252"/>
      <c r="BUV381" s="252"/>
      <c r="BUW381" s="252"/>
      <c r="BUX381" s="252"/>
      <c r="BUY381" s="252"/>
      <c r="BUZ381" s="252"/>
      <c r="BVA381" s="252"/>
      <c r="BVB381" s="252"/>
      <c r="BVC381" s="252"/>
      <c r="BVD381" s="252"/>
      <c r="BVE381" s="252"/>
      <c r="BVF381" s="252"/>
      <c r="BVG381" s="252"/>
      <c r="BVH381" s="252"/>
      <c r="BVI381" s="252"/>
      <c r="BVJ381" s="252"/>
      <c r="BVK381" s="252"/>
      <c r="BVL381" s="252"/>
      <c r="BVM381" s="252"/>
      <c r="BVN381" s="252"/>
      <c r="BVO381" s="252"/>
      <c r="BVP381" s="252"/>
      <c r="BVQ381" s="252"/>
      <c r="BVR381" s="252"/>
      <c r="BVS381" s="252"/>
      <c r="BVT381" s="252"/>
      <c r="BVU381" s="252"/>
      <c r="BVV381" s="252"/>
      <c r="BVW381" s="252"/>
      <c r="BVX381" s="252"/>
      <c r="BVY381" s="252"/>
      <c r="BVZ381" s="252"/>
      <c r="BWA381" s="252"/>
      <c r="BWB381" s="252"/>
      <c r="BWC381" s="252"/>
      <c r="BWD381" s="252"/>
      <c r="BWE381" s="252"/>
      <c r="BWF381" s="252"/>
      <c r="BWG381" s="252"/>
      <c r="BWH381" s="252"/>
      <c r="BWI381" s="252"/>
      <c r="BWJ381" s="252"/>
      <c r="BWK381" s="252"/>
      <c r="BWL381" s="252"/>
      <c r="BWM381" s="252"/>
      <c r="BWN381" s="252"/>
      <c r="BWO381" s="252"/>
      <c r="BWP381" s="252"/>
      <c r="BWQ381" s="252"/>
      <c r="BWR381" s="252"/>
      <c r="BWS381" s="252"/>
      <c r="BWT381" s="252"/>
      <c r="BWU381" s="252"/>
      <c r="BWV381" s="252"/>
      <c r="BWW381" s="252"/>
      <c r="BWX381" s="252"/>
      <c r="BWY381" s="252"/>
      <c r="BWZ381" s="252"/>
      <c r="BXA381" s="252"/>
      <c r="BXB381" s="252"/>
      <c r="BXC381" s="252"/>
      <c r="BXD381" s="252"/>
      <c r="BXE381" s="252"/>
      <c r="BXF381" s="252"/>
      <c r="BXG381" s="252"/>
      <c r="BXH381" s="252"/>
      <c r="BXI381" s="252"/>
      <c r="BXJ381" s="252"/>
      <c r="BXK381" s="252"/>
      <c r="BXL381" s="252"/>
      <c r="BXM381" s="252"/>
      <c r="BXN381" s="252"/>
      <c r="BXO381" s="252"/>
      <c r="BXP381" s="252"/>
      <c r="BXQ381" s="252"/>
      <c r="BXR381" s="252"/>
      <c r="BXS381" s="252"/>
      <c r="BXT381" s="252"/>
      <c r="BXU381" s="252"/>
      <c r="BXV381" s="252"/>
      <c r="BXW381" s="252"/>
      <c r="BXX381" s="252"/>
      <c r="BXY381" s="252"/>
      <c r="BXZ381" s="252"/>
      <c r="BYA381" s="252"/>
      <c r="BYB381" s="252"/>
      <c r="BYC381" s="252"/>
      <c r="BYD381" s="252"/>
      <c r="BYE381" s="252"/>
      <c r="BYF381" s="252"/>
      <c r="BYG381" s="252"/>
      <c r="BYH381" s="252"/>
      <c r="BYI381" s="252"/>
      <c r="BYJ381" s="252"/>
      <c r="BYK381" s="252"/>
      <c r="BYL381" s="252"/>
      <c r="BYM381" s="252"/>
      <c r="BYN381" s="252"/>
      <c r="BYO381" s="252"/>
      <c r="BYP381" s="252"/>
      <c r="BYQ381" s="252"/>
      <c r="BYR381" s="252"/>
      <c r="BYS381" s="252"/>
      <c r="BYT381" s="252"/>
      <c r="BYU381" s="252"/>
      <c r="BYV381" s="252"/>
      <c r="BYW381" s="252"/>
      <c r="BYX381" s="252"/>
      <c r="BYY381" s="252"/>
      <c r="BYZ381" s="252"/>
      <c r="BZA381" s="252"/>
      <c r="BZB381" s="252"/>
      <c r="BZC381" s="252"/>
      <c r="BZD381" s="252"/>
      <c r="BZE381" s="252"/>
      <c r="BZF381" s="252"/>
      <c r="BZG381" s="252"/>
      <c r="BZH381" s="252"/>
      <c r="BZI381" s="252"/>
      <c r="BZJ381" s="252"/>
      <c r="BZK381" s="252"/>
      <c r="BZL381" s="252"/>
      <c r="BZM381" s="252"/>
      <c r="BZN381" s="252"/>
      <c r="BZO381" s="252"/>
      <c r="BZP381" s="252"/>
      <c r="BZQ381" s="252"/>
      <c r="BZR381" s="252"/>
      <c r="BZS381" s="252"/>
      <c r="BZT381" s="252"/>
      <c r="BZU381" s="252"/>
      <c r="BZV381" s="252"/>
      <c r="BZW381" s="252"/>
      <c r="BZX381" s="252"/>
      <c r="BZY381" s="252"/>
      <c r="BZZ381" s="252"/>
      <c r="CAA381" s="252"/>
      <c r="CAB381" s="252"/>
      <c r="CAC381" s="252"/>
      <c r="CAD381" s="252"/>
      <c r="CAE381" s="252"/>
      <c r="CAF381" s="252"/>
      <c r="CAG381" s="252"/>
      <c r="CAH381" s="252"/>
      <c r="CAI381" s="252"/>
      <c r="CAJ381" s="252"/>
      <c r="CAK381" s="252"/>
      <c r="CAL381" s="252"/>
      <c r="CAM381" s="252"/>
      <c r="CAN381" s="252"/>
      <c r="CAO381" s="252"/>
      <c r="CAP381" s="252"/>
      <c r="CAQ381" s="252"/>
      <c r="CAR381" s="252"/>
      <c r="CAS381" s="252"/>
      <c r="CAT381" s="252"/>
      <c r="CAU381" s="252"/>
      <c r="CAV381" s="252"/>
      <c r="CAW381" s="252"/>
      <c r="CAX381" s="252"/>
      <c r="CAY381" s="252"/>
      <c r="CAZ381" s="252"/>
      <c r="CBA381" s="252"/>
      <c r="CBB381" s="252"/>
      <c r="CBC381" s="252"/>
      <c r="CBD381" s="252"/>
      <c r="CBE381" s="252"/>
      <c r="CBF381" s="252"/>
      <c r="CBG381" s="252"/>
      <c r="CBH381" s="252"/>
      <c r="CBI381" s="252"/>
      <c r="CBJ381" s="252"/>
      <c r="CBK381" s="252"/>
      <c r="CBL381" s="252"/>
      <c r="CBM381" s="252"/>
      <c r="CBN381" s="252"/>
      <c r="CBO381" s="252"/>
      <c r="CBP381" s="252"/>
      <c r="CBQ381" s="252"/>
      <c r="CBR381" s="252"/>
      <c r="CBS381" s="252"/>
      <c r="CBT381" s="252"/>
      <c r="CBU381" s="252"/>
      <c r="CBV381" s="252"/>
      <c r="CBW381" s="252"/>
      <c r="CBX381" s="252"/>
      <c r="CBY381" s="252"/>
      <c r="CBZ381" s="252"/>
      <c r="CCA381" s="252"/>
      <c r="CCB381" s="252"/>
      <c r="CCC381" s="252"/>
      <c r="CCD381" s="252"/>
      <c r="CCE381" s="252"/>
      <c r="CCF381" s="252"/>
      <c r="CCG381" s="252"/>
      <c r="CCH381" s="252"/>
      <c r="CCI381" s="252"/>
      <c r="CCJ381" s="252"/>
      <c r="CCK381" s="252"/>
      <c r="CCL381" s="252"/>
      <c r="CCM381" s="252"/>
      <c r="CCN381" s="252"/>
      <c r="CCO381" s="252"/>
      <c r="CCP381" s="252"/>
      <c r="CCQ381" s="252"/>
      <c r="CCR381" s="252"/>
      <c r="CCS381" s="252"/>
      <c r="CCT381" s="252"/>
      <c r="CCU381" s="252"/>
      <c r="CCV381" s="252"/>
      <c r="CCW381" s="252"/>
      <c r="CCX381" s="252"/>
      <c r="CCY381" s="252"/>
      <c r="CCZ381" s="252"/>
      <c r="CDA381" s="252"/>
      <c r="CDB381" s="252"/>
      <c r="CDC381" s="252"/>
      <c r="CDD381" s="252"/>
      <c r="CDE381" s="252"/>
      <c r="CDF381" s="252"/>
      <c r="CDG381" s="252"/>
      <c r="CDH381" s="252"/>
      <c r="CDI381" s="252"/>
      <c r="CDJ381" s="252"/>
      <c r="CDK381" s="252"/>
      <c r="CDL381" s="252"/>
      <c r="CDM381" s="252"/>
      <c r="CDN381" s="252"/>
      <c r="CDO381" s="252"/>
      <c r="CDP381" s="252"/>
      <c r="CDQ381" s="252"/>
      <c r="CDR381" s="252"/>
      <c r="CDS381" s="252"/>
      <c r="CDT381" s="252"/>
      <c r="CDU381" s="252"/>
      <c r="CDV381" s="252"/>
      <c r="CDW381" s="252"/>
      <c r="CDX381" s="252"/>
      <c r="CDY381" s="252"/>
      <c r="CDZ381" s="252"/>
      <c r="CEA381" s="252"/>
      <c r="CEB381" s="252"/>
      <c r="CEC381" s="252"/>
      <c r="CED381" s="252"/>
      <c r="CEE381" s="252"/>
      <c r="CEF381" s="252"/>
      <c r="CEG381" s="252"/>
      <c r="CEH381" s="252"/>
      <c r="CEI381" s="252"/>
      <c r="CEJ381" s="252"/>
      <c r="CEK381" s="252"/>
      <c r="CEL381" s="252"/>
      <c r="CEM381" s="252"/>
      <c r="CEN381" s="252"/>
      <c r="CEO381" s="252"/>
      <c r="CEP381" s="252"/>
      <c r="CEQ381" s="252"/>
      <c r="CER381" s="252"/>
      <c r="CES381" s="252"/>
      <c r="CET381" s="252"/>
      <c r="CEU381" s="252"/>
      <c r="CEV381" s="252"/>
      <c r="CEW381" s="252"/>
      <c r="CEX381" s="252"/>
      <c r="CEY381" s="252"/>
      <c r="CEZ381" s="252"/>
      <c r="CFA381" s="252"/>
      <c r="CFB381" s="252"/>
      <c r="CFC381" s="252"/>
      <c r="CFD381" s="252"/>
      <c r="CFE381" s="252"/>
      <c r="CFF381" s="252"/>
      <c r="CFG381" s="252"/>
      <c r="CFH381" s="252"/>
      <c r="CFI381" s="252"/>
      <c r="CFJ381" s="252"/>
      <c r="CFK381" s="252"/>
      <c r="CFL381" s="252"/>
      <c r="CFM381" s="252"/>
      <c r="CFN381" s="252"/>
      <c r="CFO381" s="252"/>
      <c r="CFP381" s="252"/>
      <c r="CFQ381" s="252"/>
      <c r="CFR381" s="252"/>
      <c r="CFS381" s="252"/>
      <c r="CFT381" s="252"/>
      <c r="CFU381" s="252"/>
      <c r="CFV381" s="252"/>
      <c r="CFW381" s="252"/>
      <c r="CFX381" s="252"/>
      <c r="CFY381" s="252"/>
      <c r="CFZ381" s="252"/>
      <c r="CGA381" s="252"/>
      <c r="CGB381" s="252"/>
      <c r="CGC381" s="252"/>
      <c r="CGD381" s="252"/>
      <c r="CGE381" s="252"/>
      <c r="CGF381" s="252"/>
      <c r="CGG381" s="252"/>
      <c r="CGH381" s="252"/>
      <c r="CGI381" s="252"/>
      <c r="CGJ381" s="252"/>
      <c r="CGK381" s="252"/>
      <c r="CGL381" s="252"/>
      <c r="CGM381" s="252"/>
      <c r="CGN381" s="252"/>
      <c r="CGO381" s="252"/>
      <c r="CGP381" s="252"/>
      <c r="CGQ381" s="252"/>
      <c r="CGR381" s="252"/>
      <c r="CGS381" s="252"/>
      <c r="CGT381" s="252"/>
      <c r="CGU381" s="252"/>
      <c r="CGV381" s="252"/>
      <c r="CGW381" s="252"/>
      <c r="CGX381" s="252"/>
      <c r="CGY381" s="252"/>
      <c r="CGZ381" s="252"/>
      <c r="CHA381" s="252"/>
      <c r="CHB381" s="252"/>
      <c r="CHC381" s="252"/>
      <c r="CHD381" s="252"/>
      <c r="CHE381" s="252"/>
      <c r="CHF381" s="252"/>
      <c r="CHG381" s="252"/>
      <c r="CHH381" s="252"/>
      <c r="CHI381" s="252"/>
      <c r="CHJ381" s="252"/>
      <c r="CHK381" s="252"/>
      <c r="CHL381" s="252"/>
      <c r="CHM381" s="252"/>
      <c r="CHN381" s="252"/>
      <c r="CHO381" s="252"/>
      <c r="CHP381" s="252"/>
      <c r="CHQ381" s="252"/>
      <c r="CHR381" s="252"/>
      <c r="CHS381" s="252"/>
      <c r="CHT381" s="252"/>
      <c r="CHU381" s="252"/>
      <c r="CHV381" s="252"/>
      <c r="CHW381" s="252"/>
      <c r="CHX381" s="252"/>
      <c r="CHY381" s="252"/>
      <c r="CHZ381" s="252"/>
      <c r="CIA381" s="252"/>
      <c r="CIB381" s="252"/>
      <c r="CIC381" s="252"/>
      <c r="CID381" s="252"/>
      <c r="CIE381" s="252"/>
      <c r="CIF381" s="252"/>
      <c r="CIG381" s="252"/>
      <c r="CIH381" s="252"/>
      <c r="CII381" s="252"/>
      <c r="CIJ381" s="252"/>
      <c r="CIK381" s="252"/>
      <c r="CIL381" s="252"/>
      <c r="CIM381" s="252"/>
      <c r="CIN381" s="252"/>
      <c r="CIO381" s="252"/>
      <c r="CIP381" s="252"/>
      <c r="CIQ381" s="252"/>
      <c r="CIR381" s="252"/>
      <c r="CIS381" s="252"/>
      <c r="CIT381" s="252"/>
      <c r="CIU381" s="252"/>
      <c r="CIV381" s="252"/>
      <c r="CIW381" s="252"/>
      <c r="CIX381" s="252"/>
      <c r="CIY381" s="252"/>
      <c r="CIZ381" s="252"/>
      <c r="CJA381" s="252"/>
      <c r="CJB381" s="252"/>
      <c r="CJC381" s="252"/>
      <c r="CJD381" s="252"/>
      <c r="CJE381" s="252"/>
      <c r="CJF381" s="252"/>
      <c r="CJG381" s="252"/>
      <c r="CJH381" s="252"/>
      <c r="CJI381" s="252"/>
      <c r="CJJ381" s="252"/>
      <c r="CJK381" s="252"/>
      <c r="CJL381" s="252"/>
      <c r="CJM381" s="252"/>
      <c r="CJN381" s="252"/>
      <c r="CJO381" s="252"/>
      <c r="CJP381" s="252"/>
      <c r="CJQ381" s="252"/>
      <c r="CJR381" s="252"/>
      <c r="CJS381" s="252"/>
      <c r="CJT381" s="252"/>
      <c r="CJU381" s="252"/>
      <c r="CJV381" s="252"/>
      <c r="CJW381" s="252"/>
      <c r="CJX381" s="252"/>
      <c r="CJY381" s="252"/>
      <c r="CJZ381" s="252"/>
      <c r="CKA381" s="252"/>
      <c r="CKB381" s="252"/>
      <c r="CKC381" s="252"/>
      <c r="CKD381" s="252"/>
      <c r="CKE381" s="252"/>
      <c r="CKF381" s="252"/>
      <c r="CKG381" s="252"/>
      <c r="CKH381" s="252"/>
      <c r="CKI381" s="252"/>
      <c r="CKJ381" s="252"/>
      <c r="CKK381" s="252"/>
      <c r="CKL381" s="252"/>
      <c r="CKM381" s="252"/>
      <c r="CKN381" s="252"/>
      <c r="CKO381" s="252"/>
      <c r="CKP381" s="252"/>
      <c r="CKQ381" s="252"/>
      <c r="CKR381" s="252"/>
      <c r="CKS381" s="252"/>
      <c r="CKT381" s="252"/>
      <c r="CKU381" s="252"/>
      <c r="CKV381" s="252"/>
      <c r="CKW381" s="252"/>
      <c r="CKX381" s="252"/>
      <c r="CKY381" s="252"/>
      <c r="CKZ381" s="252"/>
      <c r="CLA381" s="252"/>
      <c r="CLB381" s="252"/>
      <c r="CLC381" s="252"/>
      <c r="CLD381" s="252"/>
      <c r="CLE381" s="252"/>
      <c r="CLF381" s="252"/>
      <c r="CLG381" s="252"/>
      <c r="CLH381" s="252"/>
      <c r="CLI381" s="252"/>
      <c r="CLJ381" s="252"/>
      <c r="CLK381" s="252"/>
      <c r="CLL381" s="252"/>
      <c r="CLM381" s="252"/>
      <c r="CLN381" s="252"/>
      <c r="CLO381" s="252"/>
      <c r="CLP381" s="252"/>
      <c r="CLQ381" s="252"/>
      <c r="CLR381" s="252"/>
      <c r="CLS381" s="252"/>
      <c r="CLT381" s="252"/>
      <c r="CLU381" s="252"/>
      <c r="CLV381" s="252"/>
      <c r="CLW381" s="252"/>
      <c r="CLX381" s="252"/>
      <c r="CLY381" s="252"/>
      <c r="CLZ381" s="252"/>
      <c r="CMA381" s="252"/>
      <c r="CMB381" s="252"/>
      <c r="CMC381" s="252"/>
      <c r="CMD381" s="252"/>
      <c r="CME381" s="252"/>
      <c r="CMF381" s="252"/>
      <c r="CMG381" s="252"/>
      <c r="CMH381" s="252"/>
      <c r="CMI381" s="252"/>
      <c r="CMJ381" s="252"/>
      <c r="CMK381" s="252"/>
      <c r="CML381" s="252"/>
      <c r="CMM381" s="252"/>
      <c r="CMN381" s="252"/>
      <c r="CMO381" s="252"/>
      <c r="CMP381" s="252"/>
      <c r="CMQ381" s="252"/>
      <c r="CMR381" s="252"/>
      <c r="CMS381" s="252"/>
      <c r="CMT381" s="252"/>
      <c r="CMU381" s="252"/>
      <c r="CMV381" s="252"/>
      <c r="CMW381" s="252"/>
      <c r="CMX381" s="252"/>
      <c r="CMY381" s="252"/>
      <c r="CMZ381" s="252"/>
      <c r="CNA381" s="252"/>
      <c r="CNB381" s="252"/>
      <c r="CNC381" s="252"/>
      <c r="CND381" s="252"/>
      <c r="CNE381" s="252"/>
      <c r="CNF381" s="252"/>
      <c r="CNG381" s="252"/>
      <c r="CNH381" s="252"/>
      <c r="CNI381" s="252"/>
      <c r="CNJ381" s="252"/>
      <c r="CNK381" s="252"/>
      <c r="CNL381" s="252"/>
      <c r="CNM381" s="252"/>
      <c r="CNN381" s="252"/>
      <c r="CNO381" s="252"/>
      <c r="CNP381" s="252"/>
      <c r="CNQ381" s="252"/>
      <c r="CNR381" s="252"/>
      <c r="CNS381" s="252"/>
      <c r="CNT381" s="252"/>
      <c r="CNU381" s="252"/>
      <c r="CNV381" s="252"/>
      <c r="CNW381" s="252"/>
      <c r="CNX381" s="252"/>
      <c r="CNY381" s="252"/>
      <c r="CNZ381" s="252"/>
      <c r="COA381" s="252"/>
      <c r="COB381" s="252"/>
      <c r="COC381" s="252"/>
      <c r="COD381" s="252"/>
      <c r="COE381" s="252"/>
      <c r="COF381" s="252"/>
      <c r="COG381" s="252"/>
      <c r="COH381" s="252"/>
      <c r="COI381" s="252"/>
      <c r="COJ381" s="252"/>
      <c r="COK381" s="252"/>
      <c r="COL381" s="252"/>
      <c r="COM381" s="252"/>
      <c r="CON381" s="252"/>
      <c r="COO381" s="252"/>
      <c r="COP381" s="252"/>
      <c r="COQ381" s="252"/>
      <c r="COR381" s="252"/>
      <c r="COS381" s="252"/>
      <c r="COT381" s="252"/>
      <c r="COU381" s="252"/>
      <c r="COV381" s="252"/>
      <c r="COW381" s="252"/>
      <c r="COX381" s="252"/>
      <c r="COY381" s="252"/>
      <c r="COZ381" s="252"/>
      <c r="CPA381" s="252"/>
      <c r="CPB381" s="252"/>
      <c r="CPC381" s="252"/>
      <c r="CPD381" s="252"/>
      <c r="CPE381" s="252"/>
      <c r="CPF381" s="252"/>
      <c r="CPG381" s="252"/>
      <c r="CPH381" s="252"/>
      <c r="CPI381" s="252"/>
      <c r="CPJ381" s="252"/>
      <c r="CPK381" s="252"/>
      <c r="CPL381" s="252"/>
      <c r="CPM381" s="252"/>
      <c r="CPN381" s="252"/>
      <c r="CPO381" s="252"/>
      <c r="CPP381" s="252"/>
      <c r="CPQ381" s="252"/>
      <c r="CPR381" s="252"/>
      <c r="CPS381" s="252"/>
      <c r="CPT381" s="252"/>
      <c r="CPU381" s="252"/>
      <c r="CPV381" s="252"/>
      <c r="CPW381" s="252"/>
      <c r="CPX381" s="252"/>
      <c r="CPY381" s="252"/>
      <c r="CPZ381" s="252"/>
      <c r="CQA381" s="252"/>
      <c r="CQB381" s="252"/>
      <c r="CQC381" s="252"/>
      <c r="CQD381" s="252"/>
      <c r="CQE381" s="252"/>
      <c r="CQF381" s="252"/>
      <c r="CQG381" s="252"/>
      <c r="CQH381" s="252"/>
      <c r="CQI381" s="252"/>
      <c r="CQJ381" s="252"/>
      <c r="CQK381" s="252"/>
      <c r="CQL381" s="252"/>
      <c r="CQM381" s="252"/>
      <c r="CQN381" s="252"/>
      <c r="CQO381" s="252"/>
      <c r="CQP381" s="252"/>
      <c r="CQQ381" s="252"/>
      <c r="CQR381" s="252"/>
      <c r="CQS381" s="252"/>
      <c r="CQT381" s="252"/>
      <c r="CQU381" s="252"/>
      <c r="CQV381" s="252"/>
      <c r="CQW381" s="252"/>
      <c r="CQX381" s="252"/>
      <c r="CQY381" s="252"/>
      <c r="CQZ381" s="252"/>
      <c r="CRA381" s="252"/>
      <c r="CRB381" s="252"/>
      <c r="CRC381" s="252"/>
      <c r="CRD381" s="252"/>
      <c r="CRE381" s="252"/>
      <c r="CRF381" s="252"/>
      <c r="CRG381" s="252"/>
      <c r="CRH381" s="252"/>
      <c r="CRI381" s="252"/>
      <c r="CRJ381" s="252"/>
      <c r="CRK381" s="252"/>
      <c r="CRL381" s="252"/>
      <c r="CRM381" s="252"/>
      <c r="CRN381" s="252"/>
      <c r="CRO381" s="252"/>
      <c r="CRP381" s="252"/>
      <c r="CRQ381" s="252"/>
      <c r="CRR381" s="252"/>
      <c r="CRS381" s="252"/>
      <c r="CRT381" s="252"/>
      <c r="CRU381" s="252"/>
      <c r="CRV381" s="252"/>
      <c r="CRW381" s="252"/>
      <c r="CRX381" s="252"/>
      <c r="CRY381" s="252"/>
      <c r="CRZ381" s="252"/>
      <c r="CSA381" s="252"/>
      <c r="CSB381" s="252"/>
      <c r="CSC381" s="252"/>
      <c r="CSD381" s="252"/>
      <c r="CSE381" s="252"/>
      <c r="CSF381" s="252"/>
      <c r="CSG381" s="252"/>
      <c r="CSH381" s="252"/>
      <c r="CSI381" s="252"/>
      <c r="CSJ381" s="252"/>
      <c r="CSK381" s="252"/>
      <c r="CSL381" s="252"/>
      <c r="CSM381" s="252"/>
      <c r="CSN381" s="252"/>
      <c r="CSO381" s="252"/>
      <c r="CSP381" s="252"/>
      <c r="CSQ381" s="252"/>
      <c r="CSR381" s="252"/>
      <c r="CSS381" s="252"/>
      <c r="CST381" s="252"/>
      <c r="CSU381" s="252"/>
      <c r="CSV381" s="252"/>
      <c r="CSW381" s="252"/>
      <c r="CSX381" s="252"/>
      <c r="CSY381" s="252"/>
      <c r="CSZ381" s="252"/>
      <c r="CTA381" s="252"/>
      <c r="CTB381" s="252"/>
      <c r="CTC381" s="252"/>
      <c r="CTD381" s="252"/>
      <c r="CTE381" s="252"/>
      <c r="CTF381" s="252"/>
      <c r="CTG381" s="252"/>
      <c r="CTH381" s="252"/>
      <c r="CTI381" s="252"/>
      <c r="CTJ381" s="252"/>
      <c r="CTK381" s="252"/>
      <c r="CTL381" s="252"/>
      <c r="CTM381" s="252"/>
      <c r="CTN381" s="252"/>
      <c r="CTO381" s="252"/>
      <c r="CTP381" s="252"/>
      <c r="CTQ381" s="252"/>
      <c r="CTR381" s="252"/>
      <c r="CTS381" s="252"/>
      <c r="CTT381" s="252"/>
      <c r="CTU381" s="252"/>
      <c r="CTV381" s="252"/>
      <c r="CTW381" s="252"/>
      <c r="CTX381" s="252"/>
      <c r="CTY381" s="252"/>
      <c r="CTZ381" s="252"/>
      <c r="CUA381" s="252"/>
      <c r="CUB381" s="252"/>
      <c r="CUC381" s="252"/>
      <c r="CUD381" s="252"/>
      <c r="CUE381" s="252"/>
      <c r="CUF381" s="252"/>
      <c r="CUG381" s="252"/>
      <c r="CUH381" s="252"/>
      <c r="CUI381" s="252"/>
      <c r="CUJ381" s="252"/>
      <c r="CUK381" s="252"/>
      <c r="CUL381" s="252"/>
      <c r="CUM381" s="252"/>
      <c r="CUN381" s="252"/>
      <c r="CUO381" s="252"/>
      <c r="CUP381" s="252"/>
      <c r="CUQ381" s="252"/>
      <c r="CUR381" s="252"/>
      <c r="CUS381" s="252"/>
      <c r="CUT381" s="252"/>
      <c r="CUU381" s="252"/>
      <c r="CUV381" s="252"/>
      <c r="CUW381" s="252"/>
      <c r="CUX381" s="252"/>
      <c r="CUY381" s="252"/>
      <c r="CUZ381" s="252"/>
      <c r="CVA381" s="252"/>
      <c r="CVB381" s="252"/>
      <c r="CVC381" s="252"/>
      <c r="CVD381" s="252"/>
      <c r="CVE381" s="252"/>
      <c r="CVF381" s="252"/>
      <c r="CVG381" s="252"/>
      <c r="CVH381" s="252"/>
      <c r="CVI381" s="252"/>
      <c r="CVJ381" s="252"/>
      <c r="CVK381" s="252"/>
      <c r="CVL381" s="252"/>
      <c r="CVM381" s="252"/>
      <c r="CVN381" s="252"/>
      <c r="CVO381" s="252"/>
      <c r="CVP381" s="252"/>
      <c r="CVQ381" s="252"/>
      <c r="CVR381" s="252"/>
      <c r="CVS381" s="252"/>
      <c r="CVT381" s="252"/>
      <c r="CVU381" s="252"/>
      <c r="CVV381" s="252"/>
      <c r="CVW381" s="252"/>
      <c r="CVX381" s="252"/>
      <c r="CVY381" s="252"/>
      <c r="CVZ381" s="252"/>
      <c r="CWA381" s="252"/>
      <c r="CWB381" s="252"/>
      <c r="CWC381" s="252"/>
      <c r="CWD381" s="252"/>
      <c r="CWE381" s="252"/>
      <c r="CWF381" s="252"/>
      <c r="CWG381" s="252"/>
      <c r="CWH381" s="252"/>
      <c r="CWI381" s="252"/>
      <c r="CWJ381" s="252"/>
      <c r="CWK381" s="252"/>
      <c r="CWL381" s="252"/>
      <c r="CWM381" s="252"/>
      <c r="CWN381" s="252"/>
      <c r="CWO381" s="252"/>
      <c r="CWP381" s="252"/>
      <c r="CWQ381" s="252"/>
      <c r="CWR381" s="252"/>
      <c r="CWS381" s="252"/>
      <c r="CWT381" s="252"/>
      <c r="CWU381" s="252"/>
      <c r="CWV381" s="252"/>
      <c r="CWW381" s="252"/>
      <c r="CWX381" s="252"/>
      <c r="CWY381" s="252"/>
      <c r="CWZ381" s="252"/>
      <c r="CXA381" s="252"/>
      <c r="CXB381" s="252"/>
      <c r="CXC381" s="252"/>
      <c r="CXD381" s="252"/>
      <c r="CXE381" s="252"/>
      <c r="CXF381" s="252"/>
      <c r="CXG381" s="252"/>
      <c r="CXH381" s="252"/>
      <c r="CXI381" s="252"/>
      <c r="CXJ381" s="252"/>
      <c r="CXK381" s="252"/>
      <c r="CXL381" s="252"/>
      <c r="CXM381" s="252"/>
      <c r="CXN381" s="252"/>
      <c r="CXO381" s="252"/>
      <c r="CXP381" s="252"/>
      <c r="CXQ381" s="252"/>
      <c r="CXR381" s="252"/>
      <c r="CXS381" s="252"/>
      <c r="CXT381" s="252"/>
      <c r="CXU381" s="252"/>
      <c r="CXV381" s="252"/>
      <c r="CXW381" s="252"/>
      <c r="CXX381" s="252"/>
      <c r="CXY381" s="252"/>
      <c r="CXZ381" s="252"/>
      <c r="CYA381" s="252"/>
      <c r="CYB381" s="252"/>
      <c r="CYC381" s="252"/>
      <c r="CYD381" s="252"/>
      <c r="CYE381" s="252"/>
      <c r="CYF381" s="252"/>
      <c r="CYG381" s="252"/>
      <c r="CYH381" s="252"/>
      <c r="CYI381" s="252"/>
      <c r="CYJ381" s="252"/>
      <c r="CYK381" s="252"/>
      <c r="CYL381" s="252"/>
      <c r="CYM381" s="252"/>
      <c r="CYN381" s="252"/>
      <c r="CYO381" s="252"/>
      <c r="CYP381" s="252"/>
      <c r="CYQ381" s="252"/>
      <c r="CYR381" s="252"/>
      <c r="CYS381" s="252"/>
      <c r="CYT381" s="252"/>
      <c r="CYU381" s="252"/>
      <c r="CYV381" s="252"/>
      <c r="CYW381" s="252"/>
      <c r="CYX381" s="252"/>
      <c r="CYY381" s="252"/>
      <c r="CYZ381" s="252"/>
      <c r="CZA381" s="252"/>
      <c r="CZB381" s="252"/>
      <c r="CZC381" s="252"/>
      <c r="CZD381" s="252"/>
      <c r="CZE381" s="252"/>
      <c r="CZF381" s="252"/>
      <c r="CZG381" s="252"/>
      <c r="CZH381" s="252"/>
      <c r="CZI381" s="252"/>
      <c r="CZJ381" s="252"/>
      <c r="CZK381" s="252"/>
      <c r="CZL381" s="252"/>
      <c r="CZM381" s="252"/>
      <c r="CZN381" s="252"/>
      <c r="CZO381" s="252"/>
      <c r="CZP381" s="252"/>
      <c r="CZQ381" s="252"/>
      <c r="CZR381" s="252"/>
      <c r="CZS381" s="252"/>
      <c r="CZT381" s="252"/>
      <c r="CZU381" s="252"/>
      <c r="CZV381" s="252"/>
      <c r="CZW381" s="252"/>
      <c r="CZX381" s="252"/>
      <c r="CZY381" s="252"/>
      <c r="CZZ381" s="252"/>
      <c r="DAA381" s="252"/>
      <c r="DAB381" s="252"/>
      <c r="DAC381" s="252"/>
      <c r="DAD381" s="252"/>
      <c r="DAE381" s="252"/>
      <c r="DAF381" s="252"/>
      <c r="DAG381" s="252"/>
      <c r="DAH381" s="252"/>
      <c r="DAI381" s="252"/>
      <c r="DAJ381" s="252"/>
      <c r="DAK381" s="252"/>
      <c r="DAL381" s="252"/>
      <c r="DAM381" s="252"/>
      <c r="DAN381" s="252"/>
      <c r="DAO381" s="252"/>
      <c r="DAP381" s="252"/>
      <c r="DAQ381" s="252"/>
      <c r="DAR381" s="252"/>
      <c r="DAS381" s="252"/>
      <c r="DAT381" s="252"/>
      <c r="DAU381" s="252"/>
      <c r="DAV381" s="252"/>
      <c r="DAW381" s="252"/>
      <c r="DAX381" s="252"/>
      <c r="DAY381" s="252"/>
      <c r="DAZ381" s="252"/>
      <c r="DBA381" s="252"/>
      <c r="DBB381" s="252"/>
      <c r="DBC381" s="252"/>
      <c r="DBD381" s="252"/>
      <c r="DBE381" s="252"/>
      <c r="DBF381" s="252"/>
      <c r="DBG381" s="252"/>
      <c r="DBH381" s="252"/>
      <c r="DBI381" s="252"/>
      <c r="DBJ381" s="252"/>
      <c r="DBK381" s="252"/>
      <c r="DBL381" s="252"/>
      <c r="DBM381" s="252"/>
      <c r="DBN381" s="252"/>
      <c r="DBO381" s="252"/>
      <c r="DBP381" s="252"/>
      <c r="DBQ381" s="252"/>
      <c r="DBR381" s="252"/>
      <c r="DBS381" s="252"/>
      <c r="DBT381" s="252"/>
      <c r="DBU381" s="252"/>
      <c r="DBV381" s="252"/>
      <c r="DBW381" s="252"/>
      <c r="DBX381" s="252"/>
      <c r="DBY381" s="252"/>
      <c r="DBZ381" s="252"/>
      <c r="DCA381" s="252"/>
      <c r="DCB381" s="252"/>
      <c r="DCC381" s="252"/>
      <c r="DCD381" s="252"/>
      <c r="DCE381" s="252"/>
      <c r="DCF381" s="252"/>
      <c r="DCG381" s="252"/>
      <c r="DCH381" s="252"/>
      <c r="DCI381" s="252"/>
      <c r="DCJ381" s="252"/>
      <c r="DCK381" s="252"/>
      <c r="DCL381" s="252"/>
      <c r="DCM381" s="252"/>
      <c r="DCN381" s="252"/>
      <c r="DCO381" s="252"/>
      <c r="DCP381" s="252"/>
      <c r="DCQ381" s="252"/>
      <c r="DCR381" s="252"/>
      <c r="DCS381" s="252"/>
      <c r="DCT381" s="252"/>
      <c r="DCU381" s="252"/>
      <c r="DCV381" s="252"/>
      <c r="DCW381" s="252"/>
      <c r="DCX381" s="252"/>
      <c r="DCY381" s="252"/>
      <c r="DCZ381" s="252"/>
      <c r="DDA381" s="252"/>
      <c r="DDB381" s="252"/>
      <c r="DDC381" s="252"/>
      <c r="DDD381" s="252"/>
      <c r="DDE381" s="252"/>
      <c r="DDF381" s="252"/>
      <c r="DDG381" s="252"/>
      <c r="DDH381" s="252"/>
      <c r="DDI381" s="252"/>
      <c r="DDJ381" s="252"/>
      <c r="DDK381" s="252"/>
      <c r="DDL381" s="252"/>
      <c r="DDM381" s="252"/>
      <c r="DDN381" s="252"/>
      <c r="DDO381" s="252"/>
      <c r="DDP381" s="252"/>
      <c r="DDQ381" s="252"/>
      <c r="DDR381" s="252"/>
      <c r="DDS381" s="252"/>
      <c r="DDT381" s="252"/>
      <c r="DDU381" s="252"/>
      <c r="DDV381" s="252"/>
      <c r="DDW381" s="252"/>
      <c r="DDX381" s="252"/>
      <c r="DDY381" s="252"/>
      <c r="DDZ381" s="252"/>
      <c r="DEA381" s="252"/>
      <c r="DEB381" s="252"/>
      <c r="DEC381" s="252"/>
      <c r="DED381" s="252"/>
      <c r="DEE381" s="252"/>
      <c r="DEF381" s="252"/>
      <c r="DEG381" s="252"/>
      <c r="DEH381" s="252"/>
      <c r="DEI381" s="252"/>
      <c r="DEJ381" s="252"/>
      <c r="DEK381" s="252"/>
      <c r="DEL381" s="252"/>
      <c r="DEM381" s="252"/>
      <c r="DEN381" s="252"/>
      <c r="DEO381" s="252"/>
      <c r="DEP381" s="252"/>
      <c r="DEQ381" s="252"/>
      <c r="DER381" s="252"/>
      <c r="DES381" s="252"/>
      <c r="DET381" s="252"/>
      <c r="DEU381" s="252"/>
      <c r="DEV381" s="252"/>
      <c r="DEW381" s="252"/>
      <c r="DEX381" s="252"/>
      <c r="DEY381" s="252"/>
      <c r="DEZ381" s="252"/>
      <c r="DFA381" s="252"/>
      <c r="DFB381" s="252"/>
      <c r="DFC381" s="252"/>
      <c r="DFD381" s="252"/>
      <c r="DFE381" s="252"/>
      <c r="DFF381" s="252"/>
      <c r="DFG381" s="252"/>
      <c r="DFH381" s="252"/>
      <c r="DFI381" s="252"/>
      <c r="DFJ381" s="252"/>
      <c r="DFK381" s="252"/>
      <c r="DFL381" s="252"/>
      <c r="DFM381" s="252"/>
      <c r="DFN381" s="252"/>
      <c r="DFO381" s="252"/>
      <c r="DFP381" s="252"/>
      <c r="DFQ381" s="252"/>
      <c r="DFR381" s="252"/>
      <c r="DFS381" s="252"/>
      <c r="DFT381" s="252"/>
      <c r="DFU381" s="252"/>
      <c r="DFV381" s="252"/>
      <c r="DFW381" s="252"/>
      <c r="DFX381" s="252"/>
      <c r="DFY381" s="252"/>
      <c r="DFZ381" s="252"/>
      <c r="DGA381" s="252"/>
      <c r="DGB381" s="252"/>
      <c r="DGC381" s="252"/>
      <c r="DGD381" s="252"/>
      <c r="DGE381" s="252"/>
      <c r="DGF381" s="252"/>
      <c r="DGG381" s="252"/>
      <c r="DGH381" s="252"/>
      <c r="DGI381" s="252"/>
      <c r="DGJ381" s="252"/>
      <c r="DGK381" s="252"/>
      <c r="DGL381" s="252"/>
      <c r="DGM381" s="252"/>
      <c r="DGN381" s="252"/>
      <c r="DGO381" s="252"/>
      <c r="DGP381" s="252"/>
      <c r="DGQ381" s="252"/>
      <c r="DGR381" s="252"/>
      <c r="DGS381" s="252"/>
      <c r="DGT381" s="252"/>
      <c r="DGU381" s="252"/>
      <c r="DGV381" s="252"/>
      <c r="DGW381" s="252"/>
      <c r="DGX381" s="252"/>
      <c r="DGY381" s="252"/>
      <c r="DGZ381" s="252"/>
      <c r="DHA381" s="252"/>
      <c r="DHB381" s="252"/>
      <c r="DHC381" s="252"/>
      <c r="DHD381" s="252"/>
      <c r="DHE381" s="252"/>
      <c r="DHF381" s="252"/>
      <c r="DHG381" s="252"/>
      <c r="DHH381" s="252"/>
      <c r="DHI381" s="252"/>
      <c r="DHJ381" s="252"/>
      <c r="DHK381" s="252"/>
      <c r="DHL381" s="252"/>
      <c r="DHM381" s="252"/>
      <c r="DHN381" s="252"/>
      <c r="DHO381" s="252"/>
      <c r="DHP381" s="252"/>
      <c r="DHQ381" s="252"/>
      <c r="DHR381" s="252"/>
      <c r="DHS381" s="252"/>
      <c r="DHT381" s="252"/>
      <c r="DHU381" s="252"/>
      <c r="DHV381" s="252"/>
      <c r="DHW381" s="252"/>
      <c r="DHX381" s="252"/>
      <c r="DHY381" s="252"/>
      <c r="DHZ381" s="252"/>
      <c r="DIA381" s="252"/>
      <c r="DIB381" s="252"/>
      <c r="DIC381" s="252"/>
      <c r="DID381" s="252"/>
      <c r="DIE381" s="252"/>
      <c r="DIF381" s="252"/>
      <c r="DIG381" s="252"/>
      <c r="DIH381" s="252"/>
      <c r="DII381" s="252"/>
      <c r="DIJ381" s="252"/>
      <c r="DIK381" s="252"/>
      <c r="DIL381" s="252"/>
      <c r="DIM381" s="252"/>
      <c r="DIN381" s="252"/>
      <c r="DIO381" s="252"/>
      <c r="DIP381" s="252"/>
      <c r="DIQ381" s="252"/>
      <c r="DIR381" s="252"/>
      <c r="DIS381" s="252"/>
      <c r="DIT381" s="252"/>
      <c r="DIU381" s="252"/>
      <c r="DIV381" s="252"/>
      <c r="DIW381" s="252"/>
      <c r="DIX381" s="252"/>
      <c r="DIY381" s="252"/>
      <c r="DIZ381" s="252"/>
      <c r="DJA381" s="252"/>
      <c r="DJB381" s="252"/>
      <c r="DJC381" s="252"/>
      <c r="DJD381" s="252"/>
      <c r="DJE381" s="252"/>
      <c r="DJF381" s="252"/>
      <c r="DJG381" s="252"/>
      <c r="DJH381" s="252"/>
      <c r="DJI381" s="252"/>
      <c r="DJJ381" s="252"/>
      <c r="DJK381" s="252"/>
      <c r="DJL381" s="252"/>
      <c r="DJM381" s="252"/>
      <c r="DJN381" s="252"/>
      <c r="DJO381" s="252"/>
      <c r="DJP381" s="252"/>
      <c r="DJQ381" s="252"/>
      <c r="DJR381" s="252"/>
      <c r="DJS381" s="252"/>
      <c r="DJT381" s="252"/>
      <c r="DJU381" s="252"/>
      <c r="DJV381" s="252"/>
      <c r="DJW381" s="252"/>
      <c r="DJX381" s="252"/>
      <c r="DJY381" s="252"/>
      <c r="DJZ381" s="252"/>
      <c r="DKA381" s="252"/>
      <c r="DKB381" s="252"/>
      <c r="DKC381" s="252"/>
      <c r="DKD381" s="252"/>
      <c r="DKE381" s="252"/>
      <c r="DKF381" s="252"/>
      <c r="DKG381" s="252"/>
      <c r="DKH381" s="252"/>
      <c r="DKI381" s="252"/>
      <c r="DKJ381" s="252"/>
      <c r="DKK381" s="252"/>
      <c r="DKL381" s="252"/>
      <c r="DKM381" s="252"/>
      <c r="DKN381" s="252"/>
      <c r="DKO381" s="252"/>
      <c r="DKP381" s="252"/>
      <c r="DKQ381" s="252"/>
      <c r="DKR381" s="252"/>
      <c r="DKS381" s="252"/>
      <c r="DKT381" s="252"/>
      <c r="DKU381" s="252"/>
      <c r="DKV381" s="252"/>
      <c r="DKW381" s="252"/>
      <c r="DKX381" s="252"/>
      <c r="DKY381" s="252"/>
      <c r="DKZ381" s="252"/>
      <c r="DLA381" s="252"/>
      <c r="DLB381" s="252"/>
      <c r="DLC381" s="252"/>
      <c r="DLD381" s="252"/>
      <c r="DLE381" s="252"/>
      <c r="DLF381" s="252"/>
      <c r="DLG381" s="252"/>
      <c r="DLH381" s="252"/>
      <c r="DLI381" s="252"/>
      <c r="DLJ381" s="252"/>
      <c r="DLK381" s="252"/>
      <c r="DLL381" s="252"/>
      <c r="DLM381" s="252"/>
      <c r="DLN381" s="252"/>
      <c r="DLO381" s="252"/>
      <c r="DLP381" s="252"/>
      <c r="DLQ381" s="252"/>
      <c r="DLR381" s="252"/>
      <c r="DLS381" s="252"/>
      <c r="DLT381" s="252"/>
      <c r="DLU381" s="252"/>
      <c r="DLV381" s="252"/>
      <c r="DLW381" s="252"/>
      <c r="DLX381" s="252"/>
      <c r="DLY381" s="252"/>
      <c r="DLZ381" s="252"/>
      <c r="DMA381" s="252"/>
      <c r="DMB381" s="252"/>
      <c r="DMC381" s="252"/>
      <c r="DMD381" s="252"/>
      <c r="DME381" s="252"/>
      <c r="DMF381" s="252"/>
      <c r="DMG381" s="252"/>
      <c r="DMH381" s="252"/>
      <c r="DMI381" s="252"/>
      <c r="DMJ381" s="252"/>
      <c r="DMK381" s="252"/>
      <c r="DML381" s="252"/>
      <c r="DMM381" s="252"/>
      <c r="DMN381" s="252"/>
      <c r="DMO381" s="252"/>
      <c r="DMP381" s="252"/>
      <c r="DMQ381" s="252"/>
      <c r="DMR381" s="252"/>
      <c r="DMS381" s="252"/>
      <c r="DMT381" s="252"/>
      <c r="DMU381" s="252"/>
      <c r="DMV381" s="252"/>
      <c r="DMW381" s="252"/>
      <c r="DMX381" s="252"/>
      <c r="DMY381" s="252"/>
      <c r="DMZ381" s="252"/>
      <c r="DNA381" s="252"/>
      <c r="DNB381" s="252"/>
      <c r="DNC381" s="252"/>
      <c r="DND381" s="252"/>
      <c r="DNE381" s="252"/>
      <c r="DNF381" s="252"/>
      <c r="DNG381" s="252"/>
      <c r="DNH381" s="252"/>
      <c r="DNI381" s="252"/>
      <c r="DNJ381" s="252"/>
      <c r="DNK381" s="252"/>
      <c r="DNL381" s="252"/>
      <c r="DNM381" s="252"/>
      <c r="DNN381" s="252"/>
      <c r="DNO381" s="252"/>
      <c r="DNP381" s="252"/>
      <c r="DNQ381" s="252"/>
      <c r="DNR381" s="252"/>
      <c r="DNS381" s="252"/>
      <c r="DNT381" s="252"/>
      <c r="DNU381" s="252"/>
      <c r="DNV381" s="252"/>
      <c r="DNW381" s="252"/>
      <c r="DNX381" s="252"/>
      <c r="DNY381" s="252"/>
      <c r="DNZ381" s="252"/>
      <c r="DOA381" s="252"/>
      <c r="DOB381" s="252"/>
      <c r="DOC381" s="252"/>
      <c r="DOD381" s="252"/>
      <c r="DOE381" s="252"/>
      <c r="DOF381" s="252"/>
      <c r="DOG381" s="252"/>
      <c r="DOH381" s="252"/>
      <c r="DOI381" s="252"/>
      <c r="DOJ381" s="252"/>
      <c r="DOK381" s="252"/>
      <c r="DOL381" s="252"/>
      <c r="DOM381" s="252"/>
      <c r="DON381" s="252"/>
      <c r="DOO381" s="252"/>
      <c r="DOP381" s="252"/>
      <c r="DOQ381" s="252"/>
      <c r="DOR381" s="252"/>
      <c r="DOS381" s="252"/>
      <c r="DOT381" s="252"/>
      <c r="DOU381" s="252"/>
      <c r="DOV381" s="252"/>
      <c r="DOW381" s="252"/>
      <c r="DOX381" s="252"/>
      <c r="DOY381" s="252"/>
      <c r="DOZ381" s="252"/>
      <c r="DPA381" s="252"/>
      <c r="DPB381" s="252"/>
      <c r="DPC381" s="252"/>
      <c r="DPD381" s="252"/>
      <c r="DPE381" s="252"/>
      <c r="DPF381" s="252"/>
      <c r="DPG381" s="252"/>
      <c r="DPH381" s="252"/>
      <c r="DPI381" s="252"/>
      <c r="DPJ381" s="252"/>
      <c r="DPK381" s="252"/>
      <c r="DPL381" s="252"/>
      <c r="DPM381" s="252"/>
      <c r="DPN381" s="252"/>
      <c r="DPO381" s="252"/>
      <c r="DPP381" s="252"/>
      <c r="DPQ381" s="252"/>
      <c r="DPR381" s="252"/>
      <c r="DPS381" s="252"/>
      <c r="DPT381" s="252"/>
      <c r="DPU381" s="252"/>
      <c r="DPV381" s="252"/>
      <c r="DPW381" s="252"/>
      <c r="DPX381" s="252"/>
      <c r="DPY381" s="252"/>
      <c r="DPZ381" s="252"/>
      <c r="DQA381" s="252"/>
      <c r="DQB381" s="252"/>
      <c r="DQC381" s="252"/>
      <c r="DQD381" s="252"/>
      <c r="DQE381" s="252"/>
      <c r="DQF381" s="252"/>
      <c r="DQG381" s="252"/>
      <c r="DQH381" s="252"/>
      <c r="DQI381" s="252"/>
      <c r="DQJ381" s="252"/>
      <c r="DQK381" s="252"/>
      <c r="DQL381" s="252"/>
      <c r="DQM381" s="252"/>
      <c r="DQN381" s="252"/>
      <c r="DQO381" s="252"/>
      <c r="DQP381" s="252"/>
      <c r="DQQ381" s="252"/>
      <c r="DQR381" s="252"/>
      <c r="DQS381" s="252"/>
      <c r="DQT381" s="252"/>
      <c r="DQU381" s="252"/>
      <c r="DQV381" s="252"/>
      <c r="DQW381" s="252"/>
      <c r="DQX381" s="252"/>
      <c r="DQY381" s="252"/>
      <c r="DQZ381" s="252"/>
      <c r="DRA381" s="252"/>
      <c r="DRB381" s="252"/>
      <c r="DRC381" s="252"/>
      <c r="DRD381" s="252"/>
      <c r="DRE381" s="252"/>
      <c r="DRF381" s="252"/>
      <c r="DRG381" s="252"/>
      <c r="DRH381" s="252"/>
      <c r="DRI381" s="252"/>
      <c r="DRJ381" s="252"/>
      <c r="DRK381" s="252"/>
      <c r="DRL381" s="252"/>
      <c r="DRM381" s="252"/>
      <c r="DRN381" s="252"/>
      <c r="DRO381" s="252"/>
      <c r="DRP381" s="252"/>
      <c r="DRQ381" s="252"/>
      <c r="DRR381" s="252"/>
      <c r="DRS381" s="252"/>
      <c r="DRT381" s="252"/>
      <c r="DRU381" s="252"/>
      <c r="DRV381" s="252"/>
      <c r="DRW381" s="252"/>
      <c r="DRX381" s="252"/>
      <c r="DRY381" s="252"/>
      <c r="DRZ381" s="252"/>
      <c r="DSA381" s="252"/>
      <c r="DSB381" s="252"/>
      <c r="DSC381" s="252"/>
      <c r="DSD381" s="252"/>
      <c r="DSE381" s="252"/>
      <c r="DSF381" s="252"/>
      <c r="DSG381" s="252"/>
      <c r="DSH381" s="252"/>
      <c r="DSI381" s="252"/>
      <c r="DSJ381" s="252"/>
      <c r="DSK381" s="252"/>
      <c r="DSL381" s="252"/>
      <c r="DSM381" s="252"/>
      <c r="DSN381" s="252"/>
      <c r="DSO381" s="252"/>
      <c r="DSP381" s="252"/>
      <c r="DSQ381" s="252"/>
      <c r="DSR381" s="252"/>
      <c r="DSS381" s="252"/>
      <c r="DST381" s="252"/>
      <c r="DSU381" s="252"/>
      <c r="DSV381" s="252"/>
      <c r="DSW381" s="252"/>
      <c r="DSX381" s="252"/>
      <c r="DSY381" s="252"/>
      <c r="DSZ381" s="252"/>
      <c r="DTA381" s="252"/>
      <c r="DTB381" s="252"/>
      <c r="DTC381" s="252"/>
      <c r="DTD381" s="252"/>
      <c r="DTE381" s="252"/>
      <c r="DTF381" s="252"/>
      <c r="DTG381" s="252"/>
      <c r="DTH381" s="252"/>
      <c r="DTI381" s="252"/>
      <c r="DTJ381" s="252"/>
      <c r="DTK381" s="252"/>
      <c r="DTL381" s="252"/>
      <c r="DTM381" s="252"/>
      <c r="DTN381" s="252"/>
      <c r="DTO381" s="252"/>
      <c r="DTP381" s="252"/>
      <c r="DTQ381" s="252"/>
      <c r="DTR381" s="252"/>
      <c r="DTS381" s="252"/>
      <c r="DTT381" s="252"/>
      <c r="DTU381" s="252"/>
      <c r="DTV381" s="252"/>
      <c r="DTW381" s="252"/>
      <c r="DTX381" s="252"/>
      <c r="DTY381" s="252"/>
      <c r="DTZ381" s="252"/>
      <c r="DUA381" s="252"/>
      <c r="DUB381" s="252"/>
      <c r="DUC381" s="252"/>
      <c r="DUD381" s="252"/>
      <c r="DUE381" s="252"/>
      <c r="DUF381" s="252"/>
      <c r="DUG381" s="252"/>
      <c r="DUH381" s="252"/>
      <c r="DUI381" s="252"/>
      <c r="DUJ381" s="252"/>
      <c r="DUK381" s="252"/>
      <c r="DUL381" s="252"/>
      <c r="DUM381" s="252"/>
      <c r="DUN381" s="252"/>
      <c r="DUO381" s="252"/>
      <c r="DUP381" s="252"/>
      <c r="DUQ381" s="252"/>
      <c r="DUR381" s="252"/>
      <c r="DUS381" s="252"/>
      <c r="DUT381" s="252"/>
      <c r="DUU381" s="252"/>
      <c r="DUV381" s="252"/>
      <c r="DUW381" s="252"/>
      <c r="DUX381" s="252"/>
      <c r="DUY381" s="252"/>
      <c r="DUZ381" s="252"/>
      <c r="DVA381" s="252"/>
      <c r="DVB381" s="252"/>
      <c r="DVC381" s="252"/>
      <c r="DVD381" s="252"/>
      <c r="DVE381" s="252"/>
      <c r="DVF381" s="252"/>
      <c r="DVG381" s="252"/>
      <c r="DVH381" s="252"/>
      <c r="DVI381" s="252"/>
      <c r="DVJ381" s="252"/>
      <c r="DVK381" s="252"/>
      <c r="DVL381" s="252"/>
      <c r="DVM381" s="252"/>
      <c r="DVN381" s="252"/>
      <c r="DVO381" s="252"/>
      <c r="DVP381" s="252"/>
      <c r="DVQ381" s="252"/>
      <c r="DVR381" s="252"/>
      <c r="DVS381" s="252"/>
      <c r="DVT381" s="252"/>
      <c r="DVU381" s="252"/>
      <c r="DVV381" s="252"/>
      <c r="DVW381" s="252"/>
      <c r="DVX381" s="252"/>
      <c r="DVY381" s="252"/>
      <c r="DVZ381" s="252"/>
      <c r="DWA381" s="252"/>
      <c r="DWB381" s="252"/>
      <c r="DWC381" s="252"/>
      <c r="DWD381" s="252"/>
      <c r="DWE381" s="252"/>
      <c r="DWF381" s="252"/>
      <c r="DWG381" s="252"/>
      <c r="DWH381" s="252"/>
      <c r="DWI381" s="252"/>
      <c r="DWJ381" s="252"/>
      <c r="DWK381" s="252"/>
      <c r="DWL381" s="252"/>
      <c r="DWM381" s="252"/>
      <c r="DWN381" s="252"/>
      <c r="DWO381" s="252"/>
      <c r="DWP381" s="252"/>
      <c r="DWQ381" s="252"/>
      <c r="DWR381" s="252"/>
      <c r="DWS381" s="252"/>
      <c r="DWT381" s="252"/>
      <c r="DWU381" s="252"/>
      <c r="DWV381" s="252"/>
      <c r="DWW381" s="252"/>
      <c r="DWX381" s="252"/>
      <c r="DWY381" s="252"/>
      <c r="DWZ381" s="252"/>
      <c r="DXA381" s="252"/>
      <c r="DXB381" s="252"/>
      <c r="DXC381" s="252"/>
      <c r="DXD381" s="252"/>
      <c r="DXE381" s="252"/>
      <c r="DXF381" s="252"/>
      <c r="DXG381" s="252"/>
      <c r="DXH381" s="252"/>
      <c r="DXI381" s="252"/>
      <c r="DXJ381" s="252"/>
      <c r="DXK381" s="252"/>
      <c r="DXL381" s="252"/>
      <c r="DXM381" s="252"/>
      <c r="DXN381" s="252"/>
      <c r="DXO381" s="252"/>
      <c r="DXP381" s="252"/>
      <c r="DXQ381" s="252"/>
      <c r="DXR381" s="252"/>
      <c r="DXS381" s="252"/>
      <c r="DXT381" s="252"/>
      <c r="DXU381" s="252"/>
      <c r="DXV381" s="252"/>
      <c r="DXW381" s="252"/>
      <c r="DXX381" s="252"/>
      <c r="DXY381" s="252"/>
      <c r="DXZ381" s="252"/>
      <c r="DYA381" s="252"/>
      <c r="DYB381" s="252"/>
      <c r="DYC381" s="252"/>
      <c r="DYD381" s="252"/>
      <c r="DYE381" s="252"/>
      <c r="DYF381" s="252"/>
      <c r="DYG381" s="252"/>
      <c r="DYH381" s="252"/>
      <c r="DYI381" s="252"/>
      <c r="DYJ381" s="252"/>
      <c r="DYK381" s="252"/>
      <c r="DYL381" s="252"/>
      <c r="DYM381" s="252"/>
      <c r="DYN381" s="252"/>
      <c r="DYO381" s="252"/>
      <c r="DYP381" s="252"/>
      <c r="DYQ381" s="252"/>
      <c r="DYR381" s="252"/>
      <c r="DYS381" s="252"/>
      <c r="DYT381" s="252"/>
      <c r="DYU381" s="252"/>
      <c r="DYV381" s="252"/>
      <c r="DYW381" s="252"/>
      <c r="DYX381" s="252"/>
      <c r="DYY381" s="252"/>
      <c r="DYZ381" s="252"/>
      <c r="DZA381" s="252"/>
      <c r="DZB381" s="252"/>
      <c r="DZC381" s="252"/>
      <c r="DZD381" s="252"/>
      <c r="DZE381" s="252"/>
      <c r="DZF381" s="252"/>
      <c r="DZG381" s="252"/>
      <c r="DZH381" s="252"/>
      <c r="DZI381" s="252"/>
      <c r="DZJ381" s="252"/>
      <c r="DZK381" s="252"/>
      <c r="DZL381" s="252"/>
      <c r="DZM381" s="252"/>
      <c r="DZN381" s="252"/>
      <c r="DZO381" s="252"/>
      <c r="DZP381" s="252"/>
      <c r="DZQ381" s="252"/>
      <c r="DZR381" s="252"/>
      <c r="DZS381" s="252"/>
      <c r="DZT381" s="252"/>
      <c r="DZU381" s="252"/>
      <c r="DZV381" s="252"/>
      <c r="DZW381" s="252"/>
      <c r="DZX381" s="252"/>
      <c r="DZY381" s="252"/>
      <c r="DZZ381" s="252"/>
      <c r="EAA381" s="252"/>
      <c r="EAB381" s="252"/>
      <c r="EAC381" s="252"/>
      <c r="EAD381" s="252"/>
      <c r="EAE381" s="252"/>
      <c r="EAF381" s="252"/>
      <c r="EAG381" s="252"/>
      <c r="EAH381" s="252"/>
      <c r="EAI381" s="252"/>
      <c r="EAJ381" s="252"/>
      <c r="EAK381" s="252"/>
      <c r="EAL381" s="252"/>
      <c r="EAM381" s="252"/>
      <c r="EAN381" s="252"/>
      <c r="EAO381" s="252"/>
      <c r="EAP381" s="252"/>
      <c r="EAQ381" s="252"/>
      <c r="EAR381" s="252"/>
      <c r="EAS381" s="252"/>
      <c r="EAT381" s="252"/>
      <c r="EAU381" s="252"/>
      <c r="EAV381" s="252"/>
      <c r="EAW381" s="252"/>
      <c r="EAX381" s="252"/>
      <c r="EAY381" s="252"/>
      <c r="EAZ381" s="252"/>
      <c r="EBA381" s="252"/>
      <c r="EBB381" s="252"/>
      <c r="EBC381" s="252"/>
      <c r="EBD381" s="252"/>
      <c r="EBE381" s="252"/>
      <c r="EBF381" s="252"/>
      <c r="EBG381" s="252"/>
      <c r="EBH381" s="252"/>
      <c r="EBI381" s="252"/>
      <c r="EBJ381" s="252"/>
      <c r="EBK381" s="252"/>
      <c r="EBL381" s="252"/>
      <c r="EBM381" s="252"/>
      <c r="EBN381" s="252"/>
      <c r="EBO381" s="252"/>
      <c r="EBP381" s="252"/>
      <c r="EBQ381" s="252"/>
      <c r="EBR381" s="252"/>
      <c r="EBS381" s="252"/>
      <c r="EBT381" s="252"/>
      <c r="EBU381" s="252"/>
      <c r="EBV381" s="252"/>
      <c r="EBW381" s="252"/>
      <c r="EBX381" s="252"/>
      <c r="EBY381" s="252"/>
      <c r="EBZ381" s="252"/>
      <c r="ECA381" s="252"/>
      <c r="ECB381" s="252"/>
      <c r="ECC381" s="252"/>
      <c r="ECD381" s="252"/>
      <c r="ECE381" s="252"/>
      <c r="ECF381" s="252"/>
      <c r="ECG381" s="252"/>
      <c r="ECH381" s="252"/>
      <c r="ECI381" s="252"/>
      <c r="ECJ381" s="252"/>
      <c r="ECK381" s="252"/>
      <c r="ECL381" s="252"/>
      <c r="ECM381" s="252"/>
      <c r="ECN381" s="252"/>
      <c r="ECO381" s="252"/>
      <c r="ECP381" s="252"/>
      <c r="ECQ381" s="252"/>
      <c r="ECR381" s="252"/>
      <c r="ECS381" s="252"/>
      <c r="ECT381" s="252"/>
      <c r="ECU381" s="252"/>
      <c r="ECV381" s="252"/>
      <c r="ECW381" s="252"/>
      <c r="ECX381" s="252"/>
      <c r="ECY381" s="252"/>
      <c r="ECZ381" s="252"/>
      <c r="EDA381" s="252"/>
      <c r="EDB381" s="252"/>
      <c r="EDC381" s="252"/>
      <c r="EDD381" s="252"/>
      <c r="EDE381" s="252"/>
      <c r="EDF381" s="252"/>
      <c r="EDG381" s="252"/>
      <c r="EDH381" s="252"/>
      <c r="EDI381" s="252"/>
      <c r="EDJ381" s="252"/>
      <c r="EDK381" s="252"/>
      <c r="EDL381" s="252"/>
      <c r="EDM381" s="252"/>
      <c r="EDN381" s="252"/>
      <c r="EDO381" s="252"/>
      <c r="EDP381" s="252"/>
      <c r="EDQ381" s="252"/>
      <c r="EDR381" s="252"/>
      <c r="EDS381" s="252"/>
      <c r="EDT381" s="252"/>
      <c r="EDU381" s="252"/>
      <c r="EDV381" s="252"/>
      <c r="EDW381" s="252"/>
      <c r="EDX381" s="252"/>
      <c r="EDY381" s="252"/>
      <c r="EDZ381" s="252"/>
      <c r="EEA381" s="252"/>
      <c r="EEB381" s="252"/>
      <c r="EEC381" s="252"/>
      <c r="EED381" s="252"/>
      <c r="EEE381" s="252"/>
      <c r="EEF381" s="252"/>
      <c r="EEG381" s="252"/>
      <c r="EEH381" s="252"/>
      <c r="EEI381" s="252"/>
      <c r="EEJ381" s="252"/>
      <c r="EEK381" s="252"/>
      <c r="EEL381" s="252"/>
      <c r="EEM381" s="252"/>
      <c r="EEN381" s="252"/>
      <c r="EEO381" s="252"/>
      <c r="EEP381" s="252"/>
      <c r="EEQ381" s="252"/>
      <c r="EER381" s="252"/>
      <c r="EES381" s="252"/>
      <c r="EET381" s="252"/>
      <c r="EEU381" s="252"/>
      <c r="EEV381" s="252"/>
      <c r="EEW381" s="252"/>
      <c r="EEX381" s="252"/>
      <c r="EEY381" s="252"/>
      <c r="EEZ381" s="252"/>
      <c r="EFA381" s="252"/>
      <c r="EFB381" s="252"/>
      <c r="EFC381" s="252"/>
      <c r="EFD381" s="252"/>
      <c r="EFE381" s="252"/>
      <c r="EFF381" s="252"/>
      <c r="EFG381" s="252"/>
      <c r="EFH381" s="252"/>
      <c r="EFI381" s="252"/>
      <c r="EFJ381" s="252"/>
      <c r="EFK381" s="252"/>
      <c r="EFL381" s="252"/>
      <c r="EFM381" s="252"/>
      <c r="EFN381" s="252"/>
      <c r="EFO381" s="252"/>
      <c r="EFP381" s="252"/>
      <c r="EFQ381" s="252"/>
      <c r="EFR381" s="252"/>
      <c r="EFS381" s="252"/>
      <c r="EFT381" s="252"/>
      <c r="EFU381" s="252"/>
      <c r="EFV381" s="252"/>
      <c r="EFW381" s="252"/>
      <c r="EFX381" s="252"/>
      <c r="EFY381" s="252"/>
      <c r="EFZ381" s="252"/>
      <c r="EGA381" s="252"/>
      <c r="EGB381" s="252"/>
      <c r="EGC381" s="252"/>
      <c r="EGD381" s="252"/>
      <c r="EGE381" s="252"/>
      <c r="EGF381" s="252"/>
      <c r="EGG381" s="252"/>
      <c r="EGH381" s="252"/>
      <c r="EGI381" s="252"/>
      <c r="EGJ381" s="252"/>
      <c r="EGK381" s="252"/>
      <c r="EGL381" s="252"/>
      <c r="EGM381" s="252"/>
      <c r="EGN381" s="252"/>
      <c r="EGO381" s="252"/>
      <c r="EGP381" s="252"/>
      <c r="EGQ381" s="252"/>
      <c r="EGR381" s="252"/>
      <c r="EGS381" s="252"/>
      <c r="EGT381" s="252"/>
      <c r="EGU381" s="252"/>
      <c r="EGV381" s="252"/>
      <c r="EGW381" s="252"/>
      <c r="EGX381" s="252"/>
      <c r="EGY381" s="252"/>
      <c r="EGZ381" s="252"/>
      <c r="EHA381" s="252"/>
      <c r="EHB381" s="252"/>
      <c r="EHC381" s="252"/>
      <c r="EHD381" s="252"/>
      <c r="EHE381" s="252"/>
      <c r="EHF381" s="252"/>
      <c r="EHG381" s="252"/>
      <c r="EHH381" s="252"/>
      <c r="EHI381" s="252"/>
      <c r="EHJ381" s="252"/>
      <c r="EHK381" s="252"/>
      <c r="EHL381" s="252"/>
      <c r="EHM381" s="252"/>
      <c r="EHN381" s="252"/>
      <c r="EHO381" s="252"/>
      <c r="EHP381" s="252"/>
      <c r="EHQ381" s="252"/>
      <c r="EHR381" s="252"/>
      <c r="EHS381" s="252"/>
      <c r="EHT381" s="252"/>
      <c r="EHU381" s="252"/>
      <c r="EHV381" s="252"/>
      <c r="EHW381" s="252"/>
      <c r="EHX381" s="252"/>
      <c r="EHY381" s="252"/>
      <c r="EHZ381" s="252"/>
      <c r="EIA381" s="252"/>
      <c r="EIB381" s="252"/>
      <c r="EIC381" s="252"/>
      <c r="EID381" s="252"/>
      <c r="EIE381" s="252"/>
      <c r="EIF381" s="252"/>
      <c r="EIG381" s="252"/>
      <c r="EIH381" s="252"/>
      <c r="EII381" s="252"/>
      <c r="EIJ381" s="252"/>
      <c r="EIK381" s="252"/>
      <c r="EIL381" s="252"/>
      <c r="EIM381" s="252"/>
      <c r="EIN381" s="252"/>
      <c r="EIO381" s="252"/>
      <c r="EIP381" s="252"/>
      <c r="EIQ381" s="252"/>
      <c r="EIR381" s="252"/>
      <c r="EIS381" s="252"/>
      <c r="EIT381" s="252"/>
      <c r="EIU381" s="252"/>
      <c r="EIV381" s="252"/>
      <c r="EIW381" s="252"/>
      <c r="EIX381" s="252"/>
      <c r="EIY381" s="252"/>
      <c r="EIZ381" s="252"/>
      <c r="EJA381" s="252"/>
      <c r="EJB381" s="252"/>
      <c r="EJC381" s="252"/>
      <c r="EJD381" s="252"/>
      <c r="EJE381" s="252"/>
      <c r="EJF381" s="252"/>
      <c r="EJG381" s="252"/>
      <c r="EJH381" s="252"/>
      <c r="EJI381" s="252"/>
      <c r="EJJ381" s="252"/>
      <c r="EJK381" s="252"/>
      <c r="EJL381" s="252"/>
      <c r="EJM381" s="252"/>
      <c r="EJN381" s="252"/>
      <c r="EJO381" s="252"/>
      <c r="EJP381" s="252"/>
      <c r="EJQ381" s="252"/>
      <c r="EJR381" s="252"/>
      <c r="EJS381" s="252"/>
      <c r="EJT381" s="252"/>
      <c r="EJU381" s="252"/>
      <c r="EJV381" s="252"/>
      <c r="EJW381" s="252"/>
      <c r="EJX381" s="252"/>
      <c r="EJY381" s="252"/>
      <c r="EJZ381" s="252"/>
      <c r="EKA381" s="252"/>
      <c r="EKB381" s="252"/>
      <c r="EKC381" s="252"/>
      <c r="EKD381" s="252"/>
      <c r="EKE381" s="252"/>
      <c r="EKF381" s="252"/>
      <c r="EKG381" s="252"/>
      <c r="EKH381" s="252"/>
      <c r="EKI381" s="252"/>
      <c r="EKJ381" s="252"/>
      <c r="EKK381" s="252"/>
      <c r="EKL381" s="252"/>
      <c r="EKM381" s="252"/>
      <c r="EKN381" s="252"/>
      <c r="EKO381" s="252"/>
      <c r="EKP381" s="252"/>
      <c r="EKQ381" s="252"/>
      <c r="EKR381" s="252"/>
      <c r="EKS381" s="252"/>
      <c r="EKT381" s="252"/>
      <c r="EKU381" s="252"/>
      <c r="EKV381" s="252"/>
      <c r="EKW381" s="252"/>
      <c r="EKX381" s="252"/>
      <c r="EKY381" s="252"/>
      <c r="EKZ381" s="252"/>
      <c r="ELA381" s="252"/>
      <c r="ELB381" s="252"/>
      <c r="ELC381" s="252"/>
      <c r="ELD381" s="252"/>
      <c r="ELE381" s="252"/>
      <c r="ELF381" s="252"/>
      <c r="ELG381" s="252"/>
      <c r="ELH381" s="252"/>
      <c r="ELI381" s="252"/>
      <c r="ELJ381" s="252"/>
      <c r="ELK381" s="252"/>
      <c r="ELL381" s="252"/>
      <c r="ELM381" s="252"/>
      <c r="ELN381" s="252"/>
      <c r="ELO381" s="252"/>
      <c r="ELP381" s="252"/>
      <c r="ELQ381" s="252"/>
      <c r="ELR381" s="252"/>
      <c r="ELS381" s="252"/>
      <c r="ELT381" s="252"/>
      <c r="ELU381" s="252"/>
      <c r="ELV381" s="252"/>
      <c r="ELW381" s="252"/>
      <c r="ELX381" s="252"/>
      <c r="ELY381" s="252"/>
      <c r="ELZ381" s="252"/>
      <c r="EMA381" s="252"/>
      <c r="EMB381" s="252"/>
      <c r="EMC381" s="252"/>
      <c r="EMD381" s="252"/>
      <c r="EME381" s="252"/>
      <c r="EMF381" s="252"/>
      <c r="EMG381" s="252"/>
      <c r="EMH381" s="252"/>
      <c r="EMI381" s="252"/>
      <c r="EMJ381" s="252"/>
      <c r="EMK381" s="252"/>
      <c r="EML381" s="252"/>
      <c r="EMM381" s="252"/>
      <c r="EMN381" s="252"/>
      <c r="EMO381" s="252"/>
      <c r="EMP381" s="252"/>
      <c r="EMQ381" s="252"/>
      <c r="EMR381" s="252"/>
      <c r="EMS381" s="252"/>
      <c r="EMT381" s="252"/>
      <c r="EMU381" s="252"/>
      <c r="EMV381" s="252"/>
      <c r="EMW381" s="252"/>
      <c r="EMX381" s="252"/>
      <c r="EMY381" s="252"/>
      <c r="EMZ381" s="252"/>
      <c r="ENA381" s="252"/>
      <c r="ENB381" s="252"/>
      <c r="ENC381" s="252"/>
      <c r="END381" s="252"/>
      <c r="ENE381" s="252"/>
      <c r="ENF381" s="252"/>
      <c r="ENG381" s="252"/>
      <c r="ENH381" s="252"/>
      <c r="ENI381" s="252"/>
      <c r="ENJ381" s="252"/>
      <c r="ENK381" s="252"/>
      <c r="ENL381" s="252"/>
      <c r="ENM381" s="252"/>
      <c r="ENN381" s="252"/>
      <c r="ENO381" s="252"/>
      <c r="ENP381" s="252"/>
      <c r="ENQ381" s="252"/>
      <c r="ENR381" s="252"/>
      <c r="ENS381" s="252"/>
      <c r="ENT381" s="252"/>
      <c r="ENU381" s="252"/>
      <c r="ENV381" s="252"/>
      <c r="ENW381" s="252"/>
      <c r="ENX381" s="252"/>
      <c r="ENY381" s="252"/>
      <c r="ENZ381" s="252"/>
      <c r="EOA381" s="252"/>
      <c r="EOB381" s="252"/>
      <c r="EOC381" s="252"/>
      <c r="EOD381" s="252"/>
      <c r="EOE381" s="252"/>
      <c r="EOF381" s="252"/>
      <c r="EOG381" s="252"/>
      <c r="EOH381" s="252"/>
      <c r="EOI381" s="252"/>
      <c r="EOJ381" s="252"/>
      <c r="EOK381" s="252"/>
      <c r="EOL381" s="252"/>
      <c r="EOM381" s="252"/>
      <c r="EON381" s="252"/>
      <c r="EOO381" s="252"/>
      <c r="EOP381" s="252"/>
      <c r="EOQ381" s="252"/>
      <c r="EOR381" s="252"/>
      <c r="EOS381" s="252"/>
      <c r="EOT381" s="252"/>
      <c r="EOU381" s="252"/>
      <c r="EOV381" s="252"/>
      <c r="EOW381" s="252"/>
      <c r="EOX381" s="252"/>
      <c r="EOY381" s="252"/>
      <c r="EOZ381" s="252"/>
      <c r="EPA381" s="252"/>
      <c r="EPB381" s="252"/>
      <c r="EPC381" s="252"/>
      <c r="EPD381" s="252"/>
      <c r="EPE381" s="252"/>
      <c r="EPF381" s="252"/>
      <c r="EPG381" s="252"/>
      <c r="EPH381" s="252"/>
      <c r="EPI381" s="252"/>
      <c r="EPJ381" s="252"/>
      <c r="EPK381" s="252"/>
      <c r="EPL381" s="252"/>
      <c r="EPM381" s="252"/>
      <c r="EPN381" s="252"/>
      <c r="EPO381" s="252"/>
      <c r="EPP381" s="252"/>
      <c r="EPQ381" s="252"/>
      <c r="EPR381" s="252"/>
      <c r="EPS381" s="252"/>
      <c r="EPT381" s="252"/>
      <c r="EPU381" s="252"/>
      <c r="EPV381" s="252"/>
      <c r="EPW381" s="252"/>
      <c r="EPX381" s="252"/>
      <c r="EPY381" s="252"/>
      <c r="EPZ381" s="252"/>
      <c r="EQA381" s="252"/>
      <c r="EQB381" s="252"/>
      <c r="EQC381" s="252"/>
      <c r="EQD381" s="252"/>
      <c r="EQE381" s="252"/>
      <c r="EQF381" s="252"/>
      <c r="EQG381" s="252"/>
      <c r="EQH381" s="252"/>
      <c r="EQI381" s="252"/>
      <c r="EQJ381" s="252"/>
      <c r="EQK381" s="252"/>
      <c r="EQL381" s="252"/>
      <c r="EQM381" s="252"/>
      <c r="EQN381" s="252"/>
      <c r="EQO381" s="252"/>
      <c r="EQP381" s="252"/>
      <c r="EQQ381" s="252"/>
      <c r="EQR381" s="252"/>
      <c r="EQS381" s="252"/>
      <c r="EQT381" s="252"/>
      <c r="EQU381" s="252"/>
      <c r="EQV381" s="252"/>
      <c r="EQW381" s="252"/>
      <c r="EQX381" s="252"/>
      <c r="EQY381" s="252"/>
      <c r="EQZ381" s="252"/>
      <c r="ERA381" s="252"/>
      <c r="ERB381" s="252"/>
      <c r="ERC381" s="252"/>
      <c r="ERD381" s="252"/>
      <c r="ERE381" s="252"/>
      <c r="ERF381" s="252"/>
      <c r="ERG381" s="252"/>
      <c r="ERH381" s="252"/>
      <c r="ERI381" s="252"/>
      <c r="ERJ381" s="252"/>
      <c r="ERK381" s="252"/>
      <c r="ERL381" s="252"/>
      <c r="ERM381" s="252"/>
      <c r="ERN381" s="252"/>
      <c r="ERO381" s="252"/>
      <c r="ERP381" s="252"/>
      <c r="ERQ381" s="252"/>
      <c r="ERR381" s="252"/>
      <c r="ERS381" s="252"/>
      <c r="ERT381" s="252"/>
      <c r="ERU381" s="252"/>
      <c r="ERV381" s="252"/>
      <c r="ERW381" s="252"/>
      <c r="ERX381" s="252"/>
      <c r="ERY381" s="252"/>
      <c r="ERZ381" s="252"/>
      <c r="ESA381" s="252"/>
      <c r="ESB381" s="252"/>
      <c r="ESC381" s="252"/>
      <c r="ESD381" s="252"/>
      <c r="ESE381" s="252"/>
      <c r="ESF381" s="252"/>
      <c r="ESG381" s="252"/>
      <c r="ESH381" s="252"/>
      <c r="ESI381" s="252"/>
      <c r="ESJ381" s="252"/>
      <c r="ESK381" s="252"/>
      <c r="ESL381" s="252"/>
      <c r="ESM381" s="252"/>
      <c r="ESN381" s="252"/>
      <c r="ESO381" s="252"/>
      <c r="ESP381" s="252"/>
      <c r="ESQ381" s="252"/>
      <c r="ESR381" s="252"/>
      <c r="ESS381" s="252"/>
      <c r="EST381" s="252"/>
      <c r="ESU381" s="252"/>
      <c r="ESV381" s="252"/>
      <c r="ESW381" s="252"/>
      <c r="ESX381" s="252"/>
      <c r="ESY381" s="252"/>
      <c r="ESZ381" s="252"/>
      <c r="ETA381" s="252"/>
      <c r="ETB381" s="252"/>
      <c r="ETC381" s="252"/>
      <c r="ETD381" s="252"/>
      <c r="ETE381" s="252"/>
      <c r="ETF381" s="252"/>
      <c r="ETG381" s="252"/>
      <c r="ETH381" s="252"/>
      <c r="ETI381" s="252"/>
      <c r="ETJ381" s="252"/>
      <c r="ETK381" s="252"/>
      <c r="ETL381" s="252"/>
      <c r="ETM381" s="252"/>
      <c r="ETN381" s="252"/>
      <c r="ETO381" s="252"/>
      <c r="ETP381" s="252"/>
      <c r="ETQ381" s="252"/>
      <c r="ETR381" s="252"/>
      <c r="ETS381" s="252"/>
      <c r="ETT381" s="252"/>
      <c r="ETU381" s="252"/>
      <c r="ETV381" s="252"/>
      <c r="ETW381" s="252"/>
      <c r="ETX381" s="252"/>
      <c r="ETY381" s="252"/>
      <c r="ETZ381" s="252"/>
      <c r="EUA381" s="252"/>
      <c r="EUB381" s="252"/>
      <c r="EUC381" s="252"/>
      <c r="EUD381" s="252"/>
      <c r="EUE381" s="252"/>
      <c r="EUF381" s="252"/>
      <c r="EUG381" s="252"/>
      <c r="EUH381" s="252"/>
      <c r="EUI381" s="252"/>
      <c r="EUJ381" s="252"/>
      <c r="EUK381" s="252"/>
      <c r="EUL381" s="252"/>
      <c r="EUM381" s="252"/>
      <c r="EUN381" s="252"/>
      <c r="EUO381" s="252"/>
      <c r="EUP381" s="252"/>
      <c r="EUQ381" s="252"/>
      <c r="EUR381" s="252"/>
      <c r="EUS381" s="252"/>
      <c r="EUT381" s="252"/>
      <c r="EUU381" s="252"/>
      <c r="EUV381" s="252"/>
      <c r="EUW381" s="252"/>
      <c r="EUX381" s="252"/>
      <c r="EUY381" s="252"/>
      <c r="EUZ381" s="252"/>
      <c r="EVA381" s="252"/>
      <c r="EVB381" s="252"/>
      <c r="EVC381" s="252"/>
      <c r="EVD381" s="252"/>
      <c r="EVE381" s="252"/>
      <c r="EVF381" s="252"/>
      <c r="EVG381" s="252"/>
      <c r="EVH381" s="252"/>
      <c r="EVI381" s="252"/>
      <c r="EVJ381" s="252"/>
      <c r="EVK381" s="252"/>
      <c r="EVL381" s="252"/>
      <c r="EVM381" s="252"/>
      <c r="EVN381" s="252"/>
      <c r="EVO381" s="252"/>
      <c r="EVP381" s="252"/>
      <c r="EVQ381" s="252"/>
      <c r="EVR381" s="252"/>
      <c r="EVS381" s="252"/>
      <c r="EVT381" s="252"/>
      <c r="EVU381" s="252"/>
      <c r="EVV381" s="252"/>
      <c r="EVW381" s="252"/>
      <c r="EVX381" s="252"/>
      <c r="EVY381" s="252"/>
      <c r="EVZ381" s="252"/>
      <c r="EWA381" s="252"/>
      <c r="EWB381" s="252"/>
      <c r="EWC381" s="252"/>
      <c r="EWD381" s="252"/>
      <c r="EWE381" s="252"/>
      <c r="EWF381" s="252"/>
      <c r="EWG381" s="252"/>
      <c r="EWH381" s="252"/>
      <c r="EWI381" s="252"/>
      <c r="EWJ381" s="252"/>
      <c r="EWK381" s="252"/>
      <c r="EWL381" s="252"/>
      <c r="EWM381" s="252"/>
      <c r="EWN381" s="252"/>
      <c r="EWO381" s="252"/>
      <c r="EWP381" s="252"/>
      <c r="EWQ381" s="252"/>
      <c r="EWR381" s="252"/>
      <c r="EWS381" s="252"/>
      <c r="EWT381" s="252"/>
      <c r="EWU381" s="252"/>
      <c r="EWV381" s="252"/>
      <c r="EWW381" s="252"/>
      <c r="EWX381" s="252"/>
      <c r="EWY381" s="252"/>
      <c r="EWZ381" s="252"/>
      <c r="EXA381" s="252"/>
      <c r="EXB381" s="252"/>
      <c r="EXC381" s="252"/>
      <c r="EXD381" s="252"/>
      <c r="EXE381" s="252"/>
      <c r="EXF381" s="252"/>
      <c r="EXG381" s="252"/>
      <c r="EXH381" s="252"/>
      <c r="EXI381" s="252"/>
      <c r="EXJ381" s="252"/>
      <c r="EXK381" s="252"/>
      <c r="EXL381" s="252"/>
      <c r="EXM381" s="252"/>
      <c r="EXN381" s="252"/>
      <c r="EXO381" s="252"/>
      <c r="EXP381" s="252"/>
      <c r="EXQ381" s="252"/>
      <c r="EXR381" s="252"/>
      <c r="EXS381" s="252"/>
      <c r="EXT381" s="252"/>
      <c r="EXU381" s="252"/>
      <c r="EXV381" s="252"/>
      <c r="EXW381" s="252"/>
      <c r="EXX381" s="252"/>
      <c r="EXY381" s="252"/>
      <c r="EXZ381" s="252"/>
      <c r="EYA381" s="252"/>
      <c r="EYB381" s="252"/>
      <c r="EYC381" s="252"/>
      <c r="EYD381" s="252"/>
      <c r="EYE381" s="252"/>
      <c r="EYF381" s="252"/>
      <c r="EYG381" s="252"/>
      <c r="EYH381" s="252"/>
      <c r="EYI381" s="252"/>
      <c r="EYJ381" s="252"/>
      <c r="EYK381" s="252"/>
      <c r="EYL381" s="252"/>
      <c r="EYM381" s="252"/>
      <c r="EYN381" s="252"/>
      <c r="EYO381" s="252"/>
      <c r="EYP381" s="252"/>
      <c r="EYQ381" s="252"/>
      <c r="EYR381" s="252"/>
      <c r="EYS381" s="252"/>
      <c r="EYT381" s="252"/>
      <c r="EYU381" s="252"/>
      <c r="EYV381" s="252"/>
      <c r="EYW381" s="252"/>
      <c r="EYX381" s="252"/>
      <c r="EYY381" s="252"/>
      <c r="EYZ381" s="252"/>
      <c r="EZA381" s="252"/>
      <c r="EZB381" s="252"/>
      <c r="EZC381" s="252"/>
      <c r="EZD381" s="252"/>
      <c r="EZE381" s="252"/>
      <c r="EZF381" s="252"/>
      <c r="EZG381" s="252"/>
      <c r="EZH381" s="252"/>
      <c r="EZI381" s="252"/>
      <c r="EZJ381" s="252"/>
      <c r="EZK381" s="252"/>
      <c r="EZL381" s="252"/>
      <c r="EZM381" s="252"/>
      <c r="EZN381" s="252"/>
      <c r="EZO381" s="252"/>
      <c r="EZP381" s="252"/>
      <c r="EZQ381" s="252"/>
      <c r="EZR381" s="252"/>
      <c r="EZS381" s="252"/>
      <c r="EZT381" s="252"/>
      <c r="EZU381" s="252"/>
      <c r="EZV381" s="252"/>
      <c r="EZW381" s="252"/>
      <c r="EZX381" s="252"/>
      <c r="EZY381" s="252"/>
      <c r="EZZ381" s="252"/>
      <c r="FAA381" s="252"/>
      <c r="FAB381" s="252"/>
      <c r="FAC381" s="252"/>
      <c r="FAD381" s="252"/>
      <c r="FAE381" s="252"/>
      <c r="FAF381" s="252"/>
      <c r="FAG381" s="252"/>
      <c r="FAH381" s="252"/>
      <c r="FAI381" s="252"/>
      <c r="FAJ381" s="252"/>
      <c r="FAK381" s="252"/>
      <c r="FAL381" s="252"/>
      <c r="FAM381" s="252"/>
      <c r="FAN381" s="252"/>
      <c r="FAO381" s="252"/>
      <c r="FAP381" s="252"/>
      <c r="FAQ381" s="252"/>
      <c r="FAR381" s="252"/>
      <c r="FAS381" s="252"/>
      <c r="FAT381" s="252"/>
      <c r="FAU381" s="252"/>
      <c r="FAV381" s="252"/>
      <c r="FAW381" s="252"/>
      <c r="FAX381" s="252"/>
      <c r="FAY381" s="252"/>
      <c r="FAZ381" s="252"/>
      <c r="FBA381" s="252"/>
      <c r="FBB381" s="252"/>
      <c r="FBC381" s="252"/>
      <c r="FBD381" s="252"/>
      <c r="FBE381" s="252"/>
      <c r="FBF381" s="252"/>
      <c r="FBG381" s="252"/>
      <c r="FBH381" s="252"/>
      <c r="FBI381" s="252"/>
      <c r="FBJ381" s="252"/>
      <c r="FBK381" s="252"/>
      <c r="FBL381" s="252"/>
      <c r="FBM381" s="252"/>
      <c r="FBN381" s="252"/>
      <c r="FBO381" s="252"/>
      <c r="FBP381" s="252"/>
      <c r="FBQ381" s="252"/>
      <c r="FBR381" s="252"/>
      <c r="FBS381" s="252"/>
      <c r="FBT381" s="252"/>
      <c r="FBU381" s="252"/>
      <c r="FBV381" s="252"/>
      <c r="FBW381" s="252"/>
      <c r="FBX381" s="252"/>
      <c r="FBY381" s="252"/>
      <c r="FBZ381" s="252"/>
      <c r="FCA381" s="252"/>
      <c r="FCB381" s="252"/>
      <c r="FCC381" s="252"/>
      <c r="FCD381" s="252"/>
      <c r="FCE381" s="252"/>
      <c r="FCF381" s="252"/>
      <c r="FCG381" s="252"/>
      <c r="FCH381" s="252"/>
      <c r="FCI381" s="252"/>
      <c r="FCJ381" s="252"/>
      <c r="FCK381" s="252"/>
      <c r="FCL381" s="252"/>
      <c r="FCM381" s="252"/>
      <c r="FCN381" s="252"/>
      <c r="FCO381" s="252"/>
      <c r="FCP381" s="252"/>
      <c r="FCQ381" s="252"/>
      <c r="FCR381" s="252"/>
      <c r="FCS381" s="252"/>
      <c r="FCT381" s="252"/>
      <c r="FCU381" s="252"/>
      <c r="FCV381" s="252"/>
      <c r="FCW381" s="252"/>
      <c r="FCX381" s="252"/>
      <c r="FCY381" s="252"/>
      <c r="FCZ381" s="252"/>
      <c r="FDA381" s="252"/>
      <c r="FDB381" s="252"/>
      <c r="FDC381" s="252"/>
      <c r="FDD381" s="252"/>
      <c r="FDE381" s="252"/>
      <c r="FDF381" s="252"/>
      <c r="FDG381" s="252"/>
      <c r="FDH381" s="252"/>
      <c r="FDI381" s="252"/>
      <c r="FDJ381" s="252"/>
      <c r="FDK381" s="252"/>
      <c r="FDL381" s="252"/>
      <c r="FDM381" s="252"/>
      <c r="FDN381" s="252"/>
      <c r="FDO381" s="252"/>
      <c r="FDP381" s="252"/>
      <c r="FDQ381" s="252"/>
      <c r="FDR381" s="252"/>
      <c r="FDS381" s="252"/>
      <c r="FDT381" s="252"/>
      <c r="FDU381" s="252"/>
      <c r="FDV381" s="252"/>
      <c r="FDW381" s="252"/>
      <c r="FDX381" s="252"/>
      <c r="FDY381" s="252"/>
      <c r="FDZ381" s="252"/>
      <c r="FEA381" s="252"/>
      <c r="FEB381" s="252"/>
      <c r="FEC381" s="252"/>
      <c r="FED381" s="252"/>
      <c r="FEE381" s="252"/>
      <c r="FEF381" s="252"/>
      <c r="FEG381" s="252"/>
      <c r="FEH381" s="252"/>
      <c r="FEI381" s="252"/>
      <c r="FEJ381" s="252"/>
      <c r="FEK381" s="252"/>
      <c r="FEL381" s="252"/>
      <c r="FEM381" s="252"/>
      <c r="FEN381" s="252"/>
      <c r="FEO381" s="252"/>
      <c r="FEP381" s="252"/>
      <c r="FEQ381" s="252"/>
      <c r="FER381" s="252"/>
      <c r="FES381" s="252"/>
      <c r="FET381" s="252"/>
      <c r="FEU381" s="252"/>
      <c r="FEV381" s="252"/>
      <c r="FEW381" s="252"/>
      <c r="FEX381" s="252"/>
      <c r="FEY381" s="252"/>
      <c r="FEZ381" s="252"/>
      <c r="FFA381" s="252"/>
      <c r="FFB381" s="252"/>
      <c r="FFC381" s="252"/>
      <c r="FFD381" s="252"/>
      <c r="FFE381" s="252"/>
      <c r="FFF381" s="252"/>
      <c r="FFG381" s="252"/>
      <c r="FFH381" s="252"/>
      <c r="FFI381" s="252"/>
      <c r="FFJ381" s="252"/>
      <c r="FFK381" s="252"/>
      <c r="FFL381" s="252"/>
      <c r="FFM381" s="252"/>
      <c r="FFN381" s="252"/>
      <c r="FFO381" s="252"/>
      <c r="FFP381" s="252"/>
      <c r="FFQ381" s="252"/>
      <c r="FFR381" s="252"/>
      <c r="FFS381" s="252"/>
      <c r="FFT381" s="252"/>
      <c r="FFU381" s="252"/>
      <c r="FFV381" s="252"/>
      <c r="FFW381" s="252"/>
      <c r="FFX381" s="252"/>
      <c r="FFY381" s="252"/>
      <c r="FFZ381" s="252"/>
      <c r="FGA381" s="252"/>
      <c r="FGB381" s="252"/>
      <c r="FGC381" s="252"/>
      <c r="FGD381" s="252"/>
      <c r="FGE381" s="252"/>
      <c r="FGF381" s="252"/>
      <c r="FGG381" s="252"/>
      <c r="FGH381" s="252"/>
      <c r="FGI381" s="252"/>
      <c r="FGJ381" s="252"/>
      <c r="FGK381" s="252"/>
      <c r="FGL381" s="252"/>
      <c r="FGM381" s="252"/>
      <c r="FGN381" s="252"/>
      <c r="FGO381" s="252"/>
      <c r="FGP381" s="252"/>
      <c r="FGQ381" s="252"/>
      <c r="FGR381" s="252"/>
      <c r="FGS381" s="252"/>
      <c r="FGT381" s="252"/>
      <c r="FGU381" s="252"/>
      <c r="FGV381" s="252"/>
      <c r="FGW381" s="252"/>
      <c r="FGX381" s="252"/>
      <c r="FGY381" s="252"/>
      <c r="FGZ381" s="252"/>
      <c r="FHA381" s="252"/>
      <c r="FHB381" s="252"/>
      <c r="FHC381" s="252"/>
      <c r="FHD381" s="252"/>
      <c r="FHE381" s="252"/>
      <c r="FHF381" s="252"/>
      <c r="FHG381" s="252"/>
      <c r="FHH381" s="252"/>
      <c r="FHI381" s="252"/>
      <c r="FHJ381" s="252"/>
      <c r="FHK381" s="252"/>
      <c r="FHL381" s="252"/>
      <c r="FHM381" s="252"/>
      <c r="FHN381" s="252"/>
      <c r="FHO381" s="252"/>
      <c r="FHP381" s="252"/>
      <c r="FHQ381" s="252"/>
      <c r="FHR381" s="252"/>
      <c r="FHS381" s="252"/>
      <c r="FHT381" s="252"/>
      <c r="FHU381" s="252"/>
      <c r="FHV381" s="252"/>
      <c r="FHW381" s="252"/>
      <c r="FHX381" s="252"/>
      <c r="FHY381" s="252"/>
      <c r="FHZ381" s="252"/>
      <c r="FIA381" s="252"/>
      <c r="FIB381" s="252"/>
      <c r="FIC381" s="252"/>
      <c r="FID381" s="252"/>
      <c r="FIE381" s="252"/>
      <c r="FIF381" s="252"/>
      <c r="FIG381" s="252"/>
      <c r="FIH381" s="252"/>
      <c r="FII381" s="252"/>
      <c r="FIJ381" s="252"/>
      <c r="FIK381" s="252"/>
      <c r="FIL381" s="252"/>
      <c r="FIM381" s="252"/>
      <c r="FIN381" s="252"/>
      <c r="FIO381" s="252"/>
      <c r="FIP381" s="252"/>
      <c r="FIQ381" s="252"/>
      <c r="FIR381" s="252"/>
      <c r="FIS381" s="252"/>
      <c r="FIT381" s="252"/>
      <c r="FIU381" s="252"/>
      <c r="FIV381" s="252"/>
      <c r="FIW381" s="252"/>
      <c r="FIX381" s="252"/>
      <c r="FIY381" s="252"/>
      <c r="FIZ381" s="252"/>
      <c r="FJA381" s="252"/>
      <c r="FJB381" s="252"/>
      <c r="FJC381" s="252"/>
      <c r="FJD381" s="252"/>
      <c r="FJE381" s="252"/>
      <c r="FJF381" s="252"/>
      <c r="FJG381" s="252"/>
      <c r="FJH381" s="252"/>
      <c r="FJI381" s="252"/>
      <c r="FJJ381" s="252"/>
      <c r="FJK381" s="252"/>
      <c r="FJL381" s="252"/>
      <c r="FJM381" s="252"/>
      <c r="FJN381" s="252"/>
      <c r="FJO381" s="252"/>
      <c r="FJP381" s="252"/>
      <c r="FJQ381" s="252"/>
      <c r="FJR381" s="252"/>
      <c r="FJS381" s="252"/>
      <c r="FJT381" s="252"/>
      <c r="FJU381" s="252"/>
      <c r="FJV381" s="252"/>
      <c r="FJW381" s="252"/>
      <c r="FJX381" s="252"/>
      <c r="FJY381" s="252"/>
      <c r="FJZ381" s="252"/>
      <c r="FKA381" s="252"/>
      <c r="FKB381" s="252"/>
      <c r="FKC381" s="252"/>
      <c r="FKD381" s="252"/>
      <c r="FKE381" s="252"/>
      <c r="FKF381" s="252"/>
      <c r="FKG381" s="252"/>
      <c r="FKH381" s="252"/>
      <c r="FKI381" s="252"/>
      <c r="FKJ381" s="252"/>
      <c r="FKK381" s="252"/>
      <c r="FKL381" s="252"/>
      <c r="FKM381" s="252"/>
      <c r="FKN381" s="252"/>
      <c r="FKO381" s="252"/>
      <c r="FKP381" s="252"/>
      <c r="FKQ381" s="252"/>
      <c r="FKR381" s="252"/>
      <c r="FKS381" s="252"/>
      <c r="FKT381" s="252"/>
      <c r="FKU381" s="252"/>
      <c r="FKV381" s="252"/>
      <c r="FKW381" s="252"/>
      <c r="FKX381" s="252"/>
      <c r="FKY381" s="252"/>
      <c r="FKZ381" s="252"/>
      <c r="FLA381" s="252"/>
      <c r="FLB381" s="252"/>
      <c r="FLC381" s="252"/>
      <c r="FLD381" s="252"/>
      <c r="FLE381" s="252"/>
      <c r="FLF381" s="252"/>
      <c r="FLG381" s="252"/>
      <c r="FLH381" s="252"/>
      <c r="FLI381" s="252"/>
      <c r="FLJ381" s="252"/>
      <c r="FLK381" s="252"/>
      <c r="FLL381" s="252"/>
      <c r="FLM381" s="252"/>
      <c r="FLN381" s="252"/>
      <c r="FLO381" s="252"/>
      <c r="FLP381" s="252"/>
      <c r="FLQ381" s="252"/>
      <c r="FLR381" s="252"/>
      <c r="FLS381" s="252"/>
      <c r="FLT381" s="252"/>
      <c r="FLU381" s="252"/>
      <c r="FLV381" s="252"/>
      <c r="FLW381" s="252"/>
      <c r="FLX381" s="252"/>
      <c r="FLY381" s="252"/>
      <c r="FLZ381" s="252"/>
      <c r="FMA381" s="252"/>
      <c r="FMB381" s="252"/>
      <c r="FMC381" s="252"/>
      <c r="FMD381" s="252"/>
      <c r="FME381" s="252"/>
      <c r="FMF381" s="252"/>
      <c r="FMG381" s="252"/>
      <c r="FMH381" s="252"/>
      <c r="FMI381" s="252"/>
      <c r="FMJ381" s="252"/>
      <c r="FMK381" s="252"/>
      <c r="FML381" s="252"/>
      <c r="FMM381" s="252"/>
      <c r="FMN381" s="252"/>
      <c r="FMO381" s="252"/>
      <c r="FMP381" s="252"/>
      <c r="FMQ381" s="252"/>
      <c r="FMR381" s="252"/>
      <c r="FMS381" s="252"/>
      <c r="FMT381" s="252"/>
      <c r="FMU381" s="252"/>
      <c r="FMV381" s="252"/>
      <c r="FMW381" s="252"/>
      <c r="FMX381" s="252"/>
      <c r="FMY381" s="252"/>
      <c r="FMZ381" s="252"/>
      <c r="FNA381" s="252"/>
      <c r="FNB381" s="252"/>
      <c r="FNC381" s="252"/>
      <c r="FND381" s="252"/>
      <c r="FNE381" s="252"/>
      <c r="FNF381" s="252"/>
      <c r="FNG381" s="252"/>
      <c r="FNH381" s="252"/>
      <c r="FNI381" s="252"/>
      <c r="FNJ381" s="252"/>
      <c r="FNK381" s="252"/>
      <c r="FNL381" s="252"/>
      <c r="FNM381" s="252"/>
      <c r="FNN381" s="252"/>
      <c r="FNO381" s="252"/>
      <c r="FNP381" s="252"/>
      <c r="FNQ381" s="252"/>
      <c r="FNR381" s="252"/>
      <c r="FNS381" s="252"/>
      <c r="FNT381" s="252"/>
      <c r="FNU381" s="252"/>
      <c r="FNV381" s="252"/>
      <c r="FNW381" s="252"/>
      <c r="FNX381" s="252"/>
      <c r="FNY381" s="252"/>
      <c r="FNZ381" s="252"/>
      <c r="FOA381" s="252"/>
      <c r="FOB381" s="252"/>
      <c r="FOC381" s="252"/>
      <c r="FOD381" s="252"/>
      <c r="FOE381" s="252"/>
      <c r="FOF381" s="252"/>
      <c r="FOG381" s="252"/>
      <c r="FOH381" s="252"/>
      <c r="FOI381" s="252"/>
      <c r="FOJ381" s="252"/>
      <c r="FOK381" s="252"/>
      <c r="FOL381" s="252"/>
      <c r="FOM381" s="252"/>
      <c r="FON381" s="252"/>
      <c r="FOO381" s="252"/>
      <c r="FOP381" s="252"/>
      <c r="FOQ381" s="252"/>
      <c r="FOR381" s="252"/>
      <c r="FOS381" s="252"/>
      <c r="FOT381" s="252"/>
      <c r="FOU381" s="252"/>
      <c r="FOV381" s="252"/>
      <c r="FOW381" s="252"/>
      <c r="FOX381" s="252"/>
      <c r="FOY381" s="252"/>
      <c r="FOZ381" s="252"/>
      <c r="FPA381" s="252"/>
      <c r="FPB381" s="252"/>
      <c r="FPC381" s="252"/>
      <c r="FPD381" s="252"/>
      <c r="FPE381" s="252"/>
      <c r="FPF381" s="252"/>
      <c r="FPG381" s="252"/>
      <c r="FPH381" s="252"/>
      <c r="FPI381" s="252"/>
      <c r="FPJ381" s="252"/>
      <c r="FPK381" s="252"/>
      <c r="FPL381" s="252"/>
      <c r="FPM381" s="252"/>
      <c r="FPN381" s="252"/>
      <c r="FPO381" s="252"/>
      <c r="FPP381" s="252"/>
      <c r="FPQ381" s="252"/>
      <c r="FPR381" s="252"/>
      <c r="FPS381" s="252"/>
      <c r="FPT381" s="252"/>
      <c r="FPU381" s="252"/>
      <c r="FPV381" s="252"/>
      <c r="FPW381" s="252"/>
      <c r="FPX381" s="252"/>
      <c r="FPY381" s="252"/>
      <c r="FPZ381" s="252"/>
      <c r="FQA381" s="252"/>
      <c r="FQB381" s="252"/>
      <c r="FQC381" s="252"/>
      <c r="FQD381" s="252"/>
      <c r="FQE381" s="252"/>
      <c r="FQF381" s="252"/>
      <c r="FQG381" s="252"/>
      <c r="FQH381" s="252"/>
      <c r="FQI381" s="252"/>
      <c r="FQJ381" s="252"/>
      <c r="FQK381" s="252"/>
      <c r="FQL381" s="252"/>
      <c r="FQM381" s="252"/>
      <c r="FQN381" s="252"/>
      <c r="FQO381" s="252"/>
      <c r="FQP381" s="252"/>
      <c r="FQQ381" s="252"/>
      <c r="FQR381" s="252"/>
      <c r="FQS381" s="252"/>
      <c r="FQT381" s="252"/>
      <c r="FQU381" s="252"/>
      <c r="FQV381" s="252"/>
      <c r="FQW381" s="252"/>
      <c r="FQX381" s="252"/>
      <c r="FQY381" s="252"/>
      <c r="FQZ381" s="252"/>
      <c r="FRA381" s="252"/>
      <c r="FRB381" s="252"/>
      <c r="FRC381" s="252"/>
      <c r="FRD381" s="252"/>
      <c r="FRE381" s="252"/>
      <c r="FRF381" s="252"/>
      <c r="FRG381" s="252"/>
      <c r="FRH381" s="252"/>
      <c r="FRI381" s="252"/>
      <c r="FRJ381" s="252"/>
      <c r="FRK381" s="252"/>
      <c r="FRL381" s="252"/>
      <c r="FRM381" s="252"/>
      <c r="FRN381" s="252"/>
      <c r="FRO381" s="252"/>
      <c r="FRP381" s="252"/>
      <c r="FRQ381" s="252"/>
      <c r="FRR381" s="252"/>
      <c r="FRS381" s="252"/>
      <c r="FRT381" s="252"/>
      <c r="FRU381" s="252"/>
      <c r="FRV381" s="252"/>
      <c r="FRW381" s="252"/>
      <c r="FRX381" s="252"/>
      <c r="FRY381" s="252"/>
      <c r="FRZ381" s="252"/>
      <c r="FSA381" s="252"/>
      <c r="FSB381" s="252"/>
      <c r="FSC381" s="252"/>
      <c r="FSD381" s="252"/>
      <c r="FSE381" s="252"/>
      <c r="FSF381" s="252"/>
      <c r="FSG381" s="252"/>
      <c r="FSH381" s="252"/>
      <c r="FSI381" s="252"/>
      <c r="FSJ381" s="252"/>
      <c r="FSK381" s="252"/>
      <c r="FSL381" s="252"/>
      <c r="FSM381" s="252"/>
      <c r="FSN381" s="252"/>
      <c r="FSO381" s="252"/>
      <c r="FSP381" s="252"/>
      <c r="FSQ381" s="252"/>
      <c r="FSR381" s="252"/>
      <c r="FSS381" s="252"/>
      <c r="FST381" s="252"/>
      <c r="FSU381" s="252"/>
      <c r="FSV381" s="252"/>
      <c r="FSW381" s="252"/>
      <c r="FSX381" s="252"/>
      <c r="FSY381" s="252"/>
      <c r="FSZ381" s="252"/>
      <c r="FTA381" s="252"/>
      <c r="FTB381" s="252"/>
      <c r="FTC381" s="252"/>
      <c r="FTD381" s="252"/>
      <c r="FTE381" s="252"/>
      <c r="FTF381" s="252"/>
      <c r="FTG381" s="252"/>
      <c r="FTH381" s="252"/>
      <c r="FTI381" s="252"/>
      <c r="FTJ381" s="252"/>
      <c r="FTK381" s="252"/>
      <c r="FTL381" s="252"/>
      <c r="FTM381" s="252"/>
      <c r="FTN381" s="252"/>
      <c r="FTO381" s="252"/>
      <c r="FTP381" s="252"/>
      <c r="FTQ381" s="252"/>
      <c r="FTR381" s="252"/>
      <c r="FTS381" s="252"/>
      <c r="FTT381" s="252"/>
      <c r="FTU381" s="252"/>
      <c r="FTV381" s="252"/>
      <c r="FTW381" s="252"/>
      <c r="FTX381" s="252"/>
      <c r="FTY381" s="252"/>
      <c r="FTZ381" s="252"/>
      <c r="FUA381" s="252"/>
      <c r="FUB381" s="252"/>
      <c r="FUC381" s="252"/>
      <c r="FUD381" s="252"/>
      <c r="FUE381" s="252"/>
      <c r="FUF381" s="252"/>
      <c r="FUG381" s="252"/>
      <c r="FUH381" s="252"/>
      <c r="FUI381" s="252"/>
      <c r="FUJ381" s="252"/>
      <c r="FUK381" s="252"/>
      <c r="FUL381" s="252"/>
      <c r="FUM381" s="252"/>
      <c r="FUN381" s="252"/>
      <c r="FUO381" s="252"/>
      <c r="FUP381" s="252"/>
      <c r="FUQ381" s="252"/>
      <c r="FUR381" s="252"/>
      <c r="FUS381" s="252"/>
      <c r="FUT381" s="252"/>
      <c r="FUU381" s="252"/>
      <c r="FUV381" s="252"/>
      <c r="FUW381" s="252"/>
      <c r="FUX381" s="252"/>
      <c r="FUY381" s="252"/>
      <c r="FUZ381" s="252"/>
      <c r="FVA381" s="252"/>
      <c r="FVB381" s="252"/>
      <c r="FVC381" s="252"/>
      <c r="FVD381" s="252"/>
      <c r="FVE381" s="252"/>
      <c r="FVF381" s="252"/>
      <c r="FVG381" s="252"/>
      <c r="FVH381" s="252"/>
      <c r="FVI381" s="252"/>
      <c r="FVJ381" s="252"/>
      <c r="FVK381" s="252"/>
      <c r="FVL381" s="252"/>
      <c r="FVM381" s="252"/>
      <c r="FVN381" s="252"/>
      <c r="FVO381" s="252"/>
      <c r="FVP381" s="252"/>
      <c r="FVQ381" s="252"/>
      <c r="FVR381" s="252"/>
      <c r="FVS381" s="252"/>
      <c r="FVT381" s="252"/>
      <c r="FVU381" s="252"/>
      <c r="FVV381" s="252"/>
      <c r="FVW381" s="252"/>
      <c r="FVX381" s="252"/>
      <c r="FVY381" s="252"/>
      <c r="FVZ381" s="252"/>
      <c r="FWA381" s="252"/>
      <c r="FWB381" s="252"/>
      <c r="FWC381" s="252"/>
      <c r="FWD381" s="252"/>
      <c r="FWE381" s="252"/>
      <c r="FWF381" s="252"/>
      <c r="FWG381" s="252"/>
      <c r="FWH381" s="252"/>
      <c r="FWI381" s="252"/>
      <c r="FWJ381" s="252"/>
      <c r="FWK381" s="252"/>
      <c r="FWL381" s="252"/>
      <c r="FWM381" s="252"/>
      <c r="FWN381" s="252"/>
      <c r="FWO381" s="252"/>
      <c r="FWP381" s="252"/>
      <c r="FWQ381" s="252"/>
      <c r="FWR381" s="252"/>
      <c r="FWS381" s="252"/>
      <c r="FWT381" s="252"/>
      <c r="FWU381" s="252"/>
      <c r="FWV381" s="252"/>
      <c r="FWW381" s="252"/>
      <c r="FWX381" s="252"/>
      <c r="FWY381" s="252"/>
      <c r="FWZ381" s="252"/>
      <c r="FXA381" s="252"/>
      <c r="FXB381" s="252"/>
      <c r="FXC381" s="252"/>
      <c r="FXD381" s="252"/>
      <c r="FXE381" s="252"/>
      <c r="FXF381" s="252"/>
      <c r="FXG381" s="252"/>
      <c r="FXH381" s="252"/>
      <c r="FXI381" s="252"/>
      <c r="FXJ381" s="252"/>
      <c r="FXK381" s="252"/>
      <c r="FXL381" s="252"/>
      <c r="FXM381" s="252"/>
      <c r="FXN381" s="252"/>
      <c r="FXO381" s="252"/>
      <c r="FXP381" s="252"/>
      <c r="FXQ381" s="252"/>
      <c r="FXR381" s="252"/>
      <c r="FXS381" s="252"/>
      <c r="FXT381" s="252"/>
      <c r="FXU381" s="252"/>
      <c r="FXV381" s="252"/>
      <c r="FXW381" s="252"/>
      <c r="FXX381" s="252"/>
      <c r="FXY381" s="252"/>
      <c r="FXZ381" s="252"/>
      <c r="FYA381" s="252"/>
      <c r="FYB381" s="252"/>
      <c r="FYC381" s="252"/>
      <c r="FYD381" s="252"/>
      <c r="FYE381" s="252"/>
      <c r="FYF381" s="252"/>
      <c r="FYG381" s="252"/>
      <c r="FYH381" s="252"/>
      <c r="FYI381" s="252"/>
      <c r="FYJ381" s="252"/>
      <c r="FYK381" s="252"/>
      <c r="FYL381" s="252"/>
      <c r="FYM381" s="252"/>
      <c r="FYN381" s="252"/>
      <c r="FYO381" s="252"/>
      <c r="FYP381" s="252"/>
      <c r="FYQ381" s="252"/>
      <c r="FYR381" s="252"/>
      <c r="FYS381" s="252"/>
      <c r="FYT381" s="252"/>
      <c r="FYU381" s="252"/>
      <c r="FYV381" s="252"/>
      <c r="FYW381" s="252"/>
      <c r="FYX381" s="252"/>
      <c r="FYY381" s="252"/>
      <c r="FYZ381" s="252"/>
      <c r="FZA381" s="252"/>
      <c r="FZB381" s="252"/>
      <c r="FZC381" s="252"/>
      <c r="FZD381" s="252"/>
      <c r="FZE381" s="252"/>
      <c r="FZF381" s="252"/>
      <c r="FZG381" s="252"/>
      <c r="FZH381" s="252"/>
      <c r="FZI381" s="252"/>
      <c r="FZJ381" s="252"/>
      <c r="FZK381" s="252"/>
      <c r="FZL381" s="252"/>
      <c r="FZM381" s="252"/>
      <c r="FZN381" s="252"/>
      <c r="FZO381" s="252"/>
      <c r="FZP381" s="252"/>
      <c r="FZQ381" s="252"/>
      <c r="FZR381" s="252"/>
      <c r="FZS381" s="252"/>
      <c r="FZT381" s="252"/>
      <c r="FZU381" s="252"/>
      <c r="FZV381" s="252"/>
      <c r="FZW381" s="252"/>
      <c r="FZX381" s="252"/>
      <c r="FZY381" s="252"/>
      <c r="FZZ381" s="252"/>
      <c r="GAA381" s="252"/>
      <c r="GAB381" s="252"/>
      <c r="GAC381" s="252"/>
      <c r="GAD381" s="252"/>
      <c r="GAE381" s="252"/>
      <c r="GAF381" s="252"/>
      <c r="GAG381" s="252"/>
      <c r="GAH381" s="252"/>
      <c r="GAI381" s="252"/>
      <c r="GAJ381" s="252"/>
      <c r="GAK381" s="252"/>
      <c r="GAL381" s="252"/>
      <c r="GAM381" s="252"/>
      <c r="GAN381" s="252"/>
      <c r="GAO381" s="252"/>
      <c r="GAP381" s="252"/>
      <c r="GAQ381" s="252"/>
      <c r="GAR381" s="252"/>
      <c r="GAS381" s="252"/>
      <c r="GAT381" s="252"/>
      <c r="GAU381" s="252"/>
      <c r="GAV381" s="252"/>
      <c r="GAW381" s="252"/>
      <c r="GAX381" s="252"/>
      <c r="GAY381" s="252"/>
      <c r="GAZ381" s="252"/>
      <c r="GBA381" s="252"/>
      <c r="GBB381" s="252"/>
      <c r="GBC381" s="252"/>
      <c r="GBD381" s="252"/>
      <c r="GBE381" s="252"/>
      <c r="GBF381" s="252"/>
      <c r="GBG381" s="252"/>
      <c r="GBH381" s="252"/>
      <c r="GBI381" s="252"/>
      <c r="GBJ381" s="252"/>
      <c r="GBK381" s="252"/>
      <c r="GBL381" s="252"/>
      <c r="GBM381" s="252"/>
      <c r="GBN381" s="252"/>
      <c r="GBO381" s="252"/>
      <c r="GBP381" s="252"/>
      <c r="GBQ381" s="252"/>
      <c r="GBR381" s="252"/>
      <c r="GBS381" s="252"/>
      <c r="GBT381" s="252"/>
      <c r="GBU381" s="252"/>
      <c r="GBV381" s="252"/>
      <c r="GBW381" s="252"/>
      <c r="GBX381" s="252"/>
      <c r="GBY381" s="252"/>
      <c r="GBZ381" s="252"/>
      <c r="GCA381" s="252"/>
      <c r="GCB381" s="252"/>
      <c r="GCC381" s="252"/>
      <c r="GCD381" s="252"/>
      <c r="GCE381" s="252"/>
      <c r="GCF381" s="252"/>
      <c r="GCG381" s="252"/>
      <c r="GCH381" s="252"/>
      <c r="GCI381" s="252"/>
      <c r="GCJ381" s="252"/>
      <c r="GCK381" s="252"/>
      <c r="GCL381" s="252"/>
      <c r="GCM381" s="252"/>
      <c r="GCN381" s="252"/>
      <c r="GCO381" s="252"/>
      <c r="GCP381" s="252"/>
      <c r="GCQ381" s="252"/>
      <c r="GCR381" s="252"/>
      <c r="GCS381" s="252"/>
      <c r="GCT381" s="252"/>
      <c r="GCU381" s="252"/>
      <c r="GCV381" s="252"/>
      <c r="GCW381" s="252"/>
      <c r="GCX381" s="252"/>
      <c r="GCY381" s="252"/>
      <c r="GCZ381" s="252"/>
      <c r="GDA381" s="252"/>
      <c r="GDB381" s="252"/>
      <c r="GDC381" s="252"/>
      <c r="GDD381" s="252"/>
      <c r="GDE381" s="252"/>
      <c r="GDF381" s="252"/>
      <c r="GDG381" s="252"/>
      <c r="GDH381" s="252"/>
      <c r="GDI381" s="252"/>
      <c r="GDJ381" s="252"/>
      <c r="GDK381" s="252"/>
      <c r="GDL381" s="252"/>
      <c r="GDM381" s="252"/>
      <c r="GDN381" s="252"/>
      <c r="GDO381" s="252"/>
      <c r="GDP381" s="252"/>
      <c r="GDQ381" s="252"/>
      <c r="GDR381" s="252"/>
      <c r="GDS381" s="252"/>
      <c r="GDT381" s="252"/>
      <c r="GDU381" s="252"/>
      <c r="GDV381" s="252"/>
      <c r="GDW381" s="252"/>
      <c r="GDX381" s="252"/>
      <c r="GDY381" s="252"/>
      <c r="GDZ381" s="252"/>
      <c r="GEA381" s="252"/>
      <c r="GEB381" s="252"/>
      <c r="GEC381" s="252"/>
      <c r="GED381" s="252"/>
      <c r="GEE381" s="252"/>
      <c r="GEF381" s="252"/>
      <c r="GEG381" s="252"/>
      <c r="GEH381" s="252"/>
      <c r="GEI381" s="252"/>
      <c r="GEJ381" s="252"/>
      <c r="GEK381" s="252"/>
      <c r="GEL381" s="252"/>
      <c r="GEM381" s="252"/>
      <c r="GEN381" s="252"/>
      <c r="GEO381" s="252"/>
      <c r="GEP381" s="252"/>
      <c r="GEQ381" s="252"/>
      <c r="GER381" s="252"/>
      <c r="GES381" s="252"/>
      <c r="GET381" s="252"/>
      <c r="GEU381" s="252"/>
      <c r="GEV381" s="252"/>
      <c r="GEW381" s="252"/>
      <c r="GEX381" s="252"/>
      <c r="GEY381" s="252"/>
      <c r="GEZ381" s="252"/>
      <c r="GFA381" s="252"/>
      <c r="GFB381" s="252"/>
      <c r="GFC381" s="252"/>
      <c r="GFD381" s="252"/>
      <c r="GFE381" s="252"/>
      <c r="GFF381" s="252"/>
      <c r="GFG381" s="252"/>
      <c r="GFH381" s="252"/>
      <c r="GFI381" s="252"/>
      <c r="GFJ381" s="252"/>
      <c r="GFK381" s="252"/>
      <c r="GFL381" s="252"/>
      <c r="GFM381" s="252"/>
      <c r="GFN381" s="252"/>
      <c r="GFO381" s="252"/>
      <c r="GFP381" s="252"/>
      <c r="GFQ381" s="252"/>
      <c r="GFR381" s="252"/>
      <c r="GFS381" s="252"/>
      <c r="GFT381" s="252"/>
      <c r="GFU381" s="252"/>
      <c r="GFV381" s="252"/>
      <c r="GFW381" s="252"/>
      <c r="GFX381" s="252"/>
      <c r="GFY381" s="252"/>
      <c r="GFZ381" s="252"/>
      <c r="GGA381" s="252"/>
      <c r="GGB381" s="252"/>
      <c r="GGC381" s="252"/>
      <c r="GGD381" s="252"/>
      <c r="GGE381" s="252"/>
      <c r="GGF381" s="252"/>
      <c r="GGG381" s="252"/>
      <c r="GGH381" s="252"/>
      <c r="GGI381" s="252"/>
      <c r="GGJ381" s="252"/>
      <c r="GGK381" s="252"/>
      <c r="GGL381" s="252"/>
      <c r="GGM381" s="252"/>
      <c r="GGN381" s="252"/>
      <c r="GGO381" s="252"/>
      <c r="GGP381" s="252"/>
      <c r="GGQ381" s="252"/>
      <c r="GGR381" s="252"/>
      <c r="GGS381" s="252"/>
      <c r="GGT381" s="252"/>
      <c r="GGU381" s="252"/>
      <c r="GGV381" s="252"/>
      <c r="GGW381" s="252"/>
      <c r="GGX381" s="252"/>
      <c r="GGY381" s="252"/>
      <c r="GGZ381" s="252"/>
      <c r="GHA381" s="252"/>
      <c r="GHB381" s="252"/>
      <c r="GHC381" s="252"/>
      <c r="GHD381" s="252"/>
      <c r="GHE381" s="252"/>
      <c r="GHF381" s="252"/>
      <c r="GHG381" s="252"/>
      <c r="GHH381" s="252"/>
      <c r="GHI381" s="252"/>
      <c r="GHJ381" s="252"/>
      <c r="GHK381" s="252"/>
      <c r="GHL381" s="252"/>
      <c r="GHM381" s="252"/>
      <c r="GHN381" s="252"/>
      <c r="GHO381" s="252"/>
      <c r="GHP381" s="252"/>
      <c r="GHQ381" s="252"/>
      <c r="GHR381" s="252"/>
      <c r="GHS381" s="252"/>
      <c r="GHT381" s="252"/>
      <c r="GHU381" s="252"/>
      <c r="GHV381" s="252"/>
      <c r="GHW381" s="252"/>
      <c r="GHX381" s="252"/>
      <c r="GHY381" s="252"/>
      <c r="GHZ381" s="252"/>
      <c r="GIA381" s="252"/>
      <c r="GIB381" s="252"/>
      <c r="GIC381" s="252"/>
      <c r="GID381" s="252"/>
      <c r="GIE381" s="252"/>
      <c r="GIF381" s="252"/>
      <c r="GIG381" s="252"/>
      <c r="GIH381" s="252"/>
      <c r="GII381" s="252"/>
      <c r="GIJ381" s="252"/>
      <c r="GIK381" s="252"/>
      <c r="GIL381" s="252"/>
      <c r="GIM381" s="252"/>
      <c r="GIN381" s="252"/>
      <c r="GIO381" s="252"/>
      <c r="GIP381" s="252"/>
      <c r="GIQ381" s="252"/>
      <c r="GIR381" s="252"/>
      <c r="GIS381" s="252"/>
      <c r="GIT381" s="252"/>
      <c r="GIU381" s="252"/>
      <c r="GIV381" s="252"/>
      <c r="GIW381" s="252"/>
      <c r="GIX381" s="252"/>
      <c r="GIY381" s="252"/>
      <c r="GIZ381" s="252"/>
      <c r="GJA381" s="252"/>
      <c r="GJB381" s="252"/>
      <c r="GJC381" s="252"/>
      <c r="GJD381" s="252"/>
      <c r="GJE381" s="252"/>
      <c r="GJF381" s="252"/>
      <c r="GJG381" s="252"/>
      <c r="GJH381" s="252"/>
      <c r="GJI381" s="252"/>
      <c r="GJJ381" s="252"/>
      <c r="GJK381" s="252"/>
      <c r="GJL381" s="252"/>
      <c r="GJM381" s="252"/>
      <c r="GJN381" s="252"/>
      <c r="GJO381" s="252"/>
      <c r="GJP381" s="252"/>
      <c r="GJQ381" s="252"/>
      <c r="GJR381" s="252"/>
      <c r="GJS381" s="252"/>
      <c r="GJT381" s="252"/>
      <c r="GJU381" s="252"/>
      <c r="GJV381" s="252"/>
      <c r="GJW381" s="252"/>
      <c r="GJX381" s="252"/>
      <c r="GJY381" s="252"/>
      <c r="GJZ381" s="252"/>
      <c r="GKA381" s="252"/>
      <c r="GKB381" s="252"/>
      <c r="GKC381" s="252"/>
      <c r="GKD381" s="252"/>
      <c r="GKE381" s="252"/>
      <c r="GKF381" s="252"/>
      <c r="GKG381" s="252"/>
      <c r="GKH381" s="252"/>
      <c r="GKI381" s="252"/>
      <c r="GKJ381" s="252"/>
      <c r="GKK381" s="252"/>
      <c r="GKL381" s="252"/>
      <c r="GKM381" s="252"/>
      <c r="GKN381" s="252"/>
      <c r="GKO381" s="252"/>
      <c r="GKP381" s="252"/>
      <c r="GKQ381" s="252"/>
      <c r="GKR381" s="252"/>
      <c r="GKS381" s="252"/>
      <c r="GKT381" s="252"/>
      <c r="GKU381" s="252"/>
      <c r="GKV381" s="252"/>
      <c r="GKW381" s="252"/>
      <c r="GKX381" s="252"/>
      <c r="GKY381" s="252"/>
      <c r="GKZ381" s="252"/>
      <c r="GLA381" s="252"/>
      <c r="GLB381" s="252"/>
      <c r="GLC381" s="252"/>
      <c r="GLD381" s="252"/>
      <c r="GLE381" s="252"/>
      <c r="GLF381" s="252"/>
      <c r="GLG381" s="252"/>
      <c r="GLH381" s="252"/>
      <c r="GLI381" s="252"/>
      <c r="GLJ381" s="252"/>
      <c r="GLK381" s="252"/>
      <c r="GLL381" s="252"/>
      <c r="GLM381" s="252"/>
      <c r="GLN381" s="252"/>
      <c r="GLO381" s="252"/>
      <c r="GLP381" s="252"/>
      <c r="GLQ381" s="252"/>
      <c r="GLR381" s="252"/>
      <c r="GLS381" s="252"/>
      <c r="GLT381" s="252"/>
      <c r="GLU381" s="252"/>
      <c r="GLV381" s="252"/>
      <c r="GLW381" s="252"/>
      <c r="GLX381" s="252"/>
      <c r="GLY381" s="252"/>
      <c r="GLZ381" s="252"/>
      <c r="GMA381" s="252"/>
      <c r="GMB381" s="252"/>
      <c r="GMC381" s="252"/>
      <c r="GMD381" s="252"/>
      <c r="GME381" s="252"/>
      <c r="GMF381" s="252"/>
      <c r="GMG381" s="252"/>
      <c r="GMH381" s="252"/>
      <c r="GMI381" s="252"/>
      <c r="GMJ381" s="252"/>
      <c r="GMK381" s="252"/>
      <c r="GML381" s="252"/>
      <c r="GMM381" s="252"/>
      <c r="GMN381" s="252"/>
      <c r="GMO381" s="252"/>
      <c r="GMP381" s="252"/>
      <c r="GMQ381" s="252"/>
      <c r="GMR381" s="252"/>
      <c r="GMS381" s="252"/>
      <c r="GMT381" s="252"/>
      <c r="GMU381" s="252"/>
      <c r="GMV381" s="252"/>
      <c r="GMW381" s="252"/>
      <c r="GMX381" s="252"/>
      <c r="GMY381" s="252"/>
      <c r="GMZ381" s="252"/>
      <c r="GNA381" s="252"/>
      <c r="GNB381" s="252"/>
      <c r="GNC381" s="252"/>
      <c r="GND381" s="252"/>
      <c r="GNE381" s="252"/>
      <c r="GNF381" s="252"/>
      <c r="GNG381" s="252"/>
      <c r="GNH381" s="252"/>
      <c r="GNI381" s="252"/>
      <c r="GNJ381" s="252"/>
      <c r="GNK381" s="252"/>
      <c r="GNL381" s="252"/>
      <c r="GNM381" s="252"/>
      <c r="GNN381" s="252"/>
      <c r="GNO381" s="252"/>
      <c r="GNP381" s="252"/>
      <c r="GNQ381" s="252"/>
      <c r="GNR381" s="252"/>
      <c r="GNS381" s="252"/>
      <c r="GNT381" s="252"/>
      <c r="GNU381" s="252"/>
      <c r="GNV381" s="252"/>
      <c r="GNW381" s="252"/>
      <c r="GNX381" s="252"/>
      <c r="GNY381" s="252"/>
      <c r="GNZ381" s="252"/>
      <c r="GOA381" s="252"/>
      <c r="GOB381" s="252"/>
      <c r="GOC381" s="252"/>
      <c r="GOD381" s="252"/>
      <c r="GOE381" s="252"/>
      <c r="GOF381" s="252"/>
      <c r="GOG381" s="252"/>
      <c r="GOH381" s="252"/>
      <c r="GOI381" s="252"/>
      <c r="GOJ381" s="252"/>
      <c r="GOK381" s="252"/>
      <c r="GOL381" s="252"/>
      <c r="GOM381" s="252"/>
      <c r="GON381" s="252"/>
      <c r="GOO381" s="252"/>
      <c r="GOP381" s="252"/>
      <c r="GOQ381" s="252"/>
      <c r="GOR381" s="252"/>
      <c r="GOS381" s="252"/>
      <c r="GOT381" s="252"/>
      <c r="GOU381" s="252"/>
      <c r="GOV381" s="252"/>
      <c r="GOW381" s="252"/>
      <c r="GOX381" s="252"/>
      <c r="GOY381" s="252"/>
      <c r="GOZ381" s="252"/>
      <c r="GPA381" s="252"/>
      <c r="GPB381" s="252"/>
      <c r="GPC381" s="252"/>
      <c r="GPD381" s="252"/>
      <c r="GPE381" s="252"/>
      <c r="GPF381" s="252"/>
      <c r="GPG381" s="252"/>
      <c r="GPH381" s="252"/>
      <c r="GPI381" s="252"/>
      <c r="GPJ381" s="252"/>
      <c r="GPK381" s="252"/>
      <c r="GPL381" s="252"/>
      <c r="GPM381" s="252"/>
      <c r="GPN381" s="252"/>
      <c r="GPO381" s="252"/>
      <c r="GPP381" s="252"/>
      <c r="GPQ381" s="252"/>
      <c r="GPR381" s="252"/>
      <c r="GPS381" s="252"/>
      <c r="GPT381" s="252"/>
      <c r="GPU381" s="252"/>
      <c r="GPV381" s="252"/>
      <c r="GPW381" s="252"/>
      <c r="GPX381" s="252"/>
      <c r="GPY381" s="252"/>
      <c r="GPZ381" s="252"/>
      <c r="GQA381" s="252"/>
      <c r="GQB381" s="252"/>
      <c r="GQC381" s="252"/>
      <c r="GQD381" s="252"/>
      <c r="GQE381" s="252"/>
      <c r="GQF381" s="252"/>
      <c r="GQG381" s="252"/>
      <c r="GQH381" s="252"/>
      <c r="GQI381" s="252"/>
      <c r="GQJ381" s="252"/>
      <c r="GQK381" s="252"/>
      <c r="GQL381" s="252"/>
      <c r="GQM381" s="252"/>
      <c r="GQN381" s="252"/>
      <c r="GQO381" s="252"/>
      <c r="GQP381" s="252"/>
      <c r="GQQ381" s="252"/>
      <c r="GQR381" s="252"/>
      <c r="GQS381" s="252"/>
      <c r="GQT381" s="252"/>
      <c r="GQU381" s="252"/>
      <c r="GQV381" s="252"/>
      <c r="GQW381" s="252"/>
      <c r="GQX381" s="252"/>
      <c r="GQY381" s="252"/>
      <c r="GQZ381" s="252"/>
      <c r="GRA381" s="252"/>
      <c r="GRB381" s="252"/>
      <c r="GRC381" s="252"/>
      <c r="GRD381" s="252"/>
      <c r="GRE381" s="252"/>
      <c r="GRF381" s="252"/>
      <c r="GRG381" s="252"/>
      <c r="GRH381" s="252"/>
      <c r="GRI381" s="252"/>
      <c r="GRJ381" s="252"/>
      <c r="GRK381" s="252"/>
      <c r="GRL381" s="252"/>
      <c r="GRM381" s="252"/>
      <c r="GRN381" s="252"/>
      <c r="GRO381" s="252"/>
      <c r="GRP381" s="252"/>
      <c r="GRQ381" s="252"/>
      <c r="GRR381" s="252"/>
      <c r="GRS381" s="252"/>
      <c r="GRT381" s="252"/>
      <c r="GRU381" s="252"/>
      <c r="GRV381" s="252"/>
      <c r="GRW381" s="252"/>
      <c r="GRX381" s="252"/>
      <c r="GRY381" s="252"/>
      <c r="GRZ381" s="252"/>
      <c r="GSA381" s="252"/>
      <c r="GSB381" s="252"/>
      <c r="GSC381" s="252"/>
      <c r="GSD381" s="252"/>
      <c r="GSE381" s="252"/>
      <c r="GSF381" s="252"/>
      <c r="GSG381" s="252"/>
      <c r="GSH381" s="252"/>
      <c r="GSI381" s="252"/>
      <c r="GSJ381" s="252"/>
      <c r="GSK381" s="252"/>
      <c r="GSL381" s="252"/>
      <c r="GSM381" s="252"/>
      <c r="GSN381" s="252"/>
      <c r="GSO381" s="252"/>
      <c r="GSP381" s="252"/>
      <c r="GSQ381" s="252"/>
      <c r="GSR381" s="252"/>
      <c r="GSS381" s="252"/>
      <c r="GST381" s="252"/>
      <c r="GSU381" s="252"/>
      <c r="GSV381" s="252"/>
      <c r="GSW381" s="252"/>
      <c r="GSX381" s="252"/>
      <c r="GSY381" s="252"/>
      <c r="GSZ381" s="252"/>
      <c r="GTA381" s="252"/>
      <c r="GTB381" s="252"/>
      <c r="GTC381" s="252"/>
      <c r="GTD381" s="252"/>
      <c r="GTE381" s="252"/>
      <c r="GTF381" s="252"/>
      <c r="GTG381" s="252"/>
      <c r="GTH381" s="252"/>
      <c r="GTI381" s="252"/>
      <c r="GTJ381" s="252"/>
      <c r="GTK381" s="252"/>
      <c r="GTL381" s="252"/>
      <c r="GTM381" s="252"/>
      <c r="GTN381" s="252"/>
      <c r="GTO381" s="252"/>
      <c r="GTP381" s="252"/>
      <c r="GTQ381" s="252"/>
      <c r="GTR381" s="252"/>
      <c r="GTS381" s="252"/>
      <c r="GTT381" s="252"/>
      <c r="GTU381" s="252"/>
      <c r="GTV381" s="252"/>
      <c r="GTW381" s="252"/>
      <c r="GTX381" s="252"/>
      <c r="GTY381" s="252"/>
      <c r="GTZ381" s="252"/>
      <c r="GUA381" s="252"/>
      <c r="GUB381" s="252"/>
      <c r="GUC381" s="252"/>
      <c r="GUD381" s="252"/>
      <c r="GUE381" s="252"/>
      <c r="GUF381" s="252"/>
      <c r="GUG381" s="252"/>
      <c r="GUH381" s="252"/>
      <c r="GUI381" s="252"/>
      <c r="GUJ381" s="252"/>
      <c r="GUK381" s="252"/>
      <c r="GUL381" s="252"/>
      <c r="GUM381" s="252"/>
      <c r="GUN381" s="252"/>
      <c r="GUO381" s="252"/>
      <c r="GUP381" s="252"/>
      <c r="GUQ381" s="252"/>
      <c r="GUR381" s="252"/>
      <c r="GUS381" s="252"/>
      <c r="GUT381" s="252"/>
      <c r="GUU381" s="252"/>
      <c r="GUV381" s="252"/>
      <c r="GUW381" s="252"/>
      <c r="GUX381" s="252"/>
      <c r="GUY381" s="252"/>
      <c r="GUZ381" s="252"/>
      <c r="GVA381" s="252"/>
      <c r="GVB381" s="252"/>
      <c r="GVC381" s="252"/>
      <c r="GVD381" s="252"/>
      <c r="GVE381" s="252"/>
      <c r="GVF381" s="252"/>
      <c r="GVG381" s="252"/>
      <c r="GVH381" s="252"/>
      <c r="GVI381" s="252"/>
      <c r="GVJ381" s="252"/>
      <c r="GVK381" s="252"/>
      <c r="GVL381" s="252"/>
      <c r="GVM381" s="252"/>
      <c r="GVN381" s="252"/>
      <c r="GVO381" s="252"/>
      <c r="GVP381" s="252"/>
      <c r="GVQ381" s="252"/>
      <c r="GVR381" s="252"/>
      <c r="GVS381" s="252"/>
      <c r="GVT381" s="252"/>
      <c r="GVU381" s="252"/>
      <c r="GVV381" s="252"/>
      <c r="GVW381" s="252"/>
      <c r="GVX381" s="252"/>
      <c r="GVY381" s="252"/>
      <c r="GVZ381" s="252"/>
      <c r="GWA381" s="252"/>
      <c r="GWB381" s="252"/>
      <c r="GWC381" s="252"/>
      <c r="GWD381" s="252"/>
      <c r="GWE381" s="252"/>
      <c r="GWF381" s="252"/>
      <c r="GWG381" s="252"/>
      <c r="GWH381" s="252"/>
      <c r="GWI381" s="252"/>
      <c r="GWJ381" s="252"/>
      <c r="GWK381" s="252"/>
      <c r="GWL381" s="252"/>
      <c r="GWM381" s="252"/>
      <c r="GWN381" s="252"/>
      <c r="GWO381" s="252"/>
      <c r="GWP381" s="252"/>
      <c r="GWQ381" s="252"/>
      <c r="GWR381" s="252"/>
      <c r="GWS381" s="252"/>
      <c r="GWT381" s="252"/>
      <c r="GWU381" s="252"/>
      <c r="GWV381" s="252"/>
      <c r="GWW381" s="252"/>
      <c r="GWX381" s="252"/>
      <c r="GWY381" s="252"/>
      <c r="GWZ381" s="252"/>
      <c r="GXA381" s="252"/>
      <c r="GXB381" s="252"/>
      <c r="GXC381" s="252"/>
      <c r="GXD381" s="252"/>
      <c r="GXE381" s="252"/>
      <c r="GXF381" s="252"/>
      <c r="GXG381" s="252"/>
      <c r="GXH381" s="252"/>
      <c r="GXI381" s="252"/>
      <c r="GXJ381" s="252"/>
      <c r="GXK381" s="252"/>
      <c r="GXL381" s="252"/>
      <c r="GXM381" s="252"/>
      <c r="GXN381" s="252"/>
      <c r="GXO381" s="252"/>
      <c r="GXP381" s="252"/>
      <c r="GXQ381" s="252"/>
      <c r="GXR381" s="252"/>
      <c r="GXS381" s="252"/>
      <c r="GXT381" s="252"/>
      <c r="GXU381" s="252"/>
      <c r="GXV381" s="252"/>
      <c r="GXW381" s="252"/>
      <c r="GXX381" s="252"/>
      <c r="GXY381" s="252"/>
      <c r="GXZ381" s="252"/>
      <c r="GYA381" s="252"/>
      <c r="GYB381" s="252"/>
      <c r="GYC381" s="252"/>
      <c r="GYD381" s="252"/>
      <c r="GYE381" s="252"/>
      <c r="GYF381" s="252"/>
      <c r="GYG381" s="252"/>
      <c r="GYH381" s="252"/>
      <c r="GYI381" s="252"/>
      <c r="GYJ381" s="252"/>
      <c r="GYK381" s="252"/>
      <c r="GYL381" s="252"/>
      <c r="GYM381" s="252"/>
      <c r="GYN381" s="252"/>
      <c r="GYO381" s="252"/>
      <c r="GYP381" s="252"/>
      <c r="GYQ381" s="252"/>
      <c r="GYR381" s="252"/>
      <c r="GYS381" s="252"/>
      <c r="GYT381" s="252"/>
      <c r="GYU381" s="252"/>
      <c r="GYV381" s="252"/>
      <c r="GYW381" s="252"/>
      <c r="GYX381" s="252"/>
      <c r="GYY381" s="252"/>
      <c r="GYZ381" s="252"/>
      <c r="GZA381" s="252"/>
      <c r="GZB381" s="252"/>
      <c r="GZC381" s="252"/>
      <c r="GZD381" s="252"/>
      <c r="GZE381" s="252"/>
      <c r="GZF381" s="252"/>
      <c r="GZG381" s="252"/>
      <c r="GZH381" s="252"/>
      <c r="GZI381" s="252"/>
      <c r="GZJ381" s="252"/>
      <c r="GZK381" s="252"/>
      <c r="GZL381" s="252"/>
      <c r="GZM381" s="252"/>
      <c r="GZN381" s="252"/>
      <c r="GZO381" s="252"/>
      <c r="GZP381" s="252"/>
      <c r="GZQ381" s="252"/>
      <c r="GZR381" s="252"/>
      <c r="GZS381" s="252"/>
      <c r="GZT381" s="252"/>
      <c r="GZU381" s="252"/>
      <c r="GZV381" s="252"/>
      <c r="GZW381" s="252"/>
      <c r="GZX381" s="252"/>
      <c r="GZY381" s="252"/>
      <c r="GZZ381" s="252"/>
      <c r="HAA381" s="252"/>
      <c r="HAB381" s="252"/>
      <c r="HAC381" s="252"/>
      <c r="HAD381" s="252"/>
      <c r="HAE381" s="252"/>
      <c r="HAF381" s="252"/>
      <c r="HAG381" s="252"/>
      <c r="HAH381" s="252"/>
      <c r="HAI381" s="252"/>
      <c r="HAJ381" s="252"/>
      <c r="HAK381" s="252"/>
      <c r="HAL381" s="252"/>
      <c r="HAM381" s="252"/>
      <c r="HAN381" s="252"/>
      <c r="HAO381" s="252"/>
      <c r="HAP381" s="252"/>
      <c r="HAQ381" s="252"/>
      <c r="HAR381" s="252"/>
      <c r="HAS381" s="252"/>
      <c r="HAT381" s="252"/>
      <c r="HAU381" s="252"/>
      <c r="HAV381" s="252"/>
      <c r="HAW381" s="252"/>
      <c r="HAX381" s="252"/>
      <c r="HAY381" s="252"/>
      <c r="HAZ381" s="252"/>
      <c r="HBA381" s="252"/>
      <c r="HBB381" s="252"/>
      <c r="HBC381" s="252"/>
      <c r="HBD381" s="252"/>
      <c r="HBE381" s="252"/>
      <c r="HBF381" s="252"/>
      <c r="HBG381" s="252"/>
      <c r="HBH381" s="252"/>
      <c r="HBI381" s="252"/>
      <c r="HBJ381" s="252"/>
      <c r="HBK381" s="252"/>
      <c r="HBL381" s="252"/>
      <c r="HBM381" s="252"/>
      <c r="HBN381" s="252"/>
      <c r="HBO381" s="252"/>
      <c r="HBP381" s="252"/>
      <c r="HBQ381" s="252"/>
      <c r="HBR381" s="252"/>
      <c r="HBS381" s="252"/>
      <c r="HBT381" s="252"/>
      <c r="HBU381" s="252"/>
      <c r="HBV381" s="252"/>
      <c r="HBW381" s="252"/>
      <c r="HBX381" s="252"/>
      <c r="HBY381" s="252"/>
      <c r="HBZ381" s="252"/>
      <c r="HCA381" s="252"/>
      <c r="HCB381" s="252"/>
      <c r="HCC381" s="252"/>
      <c r="HCD381" s="252"/>
      <c r="HCE381" s="252"/>
      <c r="HCF381" s="252"/>
      <c r="HCG381" s="252"/>
      <c r="HCH381" s="252"/>
      <c r="HCI381" s="252"/>
      <c r="HCJ381" s="252"/>
      <c r="HCK381" s="252"/>
      <c r="HCL381" s="252"/>
      <c r="HCM381" s="252"/>
      <c r="HCN381" s="252"/>
      <c r="HCO381" s="252"/>
      <c r="HCP381" s="252"/>
      <c r="HCQ381" s="252"/>
      <c r="HCR381" s="252"/>
      <c r="HCS381" s="252"/>
      <c r="HCT381" s="252"/>
      <c r="HCU381" s="252"/>
      <c r="HCV381" s="252"/>
      <c r="HCW381" s="252"/>
      <c r="HCX381" s="252"/>
      <c r="HCY381" s="252"/>
      <c r="HCZ381" s="252"/>
      <c r="HDA381" s="252"/>
      <c r="HDB381" s="252"/>
      <c r="HDC381" s="252"/>
      <c r="HDD381" s="252"/>
      <c r="HDE381" s="252"/>
      <c r="HDF381" s="252"/>
      <c r="HDG381" s="252"/>
      <c r="HDH381" s="252"/>
      <c r="HDI381" s="252"/>
      <c r="HDJ381" s="252"/>
      <c r="HDK381" s="252"/>
      <c r="HDL381" s="252"/>
      <c r="HDM381" s="252"/>
      <c r="HDN381" s="252"/>
      <c r="HDO381" s="252"/>
      <c r="HDP381" s="252"/>
      <c r="HDQ381" s="252"/>
      <c r="HDR381" s="252"/>
      <c r="HDS381" s="252"/>
      <c r="HDT381" s="252"/>
      <c r="HDU381" s="252"/>
      <c r="HDV381" s="252"/>
      <c r="HDW381" s="252"/>
      <c r="HDX381" s="252"/>
      <c r="HDY381" s="252"/>
      <c r="HDZ381" s="252"/>
      <c r="HEA381" s="252"/>
      <c r="HEB381" s="252"/>
      <c r="HEC381" s="252"/>
      <c r="HED381" s="252"/>
      <c r="HEE381" s="252"/>
      <c r="HEF381" s="252"/>
      <c r="HEG381" s="252"/>
      <c r="HEH381" s="252"/>
      <c r="HEI381" s="252"/>
      <c r="HEJ381" s="252"/>
      <c r="HEK381" s="252"/>
      <c r="HEL381" s="252"/>
      <c r="HEM381" s="252"/>
      <c r="HEN381" s="252"/>
      <c r="HEO381" s="252"/>
      <c r="HEP381" s="252"/>
      <c r="HEQ381" s="252"/>
      <c r="HER381" s="252"/>
      <c r="HES381" s="252"/>
      <c r="HET381" s="252"/>
      <c r="HEU381" s="252"/>
      <c r="HEV381" s="252"/>
      <c r="HEW381" s="252"/>
      <c r="HEX381" s="252"/>
      <c r="HEY381" s="252"/>
      <c r="HEZ381" s="252"/>
      <c r="HFA381" s="252"/>
      <c r="HFB381" s="252"/>
      <c r="HFC381" s="252"/>
      <c r="HFD381" s="252"/>
      <c r="HFE381" s="252"/>
      <c r="HFF381" s="252"/>
      <c r="HFG381" s="252"/>
      <c r="HFH381" s="252"/>
      <c r="HFI381" s="252"/>
      <c r="HFJ381" s="252"/>
      <c r="HFK381" s="252"/>
      <c r="HFL381" s="252"/>
      <c r="HFM381" s="252"/>
      <c r="HFN381" s="252"/>
      <c r="HFO381" s="252"/>
      <c r="HFP381" s="252"/>
      <c r="HFQ381" s="252"/>
      <c r="HFR381" s="252"/>
      <c r="HFS381" s="252"/>
      <c r="HFT381" s="252"/>
      <c r="HFU381" s="252"/>
      <c r="HFV381" s="252"/>
      <c r="HFW381" s="252"/>
      <c r="HFX381" s="252"/>
      <c r="HFY381" s="252"/>
      <c r="HFZ381" s="252"/>
      <c r="HGA381" s="252"/>
      <c r="HGB381" s="252"/>
      <c r="HGC381" s="252"/>
      <c r="HGD381" s="252"/>
      <c r="HGE381" s="252"/>
      <c r="HGF381" s="252"/>
      <c r="HGG381" s="252"/>
      <c r="HGH381" s="252"/>
      <c r="HGI381" s="252"/>
      <c r="HGJ381" s="252"/>
      <c r="HGK381" s="252"/>
      <c r="HGL381" s="252"/>
      <c r="HGM381" s="252"/>
      <c r="HGN381" s="252"/>
      <c r="HGO381" s="252"/>
      <c r="HGP381" s="252"/>
      <c r="HGQ381" s="252"/>
      <c r="HGR381" s="252"/>
      <c r="HGS381" s="252"/>
      <c r="HGT381" s="252"/>
      <c r="HGU381" s="252"/>
      <c r="HGV381" s="252"/>
      <c r="HGW381" s="252"/>
      <c r="HGX381" s="252"/>
      <c r="HGY381" s="252"/>
      <c r="HGZ381" s="252"/>
      <c r="HHA381" s="252"/>
      <c r="HHB381" s="252"/>
      <c r="HHC381" s="252"/>
      <c r="HHD381" s="252"/>
      <c r="HHE381" s="252"/>
      <c r="HHF381" s="252"/>
      <c r="HHG381" s="252"/>
      <c r="HHH381" s="252"/>
      <c r="HHI381" s="252"/>
      <c r="HHJ381" s="252"/>
      <c r="HHK381" s="252"/>
      <c r="HHL381" s="252"/>
      <c r="HHM381" s="252"/>
      <c r="HHN381" s="252"/>
      <c r="HHO381" s="252"/>
      <c r="HHP381" s="252"/>
      <c r="HHQ381" s="252"/>
      <c r="HHR381" s="252"/>
      <c r="HHS381" s="252"/>
      <c r="HHT381" s="252"/>
      <c r="HHU381" s="252"/>
      <c r="HHV381" s="252"/>
      <c r="HHW381" s="252"/>
      <c r="HHX381" s="252"/>
      <c r="HHY381" s="252"/>
      <c r="HHZ381" s="252"/>
      <c r="HIA381" s="252"/>
      <c r="HIB381" s="252"/>
      <c r="HIC381" s="252"/>
      <c r="HID381" s="252"/>
      <c r="HIE381" s="252"/>
      <c r="HIF381" s="252"/>
      <c r="HIG381" s="252"/>
      <c r="HIH381" s="252"/>
      <c r="HII381" s="252"/>
      <c r="HIJ381" s="252"/>
      <c r="HIK381" s="252"/>
      <c r="HIL381" s="252"/>
      <c r="HIM381" s="252"/>
      <c r="HIN381" s="252"/>
      <c r="HIO381" s="252"/>
      <c r="HIP381" s="252"/>
      <c r="HIQ381" s="252"/>
      <c r="HIR381" s="252"/>
      <c r="HIS381" s="252"/>
      <c r="HIT381" s="252"/>
      <c r="HIU381" s="252"/>
      <c r="HIV381" s="252"/>
      <c r="HIW381" s="252"/>
      <c r="HIX381" s="252"/>
      <c r="HIY381" s="252"/>
      <c r="HIZ381" s="252"/>
      <c r="HJA381" s="252"/>
      <c r="HJB381" s="252"/>
      <c r="HJC381" s="252"/>
      <c r="HJD381" s="252"/>
      <c r="HJE381" s="252"/>
      <c r="HJF381" s="252"/>
      <c r="HJG381" s="252"/>
      <c r="HJH381" s="252"/>
      <c r="HJI381" s="252"/>
      <c r="HJJ381" s="252"/>
      <c r="HJK381" s="252"/>
      <c r="HJL381" s="252"/>
      <c r="HJM381" s="252"/>
      <c r="HJN381" s="252"/>
      <c r="HJO381" s="252"/>
      <c r="HJP381" s="252"/>
      <c r="HJQ381" s="252"/>
      <c r="HJR381" s="252"/>
      <c r="HJS381" s="252"/>
      <c r="HJT381" s="252"/>
      <c r="HJU381" s="252"/>
      <c r="HJV381" s="252"/>
      <c r="HJW381" s="252"/>
      <c r="HJX381" s="252"/>
      <c r="HJY381" s="252"/>
      <c r="HJZ381" s="252"/>
      <c r="HKA381" s="252"/>
      <c r="HKB381" s="252"/>
      <c r="HKC381" s="252"/>
      <c r="HKD381" s="252"/>
      <c r="HKE381" s="252"/>
      <c r="HKF381" s="252"/>
      <c r="HKG381" s="252"/>
      <c r="HKH381" s="252"/>
      <c r="HKI381" s="252"/>
      <c r="HKJ381" s="252"/>
      <c r="HKK381" s="252"/>
      <c r="HKL381" s="252"/>
      <c r="HKM381" s="252"/>
      <c r="HKN381" s="252"/>
      <c r="HKO381" s="252"/>
      <c r="HKP381" s="252"/>
      <c r="HKQ381" s="252"/>
      <c r="HKR381" s="252"/>
      <c r="HKS381" s="252"/>
      <c r="HKT381" s="252"/>
      <c r="HKU381" s="252"/>
      <c r="HKV381" s="252"/>
      <c r="HKW381" s="252"/>
      <c r="HKX381" s="252"/>
      <c r="HKY381" s="252"/>
      <c r="HKZ381" s="252"/>
      <c r="HLA381" s="252"/>
      <c r="HLB381" s="252"/>
      <c r="HLC381" s="252"/>
      <c r="HLD381" s="252"/>
      <c r="HLE381" s="252"/>
      <c r="HLF381" s="252"/>
      <c r="HLG381" s="252"/>
      <c r="HLH381" s="252"/>
      <c r="HLI381" s="252"/>
      <c r="HLJ381" s="252"/>
      <c r="HLK381" s="252"/>
      <c r="HLL381" s="252"/>
      <c r="HLM381" s="252"/>
      <c r="HLN381" s="252"/>
      <c r="HLO381" s="252"/>
      <c r="HLP381" s="252"/>
      <c r="HLQ381" s="252"/>
      <c r="HLR381" s="252"/>
      <c r="HLS381" s="252"/>
      <c r="HLT381" s="252"/>
      <c r="HLU381" s="252"/>
      <c r="HLV381" s="252"/>
      <c r="HLW381" s="252"/>
      <c r="HLX381" s="252"/>
      <c r="HLY381" s="252"/>
      <c r="HLZ381" s="252"/>
      <c r="HMA381" s="252"/>
      <c r="HMB381" s="252"/>
      <c r="HMC381" s="252"/>
      <c r="HMD381" s="252"/>
      <c r="HME381" s="252"/>
      <c r="HMF381" s="252"/>
      <c r="HMG381" s="252"/>
      <c r="HMH381" s="252"/>
      <c r="HMI381" s="252"/>
      <c r="HMJ381" s="252"/>
      <c r="HMK381" s="252"/>
      <c r="HML381" s="252"/>
      <c r="HMM381" s="252"/>
      <c r="HMN381" s="252"/>
      <c r="HMO381" s="252"/>
      <c r="HMP381" s="252"/>
      <c r="HMQ381" s="252"/>
      <c r="HMR381" s="252"/>
      <c r="HMS381" s="252"/>
      <c r="HMT381" s="252"/>
      <c r="HMU381" s="252"/>
      <c r="HMV381" s="252"/>
      <c r="HMW381" s="252"/>
      <c r="HMX381" s="252"/>
      <c r="HMY381" s="252"/>
      <c r="HMZ381" s="252"/>
      <c r="HNA381" s="252"/>
      <c r="HNB381" s="252"/>
      <c r="HNC381" s="252"/>
      <c r="HND381" s="252"/>
      <c r="HNE381" s="252"/>
      <c r="HNF381" s="252"/>
      <c r="HNG381" s="252"/>
      <c r="HNH381" s="252"/>
      <c r="HNI381" s="252"/>
      <c r="HNJ381" s="252"/>
      <c r="HNK381" s="252"/>
      <c r="HNL381" s="252"/>
      <c r="HNM381" s="252"/>
      <c r="HNN381" s="252"/>
      <c r="HNO381" s="252"/>
      <c r="HNP381" s="252"/>
      <c r="HNQ381" s="252"/>
      <c r="HNR381" s="252"/>
      <c r="HNS381" s="252"/>
      <c r="HNT381" s="252"/>
      <c r="HNU381" s="252"/>
      <c r="HNV381" s="252"/>
      <c r="HNW381" s="252"/>
      <c r="HNX381" s="252"/>
      <c r="HNY381" s="252"/>
      <c r="HNZ381" s="252"/>
      <c r="HOA381" s="252"/>
      <c r="HOB381" s="252"/>
      <c r="HOC381" s="252"/>
      <c r="HOD381" s="252"/>
      <c r="HOE381" s="252"/>
      <c r="HOF381" s="252"/>
      <c r="HOG381" s="252"/>
      <c r="HOH381" s="252"/>
      <c r="HOI381" s="252"/>
      <c r="HOJ381" s="252"/>
      <c r="HOK381" s="252"/>
      <c r="HOL381" s="252"/>
      <c r="HOM381" s="252"/>
      <c r="HON381" s="252"/>
      <c r="HOO381" s="252"/>
      <c r="HOP381" s="252"/>
      <c r="HOQ381" s="252"/>
      <c r="HOR381" s="252"/>
      <c r="HOS381" s="252"/>
      <c r="HOT381" s="252"/>
      <c r="HOU381" s="252"/>
      <c r="HOV381" s="252"/>
      <c r="HOW381" s="252"/>
      <c r="HOX381" s="252"/>
      <c r="HOY381" s="252"/>
      <c r="HOZ381" s="252"/>
      <c r="HPA381" s="252"/>
      <c r="HPB381" s="252"/>
      <c r="HPC381" s="252"/>
      <c r="HPD381" s="252"/>
      <c r="HPE381" s="252"/>
      <c r="HPF381" s="252"/>
      <c r="HPG381" s="252"/>
      <c r="HPH381" s="252"/>
      <c r="HPI381" s="252"/>
      <c r="HPJ381" s="252"/>
      <c r="HPK381" s="252"/>
      <c r="HPL381" s="252"/>
      <c r="HPM381" s="252"/>
      <c r="HPN381" s="252"/>
      <c r="HPO381" s="252"/>
      <c r="HPP381" s="252"/>
      <c r="HPQ381" s="252"/>
      <c r="HPR381" s="252"/>
      <c r="HPS381" s="252"/>
      <c r="HPT381" s="252"/>
      <c r="HPU381" s="252"/>
      <c r="HPV381" s="252"/>
      <c r="HPW381" s="252"/>
      <c r="HPX381" s="252"/>
      <c r="HPY381" s="252"/>
      <c r="HPZ381" s="252"/>
      <c r="HQA381" s="252"/>
      <c r="HQB381" s="252"/>
      <c r="HQC381" s="252"/>
      <c r="HQD381" s="252"/>
      <c r="HQE381" s="252"/>
      <c r="HQF381" s="252"/>
      <c r="HQG381" s="252"/>
      <c r="HQH381" s="252"/>
      <c r="HQI381" s="252"/>
      <c r="HQJ381" s="252"/>
      <c r="HQK381" s="252"/>
      <c r="HQL381" s="252"/>
      <c r="HQM381" s="252"/>
      <c r="HQN381" s="252"/>
      <c r="HQO381" s="252"/>
      <c r="HQP381" s="252"/>
      <c r="HQQ381" s="252"/>
      <c r="HQR381" s="252"/>
      <c r="HQS381" s="252"/>
      <c r="HQT381" s="252"/>
      <c r="HQU381" s="252"/>
      <c r="HQV381" s="252"/>
      <c r="HQW381" s="252"/>
      <c r="HQX381" s="252"/>
      <c r="HQY381" s="252"/>
      <c r="HQZ381" s="252"/>
      <c r="HRA381" s="252"/>
      <c r="HRB381" s="252"/>
      <c r="HRC381" s="252"/>
      <c r="HRD381" s="252"/>
      <c r="HRE381" s="252"/>
      <c r="HRF381" s="252"/>
      <c r="HRG381" s="252"/>
      <c r="HRH381" s="252"/>
      <c r="HRI381" s="252"/>
      <c r="HRJ381" s="252"/>
      <c r="HRK381" s="252"/>
      <c r="HRL381" s="252"/>
      <c r="HRM381" s="252"/>
      <c r="HRN381" s="252"/>
      <c r="HRO381" s="252"/>
      <c r="HRP381" s="252"/>
      <c r="HRQ381" s="252"/>
      <c r="HRR381" s="252"/>
      <c r="HRS381" s="252"/>
      <c r="HRT381" s="252"/>
      <c r="HRU381" s="252"/>
      <c r="HRV381" s="252"/>
      <c r="HRW381" s="252"/>
      <c r="HRX381" s="252"/>
      <c r="HRY381" s="252"/>
      <c r="HRZ381" s="252"/>
      <c r="HSA381" s="252"/>
      <c r="HSB381" s="252"/>
      <c r="HSC381" s="252"/>
      <c r="HSD381" s="252"/>
      <c r="HSE381" s="252"/>
      <c r="HSF381" s="252"/>
      <c r="HSG381" s="252"/>
      <c r="HSH381" s="252"/>
      <c r="HSI381" s="252"/>
      <c r="HSJ381" s="252"/>
      <c r="HSK381" s="252"/>
      <c r="HSL381" s="252"/>
      <c r="HSM381" s="252"/>
      <c r="HSN381" s="252"/>
      <c r="HSO381" s="252"/>
      <c r="HSP381" s="252"/>
      <c r="HSQ381" s="252"/>
      <c r="HSR381" s="252"/>
      <c r="HSS381" s="252"/>
      <c r="HST381" s="252"/>
      <c r="HSU381" s="252"/>
      <c r="HSV381" s="252"/>
      <c r="HSW381" s="252"/>
      <c r="HSX381" s="252"/>
      <c r="HSY381" s="252"/>
      <c r="HSZ381" s="252"/>
      <c r="HTA381" s="252"/>
      <c r="HTB381" s="252"/>
      <c r="HTC381" s="252"/>
      <c r="HTD381" s="252"/>
      <c r="HTE381" s="252"/>
      <c r="HTF381" s="252"/>
      <c r="HTG381" s="252"/>
      <c r="HTH381" s="252"/>
      <c r="HTI381" s="252"/>
      <c r="HTJ381" s="252"/>
      <c r="HTK381" s="252"/>
      <c r="HTL381" s="252"/>
      <c r="HTM381" s="252"/>
      <c r="HTN381" s="252"/>
      <c r="HTO381" s="252"/>
      <c r="HTP381" s="252"/>
      <c r="HTQ381" s="252"/>
      <c r="HTR381" s="252"/>
      <c r="HTS381" s="252"/>
      <c r="HTT381" s="252"/>
      <c r="HTU381" s="252"/>
      <c r="HTV381" s="252"/>
      <c r="HTW381" s="252"/>
      <c r="HTX381" s="252"/>
      <c r="HTY381" s="252"/>
      <c r="HTZ381" s="252"/>
      <c r="HUA381" s="252"/>
      <c r="HUB381" s="252"/>
      <c r="HUC381" s="252"/>
      <c r="HUD381" s="252"/>
      <c r="HUE381" s="252"/>
      <c r="HUF381" s="252"/>
      <c r="HUG381" s="252"/>
      <c r="HUH381" s="252"/>
      <c r="HUI381" s="252"/>
      <c r="HUJ381" s="252"/>
      <c r="HUK381" s="252"/>
      <c r="HUL381" s="252"/>
      <c r="HUM381" s="252"/>
      <c r="HUN381" s="252"/>
      <c r="HUO381" s="252"/>
      <c r="HUP381" s="252"/>
      <c r="HUQ381" s="252"/>
      <c r="HUR381" s="252"/>
      <c r="HUS381" s="252"/>
      <c r="HUT381" s="252"/>
      <c r="HUU381" s="252"/>
      <c r="HUV381" s="252"/>
      <c r="HUW381" s="252"/>
      <c r="HUX381" s="252"/>
      <c r="HUY381" s="252"/>
      <c r="HUZ381" s="252"/>
      <c r="HVA381" s="252"/>
      <c r="HVB381" s="252"/>
      <c r="HVC381" s="252"/>
      <c r="HVD381" s="252"/>
      <c r="HVE381" s="252"/>
      <c r="HVF381" s="252"/>
      <c r="HVG381" s="252"/>
      <c r="HVH381" s="252"/>
      <c r="HVI381" s="252"/>
      <c r="HVJ381" s="252"/>
      <c r="HVK381" s="252"/>
      <c r="HVL381" s="252"/>
      <c r="HVM381" s="252"/>
      <c r="HVN381" s="252"/>
      <c r="HVO381" s="252"/>
      <c r="HVP381" s="252"/>
      <c r="HVQ381" s="252"/>
      <c r="HVR381" s="252"/>
      <c r="HVS381" s="252"/>
      <c r="HVT381" s="252"/>
      <c r="HVU381" s="252"/>
      <c r="HVV381" s="252"/>
      <c r="HVW381" s="252"/>
      <c r="HVX381" s="252"/>
      <c r="HVY381" s="252"/>
      <c r="HVZ381" s="252"/>
      <c r="HWA381" s="252"/>
      <c r="HWB381" s="252"/>
      <c r="HWC381" s="252"/>
      <c r="HWD381" s="252"/>
      <c r="HWE381" s="252"/>
      <c r="HWF381" s="252"/>
      <c r="HWG381" s="252"/>
      <c r="HWH381" s="252"/>
      <c r="HWI381" s="252"/>
      <c r="HWJ381" s="252"/>
      <c r="HWK381" s="252"/>
      <c r="HWL381" s="252"/>
      <c r="HWM381" s="252"/>
      <c r="HWN381" s="252"/>
      <c r="HWO381" s="252"/>
      <c r="HWP381" s="252"/>
      <c r="HWQ381" s="252"/>
      <c r="HWR381" s="252"/>
      <c r="HWS381" s="252"/>
      <c r="HWT381" s="252"/>
      <c r="HWU381" s="252"/>
      <c r="HWV381" s="252"/>
      <c r="HWW381" s="252"/>
      <c r="HWX381" s="252"/>
      <c r="HWY381" s="252"/>
      <c r="HWZ381" s="252"/>
      <c r="HXA381" s="252"/>
      <c r="HXB381" s="252"/>
      <c r="HXC381" s="252"/>
      <c r="HXD381" s="252"/>
      <c r="HXE381" s="252"/>
      <c r="HXF381" s="252"/>
      <c r="HXG381" s="252"/>
      <c r="HXH381" s="252"/>
      <c r="HXI381" s="252"/>
      <c r="HXJ381" s="252"/>
      <c r="HXK381" s="252"/>
      <c r="HXL381" s="252"/>
      <c r="HXM381" s="252"/>
      <c r="HXN381" s="252"/>
      <c r="HXO381" s="252"/>
      <c r="HXP381" s="252"/>
      <c r="HXQ381" s="252"/>
      <c r="HXR381" s="252"/>
      <c r="HXS381" s="252"/>
      <c r="HXT381" s="252"/>
      <c r="HXU381" s="252"/>
      <c r="HXV381" s="252"/>
      <c r="HXW381" s="252"/>
      <c r="HXX381" s="252"/>
      <c r="HXY381" s="252"/>
      <c r="HXZ381" s="252"/>
      <c r="HYA381" s="252"/>
      <c r="HYB381" s="252"/>
      <c r="HYC381" s="252"/>
      <c r="HYD381" s="252"/>
      <c r="HYE381" s="252"/>
      <c r="HYF381" s="252"/>
      <c r="HYG381" s="252"/>
      <c r="HYH381" s="252"/>
      <c r="HYI381" s="252"/>
      <c r="HYJ381" s="252"/>
      <c r="HYK381" s="252"/>
      <c r="HYL381" s="252"/>
      <c r="HYM381" s="252"/>
      <c r="HYN381" s="252"/>
      <c r="HYO381" s="252"/>
      <c r="HYP381" s="252"/>
      <c r="HYQ381" s="252"/>
      <c r="HYR381" s="252"/>
      <c r="HYS381" s="252"/>
      <c r="HYT381" s="252"/>
      <c r="HYU381" s="252"/>
      <c r="HYV381" s="252"/>
      <c r="HYW381" s="252"/>
      <c r="HYX381" s="252"/>
      <c r="HYY381" s="252"/>
      <c r="HYZ381" s="252"/>
      <c r="HZA381" s="252"/>
      <c r="HZB381" s="252"/>
      <c r="HZC381" s="252"/>
      <c r="HZD381" s="252"/>
      <c r="HZE381" s="252"/>
      <c r="HZF381" s="252"/>
      <c r="HZG381" s="252"/>
      <c r="HZH381" s="252"/>
      <c r="HZI381" s="252"/>
      <c r="HZJ381" s="252"/>
      <c r="HZK381" s="252"/>
      <c r="HZL381" s="252"/>
      <c r="HZM381" s="252"/>
      <c r="HZN381" s="252"/>
      <c r="HZO381" s="252"/>
      <c r="HZP381" s="252"/>
      <c r="HZQ381" s="252"/>
      <c r="HZR381" s="252"/>
      <c r="HZS381" s="252"/>
      <c r="HZT381" s="252"/>
      <c r="HZU381" s="252"/>
      <c r="HZV381" s="252"/>
      <c r="HZW381" s="252"/>
      <c r="HZX381" s="252"/>
      <c r="HZY381" s="252"/>
      <c r="HZZ381" s="252"/>
      <c r="IAA381" s="252"/>
      <c r="IAB381" s="252"/>
      <c r="IAC381" s="252"/>
      <c r="IAD381" s="252"/>
      <c r="IAE381" s="252"/>
      <c r="IAF381" s="252"/>
      <c r="IAG381" s="252"/>
      <c r="IAH381" s="252"/>
      <c r="IAI381" s="252"/>
      <c r="IAJ381" s="252"/>
      <c r="IAK381" s="252"/>
      <c r="IAL381" s="252"/>
      <c r="IAM381" s="252"/>
      <c r="IAN381" s="252"/>
      <c r="IAO381" s="252"/>
      <c r="IAP381" s="252"/>
      <c r="IAQ381" s="252"/>
      <c r="IAR381" s="252"/>
      <c r="IAS381" s="252"/>
      <c r="IAT381" s="252"/>
      <c r="IAU381" s="252"/>
      <c r="IAV381" s="252"/>
      <c r="IAW381" s="252"/>
      <c r="IAX381" s="252"/>
      <c r="IAY381" s="252"/>
      <c r="IAZ381" s="252"/>
      <c r="IBA381" s="252"/>
      <c r="IBB381" s="252"/>
      <c r="IBC381" s="252"/>
      <c r="IBD381" s="252"/>
      <c r="IBE381" s="252"/>
      <c r="IBF381" s="252"/>
      <c r="IBG381" s="252"/>
      <c r="IBH381" s="252"/>
      <c r="IBI381" s="252"/>
      <c r="IBJ381" s="252"/>
      <c r="IBK381" s="252"/>
      <c r="IBL381" s="252"/>
      <c r="IBM381" s="252"/>
      <c r="IBN381" s="252"/>
      <c r="IBO381" s="252"/>
      <c r="IBP381" s="252"/>
      <c r="IBQ381" s="252"/>
      <c r="IBR381" s="252"/>
      <c r="IBS381" s="252"/>
      <c r="IBT381" s="252"/>
      <c r="IBU381" s="252"/>
      <c r="IBV381" s="252"/>
      <c r="IBW381" s="252"/>
      <c r="IBX381" s="252"/>
      <c r="IBY381" s="252"/>
      <c r="IBZ381" s="252"/>
      <c r="ICA381" s="252"/>
      <c r="ICB381" s="252"/>
      <c r="ICC381" s="252"/>
      <c r="ICD381" s="252"/>
      <c r="ICE381" s="252"/>
      <c r="ICF381" s="252"/>
      <c r="ICG381" s="252"/>
      <c r="ICH381" s="252"/>
      <c r="ICI381" s="252"/>
      <c r="ICJ381" s="252"/>
      <c r="ICK381" s="252"/>
      <c r="ICL381" s="252"/>
      <c r="ICM381" s="252"/>
      <c r="ICN381" s="252"/>
      <c r="ICO381" s="252"/>
      <c r="ICP381" s="252"/>
      <c r="ICQ381" s="252"/>
      <c r="ICR381" s="252"/>
      <c r="ICS381" s="252"/>
      <c r="ICT381" s="252"/>
      <c r="ICU381" s="252"/>
      <c r="ICV381" s="252"/>
      <c r="ICW381" s="252"/>
      <c r="ICX381" s="252"/>
      <c r="ICY381" s="252"/>
      <c r="ICZ381" s="252"/>
      <c r="IDA381" s="252"/>
      <c r="IDB381" s="252"/>
      <c r="IDC381" s="252"/>
      <c r="IDD381" s="252"/>
      <c r="IDE381" s="252"/>
      <c r="IDF381" s="252"/>
      <c r="IDG381" s="252"/>
      <c r="IDH381" s="252"/>
      <c r="IDI381" s="252"/>
      <c r="IDJ381" s="252"/>
      <c r="IDK381" s="252"/>
      <c r="IDL381" s="252"/>
      <c r="IDM381" s="252"/>
      <c r="IDN381" s="252"/>
      <c r="IDO381" s="252"/>
      <c r="IDP381" s="252"/>
      <c r="IDQ381" s="252"/>
      <c r="IDR381" s="252"/>
      <c r="IDS381" s="252"/>
      <c r="IDT381" s="252"/>
      <c r="IDU381" s="252"/>
      <c r="IDV381" s="252"/>
      <c r="IDW381" s="252"/>
      <c r="IDX381" s="252"/>
      <c r="IDY381" s="252"/>
      <c r="IDZ381" s="252"/>
      <c r="IEA381" s="252"/>
      <c r="IEB381" s="252"/>
      <c r="IEC381" s="252"/>
      <c r="IED381" s="252"/>
      <c r="IEE381" s="252"/>
      <c r="IEF381" s="252"/>
      <c r="IEG381" s="252"/>
      <c r="IEH381" s="252"/>
      <c r="IEI381" s="252"/>
      <c r="IEJ381" s="252"/>
      <c r="IEK381" s="252"/>
      <c r="IEL381" s="252"/>
      <c r="IEM381" s="252"/>
      <c r="IEN381" s="252"/>
      <c r="IEO381" s="252"/>
      <c r="IEP381" s="252"/>
      <c r="IEQ381" s="252"/>
      <c r="IER381" s="252"/>
      <c r="IES381" s="252"/>
      <c r="IET381" s="252"/>
      <c r="IEU381" s="252"/>
      <c r="IEV381" s="252"/>
      <c r="IEW381" s="252"/>
      <c r="IEX381" s="252"/>
      <c r="IEY381" s="252"/>
      <c r="IEZ381" s="252"/>
      <c r="IFA381" s="252"/>
      <c r="IFB381" s="252"/>
      <c r="IFC381" s="252"/>
      <c r="IFD381" s="252"/>
      <c r="IFE381" s="252"/>
      <c r="IFF381" s="252"/>
      <c r="IFG381" s="252"/>
      <c r="IFH381" s="252"/>
      <c r="IFI381" s="252"/>
      <c r="IFJ381" s="252"/>
      <c r="IFK381" s="252"/>
      <c r="IFL381" s="252"/>
      <c r="IFM381" s="252"/>
      <c r="IFN381" s="252"/>
      <c r="IFO381" s="252"/>
      <c r="IFP381" s="252"/>
      <c r="IFQ381" s="252"/>
      <c r="IFR381" s="252"/>
      <c r="IFS381" s="252"/>
      <c r="IFT381" s="252"/>
      <c r="IFU381" s="252"/>
      <c r="IFV381" s="252"/>
      <c r="IFW381" s="252"/>
      <c r="IFX381" s="252"/>
      <c r="IFY381" s="252"/>
      <c r="IFZ381" s="252"/>
      <c r="IGA381" s="252"/>
      <c r="IGB381" s="252"/>
      <c r="IGC381" s="252"/>
      <c r="IGD381" s="252"/>
      <c r="IGE381" s="252"/>
      <c r="IGF381" s="252"/>
      <c r="IGG381" s="252"/>
      <c r="IGH381" s="252"/>
      <c r="IGI381" s="252"/>
      <c r="IGJ381" s="252"/>
      <c r="IGK381" s="252"/>
      <c r="IGL381" s="252"/>
      <c r="IGM381" s="252"/>
      <c r="IGN381" s="252"/>
      <c r="IGO381" s="252"/>
      <c r="IGP381" s="252"/>
      <c r="IGQ381" s="252"/>
      <c r="IGR381" s="252"/>
      <c r="IGS381" s="252"/>
      <c r="IGT381" s="252"/>
      <c r="IGU381" s="252"/>
      <c r="IGV381" s="252"/>
      <c r="IGW381" s="252"/>
      <c r="IGX381" s="252"/>
      <c r="IGY381" s="252"/>
      <c r="IGZ381" s="252"/>
      <c r="IHA381" s="252"/>
      <c r="IHB381" s="252"/>
      <c r="IHC381" s="252"/>
      <c r="IHD381" s="252"/>
      <c r="IHE381" s="252"/>
      <c r="IHF381" s="252"/>
      <c r="IHG381" s="252"/>
      <c r="IHH381" s="252"/>
      <c r="IHI381" s="252"/>
      <c r="IHJ381" s="252"/>
      <c r="IHK381" s="252"/>
      <c r="IHL381" s="252"/>
      <c r="IHM381" s="252"/>
      <c r="IHN381" s="252"/>
      <c r="IHO381" s="252"/>
      <c r="IHP381" s="252"/>
      <c r="IHQ381" s="252"/>
      <c r="IHR381" s="252"/>
      <c r="IHS381" s="252"/>
      <c r="IHT381" s="252"/>
      <c r="IHU381" s="252"/>
      <c r="IHV381" s="252"/>
      <c r="IHW381" s="252"/>
      <c r="IHX381" s="252"/>
      <c r="IHY381" s="252"/>
      <c r="IHZ381" s="252"/>
      <c r="IIA381" s="252"/>
      <c r="IIB381" s="252"/>
      <c r="IIC381" s="252"/>
      <c r="IID381" s="252"/>
      <c r="IIE381" s="252"/>
      <c r="IIF381" s="252"/>
      <c r="IIG381" s="252"/>
      <c r="IIH381" s="252"/>
      <c r="III381" s="252"/>
      <c r="IIJ381" s="252"/>
      <c r="IIK381" s="252"/>
      <c r="IIL381" s="252"/>
      <c r="IIM381" s="252"/>
      <c r="IIN381" s="252"/>
      <c r="IIO381" s="252"/>
      <c r="IIP381" s="252"/>
      <c r="IIQ381" s="252"/>
      <c r="IIR381" s="252"/>
      <c r="IIS381" s="252"/>
      <c r="IIT381" s="252"/>
      <c r="IIU381" s="252"/>
      <c r="IIV381" s="252"/>
      <c r="IIW381" s="252"/>
      <c r="IIX381" s="252"/>
      <c r="IIY381" s="252"/>
      <c r="IIZ381" s="252"/>
      <c r="IJA381" s="252"/>
      <c r="IJB381" s="252"/>
      <c r="IJC381" s="252"/>
      <c r="IJD381" s="252"/>
      <c r="IJE381" s="252"/>
      <c r="IJF381" s="252"/>
      <c r="IJG381" s="252"/>
      <c r="IJH381" s="252"/>
      <c r="IJI381" s="252"/>
      <c r="IJJ381" s="252"/>
      <c r="IJK381" s="252"/>
      <c r="IJL381" s="252"/>
      <c r="IJM381" s="252"/>
      <c r="IJN381" s="252"/>
      <c r="IJO381" s="252"/>
      <c r="IJP381" s="252"/>
      <c r="IJQ381" s="252"/>
      <c r="IJR381" s="252"/>
      <c r="IJS381" s="252"/>
      <c r="IJT381" s="252"/>
      <c r="IJU381" s="252"/>
      <c r="IJV381" s="252"/>
      <c r="IJW381" s="252"/>
      <c r="IJX381" s="252"/>
      <c r="IJY381" s="252"/>
      <c r="IJZ381" s="252"/>
      <c r="IKA381" s="252"/>
      <c r="IKB381" s="252"/>
      <c r="IKC381" s="252"/>
      <c r="IKD381" s="252"/>
      <c r="IKE381" s="252"/>
      <c r="IKF381" s="252"/>
      <c r="IKG381" s="252"/>
      <c r="IKH381" s="252"/>
      <c r="IKI381" s="252"/>
      <c r="IKJ381" s="252"/>
      <c r="IKK381" s="252"/>
      <c r="IKL381" s="252"/>
      <c r="IKM381" s="252"/>
      <c r="IKN381" s="252"/>
      <c r="IKO381" s="252"/>
      <c r="IKP381" s="252"/>
      <c r="IKQ381" s="252"/>
      <c r="IKR381" s="252"/>
      <c r="IKS381" s="252"/>
      <c r="IKT381" s="252"/>
      <c r="IKU381" s="252"/>
      <c r="IKV381" s="252"/>
      <c r="IKW381" s="252"/>
      <c r="IKX381" s="252"/>
      <c r="IKY381" s="252"/>
      <c r="IKZ381" s="252"/>
      <c r="ILA381" s="252"/>
      <c r="ILB381" s="252"/>
      <c r="ILC381" s="252"/>
      <c r="ILD381" s="252"/>
      <c r="ILE381" s="252"/>
      <c r="ILF381" s="252"/>
      <c r="ILG381" s="252"/>
      <c r="ILH381" s="252"/>
      <c r="ILI381" s="252"/>
      <c r="ILJ381" s="252"/>
      <c r="ILK381" s="252"/>
      <c r="ILL381" s="252"/>
      <c r="ILM381" s="252"/>
      <c r="ILN381" s="252"/>
      <c r="ILO381" s="252"/>
      <c r="ILP381" s="252"/>
      <c r="ILQ381" s="252"/>
      <c r="ILR381" s="252"/>
      <c r="ILS381" s="252"/>
      <c r="ILT381" s="252"/>
      <c r="ILU381" s="252"/>
      <c r="ILV381" s="252"/>
      <c r="ILW381" s="252"/>
      <c r="ILX381" s="252"/>
      <c r="ILY381" s="252"/>
      <c r="ILZ381" s="252"/>
      <c r="IMA381" s="252"/>
      <c r="IMB381" s="252"/>
      <c r="IMC381" s="252"/>
      <c r="IMD381" s="252"/>
      <c r="IME381" s="252"/>
      <c r="IMF381" s="252"/>
      <c r="IMG381" s="252"/>
      <c r="IMH381" s="252"/>
      <c r="IMI381" s="252"/>
      <c r="IMJ381" s="252"/>
      <c r="IMK381" s="252"/>
      <c r="IML381" s="252"/>
      <c r="IMM381" s="252"/>
      <c r="IMN381" s="252"/>
      <c r="IMO381" s="252"/>
      <c r="IMP381" s="252"/>
      <c r="IMQ381" s="252"/>
      <c r="IMR381" s="252"/>
      <c r="IMS381" s="252"/>
      <c r="IMT381" s="252"/>
      <c r="IMU381" s="252"/>
      <c r="IMV381" s="252"/>
      <c r="IMW381" s="252"/>
      <c r="IMX381" s="252"/>
      <c r="IMY381" s="252"/>
      <c r="IMZ381" s="252"/>
      <c r="INA381" s="252"/>
      <c r="INB381" s="252"/>
      <c r="INC381" s="252"/>
      <c r="IND381" s="252"/>
      <c r="INE381" s="252"/>
      <c r="INF381" s="252"/>
      <c r="ING381" s="252"/>
      <c r="INH381" s="252"/>
      <c r="INI381" s="252"/>
      <c r="INJ381" s="252"/>
      <c r="INK381" s="252"/>
      <c r="INL381" s="252"/>
      <c r="INM381" s="252"/>
      <c r="INN381" s="252"/>
      <c r="INO381" s="252"/>
      <c r="INP381" s="252"/>
      <c r="INQ381" s="252"/>
      <c r="INR381" s="252"/>
      <c r="INS381" s="252"/>
      <c r="INT381" s="252"/>
      <c r="INU381" s="252"/>
      <c r="INV381" s="252"/>
      <c r="INW381" s="252"/>
      <c r="INX381" s="252"/>
      <c r="INY381" s="252"/>
      <c r="INZ381" s="252"/>
      <c r="IOA381" s="252"/>
      <c r="IOB381" s="252"/>
      <c r="IOC381" s="252"/>
      <c r="IOD381" s="252"/>
      <c r="IOE381" s="252"/>
      <c r="IOF381" s="252"/>
      <c r="IOG381" s="252"/>
      <c r="IOH381" s="252"/>
      <c r="IOI381" s="252"/>
      <c r="IOJ381" s="252"/>
      <c r="IOK381" s="252"/>
      <c r="IOL381" s="252"/>
      <c r="IOM381" s="252"/>
      <c r="ION381" s="252"/>
      <c r="IOO381" s="252"/>
      <c r="IOP381" s="252"/>
      <c r="IOQ381" s="252"/>
      <c r="IOR381" s="252"/>
      <c r="IOS381" s="252"/>
      <c r="IOT381" s="252"/>
      <c r="IOU381" s="252"/>
      <c r="IOV381" s="252"/>
      <c r="IOW381" s="252"/>
      <c r="IOX381" s="252"/>
      <c r="IOY381" s="252"/>
      <c r="IOZ381" s="252"/>
      <c r="IPA381" s="252"/>
      <c r="IPB381" s="252"/>
      <c r="IPC381" s="252"/>
      <c r="IPD381" s="252"/>
      <c r="IPE381" s="252"/>
      <c r="IPF381" s="252"/>
      <c r="IPG381" s="252"/>
      <c r="IPH381" s="252"/>
      <c r="IPI381" s="252"/>
      <c r="IPJ381" s="252"/>
      <c r="IPK381" s="252"/>
      <c r="IPL381" s="252"/>
      <c r="IPM381" s="252"/>
      <c r="IPN381" s="252"/>
      <c r="IPO381" s="252"/>
      <c r="IPP381" s="252"/>
      <c r="IPQ381" s="252"/>
      <c r="IPR381" s="252"/>
      <c r="IPS381" s="252"/>
      <c r="IPT381" s="252"/>
      <c r="IPU381" s="252"/>
      <c r="IPV381" s="252"/>
      <c r="IPW381" s="252"/>
      <c r="IPX381" s="252"/>
      <c r="IPY381" s="252"/>
      <c r="IPZ381" s="252"/>
      <c r="IQA381" s="252"/>
      <c r="IQB381" s="252"/>
      <c r="IQC381" s="252"/>
      <c r="IQD381" s="252"/>
      <c r="IQE381" s="252"/>
      <c r="IQF381" s="252"/>
      <c r="IQG381" s="252"/>
      <c r="IQH381" s="252"/>
      <c r="IQI381" s="252"/>
      <c r="IQJ381" s="252"/>
      <c r="IQK381" s="252"/>
      <c r="IQL381" s="252"/>
      <c r="IQM381" s="252"/>
      <c r="IQN381" s="252"/>
      <c r="IQO381" s="252"/>
      <c r="IQP381" s="252"/>
      <c r="IQQ381" s="252"/>
      <c r="IQR381" s="252"/>
      <c r="IQS381" s="252"/>
      <c r="IQT381" s="252"/>
      <c r="IQU381" s="252"/>
      <c r="IQV381" s="252"/>
      <c r="IQW381" s="252"/>
      <c r="IQX381" s="252"/>
      <c r="IQY381" s="252"/>
      <c r="IQZ381" s="252"/>
      <c r="IRA381" s="252"/>
      <c r="IRB381" s="252"/>
      <c r="IRC381" s="252"/>
      <c r="IRD381" s="252"/>
      <c r="IRE381" s="252"/>
      <c r="IRF381" s="252"/>
      <c r="IRG381" s="252"/>
      <c r="IRH381" s="252"/>
      <c r="IRI381" s="252"/>
      <c r="IRJ381" s="252"/>
      <c r="IRK381" s="252"/>
      <c r="IRL381" s="252"/>
      <c r="IRM381" s="252"/>
      <c r="IRN381" s="252"/>
      <c r="IRO381" s="252"/>
      <c r="IRP381" s="252"/>
      <c r="IRQ381" s="252"/>
      <c r="IRR381" s="252"/>
      <c r="IRS381" s="252"/>
      <c r="IRT381" s="252"/>
      <c r="IRU381" s="252"/>
      <c r="IRV381" s="252"/>
      <c r="IRW381" s="252"/>
      <c r="IRX381" s="252"/>
      <c r="IRY381" s="252"/>
      <c r="IRZ381" s="252"/>
      <c r="ISA381" s="252"/>
      <c r="ISB381" s="252"/>
      <c r="ISC381" s="252"/>
      <c r="ISD381" s="252"/>
      <c r="ISE381" s="252"/>
      <c r="ISF381" s="252"/>
      <c r="ISG381" s="252"/>
      <c r="ISH381" s="252"/>
      <c r="ISI381" s="252"/>
      <c r="ISJ381" s="252"/>
      <c r="ISK381" s="252"/>
      <c r="ISL381" s="252"/>
      <c r="ISM381" s="252"/>
      <c r="ISN381" s="252"/>
      <c r="ISO381" s="252"/>
      <c r="ISP381" s="252"/>
      <c r="ISQ381" s="252"/>
      <c r="ISR381" s="252"/>
      <c r="ISS381" s="252"/>
      <c r="IST381" s="252"/>
      <c r="ISU381" s="252"/>
      <c r="ISV381" s="252"/>
      <c r="ISW381" s="252"/>
      <c r="ISX381" s="252"/>
      <c r="ISY381" s="252"/>
      <c r="ISZ381" s="252"/>
      <c r="ITA381" s="252"/>
      <c r="ITB381" s="252"/>
      <c r="ITC381" s="252"/>
      <c r="ITD381" s="252"/>
      <c r="ITE381" s="252"/>
      <c r="ITF381" s="252"/>
      <c r="ITG381" s="252"/>
      <c r="ITH381" s="252"/>
      <c r="ITI381" s="252"/>
      <c r="ITJ381" s="252"/>
      <c r="ITK381" s="252"/>
      <c r="ITL381" s="252"/>
      <c r="ITM381" s="252"/>
      <c r="ITN381" s="252"/>
      <c r="ITO381" s="252"/>
      <c r="ITP381" s="252"/>
      <c r="ITQ381" s="252"/>
      <c r="ITR381" s="252"/>
      <c r="ITS381" s="252"/>
      <c r="ITT381" s="252"/>
      <c r="ITU381" s="252"/>
      <c r="ITV381" s="252"/>
      <c r="ITW381" s="252"/>
      <c r="ITX381" s="252"/>
      <c r="ITY381" s="252"/>
      <c r="ITZ381" s="252"/>
      <c r="IUA381" s="252"/>
      <c r="IUB381" s="252"/>
      <c r="IUC381" s="252"/>
      <c r="IUD381" s="252"/>
      <c r="IUE381" s="252"/>
      <c r="IUF381" s="252"/>
      <c r="IUG381" s="252"/>
      <c r="IUH381" s="252"/>
      <c r="IUI381" s="252"/>
      <c r="IUJ381" s="252"/>
      <c r="IUK381" s="252"/>
      <c r="IUL381" s="252"/>
      <c r="IUM381" s="252"/>
      <c r="IUN381" s="252"/>
      <c r="IUO381" s="252"/>
      <c r="IUP381" s="252"/>
      <c r="IUQ381" s="252"/>
      <c r="IUR381" s="252"/>
      <c r="IUS381" s="252"/>
      <c r="IUT381" s="252"/>
      <c r="IUU381" s="252"/>
      <c r="IUV381" s="252"/>
      <c r="IUW381" s="252"/>
      <c r="IUX381" s="252"/>
      <c r="IUY381" s="252"/>
      <c r="IUZ381" s="252"/>
      <c r="IVA381" s="252"/>
      <c r="IVB381" s="252"/>
      <c r="IVC381" s="252"/>
      <c r="IVD381" s="252"/>
      <c r="IVE381" s="252"/>
      <c r="IVF381" s="252"/>
      <c r="IVG381" s="252"/>
      <c r="IVH381" s="252"/>
      <c r="IVI381" s="252"/>
      <c r="IVJ381" s="252"/>
      <c r="IVK381" s="252"/>
      <c r="IVL381" s="252"/>
      <c r="IVM381" s="252"/>
      <c r="IVN381" s="252"/>
      <c r="IVO381" s="252"/>
      <c r="IVP381" s="252"/>
      <c r="IVQ381" s="252"/>
      <c r="IVR381" s="252"/>
      <c r="IVS381" s="252"/>
      <c r="IVT381" s="252"/>
      <c r="IVU381" s="252"/>
      <c r="IVV381" s="252"/>
      <c r="IVW381" s="252"/>
      <c r="IVX381" s="252"/>
      <c r="IVY381" s="252"/>
      <c r="IVZ381" s="252"/>
      <c r="IWA381" s="252"/>
      <c r="IWB381" s="252"/>
      <c r="IWC381" s="252"/>
      <c r="IWD381" s="252"/>
      <c r="IWE381" s="252"/>
      <c r="IWF381" s="252"/>
      <c r="IWG381" s="252"/>
      <c r="IWH381" s="252"/>
      <c r="IWI381" s="252"/>
      <c r="IWJ381" s="252"/>
      <c r="IWK381" s="252"/>
      <c r="IWL381" s="252"/>
      <c r="IWM381" s="252"/>
      <c r="IWN381" s="252"/>
      <c r="IWO381" s="252"/>
      <c r="IWP381" s="252"/>
      <c r="IWQ381" s="252"/>
      <c r="IWR381" s="252"/>
      <c r="IWS381" s="252"/>
      <c r="IWT381" s="252"/>
      <c r="IWU381" s="252"/>
      <c r="IWV381" s="252"/>
      <c r="IWW381" s="252"/>
      <c r="IWX381" s="252"/>
      <c r="IWY381" s="252"/>
      <c r="IWZ381" s="252"/>
      <c r="IXA381" s="252"/>
      <c r="IXB381" s="252"/>
      <c r="IXC381" s="252"/>
      <c r="IXD381" s="252"/>
      <c r="IXE381" s="252"/>
      <c r="IXF381" s="252"/>
      <c r="IXG381" s="252"/>
      <c r="IXH381" s="252"/>
      <c r="IXI381" s="252"/>
      <c r="IXJ381" s="252"/>
      <c r="IXK381" s="252"/>
      <c r="IXL381" s="252"/>
      <c r="IXM381" s="252"/>
      <c r="IXN381" s="252"/>
      <c r="IXO381" s="252"/>
      <c r="IXP381" s="252"/>
      <c r="IXQ381" s="252"/>
      <c r="IXR381" s="252"/>
      <c r="IXS381" s="252"/>
      <c r="IXT381" s="252"/>
      <c r="IXU381" s="252"/>
      <c r="IXV381" s="252"/>
      <c r="IXW381" s="252"/>
      <c r="IXX381" s="252"/>
      <c r="IXY381" s="252"/>
      <c r="IXZ381" s="252"/>
      <c r="IYA381" s="252"/>
      <c r="IYB381" s="252"/>
      <c r="IYC381" s="252"/>
      <c r="IYD381" s="252"/>
      <c r="IYE381" s="252"/>
      <c r="IYF381" s="252"/>
      <c r="IYG381" s="252"/>
      <c r="IYH381" s="252"/>
      <c r="IYI381" s="252"/>
      <c r="IYJ381" s="252"/>
      <c r="IYK381" s="252"/>
      <c r="IYL381" s="252"/>
      <c r="IYM381" s="252"/>
      <c r="IYN381" s="252"/>
      <c r="IYO381" s="252"/>
      <c r="IYP381" s="252"/>
      <c r="IYQ381" s="252"/>
      <c r="IYR381" s="252"/>
      <c r="IYS381" s="252"/>
      <c r="IYT381" s="252"/>
      <c r="IYU381" s="252"/>
      <c r="IYV381" s="252"/>
      <c r="IYW381" s="252"/>
      <c r="IYX381" s="252"/>
      <c r="IYY381" s="252"/>
      <c r="IYZ381" s="252"/>
      <c r="IZA381" s="252"/>
      <c r="IZB381" s="252"/>
      <c r="IZC381" s="252"/>
      <c r="IZD381" s="252"/>
      <c r="IZE381" s="252"/>
      <c r="IZF381" s="252"/>
      <c r="IZG381" s="252"/>
      <c r="IZH381" s="252"/>
      <c r="IZI381" s="252"/>
      <c r="IZJ381" s="252"/>
      <c r="IZK381" s="252"/>
      <c r="IZL381" s="252"/>
      <c r="IZM381" s="252"/>
      <c r="IZN381" s="252"/>
      <c r="IZO381" s="252"/>
      <c r="IZP381" s="252"/>
      <c r="IZQ381" s="252"/>
      <c r="IZR381" s="252"/>
      <c r="IZS381" s="252"/>
      <c r="IZT381" s="252"/>
      <c r="IZU381" s="252"/>
      <c r="IZV381" s="252"/>
      <c r="IZW381" s="252"/>
      <c r="IZX381" s="252"/>
      <c r="IZY381" s="252"/>
      <c r="IZZ381" s="252"/>
      <c r="JAA381" s="252"/>
      <c r="JAB381" s="252"/>
      <c r="JAC381" s="252"/>
      <c r="JAD381" s="252"/>
      <c r="JAE381" s="252"/>
      <c r="JAF381" s="252"/>
      <c r="JAG381" s="252"/>
      <c r="JAH381" s="252"/>
      <c r="JAI381" s="252"/>
      <c r="JAJ381" s="252"/>
      <c r="JAK381" s="252"/>
      <c r="JAL381" s="252"/>
      <c r="JAM381" s="252"/>
      <c r="JAN381" s="252"/>
      <c r="JAO381" s="252"/>
      <c r="JAP381" s="252"/>
      <c r="JAQ381" s="252"/>
      <c r="JAR381" s="252"/>
      <c r="JAS381" s="252"/>
      <c r="JAT381" s="252"/>
      <c r="JAU381" s="252"/>
      <c r="JAV381" s="252"/>
      <c r="JAW381" s="252"/>
      <c r="JAX381" s="252"/>
      <c r="JAY381" s="252"/>
      <c r="JAZ381" s="252"/>
      <c r="JBA381" s="252"/>
      <c r="JBB381" s="252"/>
      <c r="JBC381" s="252"/>
      <c r="JBD381" s="252"/>
      <c r="JBE381" s="252"/>
      <c r="JBF381" s="252"/>
      <c r="JBG381" s="252"/>
      <c r="JBH381" s="252"/>
      <c r="JBI381" s="252"/>
      <c r="JBJ381" s="252"/>
      <c r="JBK381" s="252"/>
      <c r="JBL381" s="252"/>
      <c r="JBM381" s="252"/>
      <c r="JBN381" s="252"/>
      <c r="JBO381" s="252"/>
      <c r="JBP381" s="252"/>
      <c r="JBQ381" s="252"/>
      <c r="JBR381" s="252"/>
      <c r="JBS381" s="252"/>
      <c r="JBT381" s="252"/>
      <c r="JBU381" s="252"/>
      <c r="JBV381" s="252"/>
      <c r="JBW381" s="252"/>
      <c r="JBX381" s="252"/>
      <c r="JBY381" s="252"/>
      <c r="JBZ381" s="252"/>
      <c r="JCA381" s="252"/>
      <c r="JCB381" s="252"/>
      <c r="JCC381" s="252"/>
      <c r="JCD381" s="252"/>
      <c r="JCE381" s="252"/>
      <c r="JCF381" s="252"/>
      <c r="JCG381" s="252"/>
      <c r="JCH381" s="252"/>
      <c r="JCI381" s="252"/>
      <c r="JCJ381" s="252"/>
      <c r="JCK381" s="252"/>
      <c r="JCL381" s="252"/>
      <c r="JCM381" s="252"/>
      <c r="JCN381" s="252"/>
      <c r="JCO381" s="252"/>
      <c r="JCP381" s="252"/>
      <c r="JCQ381" s="252"/>
      <c r="JCR381" s="252"/>
      <c r="JCS381" s="252"/>
      <c r="JCT381" s="252"/>
      <c r="JCU381" s="252"/>
      <c r="JCV381" s="252"/>
      <c r="JCW381" s="252"/>
      <c r="JCX381" s="252"/>
      <c r="JCY381" s="252"/>
      <c r="JCZ381" s="252"/>
      <c r="JDA381" s="252"/>
      <c r="JDB381" s="252"/>
      <c r="JDC381" s="252"/>
      <c r="JDD381" s="252"/>
      <c r="JDE381" s="252"/>
      <c r="JDF381" s="252"/>
      <c r="JDG381" s="252"/>
      <c r="JDH381" s="252"/>
      <c r="JDI381" s="252"/>
      <c r="JDJ381" s="252"/>
      <c r="JDK381" s="252"/>
      <c r="JDL381" s="252"/>
      <c r="JDM381" s="252"/>
      <c r="JDN381" s="252"/>
      <c r="JDO381" s="252"/>
      <c r="JDP381" s="252"/>
      <c r="JDQ381" s="252"/>
      <c r="JDR381" s="252"/>
      <c r="JDS381" s="252"/>
      <c r="JDT381" s="252"/>
      <c r="JDU381" s="252"/>
      <c r="JDV381" s="252"/>
      <c r="JDW381" s="252"/>
      <c r="JDX381" s="252"/>
      <c r="JDY381" s="252"/>
      <c r="JDZ381" s="252"/>
      <c r="JEA381" s="252"/>
      <c r="JEB381" s="252"/>
      <c r="JEC381" s="252"/>
      <c r="JED381" s="252"/>
      <c r="JEE381" s="252"/>
      <c r="JEF381" s="252"/>
      <c r="JEG381" s="252"/>
      <c r="JEH381" s="252"/>
      <c r="JEI381" s="252"/>
      <c r="JEJ381" s="252"/>
      <c r="JEK381" s="252"/>
      <c r="JEL381" s="252"/>
      <c r="JEM381" s="252"/>
      <c r="JEN381" s="252"/>
      <c r="JEO381" s="252"/>
      <c r="JEP381" s="252"/>
      <c r="JEQ381" s="252"/>
      <c r="JER381" s="252"/>
      <c r="JES381" s="252"/>
      <c r="JET381" s="252"/>
      <c r="JEU381" s="252"/>
      <c r="JEV381" s="252"/>
      <c r="JEW381" s="252"/>
      <c r="JEX381" s="252"/>
      <c r="JEY381" s="252"/>
      <c r="JEZ381" s="252"/>
      <c r="JFA381" s="252"/>
      <c r="JFB381" s="252"/>
      <c r="JFC381" s="252"/>
      <c r="JFD381" s="252"/>
      <c r="JFE381" s="252"/>
      <c r="JFF381" s="252"/>
      <c r="JFG381" s="252"/>
      <c r="JFH381" s="252"/>
      <c r="JFI381" s="252"/>
      <c r="JFJ381" s="252"/>
      <c r="JFK381" s="252"/>
      <c r="JFL381" s="252"/>
      <c r="JFM381" s="252"/>
      <c r="JFN381" s="252"/>
      <c r="JFO381" s="252"/>
      <c r="JFP381" s="252"/>
      <c r="JFQ381" s="252"/>
      <c r="JFR381" s="252"/>
      <c r="JFS381" s="252"/>
      <c r="JFT381" s="252"/>
      <c r="JFU381" s="252"/>
      <c r="JFV381" s="252"/>
      <c r="JFW381" s="252"/>
      <c r="JFX381" s="252"/>
      <c r="JFY381" s="252"/>
      <c r="JFZ381" s="252"/>
      <c r="JGA381" s="252"/>
      <c r="JGB381" s="252"/>
      <c r="JGC381" s="252"/>
      <c r="JGD381" s="252"/>
      <c r="JGE381" s="252"/>
      <c r="JGF381" s="252"/>
      <c r="JGG381" s="252"/>
      <c r="JGH381" s="252"/>
      <c r="JGI381" s="252"/>
      <c r="JGJ381" s="252"/>
      <c r="JGK381" s="252"/>
      <c r="JGL381" s="252"/>
      <c r="JGM381" s="252"/>
      <c r="JGN381" s="252"/>
      <c r="JGO381" s="252"/>
      <c r="JGP381" s="252"/>
      <c r="JGQ381" s="252"/>
      <c r="JGR381" s="252"/>
      <c r="JGS381" s="252"/>
      <c r="JGT381" s="252"/>
      <c r="JGU381" s="252"/>
      <c r="JGV381" s="252"/>
      <c r="JGW381" s="252"/>
      <c r="JGX381" s="252"/>
      <c r="JGY381" s="252"/>
      <c r="JGZ381" s="252"/>
      <c r="JHA381" s="252"/>
      <c r="JHB381" s="252"/>
      <c r="JHC381" s="252"/>
      <c r="JHD381" s="252"/>
      <c r="JHE381" s="252"/>
      <c r="JHF381" s="252"/>
      <c r="JHG381" s="252"/>
      <c r="JHH381" s="252"/>
      <c r="JHI381" s="252"/>
      <c r="JHJ381" s="252"/>
      <c r="JHK381" s="252"/>
      <c r="JHL381" s="252"/>
      <c r="JHM381" s="252"/>
      <c r="JHN381" s="252"/>
      <c r="JHO381" s="252"/>
      <c r="JHP381" s="252"/>
      <c r="JHQ381" s="252"/>
      <c r="JHR381" s="252"/>
      <c r="JHS381" s="252"/>
      <c r="JHT381" s="252"/>
      <c r="JHU381" s="252"/>
      <c r="JHV381" s="252"/>
      <c r="JHW381" s="252"/>
      <c r="JHX381" s="252"/>
      <c r="JHY381" s="252"/>
      <c r="JHZ381" s="252"/>
      <c r="JIA381" s="252"/>
      <c r="JIB381" s="252"/>
      <c r="JIC381" s="252"/>
      <c r="JID381" s="252"/>
      <c r="JIE381" s="252"/>
      <c r="JIF381" s="252"/>
      <c r="JIG381" s="252"/>
      <c r="JIH381" s="252"/>
      <c r="JII381" s="252"/>
      <c r="JIJ381" s="252"/>
      <c r="JIK381" s="252"/>
      <c r="JIL381" s="252"/>
      <c r="JIM381" s="252"/>
      <c r="JIN381" s="252"/>
      <c r="JIO381" s="252"/>
      <c r="JIP381" s="252"/>
      <c r="JIQ381" s="252"/>
      <c r="JIR381" s="252"/>
      <c r="JIS381" s="252"/>
      <c r="JIT381" s="252"/>
      <c r="JIU381" s="252"/>
      <c r="JIV381" s="252"/>
      <c r="JIW381" s="252"/>
      <c r="JIX381" s="252"/>
      <c r="JIY381" s="252"/>
      <c r="JIZ381" s="252"/>
      <c r="JJA381" s="252"/>
      <c r="JJB381" s="252"/>
      <c r="JJC381" s="252"/>
      <c r="JJD381" s="252"/>
      <c r="JJE381" s="252"/>
      <c r="JJF381" s="252"/>
      <c r="JJG381" s="252"/>
      <c r="JJH381" s="252"/>
      <c r="JJI381" s="252"/>
      <c r="JJJ381" s="252"/>
      <c r="JJK381" s="252"/>
      <c r="JJL381" s="252"/>
      <c r="JJM381" s="252"/>
      <c r="JJN381" s="252"/>
      <c r="JJO381" s="252"/>
      <c r="JJP381" s="252"/>
      <c r="JJQ381" s="252"/>
      <c r="JJR381" s="252"/>
      <c r="JJS381" s="252"/>
      <c r="JJT381" s="252"/>
      <c r="JJU381" s="252"/>
      <c r="JJV381" s="252"/>
      <c r="JJW381" s="252"/>
      <c r="JJX381" s="252"/>
      <c r="JJY381" s="252"/>
      <c r="JJZ381" s="252"/>
      <c r="JKA381" s="252"/>
      <c r="JKB381" s="252"/>
      <c r="JKC381" s="252"/>
      <c r="JKD381" s="252"/>
      <c r="JKE381" s="252"/>
      <c r="JKF381" s="252"/>
      <c r="JKG381" s="252"/>
      <c r="JKH381" s="252"/>
      <c r="JKI381" s="252"/>
      <c r="JKJ381" s="252"/>
      <c r="JKK381" s="252"/>
      <c r="JKL381" s="252"/>
      <c r="JKM381" s="252"/>
      <c r="JKN381" s="252"/>
      <c r="JKO381" s="252"/>
      <c r="JKP381" s="252"/>
      <c r="JKQ381" s="252"/>
      <c r="JKR381" s="252"/>
      <c r="JKS381" s="252"/>
      <c r="JKT381" s="252"/>
      <c r="JKU381" s="252"/>
      <c r="JKV381" s="252"/>
      <c r="JKW381" s="252"/>
      <c r="JKX381" s="252"/>
      <c r="JKY381" s="252"/>
      <c r="JKZ381" s="252"/>
      <c r="JLA381" s="252"/>
      <c r="JLB381" s="252"/>
      <c r="JLC381" s="252"/>
      <c r="JLD381" s="252"/>
      <c r="JLE381" s="252"/>
      <c r="JLF381" s="252"/>
      <c r="JLG381" s="252"/>
      <c r="JLH381" s="252"/>
      <c r="JLI381" s="252"/>
      <c r="JLJ381" s="252"/>
      <c r="JLK381" s="252"/>
      <c r="JLL381" s="252"/>
      <c r="JLM381" s="252"/>
      <c r="JLN381" s="252"/>
      <c r="JLO381" s="252"/>
      <c r="JLP381" s="252"/>
      <c r="JLQ381" s="252"/>
      <c r="JLR381" s="252"/>
      <c r="JLS381" s="252"/>
      <c r="JLT381" s="252"/>
      <c r="JLU381" s="252"/>
      <c r="JLV381" s="252"/>
      <c r="JLW381" s="252"/>
      <c r="JLX381" s="252"/>
      <c r="JLY381" s="252"/>
      <c r="JLZ381" s="252"/>
      <c r="JMA381" s="252"/>
      <c r="JMB381" s="252"/>
      <c r="JMC381" s="252"/>
      <c r="JMD381" s="252"/>
      <c r="JME381" s="252"/>
      <c r="JMF381" s="252"/>
      <c r="JMG381" s="252"/>
      <c r="JMH381" s="252"/>
      <c r="JMI381" s="252"/>
      <c r="JMJ381" s="252"/>
      <c r="JMK381" s="252"/>
      <c r="JML381" s="252"/>
      <c r="JMM381" s="252"/>
      <c r="JMN381" s="252"/>
      <c r="JMO381" s="252"/>
      <c r="JMP381" s="252"/>
      <c r="JMQ381" s="252"/>
      <c r="JMR381" s="252"/>
      <c r="JMS381" s="252"/>
      <c r="JMT381" s="252"/>
      <c r="JMU381" s="252"/>
      <c r="JMV381" s="252"/>
      <c r="JMW381" s="252"/>
      <c r="JMX381" s="252"/>
      <c r="JMY381" s="252"/>
      <c r="JMZ381" s="252"/>
      <c r="JNA381" s="252"/>
      <c r="JNB381" s="252"/>
      <c r="JNC381" s="252"/>
      <c r="JND381" s="252"/>
      <c r="JNE381" s="252"/>
      <c r="JNF381" s="252"/>
      <c r="JNG381" s="252"/>
      <c r="JNH381" s="252"/>
      <c r="JNI381" s="252"/>
      <c r="JNJ381" s="252"/>
      <c r="JNK381" s="252"/>
      <c r="JNL381" s="252"/>
      <c r="JNM381" s="252"/>
      <c r="JNN381" s="252"/>
      <c r="JNO381" s="252"/>
      <c r="JNP381" s="252"/>
      <c r="JNQ381" s="252"/>
      <c r="JNR381" s="252"/>
      <c r="JNS381" s="252"/>
      <c r="JNT381" s="252"/>
      <c r="JNU381" s="252"/>
      <c r="JNV381" s="252"/>
      <c r="JNW381" s="252"/>
      <c r="JNX381" s="252"/>
      <c r="JNY381" s="252"/>
      <c r="JNZ381" s="252"/>
      <c r="JOA381" s="252"/>
      <c r="JOB381" s="252"/>
      <c r="JOC381" s="252"/>
      <c r="JOD381" s="252"/>
      <c r="JOE381" s="252"/>
      <c r="JOF381" s="252"/>
      <c r="JOG381" s="252"/>
      <c r="JOH381" s="252"/>
      <c r="JOI381" s="252"/>
      <c r="JOJ381" s="252"/>
      <c r="JOK381" s="252"/>
      <c r="JOL381" s="252"/>
      <c r="JOM381" s="252"/>
      <c r="JON381" s="252"/>
      <c r="JOO381" s="252"/>
      <c r="JOP381" s="252"/>
      <c r="JOQ381" s="252"/>
      <c r="JOR381" s="252"/>
      <c r="JOS381" s="252"/>
      <c r="JOT381" s="252"/>
      <c r="JOU381" s="252"/>
      <c r="JOV381" s="252"/>
      <c r="JOW381" s="252"/>
      <c r="JOX381" s="252"/>
      <c r="JOY381" s="252"/>
      <c r="JOZ381" s="252"/>
      <c r="JPA381" s="252"/>
      <c r="JPB381" s="252"/>
      <c r="JPC381" s="252"/>
      <c r="JPD381" s="252"/>
      <c r="JPE381" s="252"/>
      <c r="JPF381" s="252"/>
      <c r="JPG381" s="252"/>
      <c r="JPH381" s="252"/>
      <c r="JPI381" s="252"/>
      <c r="JPJ381" s="252"/>
      <c r="JPK381" s="252"/>
      <c r="JPL381" s="252"/>
      <c r="JPM381" s="252"/>
      <c r="JPN381" s="252"/>
      <c r="JPO381" s="252"/>
      <c r="JPP381" s="252"/>
      <c r="JPQ381" s="252"/>
      <c r="JPR381" s="252"/>
      <c r="JPS381" s="252"/>
      <c r="JPT381" s="252"/>
      <c r="JPU381" s="252"/>
      <c r="JPV381" s="252"/>
      <c r="JPW381" s="252"/>
      <c r="JPX381" s="252"/>
      <c r="JPY381" s="252"/>
      <c r="JPZ381" s="252"/>
      <c r="JQA381" s="252"/>
      <c r="JQB381" s="252"/>
      <c r="JQC381" s="252"/>
      <c r="JQD381" s="252"/>
      <c r="JQE381" s="252"/>
      <c r="JQF381" s="252"/>
      <c r="JQG381" s="252"/>
      <c r="JQH381" s="252"/>
      <c r="JQI381" s="252"/>
      <c r="JQJ381" s="252"/>
      <c r="JQK381" s="252"/>
      <c r="JQL381" s="252"/>
      <c r="JQM381" s="252"/>
      <c r="JQN381" s="252"/>
      <c r="JQO381" s="252"/>
      <c r="JQP381" s="252"/>
      <c r="JQQ381" s="252"/>
      <c r="JQR381" s="252"/>
      <c r="JQS381" s="252"/>
      <c r="JQT381" s="252"/>
      <c r="JQU381" s="252"/>
      <c r="JQV381" s="252"/>
      <c r="JQW381" s="252"/>
      <c r="JQX381" s="252"/>
      <c r="JQY381" s="252"/>
      <c r="JQZ381" s="252"/>
      <c r="JRA381" s="252"/>
      <c r="JRB381" s="252"/>
      <c r="JRC381" s="252"/>
      <c r="JRD381" s="252"/>
      <c r="JRE381" s="252"/>
      <c r="JRF381" s="252"/>
      <c r="JRG381" s="252"/>
      <c r="JRH381" s="252"/>
      <c r="JRI381" s="252"/>
      <c r="JRJ381" s="252"/>
      <c r="JRK381" s="252"/>
      <c r="JRL381" s="252"/>
      <c r="JRM381" s="252"/>
      <c r="JRN381" s="252"/>
      <c r="JRO381" s="252"/>
      <c r="JRP381" s="252"/>
      <c r="JRQ381" s="252"/>
      <c r="JRR381" s="252"/>
      <c r="JRS381" s="252"/>
      <c r="JRT381" s="252"/>
      <c r="JRU381" s="252"/>
      <c r="JRV381" s="252"/>
      <c r="JRW381" s="252"/>
      <c r="JRX381" s="252"/>
      <c r="JRY381" s="252"/>
      <c r="JRZ381" s="252"/>
      <c r="JSA381" s="252"/>
      <c r="JSB381" s="252"/>
      <c r="JSC381" s="252"/>
      <c r="JSD381" s="252"/>
      <c r="JSE381" s="252"/>
      <c r="JSF381" s="252"/>
      <c r="JSG381" s="252"/>
      <c r="JSH381" s="252"/>
      <c r="JSI381" s="252"/>
      <c r="JSJ381" s="252"/>
      <c r="JSK381" s="252"/>
      <c r="JSL381" s="252"/>
      <c r="JSM381" s="252"/>
      <c r="JSN381" s="252"/>
      <c r="JSO381" s="252"/>
      <c r="JSP381" s="252"/>
      <c r="JSQ381" s="252"/>
      <c r="JSR381" s="252"/>
      <c r="JSS381" s="252"/>
      <c r="JST381" s="252"/>
      <c r="JSU381" s="252"/>
      <c r="JSV381" s="252"/>
      <c r="JSW381" s="252"/>
      <c r="JSX381" s="252"/>
      <c r="JSY381" s="252"/>
      <c r="JSZ381" s="252"/>
      <c r="JTA381" s="252"/>
      <c r="JTB381" s="252"/>
      <c r="JTC381" s="252"/>
      <c r="JTD381" s="252"/>
      <c r="JTE381" s="252"/>
      <c r="JTF381" s="252"/>
      <c r="JTG381" s="252"/>
      <c r="JTH381" s="252"/>
      <c r="JTI381" s="252"/>
      <c r="JTJ381" s="252"/>
      <c r="JTK381" s="252"/>
      <c r="JTL381" s="252"/>
      <c r="JTM381" s="252"/>
      <c r="JTN381" s="252"/>
      <c r="JTO381" s="252"/>
      <c r="JTP381" s="252"/>
      <c r="JTQ381" s="252"/>
      <c r="JTR381" s="252"/>
      <c r="JTS381" s="252"/>
      <c r="JTT381" s="252"/>
      <c r="JTU381" s="252"/>
      <c r="JTV381" s="252"/>
      <c r="JTW381" s="252"/>
      <c r="JTX381" s="252"/>
      <c r="JTY381" s="252"/>
      <c r="JTZ381" s="252"/>
      <c r="JUA381" s="252"/>
      <c r="JUB381" s="252"/>
      <c r="JUC381" s="252"/>
      <c r="JUD381" s="252"/>
      <c r="JUE381" s="252"/>
      <c r="JUF381" s="252"/>
      <c r="JUG381" s="252"/>
      <c r="JUH381" s="252"/>
      <c r="JUI381" s="252"/>
      <c r="JUJ381" s="252"/>
      <c r="JUK381" s="252"/>
      <c r="JUL381" s="252"/>
      <c r="JUM381" s="252"/>
      <c r="JUN381" s="252"/>
      <c r="JUO381" s="252"/>
      <c r="JUP381" s="252"/>
      <c r="JUQ381" s="252"/>
      <c r="JUR381" s="252"/>
      <c r="JUS381" s="252"/>
      <c r="JUT381" s="252"/>
      <c r="JUU381" s="252"/>
      <c r="JUV381" s="252"/>
      <c r="JUW381" s="252"/>
      <c r="JUX381" s="252"/>
      <c r="JUY381" s="252"/>
      <c r="JUZ381" s="252"/>
      <c r="JVA381" s="252"/>
      <c r="JVB381" s="252"/>
      <c r="JVC381" s="252"/>
      <c r="JVD381" s="252"/>
      <c r="JVE381" s="252"/>
      <c r="JVF381" s="252"/>
      <c r="JVG381" s="252"/>
      <c r="JVH381" s="252"/>
      <c r="JVI381" s="252"/>
      <c r="JVJ381" s="252"/>
      <c r="JVK381" s="252"/>
      <c r="JVL381" s="252"/>
      <c r="JVM381" s="252"/>
      <c r="JVN381" s="252"/>
      <c r="JVO381" s="252"/>
      <c r="JVP381" s="252"/>
      <c r="JVQ381" s="252"/>
      <c r="JVR381" s="252"/>
      <c r="JVS381" s="252"/>
      <c r="JVT381" s="252"/>
      <c r="JVU381" s="252"/>
      <c r="JVV381" s="252"/>
      <c r="JVW381" s="252"/>
      <c r="JVX381" s="252"/>
      <c r="JVY381" s="252"/>
      <c r="JVZ381" s="252"/>
      <c r="JWA381" s="252"/>
      <c r="JWB381" s="252"/>
      <c r="JWC381" s="252"/>
      <c r="JWD381" s="252"/>
      <c r="JWE381" s="252"/>
      <c r="JWF381" s="252"/>
      <c r="JWG381" s="252"/>
      <c r="JWH381" s="252"/>
      <c r="JWI381" s="252"/>
      <c r="JWJ381" s="252"/>
      <c r="JWK381" s="252"/>
      <c r="JWL381" s="252"/>
      <c r="JWM381" s="252"/>
      <c r="JWN381" s="252"/>
      <c r="JWO381" s="252"/>
      <c r="JWP381" s="252"/>
      <c r="JWQ381" s="252"/>
      <c r="JWR381" s="252"/>
      <c r="JWS381" s="252"/>
      <c r="JWT381" s="252"/>
      <c r="JWU381" s="252"/>
      <c r="JWV381" s="252"/>
      <c r="JWW381" s="252"/>
      <c r="JWX381" s="252"/>
      <c r="JWY381" s="252"/>
      <c r="JWZ381" s="252"/>
      <c r="JXA381" s="252"/>
      <c r="JXB381" s="252"/>
      <c r="JXC381" s="252"/>
      <c r="JXD381" s="252"/>
      <c r="JXE381" s="252"/>
      <c r="JXF381" s="252"/>
      <c r="JXG381" s="252"/>
      <c r="JXH381" s="252"/>
      <c r="JXI381" s="252"/>
      <c r="JXJ381" s="252"/>
      <c r="JXK381" s="252"/>
      <c r="JXL381" s="252"/>
      <c r="JXM381" s="252"/>
      <c r="JXN381" s="252"/>
      <c r="JXO381" s="252"/>
      <c r="JXP381" s="252"/>
      <c r="JXQ381" s="252"/>
      <c r="JXR381" s="252"/>
      <c r="JXS381" s="252"/>
      <c r="JXT381" s="252"/>
      <c r="JXU381" s="252"/>
      <c r="JXV381" s="252"/>
      <c r="JXW381" s="252"/>
      <c r="JXX381" s="252"/>
      <c r="JXY381" s="252"/>
      <c r="JXZ381" s="252"/>
      <c r="JYA381" s="252"/>
      <c r="JYB381" s="252"/>
      <c r="JYC381" s="252"/>
      <c r="JYD381" s="252"/>
      <c r="JYE381" s="252"/>
      <c r="JYF381" s="252"/>
      <c r="JYG381" s="252"/>
      <c r="JYH381" s="252"/>
      <c r="JYI381" s="252"/>
      <c r="JYJ381" s="252"/>
      <c r="JYK381" s="252"/>
      <c r="JYL381" s="252"/>
      <c r="JYM381" s="252"/>
      <c r="JYN381" s="252"/>
      <c r="JYO381" s="252"/>
      <c r="JYP381" s="252"/>
      <c r="JYQ381" s="252"/>
      <c r="JYR381" s="252"/>
      <c r="JYS381" s="252"/>
      <c r="JYT381" s="252"/>
      <c r="JYU381" s="252"/>
      <c r="JYV381" s="252"/>
      <c r="JYW381" s="252"/>
      <c r="JYX381" s="252"/>
      <c r="JYY381" s="252"/>
      <c r="JYZ381" s="252"/>
      <c r="JZA381" s="252"/>
      <c r="JZB381" s="252"/>
      <c r="JZC381" s="252"/>
      <c r="JZD381" s="252"/>
      <c r="JZE381" s="252"/>
      <c r="JZF381" s="252"/>
      <c r="JZG381" s="252"/>
      <c r="JZH381" s="252"/>
      <c r="JZI381" s="252"/>
      <c r="JZJ381" s="252"/>
      <c r="JZK381" s="252"/>
      <c r="JZL381" s="252"/>
      <c r="JZM381" s="252"/>
      <c r="JZN381" s="252"/>
      <c r="JZO381" s="252"/>
      <c r="JZP381" s="252"/>
      <c r="JZQ381" s="252"/>
      <c r="JZR381" s="252"/>
      <c r="JZS381" s="252"/>
      <c r="JZT381" s="252"/>
      <c r="JZU381" s="252"/>
      <c r="JZV381" s="252"/>
      <c r="JZW381" s="252"/>
      <c r="JZX381" s="252"/>
      <c r="JZY381" s="252"/>
      <c r="JZZ381" s="252"/>
      <c r="KAA381" s="252"/>
      <c r="KAB381" s="252"/>
      <c r="KAC381" s="252"/>
      <c r="KAD381" s="252"/>
      <c r="KAE381" s="252"/>
      <c r="KAF381" s="252"/>
      <c r="KAG381" s="252"/>
      <c r="KAH381" s="252"/>
      <c r="KAI381" s="252"/>
      <c r="KAJ381" s="252"/>
      <c r="KAK381" s="252"/>
      <c r="KAL381" s="252"/>
      <c r="KAM381" s="252"/>
      <c r="KAN381" s="252"/>
      <c r="KAO381" s="252"/>
      <c r="KAP381" s="252"/>
      <c r="KAQ381" s="252"/>
      <c r="KAR381" s="252"/>
      <c r="KAS381" s="252"/>
      <c r="KAT381" s="252"/>
      <c r="KAU381" s="252"/>
      <c r="KAV381" s="252"/>
      <c r="KAW381" s="252"/>
      <c r="KAX381" s="252"/>
      <c r="KAY381" s="252"/>
      <c r="KAZ381" s="252"/>
      <c r="KBA381" s="252"/>
      <c r="KBB381" s="252"/>
      <c r="KBC381" s="252"/>
      <c r="KBD381" s="252"/>
      <c r="KBE381" s="252"/>
      <c r="KBF381" s="252"/>
      <c r="KBG381" s="252"/>
      <c r="KBH381" s="252"/>
      <c r="KBI381" s="252"/>
      <c r="KBJ381" s="252"/>
      <c r="KBK381" s="252"/>
      <c r="KBL381" s="252"/>
      <c r="KBM381" s="252"/>
      <c r="KBN381" s="252"/>
      <c r="KBO381" s="252"/>
      <c r="KBP381" s="252"/>
      <c r="KBQ381" s="252"/>
      <c r="KBR381" s="252"/>
      <c r="KBS381" s="252"/>
      <c r="KBT381" s="252"/>
      <c r="KBU381" s="252"/>
      <c r="KBV381" s="252"/>
      <c r="KBW381" s="252"/>
      <c r="KBX381" s="252"/>
      <c r="KBY381" s="252"/>
      <c r="KBZ381" s="252"/>
      <c r="KCA381" s="252"/>
      <c r="KCB381" s="252"/>
      <c r="KCC381" s="252"/>
      <c r="KCD381" s="252"/>
      <c r="KCE381" s="252"/>
      <c r="KCF381" s="252"/>
      <c r="KCG381" s="252"/>
      <c r="KCH381" s="252"/>
      <c r="KCI381" s="252"/>
      <c r="KCJ381" s="252"/>
      <c r="KCK381" s="252"/>
      <c r="KCL381" s="252"/>
      <c r="KCM381" s="252"/>
      <c r="KCN381" s="252"/>
      <c r="KCO381" s="252"/>
      <c r="KCP381" s="252"/>
      <c r="KCQ381" s="252"/>
      <c r="KCR381" s="252"/>
      <c r="KCS381" s="252"/>
      <c r="KCT381" s="252"/>
      <c r="KCU381" s="252"/>
      <c r="KCV381" s="252"/>
      <c r="KCW381" s="252"/>
      <c r="KCX381" s="252"/>
      <c r="KCY381" s="252"/>
      <c r="KCZ381" s="252"/>
      <c r="KDA381" s="252"/>
      <c r="KDB381" s="252"/>
      <c r="KDC381" s="252"/>
      <c r="KDD381" s="252"/>
      <c r="KDE381" s="252"/>
      <c r="KDF381" s="252"/>
      <c r="KDG381" s="252"/>
      <c r="KDH381" s="252"/>
      <c r="KDI381" s="252"/>
      <c r="KDJ381" s="252"/>
      <c r="KDK381" s="252"/>
      <c r="KDL381" s="252"/>
      <c r="KDM381" s="252"/>
      <c r="KDN381" s="252"/>
      <c r="KDO381" s="252"/>
      <c r="KDP381" s="252"/>
      <c r="KDQ381" s="252"/>
      <c r="KDR381" s="252"/>
      <c r="KDS381" s="252"/>
      <c r="KDT381" s="252"/>
      <c r="KDU381" s="252"/>
      <c r="KDV381" s="252"/>
      <c r="KDW381" s="252"/>
      <c r="KDX381" s="252"/>
      <c r="KDY381" s="252"/>
      <c r="KDZ381" s="252"/>
      <c r="KEA381" s="252"/>
      <c r="KEB381" s="252"/>
      <c r="KEC381" s="252"/>
      <c r="KED381" s="252"/>
      <c r="KEE381" s="252"/>
      <c r="KEF381" s="252"/>
      <c r="KEG381" s="252"/>
      <c r="KEH381" s="252"/>
      <c r="KEI381" s="252"/>
      <c r="KEJ381" s="252"/>
      <c r="KEK381" s="252"/>
      <c r="KEL381" s="252"/>
      <c r="KEM381" s="252"/>
      <c r="KEN381" s="252"/>
      <c r="KEO381" s="252"/>
      <c r="KEP381" s="252"/>
      <c r="KEQ381" s="252"/>
      <c r="KER381" s="252"/>
      <c r="KES381" s="252"/>
      <c r="KET381" s="252"/>
      <c r="KEU381" s="252"/>
      <c r="KEV381" s="252"/>
      <c r="KEW381" s="252"/>
      <c r="KEX381" s="252"/>
      <c r="KEY381" s="252"/>
      <c r="KEZ381" s="252"/>
      <c r="KFA381" s="252"/>
      <c r="KFB381" s="252"/>
      <c r="KFC381" s="252"/>
      <c r="KFD381" s="252"/>
      <c r="KFE381" s="252"/>
      <c r="KFF381" s="252"/>
      <c r="KFG381" s="252"/>
      <c r="KFH381" s="252"/>
      <c r="KFI381" s="252"/>
      <c r="KFJ381" s="252"/>
      <c r="KFK381" s="252"/>
      <c r="KFL381" s="252"/>
      <c r="KFM381" s="252"/>
      <c r="KFN381" s="252"/>
      <c r="KFO381" s="252"/>
      <c r="KFP381" s="252"/>
      <c r="KFQ381" s="252"/>
      <c r="KFR381" s="252"/>
      <c r="KFS381" s="252"/>
      <c r="KFT381" s="252"/>
      <c r="KFU381" s="252"/>
      <c r="KFV381" s="252"/>
      <c r="KFW381" s="252"/>
      <c r="KFX381" s="252"/>
      <c r="KFY381" s="252"/>
      <c r="KFZ381" s="252"/>
      <c r="KGA381" s="252"/>
      <c r="KGB381" s="252"/>
      <c r="KGC381" s="252"/>
      <c r="KGD381" s="252"/>
      <c r="KGE381" s="252"/>
      <c r="KGF381" s="252"/>
      <c r="KGG381" s="252"/>
      <c r="KGH381" s="252"/>
      <c r="KGI381" s="252"/>
      <c r="KGJ381" s="252"/>
      <c r="KGK381" s="252"/>
      <c r="KGL381" s="252"/>
      <c r="KGM381" s="252"/>
      <c r="KGN381" s="252"/>
      <c r="KGO381" s="252"/>
      <c r="KGP381" s="252"/>
      <c r="KGQ381" s="252"/>
      <c r="KGR381" s="252"/>
      <c r="KGS381" s="252"/>
      <c r="KGT381" s="252"/>
      <c r="KGU381" s="252"/>
      <c r="KGV381" s="252"/>
      <c r="KGW381" s="252"/>
      <c r="KGX381" s="252"/>
      <c r="KGY381" s="252"/>
      <c r="KGZ381" s="252"/>
      <c r="KHA381" s="252"/>
      <c r="KHB381" s="252"/>
      <c r="KHC381" s="252"/>
      <c r="KHD381" s="252"/>
      <c r="KHE381" s="252"/>
      <c r="KHF381" s="252"/>
      <c r="KHG381" s="252"/>
      <c r="KHH381" s="252"/>
      <c r="KHI381" s="252"/>
      <c r="KHJ381" s="252"/>
      <c r="KHK381" s="252"/>
      <c r="KHL381" s="252"/>
      <c r="KHM381" s="252"/>
      <c r="KHN381" s="252"/>
      <c r="KHO381" s="252"/>
      <c r="KHP381" s="252"/>
      <c r="KHQ381" s="252"/>
      <c r="KHR381" s="252"/>
      <c r="KHS381" s="252"/>
      <c r="KHT381" s="252"/>
      <c r="KHU381" s="252"/>
      <c r="KHV381" s="252"/>
      <c r="KHW381" s="252"/>
      <c r="KHX381" s="252"/>
      <c r="KHY381" s="252"/>
      <c r="KHZ381" s="252"/>
      <c r="KIA381" s="252"/>
      <c r="KIB381" s="252"/>
      <c r="KIC381" s="252"/>
      <c r="KID381" s="252"/>
      <c r="KIE381" s="252"/>
      <c r="KIF381" s="252"/>
      <c r="KIG381" s="252"/>
      <c r="KIH381" s="252"/>
      <c r="KII381" s="252"/>
      <c r="KIJ381" s="252"/>
      <c r="KIK381" s="252"/>
      <c r="KIL381" s="252"/>
      <c r="KIM381" s="252"/>
      <c r="KIN381" s="252"/>
      <c r="KIO381" s="252"/>
      <c r="KIP381" s="252"/>
      <c r="KIQ381" s="252"/>
      <c r="KIR381" s="252"/>
      <c r="KIS381" s="252"/>
      <c r="KIT381" s="252"/>
      <c r="KIU381" s="252"/>
      <c r="KIV381" s="252"/>
      <c r="KIW381" s="252"/>
      <c r="KIX381" s="252"/>
      <c r="KIY381" s="252"/>
      <c r="KIZ381" s="252"/>
      <c r="KJA381" s="252"/>
      <c r="KJB381" s="252"/>
      <c r="KJC381" s="252"/>
      <c r="KJD381" s="252"/>
      <c r="KJE381" s="252"/>
      <c r="KJF381" s="252"/>
      <c r="KJG381" s="252"/>
      <c r="KJH381" s="252"/>
      <c r="KJI381" s="252"/>
      <c r="KJJ381" s="252"/>
      <c r="KJK381" s="252"/>
      <c r="KJL381" s="252"/>
      <c r="KJM381" s="252"/>
      <c r="KJN381" s="252"/>
      <c r="KJO381" s="252"/>
      <c r="KJP381" s="252"/>
      <c r="KJQ381" s="252"/>
      <c r="KJR381" s="252"/>
      <c r="KJS381" s="252"/>
      <c r="KJT381" s="252"/>
      <c r="KJU381" s="252"/>
      <c r="KJV381" s="252"/>
      <c r="KJW381" s="252"/>
      <c r="KJX381" s="252"/>
      <c r="KJY381" s="252"/>
      <c r="KJZ381" s="252"/>
      <c r="KKA381" s="252"/>
      <c r="KKB381" s="252"/>
      <c r="KKC381" s="252"/>
      <c r="KKD381" s="252"/>
      <c r="KKE381" s="252"/>
      <c r="KKF381" s="252"/>
      <c r="KKG381" s="252"/>
      <c r="KKH381" s="252"/>
      <c r="KKI381" s="252"/>
      <c r="KKJ381" s="252"/>
      <c r="KKK381" s="252"/>
      <c r="KKL381" s="252"/>
      <c r="KKM381" s="252"/>
      <c r="KKN381" s="252"/>
      <c r="KKO381" s="252"/>
      <c r="KKP381" s="252"/>
      <c r="KKQ381" s="252"/>
      <c r="KKR381" s="252"/>
      <c r="KKS381" s="252"/>
      <c r="KKT381" s="252"/>
      <c r="KKU381" s="252"/>
      <c r="KKV381" s="252"/>
      <c r="KKW381" s="252"/>
      <c r="KKX381" s="252"/>
      <c r="KKY381" s="252"/>
      <c r="KKZ381" s="252"/>
      <c r="KLA381" s="252"/>
      <c r="KLB381" s="252"/>
      <c r="KLC381" s="252"/>
      <c r="KLD381" s="252"/>
      <c r="KLE381" s="252"/>
      <c r="KLF381" s="252"/>
      <c r="KLG381" s="252"/>
      <c r="KLH381" s="252"/>
      <c r="KLI381" s="252"/>
      <c r="KLJ381" s="252"/>
      <c r="KLK381" s="252"/>
      <c r="KLL381" s="252"/>
      <c r="KLM381" s="252"/>
      <c r="KLN381" s="252"/>
      <c r="KLO381" s="252"/>
      <c r="KLP381" s="252"/>
      <c r="KLQ381" s="252"/>
      <c r="KLR381" s="252"/>
      <c r="KLS381" s="252"/>
      <c r="KLT381" s="252"/>
      <c r="KLU381" s="252"/>
      <c r="KLV381" s="252"/>
      <c r="KLW381" s="252"/>
      <c r="KLX381" s="252"/>
      <c r="KLY381" s="252"/>
      <c r="KLZ381" s="252"/>
      <c r="KMA381" s="252"/>
      <c r="KMB381" s="252"/>
      <c r="KMC381" s="252"/>
      <c r="KMD381" s="252"/>
      <c r="KME381" s="252"/>
      <c r="KMF381" s="252"/>
      <c r="KMG381" s="252"/>
      <c r="KMH381" s="252"/>
      <c r="KMI381" s="252"/>
      <c r="KMJ381" s="252"/>
      <c r="KMK381" s="252"/>
      <c r="KML381" s="252"/>
      <c r="KMM381" s="252"/>
      <c r="KMN381" s="252"/>
      <c r="KMO381" s="252"/>
      <c r="KMP381" s="252"/>
      <c r="KMQ381" s="252"/>
      <c r="KMR381" s="252"/>
      <c r="KMS381" s="252"/>
      <c r="KMT381" s="252"/>
      <c r="KMU381" s="252"/>
      <c r="KMV381" s="252"/>
      <c r="KMW381" s="252"/>
      <c r="KMX381" s="252"/>
      <c r="KMY381" s="252"/>
      <c r="KMZ381" s="252"/>
      <c r="KNA381" s="252"/>
      <c r="KNB381" s="252"/>
      <c r="KNC381" s="252"/>
      <c r="KND381" s="252"/>
      <c r="KNE381" s="252"/>
      <c r="KNF381" s="252"/>
      <c r="KNG381" s="252"/>
      <c r="KNH381" s="252"/>
      <c r="KNI381" s="252"/>
      <c r="KNJ381" s="252"/>
      <c r="KNK381" s="252"/>
      <c r="KNL381" s="252"/>
      <c r="KNM381" s="252"/>
      <c r="KNN381" s="252"/>
      <c r="KNO381" s="252"/>
      <c r="KNP381" s="252"/>
      <c r="KNQ381" s="252"/>
      <c r="KNR381" s="252"/>
      <c r="KNS381" s="252"/>
      <c r="KNT381" s="252"/>
      <c r="KNU381" s="252"/>
      <c r="KNV381" s="252"/>
      <c r="KNW381" s="252"/>
      <c r="KNX381" s="252"/>
      <c r="KNY381" s="252"/>
      <c r="KNZ381" s="252"/>
      <c r="KOA381" s="252"/>
      <c r="KOB381" s="252"/>
      <c r="KOC381" s="252"/>
      <c r="KOD381" s="252"/>
      <c r="KOE381" s="252"/>
      <c r="KOF381" s="252"/>
      <c r="KOG381" s="252"/>
      <c r="KOH381" s="252"/>
      <c r="KOI381" s="252"/>
      <c r="KOJ381" s="252"/>
      <c r="KOK381" s="252"/>
      <c r="KOL381" s="252"/>
      <c r="KOM381" s="252"/>
      <c r="KON381" s="252"/>
      <c r="KOO381" s="252"/>
      <c r="KOP381" s="252"/>
      <c r="KOQ381" s="252"/>
      <c r="KOR381" s="252"/>
      <c r="KOS381" s="252"/>
      <c r="KOT381" s="252"/>
      <c r="KOU381" s="252"/>
      <c r="KOV381" s="252"/>
      <c r="KOW381" s="252"/>
      <c r="KOX381" s="252"/>
      <c r="KOY381" s="252"/>
      <c r="KOZ381" s="252"/>
      <c r="KPA381" s="252"/>
      <c r="KPB381" s="252"/>
      <c r="KPC381" s="252"/>
      <c r="KPD381" s="252"/>
      <c r="KPE381" s="252"/>
      <c r="KPF381" s="252"/>
      <c r="KPG381" s="252"/>
      <c r="KPH381" s="252"/>
      <c r="KPI381" s="252"/>
      <c r="KPJ381" s="252"/>
      <c r="KPK381" s="252"/>
      <c r="KPL381" s="252"/>
      <c r="KPM381" s="252"/>
      <c r="KPN381" s="252"/>
      <c r="KPO381" s="252"/>
      <c r="KPP381" s="252"/>
      <c r="KPQ381" s="252"/>
      <c r="KPR381" s="252"/>
      <c r="KPS381" s="252"/>
      <c r="KPT381" s="252"/>
      <c r="KPU381" s="252"/>
      <c r="KPV381" s="252"/>
      <c r="KPW381" s="252"/>
      <c r="KPX381" s="252"/>
      <c r="KPY381" s="252"/>
      <c r="KPZ381" s="252"/>
      <c r="KQA381" s="252"/>
      <c r="KQB381" s="252"/>
      <c r="KQC381" s="252"/>
      <c r="KQD381" s="252"/>
      <c r="KQE381" s="252"/>
      <c r="KQF381" s="252"/>
      <c r="KQG381" s="252"/>
      <c r="KQH381" s="252"/>
      <c r="KQI381" s="252"/>
      <c r="KQJ381" s="252"/>
      <c r="KQK381" s="252"/>
      <c r="KQL381" s="252"/>
      <c r="KQM381" s="252"/>
      <c r="KQN381" s="252"/>
      <c r="KQO381" s="252"/>
      <c r="KQP381" s="252"/>
      <c r="KQQ381" s="252"/>
      <c r="KQR381" s="252"/>
      <c r="KQS381" s="252"/>
      <c r="KQT381" s="252"/>
      <c r="KQU381" s="252"/>
      <c r="KQV381" s="252"/>
      <c r="KQW381" s="252"/>
      <c r="KQX381" s="252"/>
      <c r="KQY381" s="252"/>
      <c r="KQZ381" s="252"/>
      <c r="KRA381" s="252"/>
      <c r="KRB381" s="252"/>
      <c r="KRC381" s="252"/>
      <c r="KRD381" s="252"/>
      <c r="KRE381" s="252"/>
      <c r="KRF381" s="252"/>
      <c r="KRG381" s="252"/>
      <c r="KRH381" s="252"/>
      <c r="KRI381" s="252"/>
      <c r="KRJ381" s="252"/>
      <c r="KRK381" s="252"/>
      <c r="KRL381" s="252"/>
      <c r="KRM381" s="252"/>
      <c r="KRN381" s="252"/>
      <c r="KRO381" s="252"/>
      <c r="KRP381" s="252"/>
      <c r="KRQ381" s="252"/>
      <c r="KRR381" s="252"/>
      <c r="KRS381" s="252"/>
      <c r="KRT381" s="252"/>
      <c r="KRU381" s="252"/>
      <c r="KRV381" s="252"/>
      <c r="KRW381" s="252"/>
      <c r="KRX381" s="252"/>
      <c r="KRY381" s="252"/>
      <c r="KRZ381" s="252"/>
      <c r="KSA381" s="252"/>
      <c r="KSB381" s="252"/>
      <c r="KSC381" s="252"/>
      <c r="KSD381" s="252"/>
      <c r="KSE381" s="252"/>
      <c r="KSF381" s="252"/>
      <c r="KSG381" s="252"/>
      <c r="KSH381" s="252"/>
      <c r="KSI381" s="252"/>
      <c r="KSJ381" s="252"/>
      <c r="KSK381" s="252"/>
      <c r="KSL381" s="252"/>
      <c r="KSM381" s="252"/>
      <c r="KSN381" s="252"/>
      <c r="KSO381" s="252"/>
      <c r="KSP381" s="252"/>
      <c r="KSQ381" s="252"/>
      <c r="KSR381" s="252"/>
      <c r="KSS381" s="252"/>
      <c r="KST381" s="252"/>
      <c r="KSU381" s="252"/>
      <c r="KSV381" s="252"/>
      <c r="KSW381" s="252"/>
      <c r="KSX381" s="252"/>
      <c r="KSY381" s="252"/>
      <c r="KSZ381" s="252"/>
      <c r="KTA381" s="252"/>
      <c r="KTB381" s="252"/>
      <c r="KTC381" s="252"/>
      <c r="KTD381" s="252"/>
      <c r="KTE381" s="252"/>
      <c r="KTF381" s="252"/>
      <c r="KTG381" s="252"/>
      <c r="KTH381" s="252"/>
      <c r="KTI381" s="252"/>
      <c r="KTJ381" s="252"/>
      <c r="KTK381" s="252"/>
      <c r="KTL381" s="252"/>
      <c r="KTM381" s="252"/>
      <c r="KTN381" s="252"/>
      <c r="KTO381" s="252"/>
      <c r="KTP381" s="252"/>
      <c r="KTQ381" s="252"/>
      <c r="KTR381" s="252"/>
      <c r="KTS381" s="252"/>
      <c r="KTT381" s="252"/>
      <c r="KTU381" s="252"/>
      <c r="KTV381" s="252"/>
      <c r="KTW381" s="252"/>
      <c r="KTX381" s="252"/>
      <c r="KTY381" s="252"/>
      <c r="KTZ381" s="252"/>
      <c r="KUA381" s="252"/>
      <c r="KUB381" s="252"/>
      <c r="KUC381" s="252"/>
      <c r="KUD381" s="252"/>
      <c r="KUE381" s="252"/>
      <c r="KUF381" s="252"/>
      <c r="KUG381" s="252"/>
      <c r="KUH381" s="252"/>
      <c r="KUI381" s="252"/>
      <c r="KUJ381" s="252"/>
      <c r="KUK381" s="252"/>
      <c r="KUL381" s="252"/>
      <c r="KUM381" s="252"/>
      <c r="KUN381" s="252"/>
      <c r="KUO381" s="252"/>
      <c r="KUP381" s="252"/>
      <c r="KUQ381" s="252"/>
      <c r="KUR381" s="252"/>
      <c r="KUS381" s="252"/>
      <c r="KUT381" s="252"/>
      <c r="KUU381" s="252"/>
      <c r="KUV381" s="252"/>
      <c r="KUW381" s="252"/>
      <c r="KUX381" s="252"/>
      <c r="KUY381" s="252"/>
      <c r="KUZ381" s="252"/>
      <c r="KVA381" s="252"/>
      <c r="KVB381" s="252"/>
      <c r="KVC381" s="252"/>
      <c r="KVD381" s="252"/>
      <c r="KVE381" s="252"/>
      <c r="KVF381" s="252"/>
      <c r="KVG381" s="252"/>
      <c r="KVH381" s="252"/>
      <c r="KVI381" s="252"/>
      <c r="KVJ381" s="252"/>
      <c r="KVK381" s="252"/>
      <c r="KVL381" s="252"/>
      <c r="KVM381" s="252"/>
      <c r="KVN381" s="252"/>
      <c r="KVO381" s="252"/>
      <c r="KVP381" s="252"/>
      <c r="KVQ381" s="252"/>
      <c r="KVR381" s="252"/>
      <c r="KVS381" s="252"/>
      <c r="KVT381" s="252"/>
      <c r="KVU381" s="252"/>
      <c r="KVV381" s="252"/>
      <c r="KVW381" s="252"/>
      <c r="KVX381" s="252"/>
      <c r="KVY381" s="252"/>
      <c r="KVZ381" s="252"/>
      <c r="KWA381" s="252"/>
      <c r="KWB381" s="252"/>
      <c r="KWC381" s="252"/>
      <c r="KWD381" s="252"/>
      <c r="KWE381" s="252"/>
      <c r="KWF381" s="252"/>
      <c r="KWG381" s="252"/>
      <c r="KWH381" s="252"/>
      <c r="KWI381" s="252"/>
      <c r="KWJ381" s="252"/>
      <c r="KWK381" s="252"/>
      <c r="KWL381" s="252"/>
      <c r="KWM381" s="252"/>
      <c r="KWN381" s="252"/>
      <c r="KWO381" s="252"/>
      <c r="KWP381" s="252"/>
      <c r="KWQ381" s="252"/>
      <c r="KWR381" s="252"/>
      <c r="KWS381" s="252"/>
      <c r="KWT381" s="252"/>
      <c r="KWU381" s="252"/>
      <c r="KWV381" s="252"/>
      <c r="KWW381" s="252"/>
      <c r="KWX381" s="252"/>
      <c r="KWY381" s="252"/>
      <c r="KWZ381" s="252"/>
      <c r="KXA381" s="252"/>
      <c r="KXB381" s="252"/>
      <c r="KXC381" s="252"/>
      <c r="KXD381" s="252"/>
      <c r="KXE381" s="252"/>
      <c r="KXF381" s="252"/>
      <c r="KXG381" s="252"/>
      <c r="KXH381" s="252"/>
      <c r="KXI381" s="252"/>
      <c r="KXJ381" s="252"/>
      <c r="KXK381" s="252"/>
      <c r="KXL381" s="252"/>
      <c r="KXM381" s="252"/>
      <c r="KXN381" s="252"/>
      <c r="KXO381" s="252"/>
      <c r="KXP381" s="252"/>
      <c r="KXQ381" s="252"/>
      <c r="KXR381" s="252"/>
      <c r="KXS381" s="252"/>
      <c r="KXT381" s="252"/>
      <c r="KXU381" s="252"/>
      <c r="KXV381" s="252"/>
      <c r="KXW381" s="252"/>
      <c r="KXX381" s="252"/>
      <c r="KXY381" s="252"/>
      <c r="KXZ381" s="252"/>
      <c r="KYA381" s="252"/>
      <c r="KYB381" s="252"/>
      <c r="KYC381" s="252"/>
      <c r="KYD381" s="252"/>
      <c r="KYE381" s="252"/>
      <c r="KYF381" s="252"/>
      <c r="KYG381" s="252"/>
      <c r="KYH381" s="252"/>
      <c r="KYI381" s="252"/>
      <c r="KYJ381" s="252"/>
      <c r="KYK381" s="252"/>
      <c r="KYL381" s="252"/>
      <c r="KYM381" s="252"/>
      <c r="KYN381" s="252"/>
      <c r="KYO381" s="252"/>
      <c r="KYP381" s="252"/>
      <c r="KYQ381" s="252"/>
      <c r="KYR381" s="252"/>
      <c r="KYS381" s="252"/>
      <c r="KYT381" s="252"/>
      <c r="KYU381" s="252"/>
      <c r="KYV381" s="252"/>
      <c r="KYW381" s="252"/>
      <c r="KYX381" s="252"/>
      <c r="KYY381" s="252"/>
      <c r="KYZ381" s="252"/>
      <c r="KZA381" s="252"/>
      <c r="KZB381" s="252"/>
      <c r="KZC381" s="252"/>
      <c r="KZD381" s="252"/>
      <c r="KZE381" s="252"/>
      <c r="KZF381" s="252"/>
      <c r="KZG381" s="252"/>
      <c r="KZH381" s="252"/>
      <c r="KZI381" s="252"/>
      <c r="KZJ381" s="252"/>
      <c r="KZK381" s="252"/>
      <c r="KZL381" s="252"/>
      <c r="KZM381" s="252"/>
      <c r="KZN381" s="252"/>
      <c r="KZO381" s="252"/>
      <c r="KZP381" s="252"/>
      <c r="KZQ381" s="252"/>
      <c r="KZR381" s="252"/>
      <c r="KZS381" s="252"/>
      <c r="KZT381" s="252"/>
      <c r="KZU381" s="252"/>
      <c r="KZV381" s="252"/>
      <c r="KZW381" s="252"/>
      <c r="KZX381" s="252"/>
      <c r="KZY381" s="252"/>
      <c r="KZZ381" s="252"/>
      <c r="LAA381" s="252"/>
      <c r="LAB381" s="252"/>
      <c r="LAC381" s="252"/>
      <c r="LAD381" s="252"/>
      <c r="LAE381" s="252"/>
      <c r="LAF381" s="252"/>
      <c r="LAG381" s="252"/>
      <c r="LAH381" s="252"/>
      <c r="LAI381" s="252"/>
      <c r="LAJ381" s="252"/>
      <c r="LAK381" s="252"/>
      <c r="LAL381" s="252"/>
      <c r="LAM381" s="252"/>
      <c r="LAN381" s="252"/>
      <c r="LAO381" s="252"/>
      <c r="LAP381" s="252"/>
      <c r="LAQ381" s="252"/>
      <c r="LAR381" s="252"/>
      <c r="LAS381" s="252"/>
      <c r="LAT381" s="252"/>
      <c r="LAU381" s="252"/>
      <c r="LAV381" s="252"/>
      <c r="LAW381" s="252"/>
      <c r="LAX381" s="252"/>
      <c r="LAY381" s="252"/>
      <c r="LAZ381" s="252"/>
      <c r="LBA381" s="252"/>
      <c r="LBB381" s="252"/>
      <c r="LBC381" s="252"/>
      <c r="LBD381" s="252"/>
      <c r="LBE381" s="252"/>
      <c r="LBF381" s="252"/>
      <c r="LBG381" s="252"/>
      <c r="LBH381" s="252"/>
      <c r="LBI381" s="252"/>
      <c r="LBJ381" s="252"/>
      <c r="LBK381" s="252"/>
      <c r="LBL381" s="252"/>
      <c r="LBM381" s="252"/>
      <c r="LBN381" s="252"/>
      <c r="LBO381" s="252"/>
      <c r="LBP381" s="252"/>
      <c r="LBQ381" s="252"/>
      <c r="LBR381" s="252"/>
      <c r="LBS381" s="252"/>
      <c r="LBT381" s="252"/>
      <c r="LBU381" s="252"/>
      <c r="LBV381" s="252"/>
      <c r="LBW381" s="252"/>
      <c r="LBX381" s="252"/>
      <c r="LBY381" s="252"/>
      <c r="LBZ381" s="252"/>
      <c r="LCA381" s="252"/>
      <c r="LCB381" s="252"/>
      <c r="LCC381" s="252"/>
      <c r="LCD381" s="252"/>
      <c r="LCE381" s="252"/>
      <c r="LCF381" s="252"/>
      <c r="LCG381" s="252"/>
      <c r="LCH381" s="252"/>
      <c r="LCI381" s="252"/>
      <c r="LCJ381" s="252"/>
      <c r="LCK381" s="252"/>
      <c r="LCL381" s="252"/>
      <c r="LCM381" s="252"/>
      <c r="LCN381" s="252"/>
      <c r="LCO381" s="252"/>
      <c r="LCP381" s="252"/>
      <c r="LCQ381" s="252"/>
      <c r="LCR381" s="252"/>
      <c r="LCS381" s="252"/>
      <c r="LCT381" s="252"/>
      <c r="LCU381" s="252"/>
      <c r="LCV381" s="252"/>
      <c r="LCW381" s="252"/>
      <c r="LCX381" s="252"/>
      <c r="LCY381" s="252"/>
      <c r="LCZ381" s="252"/>
      <c r="LDA381" s="252"/>
      <c r="LDB381" s="252"/>
      <c r="LDC381" s="252"/>
      <c r="LDD381" s="252"/>
      <c r="LDE381" s="252"/>
      <c r="LDF381" s="252"/>
      <c r="LDG381" s="252"/>
      <c r="LDH381" s="252"/>
      <c r="LDI381" s="252"/>
      <c r="LDJ381" s="252"/>
      <c r="LDK381" s="252"/>
      <c r="LDL381" s="252"/>
      <c r="LDM381" s="252"/>
      <c r="LDN381" s="252"/>
      <c r="LDO381" s="252"/>
      <c r="LDP381" s="252"/>
      <c r="LDQ381" s="252"/>
      <c r="LDR381" s="252"/>
      <c r="LDS381" s="252"/>
      <c r="LDT381" s="252"/>
      <c r="LDU381" s="252"/>
      <c r="LDV381" s="252"/>
      <c r="LDW381" s="252"/>
      <c r="LDX381" s="252"/>
      <c r="LDY381" s="252"/>
      <c r="LDZ381" s="252"/>
      <c r="LEA381" s="252"/>
      <c r="LEB381" s="252"/>
      <c r="LEC381" s="252"/>
      <c r="LED381" s="252"/>
      <c r="LEE381" s="252"/>
      <c r="LEF381" s="252"/>
      <c r="LEG381" s="252"/>
      <c r="LEH381" s="252"/>
      <c r="LEI381" s="252"/>
      <c r="LEJ381" s="252"/>
      <c r="LEK381" s="252"/>
      <c r="LEL381" s="252"/>
      <c r="LEM381" s="252"/>
      <c r="LEN381" s="252"/>
      <c r="LEO381" s="252"/>
      <c r="LEP381" s="252"/>
      <c r="LEQ381" s="252"/>
      <c r="LER381" s="252"/>
      <c r="LES381" s="252"/>
      <c r="LET381" s="252"/>
      <c r="LEU381" s="252"/>
      <c r="LEV381" s="252"/>
      <c r="LEW381" s="252"/>
      <c r="LEX381" s="252"/>
      <c r="LEY381" s="252"/>
      <c r="LEZ381" s="252"/>
      <c r="LFA381" s="252"/>
      <c r="LFB381" s="252"/>
      <c r="LFC381" s="252"/>
      <c r="LFD381" s="252"/>
      <c r="LFE381" s="252"/>
      <c r="LFF381" s="252"/>
      <c r="LFG381" s="252"/>
      <c r="LFH381" s="252"/>
      <c r="LFI381" s="252"/>
      <c r="LFJ381" s="252"/>
      <c r="LFK381" s="252"/>
      <c r="LFL381" s="252"/>
      <c r="LFM381" s="252"/>
      <c r="LFN381" s="252"/>
      <c r="LFO381" s="252"/>
      <c r="LFP381" s="252"/>
      <c r="LFQ381" s="252"/>
      <c r="LFR381" s="252"/>
      <c r="LFS381" s="252"/>
      <c r="LFT381" s="252"/>
      <c r="LFU381" s="252"/>
      <c r="LFV381" s="252"/>
      <c r="LFW381" s="252"/>
      <c r="LFX381" s="252"/>
      <c r="LFY381" s="252"/>
      <c r="LFZ381" s="252"/>
      <c r="LGA381" s="252"/>
      <c r="LGB381" s="252"/>
      <c r="LGC381" s="252"/>
      <c r="LGD381" s="252"/>
      <c r="LGE381" s="252"/>
      <c r="LGF381" s="252"/>
      <c r="LGG381" s="252"/>
      <c r="LGH381" s="252"/>
      <c r="LGI381" s="252"/>
      <c r="LGJ381" s="252"/>
      <c r="LGK381" s="252"/>
      <c r="LGL381" s="252"/>
      <c r="LGM381" s="252"/>
      <c r="LGN381" s="252"/>
      <c r="LGO381" s="252"/>
      <c r="LGP381" s="252"/>
      <c r="LGQ381" s="252"/>
      <c r="LGR381" s="252"/>
      <c r="LGS381" s="252"/>
      <c r="LGT381" s="252"/>
      <c r="LGU381" s="252"/>
      <c r="LGV381" s="252"/>
      <c r="LGW381" s="252"/>
      <c r="LGX381" s="252"/>
      <c r="LGY381" s="252"/>
      <c r="LGZ381" s="252"/>
      <c r="LHA381" s="252"/>
      <c r="LHB381" s="252"/>
      <c r="LHC381" s="252"/>
      <c r="LHD381" s="252"/>
      <c r="LHE381" s="252"/>
      <c r="LHF381" s="252"/>
      <c r="LHG381" s="252"/>
      <c r="LHH381" s="252"/>
      <c r="LHI381" s="252"/>
      <c r="LHJ381" s="252"/>
      <c r="LHK381" s="252"/>
      <c r="LHL381" s="252"/>
      <c r="LHM381" s="252"/>
      <c r="LHN381" s="252"/>
      <c r="LHO381" s="252"/>
      <c r="LHP381" s="252"/>
      <c r="LHQ381" s="252"/>
      <c r="LHR381" s="252"/>
      <c r="LHS381" s="252"/>
      <c r="LHT381" s="252"/>
      <c r="LHU381" s="252"/>
      <c r="LHV381" s="252"/>
      <c r="LHW381" s="252"/>
      <c r="LHX381" s="252"/>
      <c r="LHY381" s="252"/>
      <c r="LHZ381" s="252"/>
      <c r="LIA381" s="252"/>
      <c r="LIB381" s="252"/>
      <c r="LIC381" s="252"/>
      <c r="LID381" s="252"/>
      <c r="LIE381" s="252"/>
      <c r="LIF381" s="252"/>
      <c r="LIG381" s="252"/>
      <c r="LIH381" s="252"/>
      <c r="LII381" s="252"/>
      <c r="LIJ381" s="252"/>
      <c r="LIK381" s="252"/>
      <c r="LIL381" s="252"/>
      <c r="LIM381" s="252"/>
      <c r="LIN381" s="252"/>
      <c r="LIO381" s="252"/>
      <c r="LIP381" s="252"/>
      <c r="LIQ381" s="252"/>
      <c r="LIR381" s="252"/>
      <c r="LIS381" s="252"/>
      <c r="LIT381" s="252"/>
      <c r="LIU381" s="252"/>
      <c r="LIV381" s="252"/>
      <c r="LIW381" s="252"/>
      <c r="LIX381" s="252"/>
      <c r="LIY381" s="252"/>
      <c r="LIZ381" s="252"/>
      <c r="LJA381" s="252"/>
      <c r="LJB381" s="252"/>
      <c r="LJC381" s="252"/>
      <c r="LJD381" s="252"/>
      <c r="LJE381" s="252"/>
      <c r="LJF381" s="252"/>
      <c r="LJG381" s="252"/>
      <c r="LJH381" s="252"/>
      <c r="LJI381" s="252"/>
      <c r="LJJ381" s="252"/>
      <c r="LJK381" s="252"/>
      <c r="LJL381" s="252"/>
      <c r="LJM381" s="252"/>
      <c r="LJN381" s="252"/>
      <c r="LJO381" s="252"/>
      <c r="LJP381" s="252"/>
      <c r="LJQ381" s="252"/>
      <c r="LJR381" s="252"/>
      <c r="LJS381" s="252"/>
      <c r="LJT381" s="252"/>
      <c r="LJU381" s="252"/>
      <c r="LJV381" s="252"/>
      <c r="LJW381" s="252"/>
      <c r="LJX381" s="252"/>
      <c r="LJY381" s="252"/>
      <c r="LJZ381" s="252"/>
      <c r="LKA381" s="252"/>
      <c r="LKB381" s="252"/>
      <c r="LKC381" s="252"/>
      <c r="LKD381" s="252"/>
      <c r="LKE381" s="252"/>
      <c r="LKF381" s="252"/>
      <c r="LKG381" s="252"/>
      <c r="LKH381" s="252"/>
      <c r="LKI381" s="252"/>
      <c r="LKJ381" s="252"/>
      <c r="LKK381" s="252"/>
      <c r="LKL381" s="252"/>
      <c r="LKM381" s="252"/>
      <c r="LKN381" s="252"/>
      <c r="LKO381" s="252"/>
      <c r="LKP381" s="252"/>
      <c r="LKQ381" s="252"/>
      <c r="LKR381" s="252"/>
      <c r="LKS381" s="252"/>
      <c r="LKT381" s="252"/>
      <c r="LKU381" s="252"/>
      <c r="LKV381" s="252"/>
      <c r="LKW381" s="252"/>
      <c r="LKX381" s="252"/>
      <c r="LKY381" s="252"/>
      <c r="LKZ381" s="252"/>
      <c r="LLA381" s="252"/>
      <c r="LLB381" s="252"/>
      <c r="LLC381" s="252"/>
      <c r="LLD381" s="252"/>
      <c r="LLE381" s="252"/>
      <c r="LLF381" s="252"/>
      <c r="LLG381" s="252"/>
      <c r="LLH381" s="252"/>
      <c r="LLI381" s="252"/>
      <c r="LLJ381" s="252"/>
      <c r="LLK381" s="252"/>
      <c r="LLL381" s="252"/>
      <c r="LLM381" s="252"/>
      <c r="LLN381" s="252"/>
      <c r="LLO381" s="252"/>
      <c r="LLP381" s="252"/>
      <c r="LLQ381" s="252"/>
      <c r="LLR381" s="252"/>
      <c r="LLS381" s="252"/>
      <c r="LLT381" s="252"/>
      <c r="LLU381" s="252"/>
      <c r="LLV381" s="252"/>
      <c r="LLW381" s="252"/>
      <c r="LLX381" s="252"/>
      <c r="LLY381" s="252"/>
      <c r="LLZ381" s="252"/>
      <c r="LMA381" s="252"/>
      <c r="LMB381" s="252"/>
      <c r="LMC381" s="252"/>
      <c r="LMD381" s="252"/>
      <c r="LME381" s="252"/>
      <c r="LMF381" s="252"/>
      <c r="LMG381" s="252"/>
      <c r="LMH381" s="252"/>
      <c r="LMI381" s="252"/>
      <c r="LMJ381" s="252"/>
      <c r="LMK381" s="252"/>
      <c r="LML381" s="252"/>
      <c r="LMM381" s="252"/>
      <c r="LMN381" s="252"/>
      <c r="LMO381" s="252"/>
      <c r="LMP381" s="252"/>
      <c r="LMQ381" s="252"/>
      <c r="LMR381" s="252"/>
      <c r="LMS381" s="252"/>
      <c r="LMT381" s="252"/>
      <c r="LMU381" s="252"/>
      <c r="LMV381" s="252"/>
      <c r="LMW381" s="252"/>
      <c r="LMX381" s="252"/>
      <c r="LMY381" s="252"/>
      <c r="LMZ381" s="252"/>
      <c r="LNA381" s="252"/>
      <c r="LNB381" s="252"/>
      <c r="LNC381" s="252"/>
      <c r="LND381" s="252"/>
      <c r="LNE381" s="252"/>
      <c r="LNF381" s="252"/>
      <c r="LNG381" s="252"/>
      <c r="LNH381" s="252"/>
      <c r="LNI381" s="252"/>
      <c r="LNJ381" s="252"/>
      <c r="LNK381" s="252"/>
      <c r="LNL381" s="252"/>
      <c r="LNM381" s="252"/>
      <c r="LNN381" s="252"/>
      <c r="LNO381" s="252"/>
      <c r="LNP381" s="252"/>
      <c r="LNQ381" s="252"/>
      <c r="LNR381" s="252"/>
      <c r="LNS381" s="252"/>
      <c r="LNT381" s="252"/>
      <c r="LNU381" s="252"/>
      <c r="LNV381" s="252"/>
      <c r="LNW381" s="252"/>
      <c r="LNX381" s="252"/>
      <c r="LNY381" s="252"/>
      <c r="LNZ381" s="252"/>
      <c r="LOA381" s="252"/>
      <c r="LOB381" s="252"/>
      <c r="LOC381" s="252"/>
      <c r="LOD381" s="252"/>
      <c r="LOE381" s="252"/>
      <c r="LOF381" s="252"/>
      <c r="LOG381" s="252"/>
      <c r="LOH381" s="252"/>
      <c r="LOI381" s="252"/>
      <c r="LOJ381" s="252"/>
      <c r="LOK381" s="252"/>
      <c r="LOL381" s="252"/>
      <c r="LOM381" s="252"/>
      <c r="LON381" s="252"/>
      <c r="LOO381" s="252"/>
      <c r="LOP381" s="252"/>
      <c r="LOQ381" s="252"/>
      <c r="LOR381" s="252"/>
      <c r="LOS381" s="252"/>
      <c r="LOT381" s="252"/>
      <c r="LOU381" s="252"/>
      <c r="LOV381" s="252"/>
      <c r="LOW381" s="252"/>
      <c r="LOX381" s="252"/>
      <c r="LOY381" s="252"/>
      <c r="LOZ381" s="252"/>
      <c r="LPA381" s="252"/>
      <c r="LPB381" s="252"/>
      <c r="LPC381" s="252"/>
      <c r="LPD381" s="252"/>
      <c r="LPE381" s="252"/>
      <c r="LPF381" s="252"/>
      <c r="LPG381" s="252"/>
      <c r="LPH381" s="252"/>
      <c r="LPI381" s="252"/>
      <c r="LPJ381" s="252"/>
      <c r="LPK381" s="252"/>
      <c r="LPL381" s="252"/>
      <c r="LPM381" s="252"/>
      <c r="LPN381" s="252"/>
      <c r="LPO381" s="252"/>
      <c r="LPP381" s="252"/>
      <c r="LPQ381" s="252"/>
      <c r="LPR381" s="252"/>
      <c r="LPS381" s="252"/>
      <c r="LPT381" s="252"/>
      <c r="LPU381" s="252"/>
      <c r="LPV381" s="252"/>
      <c r="LPW381" s="252"/>
      <c r="LPX381" s="252"/>
      <c r="LPY381" s="252"/>
      <c r="LPZ381" s="252"/>
      <c r="LQA381" s="252"/>
      <c r="LQB381" s="252"/>
      <c r="LQC381" s="252"/>
      <c r="LQD381" s="252"/>
      <c r="LQE381" s="252"/>
      <c r="LQF381" s="252"/>
      <c r="LQG381" s="252"/>
      <c r="LQH381" s="252"/>
      <c r="LQI381" s="252"/>
      <c r="LQJ381" s="252"/>
      <c r="LQK381" s="252"/>
      <c r="LQL381" s="252"/>
      <c r="LQM381" s="252"/>
      <c r="LQN381" s="252"/>
      <c r="LQO381" s="252"/>
      <c r="LQP381" s="252"/>
      <c r="LQQ381" s="252"/>
      <c r="LQR381" s="252"/>
      <c r="LQS381" s="252"/>
      <c r="LQT381" s="252"/>
      <c r="LQU381" s="252"/>
      <c r="LQV381" s="252"/>
      <c r="LQW381" s="252"/>
      <c r="LQX381" s="252"/>
      <c r="LQY381" s="252"/>
      <c r="LQZ381" s="252"/>
      <c r="LRA381" s="252"/>
      <c r="LRB381" s="252"/>
      <c r="LRC381" s="252"/>
      <c r="LRD381" s="252"/>
      <c r="LRE381" s="252"/>
      <c r="LRF381" s="252"/>
      <c r="LRG381" s="252"/>
      <c r="LRH381" s="252"/>
      <c r="LRI381" s="252"/>
      <c r="LRJ381" s="252"/>
      <c r="LRK381" s="252"/>
      <c r="LRL381" s="252"/>
      <c r="LRM381" s="252"/>
      <c r="LRN381" s="252"/>
      <c r="LRO381" s="252"/>
      <c r="LRP381" s="252"/>
      <c r="LRQ381" s="252"/>
      <c r="LRR381" s="252"/>
      <c r="LRS381" s="252"/>
      <c r="LRT381" s="252"/>
      <c r="LRU381" s="252"/>
      <c r="LRV381" s="252"/>
      <c r="LRW381" s="252"/>
      <c r="LRX381" s="252"/>
      <c r="LRY381" s="252"/>
      <c r="LRZ381" s="252"/>
      <c r="LSA381" s="252"/>
      <c r="LSB381" s="252"/>
      <c r="LSC381" s="252"/>
      <c r="LSD381" s="252"/>
      <c r="LSE381" s="252"/>
      <c r="LSF381" s="252"/>
      <c r="LSG381" s="252"/>
      <c r="LSH381" s="252"/>
      <c r="LSI381" s="252"/>
      <c r="LSJ381" s="252"/>
      <c r="LSK381" s="252"/>
      <c r="LSL381" s="252"/>
      <c r="LSM381" s="252"/>
      <c r="LSN381" s="252"/>
      <c r="LSO381" s="252"/>
      <c r="LSP381" s="252"/>
      <c r="LSQ381" s="252"/>
      <c r="LSR381" s="252"/>
      <c r="LSS381" s="252"/>
      <c r="LST381" s="252"/>
      <c r="LSU381" s="252"/>
      <c r="LSV381" s="252"/>
      <c r="LSW381" s="252"/>
      <c r="LSX381" s="252"/>
      <c r="LSY381" s="252"/>
      <c r="LSZ381" s="252"/>
      <c r="LTA381" s="252"/>
      <c r="LTB381" s="252"/>
      <c r="LTC381" s="252"/>
      <c r="LTD381" s="252"/>
      <c r="LTE381" s="252"/>
      <c r="LTF381" s="252"/>
      <c r="LTG381" s="252"/>
      <c r="LTH381" s="252"/>
      <c r="LTI381" s="252"/>
      <c r="LTJ381" s="252"/>
      <c r="LTK381" s="252"/>
      <c r="LTL381" s="252"/>
      <c r="LTM381" s="252"/>
      <c r="LTN381" s="252"/>
      <c r="LTO381" s="252"/>
      <c r="LTP381" s="252"/>
      <c r="LTQ381" s="252"/>
      <c r="LTR381" s="252"/>
      <c r="LTS381" s="252"/>
      <c r="LTT381" s="252"/>
      <c r="LTU381" s="252"/>
      <c r="LTV381" s="252"/>
      <c r="LTW381" s="252"/>
      <c r="LTX381" s="252"/>
      <c r="LTY381" s="252"/>
      <c r="LTZ381" s="252"/>
      <c r="LUA381" s="252"/>
      <c r="LUB381" s="252"/>
      <c r="LUC381" s="252"/>
      <c r="LUD381" s="252"/>
      <c r="LUE381" s="252"/>
      <c r="LUF381" s="252"/>
      <c r="LUG381" s="252"/>
      <c r="LUH381" s="252"/>
      <c r="LUI381" s="252"/>
      <c r="LUJ381" s="252"/>
      <c r="LUK381" s="252"/>
      <c r="LUL381" s="252"/>
      <c r="LUM381" s="252"/>
      <c r="LUN381" s="252"/>
      <c r="LUO381" s="252"/>
      <c r="LUP381" s="252"/>
      <c r="LUQ381" s="252"/>
      <c r="LUR381" s="252"/>
      <c r="LUS381" s="252"/>
      <c r="LUT381" s="252"/>
      <c r="LUU381" s="252"/>
      <c r="LUV381" s="252"/>
      <c r="LUW381" s="252"/>
      <c r="LUX381" s="252"/>
      <c r="LUY381" s="252"/>
      <c r="LUZ381" s="252"/>
      <c r="LVA381" s="252"/>
      <c r="LVB381" s="252"/>
      <c r="LVC381" s="252"/>
      <c r="LVD381" s="252"/>
      <c r="LVE381" s="252"/>
      <c r="LVF381" s="252"/>
      <c r="LVG381" s="252"/>
      <c r="LVH381" s="252"/>
      <c r="LVI381" s="252"/>
      <c r="LVJ381" s="252"/>
      <c r="LVK381" s="252"/>
      <c r="LVL381" s="252"/>
      <c r="LVM381" s="252"/>
      <c r="LVN381" s="252"/>
      <c r="LVO381" s="252"/>
      <c r="LVP381" s="252"/>
      <c r="LVQ381" s="252"/>
      <c r="LVR381" s="252"/>
      <c r="LVS381" s="252"/>
      <c r="LVT381" s="252"/>
      <c r="LVU381" s="252"/>
      <c r="LVV381" s="252"/>
      <c r="LVW381" s="252"/>
      <c r="LVX381" s="252"/>
      <c r="LVY381" s="252"/>
      <c r="LVZ381" s="252"/>
      <c r="LWA381" s="252"/>
      <c r="LWB381" s="252"/>
      <c r="LWC381" s="252"/>
      <c r="LWD381" s="252"/>
      <c r="LWE381" s="252"/>
      <c r="LWF381" s="252"/>
      <c r="LWG381" s="252"/>
      <c r="LWH381" s="252"/>
      <c r="LWI381" s="252"/>
      <c r="LWJ381" s="252"/>
      <c r="LWK381" s="252"/>
      <c r="LWL381" s="252"/>
      <c r="LWM381" s="252"/>
      <c r="LWN381" s="252"/>
      <c r="LWO381" s="252"/>
      <c r="LWP381" s="252"/>
      <c r="LWQ381" s="252"/>
      <c r="LWR381" s="252"/>
      <c r="LWS381" s="252"/>
      <c r="LWT381" s="252"/>
      <c r="LWU381" s="252"/>
      <c r="LWV381" s="252"/>
      <c r="LWW381" s="252"/>
      <c r="LWX381" s="252"/>
      <c r="LWY381" s="252"/>
      <c r="LWZ381" s="252"/>
      <c r="LXA381" s="252"/>
      <c r="LXB381" s="252"/>
      <c r="LXC381" s="252"/>
      <c r="LXD381" s="252"/>
      <c r="LXE381" s="252"/>
      <c r="LXF381" s="252"/>
      <c r="LXG381" s="252"/>
      <c r="LXH381" s="252"/>
      <c r="LXI381" s="252"/>
      <c r="LXJ381" s="252"/>
      <c r="LXK381" s="252"/>
      <c r="LXL381" s="252"/>
      <c r="LXM381" s="252"/>
      <c r="LXN381" s="252"/>
      <c r="LXO381" s="252"/>
      <c r="LXP381" s="252"/>
      <c r="LXQ381" s="252"/>
      <c r="LXR381" s="252"/>
      <c r="LXS381" s="252"/>
      <c r="LXT381" s="252"/>
      <c r="LXU381" s="252"/>
      <c r="LXV381" s="252"/>
      <c r="LXW381" s="252"/>
      <c r="LXX381" s="252"/>
      <c r="LXY381" s="252"/>
      <c r="LXZ381" s="252"/>
      <c r="LYA381" s="252"/>
      <c r="LYB381" s="252"/>
      <c r="LYC381" s="252"/>
      <c r="LYD381" s="252"/>
      <c r="LYE381" s="252"/>
      <c r="LYF381" s="252"/>
      <c r="LYG381" s="252"/>
      <c r="LYH381" s="252"/>
      <c r="LYI381" s="252"/>
      <c r="LYJ381" s="252"/>
      <c r="LYK381" s="252"/>
      <c r="LYL381" s="252"/>
      <c r="LYM381" s="252"/>
      <c r="LYN381" s="252"/>
      <c r="LYO381" s="252"/>
      <c r="LYP381" s="252"/>
      <c r="LYQ381" s="252"/>
      <c r="LYR381" s="252"/>
      <c r="LYS381" s="252"/>
      <c r="LYT381" s="252"/>
      <c r="LYU381" s="252"/>
      <c r="LYV381" s="252"/>
      <c r="LYW381" s="252"/>
      <c r="LYX381" s="252"/>
      <c r="LYY381" s="252"/>
      <c r="LYZ381" s="252"/>
      <c r="LZA381" s="252"/>
      <c r="LZB381" s="252"/>
      <c r="LZC381" s="252"/>
      <c r="LZD381" s="252"/>
      <c r="LZE381" s="252"/>
      <c r="LZF381" s="252"/>
      <c r="LZG381" s="252"/>
      <c r="LZH381" s="252"/>
      <c r="LZI381" s="252"/>
      <c r="LZJ381" s="252"/>
      <c r="LZK381" s="252"/>
      <c r="LZL381" s="252"/>
      <c r="LZM381" s="252"/>
      <c r="LZN381" s="252"/>
      <c r="LZO381" s="252"/>
      <c r="LZP381" s="252"/>
      <c r="LZQ381" s="252"/>
      <c r="LZR381" s="252"/>
      <c r="LZS381" s="252"/>
      <c r="LZT381" s="252"/>
      <c r="LZU381" s="252"/>
      <c r="LZV381" s="252"/>
      <c r="LZW381" s="252"/>
      <c r="LZX381" s="252"/>
      <c r="LZY381" s="252"/>
      <c r="LZZ381" s="252"/>
      <c r="MAA381" s="252"/>
      <c r="MAB381" s="252"/>
      <c r="MAC381" s="252"/>
      <c r="MAD381" s="252"/>
      <c r="MAE381" s="252"/>
      <c r="MAF381" s="252"/>
      <c r="MAG381" s="252"/>
      <c r="MAH381" s="252"/>
      <c r="MAI381" s="252"/>
      <c r="MAJ381" s="252"/>
      <c r="MAK381" s="252"/>
      <c r="MAL381" s="252"/>
      <c r="MAM381" s="252"/>
      <c r="MAN381" s="252"/>
      <c r="MAO381" s="252"/>
      <c r="MAP381" s="252"/>
      <c r="MAQ381" s="252"/>
      <c r="MAR381" s="252"/>
      <c r="MAS381" s="252"/>
      <c r="MAT381" s="252"/>
      <c r="MAU381" s="252"/>
      <c r="MAV381" s="252"/>
      <c r="MAW381" s="252"/>
      <c r="MAX381" s="252"/>
      <c r="MAY381" s="252"/>
      <c r="MAZ381" s="252"/>
      <c r="MBA381" s="252"/>
      <c r="MBB381" s="252"/>
      <c r="MBC381" s="252"/>
      <c r="MBD381" s="252"/>
      <c r="MBE381" s="252"/>
      <c r="MBF381" s="252"/>
      <c r="MBG381" s="252"/>
      <c r="MBH381" s="252"/>
      <c r="MBI381" s="252"/>
      <c r="MBJ381" s="252"/>
      <c r="MBK381" s="252"/>
      <c r="MBL381" s="252"/>
      <c r="MBM381" s="252"/>
      <c r="MBN381" s="252"/>
      <c r="MBO381" s="252"/>
      <c r="MBP381" s="252"/>
      <c r="MBQ381" s="252"/>
      <c r="MBR381" s="252"/>
      <c r="MBS381" s="252"/>
      <c r="MBT381" s="252"/>
      <c r="MBU381" s="252"/>
      <c r="MBV381" s="252"/>
      <c r="MBW381" s="252"/>
      <c r="MBX381" s="252"/>
      <c r="MBY381" s="252"/>
      <c r="MBZ381" s="252"/>
      <c r="MCA381" s="252"/>
      <c r="MCB381" s="252"/>
      <c r="MCC381" s="252"/>
      <c r="MCD381" s="252"/>
      <c r="MCE381" s="252"/>
      <c r="MCF381" s="252"/>
      <c r="MCG381" s="252"/>
      <c r="MCH381" s="252"/>
      <c r="MCI381" s="252"/>
      <c r="MCJ381" s="252"/>
      <c r="MCK381" s="252"/>
      <c r="MCL381" s="252"/>
      <c r="MCM381" s="252"/>
      <c r="MCN381" s="252"/>
      <c r="MCO381" s="252"/>
      <c r="MCP381" s="252"/>
      <c r="MCQ381" s="252"/>
      <c r="MCR381" s="252"/>
      <c r="MCS381" s="252"/>
      <c r="MCT381" s="252"/>
      <c r="MCU381" s="252"/>
      <c r="MCV381" s="252"/>
      <c r="MCW381" s="252"/>
      <c r="MCX381" s="252"/>
      <c r="MCY381" s="252"/>
      <c r="MCZ381" s="252"/>
      <c r="MDA381" s="252"/>
      <c r="MDB381" s="252"/>
      <c r="MDC381" s="252"/>
      <c r="MDD381" s="252"/>
      <c r="MDE381" s="252"/>
      <c r="MDF381" s="252"/>
      <c r="MDG381" s="252"/>
      <c r="MDH381" s="252"/>
      <c r="MDI381" s="252"/>
      <c r="MDJ381" s="252"/>
      <c r="MDK381" s="252"/>
      <c r="MDL381" s="252"/>
      <c r="MDM381" s="252"/>
      <c r="MDN381" s="252"/>
      <c r="MDO381" s="252"/>
      <c r="MDP381" s="252"/>
      <c r="MDQ381" s="252"/>
      <c r="MDR381" s="252"/>
      <c r="MDS381" s="252"/>
      <c r="MDT381" s="252"/>
      <c r="MDU381" s="252"/>
      <c r="MDV381" s="252"/>
      <c r="MDW381" s="252"/>
      <c r="MDX381" s="252"/>
      <c r="MDY381" s="252"/>
      <c r="MDZ381" s="252"/>
      <c r="MEA381" s="252"/>
      <c r="MEB381" s="252"/>
      <c r="MEC381" s="252"/>
      <c r="MED381" s="252"/>
      <c r="MEE381" s="252"/>
      <c r="MEF381" s="252"/>
      <c r="MEG381" s="252"/>
      <c r="MEH381" s="252"/>
      <c r="MEI381" s="252"/>
      <c r="MEJ381" s="252"/>
      <c r="MEK381" s="252"/>
      <c r="MEL381" s="252"/>
      <c r="MEM381" s="252"/>
      <c r="MEN381" s="252"/>
      <c r="MEO381" s="252"/>
      <c r="MEP381" s="252"/>
      <c r="MEQ381" s="252"/>
      <c r="MER381" s="252"/>
      <c r="MES381" s="252"/>
      <c r="MET381" s="252"/>
      <c r="MEU381" s="252"/>
      <c r="MEV381" s="252"/>
      <c r="MEW381" s="252"/>
      <c r="MEX381" s="252"/>
      <c r="MEY381" s="252"/>
      <c r="MEZ381" s="252"/>
      <c r="MFA381" s="252"/>
      <c r="MFB381" s="252"/>
      <c r="MFC381" s="252"/>
      <c r="MFD381" s="252"/>
      <c r="MFE381" s="252"/>
      <c r="MFF381" s="252"/>
      <c r="MFG381" s="252"/>
      <c r="MFH381" s="252"/>
      <c r="MFI381" s="252"/>
      <c r="MFJ381" s="252"/>
      <c r="MFK381" s="252"/>
      <c r="MFL381" s="252"/>
      <c r="MFM381" s="252"/>
      <c r="MFN381" s="252"/>
      <c r="MFO381" s="252"/>
      <c r="MFP381" s="252"/>
      <c r="MFQ381" s="252"/>
      <c r="MFR381" s="252"/>
      <c r="MFS381" s="252"/>
      <c r="MFT381" s="252"/>
      <c r="MFU381" s="252"/>
      <c r="MFV381" s="252"/>
      <c r="MFW381" s="252"/>
      <c r="MFX381" s="252"/>
      <c r="MFY381" s="252"/>
      <c r="MFZ381" s="252"/>
      <c r="MGA381" s="252"/>
      <c r="MGB381" s="252"/>
      <c r="MGC381" s="252"/>
      <c r="MGD381" s="252"/>
      <c r="MGE381" s="252"/>
      <c r="MGF381" s="252"/>
      <c r="MGG381" s="252"/>
      <c r="MGH381" s="252"/>
      <c r="MGI381" s="252"/>
      <c r="MGJ381" s="252"/>
      <c r="MGK381" s="252"/>
      <c r="MGL381" s="252"/>
      <c r="MGM381" s="252"/>
      <c r="MGN381" s="252"/>
      <c r="MGO381" s="252"/>
      <c r="MGP381" s="252"/>
      <c r="MGQ381" s="252"/>
      <c r="MGR381" s="252"/>
      <c r="MGS381" s="252"/>
      <c r="MGT381" s="252"/>
      <c r="MGU381" s="252"/>
      <c r="MGV381" s="252"/>
      <c r="MGW381" s="252"/>
      <c r="MGX381" s="252"/>
      <c r="MGY381" s="252"/>
      <c r="MGZ381" s="252"/>
      <c r="MHA381" s="252"/>
      <c r="MHB381" s="252"/>
      <c r="MHC381" s="252"/>
      <c r="MHD381" s="252"/>
      <c r="MHE381" s="252"/>
      <c r="MHF381" s="252"/>
      <c r="MHG381" s="252"/>
      <c r="MHH381" s="252"/>
      <c r="MHI381" s="252"/>
      <c r="MHJ381" s="252"/>
      <c r="MHK381" s="252"/>
      <c r="MHL381" s="252"/>
      <c r="MHM381" s="252"/>
      <c r="MHN381" s="252"/>
      <c r="MHO381" s="252"/>
      <c r="MHP381" s="252"/>
      <c r="MHQ381" s="252"/>
      <c r="MHR381" s="252"/>
      <c r="MHS381" s="252"/>
      <c r="MHT381" s="252"/>
      <c r="MHU381" s="252"/>
      <c r="MHV381" s="252"/>
      <c r="MHW381" s="252"/>
      <c r="MHX381" s="252"/>
      <c r="MHY381" s="252"/>
      <c r="MHZ381" s="252"/>
      <c r="MIA381" s="252"/>
      <c r="MIB381" s="252"/>
      <c r="MIC381" s="252"/>
      <c r="MID381" s="252"/>
      <c r="MIE381" s="252"/>
      <c r="MIF381" s="252"/>
      <c r="MIG381" s="252"/>
      <c r="MIH381" s="252"/>
      <c r="MII381" s="252"/>
      <c r="MIJ381" s="252"/>
      <c r="MIK381" s="252"/>
      <c r="MIL381" s="252"/>
      <c r="MIM381" s="252"/>
      <c r="MIN381" s="252"/>
      <c r="MIO381" s="252"/>
      <c r="MIP381" s="252"/>
      <c r="MIQ381" s="252"/>
      <c r="MIR381" s="252"/>
      <c r="MIS381" s="252"/>
      <c r="MIT381" s="252"/>
      <c r="MIU381" s="252"/>
      <c r="MIV381" s="252"/>
      <c r="MIW381" s="252"/>
      <c r="MIX381" s="252"/>
      <c r="MIY381" s="252"/>
      <c r="MIZ381" s="252"/>
      <c r="MJA381" s="252"/>
      <c r="MJB381" s="252"/>
      <c r="MJC381" s="252"/>
      <c r="MJD381" s="252"/>
      <c r="MJE381" s="252"/>
      <c r="MJF381" s="252"/>
      <c r="MJG381" s="252"/>
      <c r="MJH381" s="252"/>
      <c r="MJI381" s="252"/>
      <c r="MJJ381" s="252"/>
      <c r="MJK381" s="252"/>
      <c r="MJL381" s="252"/>
      <c r="MJM381" s="252"/>
      <c r="MJN381" s="252"/>
      <c r="MJO381" s="252"/>
      <c r="MJP381" s="252"/>
      <c r="MJQ381" s="252"/>
      <c r="MJR381" s="252"/>
      <c r="MJS381" s="252"/>
      <c r="MJT381" s="252"/>
      <c r="MJU381" s="252"/>
      <c r="MJV381" s="252"/>
      <c r="MJW381" s="252"/>
      <c r="MJX381" s="252"/>
      <c r="MJY381" s="252"/>
      <c r="MJZ381" s="252"/>
      <c r="MKA381" s="252"/>
      <c r="MKB381" s="252"/>
      <c r="MKC381" s="252"/>
      <c r="MKD381" s="252"/>
      <c r="MKE381" s="252"/>
      <c r="MKF381" s="252"/>
      <c r="MKG381" s="252"/>
      <c r="MKH381" s="252"/>
      <c r="MKI381" s="252"/>
      <c r="MKJ381" s="252"/>
      <c r="MKK381" s="252"/>
      <c r="MKL381" s="252"/>
      <c r="MKM381" s="252"/>
      <c r="MKN381" s="252"/>
      <c r="MKO381" s="252"/>
      <c r="MKP381" s="252"/>
      <c r="MKQ381" s="252"/>
      <c r="MKR381" s="252"/>
      <c r="MKS381" s="252"/>
      <c r="MKT381" s="252"/>
      <c r="MKU381" s="252"/>
      <c r="MKV381" s="252"/>
      <c r="MKW381" s="252"/>
      <c r="MKX381" s="252"/>
      <c r="MKY381" s="252"/>
      <c r="MKZ381" s="252"/>
      <c r="MLA381" s="252"/>
      <c r="MLB381" s="252"/>
      <c r="MLC381" s="252"/>
      <c r="MLD381" s="252"/>
      <c r="MLE381" s="252"/>
      <c r="MLF381" s="252"/>
      <c r="MLG381" s="252"/>
      <c r="MLH381" s="252"/>
      <c r="MLI381" s="252"/>
      <c r="MLJ381" s="252"/>
      <c r="MLK381" s="252"/>
      <c r="MLL381" s="252"/>
      <c r="MLM381" s="252"/>
      <c r="MLN381" s="252"/>
      <c r="MLO381" s="252"/>
      <c r="MLP381" s="252"/>
      <c r="MLQ381" s="252"/>
      <c r="MLR381" s="252"/>
      <c r="MLS381" s="252"/>
      <c r="MLT381" s="252"/>
      <c r="MLU381" s="252"/>
      <c r="MLV381" s="252"/>
      <c r="MLW381" s="252"/>
      <c r="MLX381" s="252"/>
      <c r="MLY381" s="252"/>
      <c r="MLZ381" s="252"/>
      <c r="MMA381" s="252"/>
      <c r="MMB381" s="252"/>
      <c r="MMC381" s="252"/>
      <c r="MMD381" s="252"/>
      <c r="MME381" s="252"/>
      <c r="MMF381" s="252"/>
      <c r="MMG381" s="252"/>
      <c r="MMH381" s="252"/>
      <c r="MMI381" s="252"/>
      <c r="MMJ381" s="252"/>
      <c r="MMK381" s="252"/>
      <c r="MML381" s="252"/>
      <c r="MMM381" s="252"/>
      <c r="MMN381" s="252"/>
      <c r="MMO381" s="252"/>
      <c r="MMP381" s="252"/>
      <c r="MMQ381" s="252"/>
      <c r="MMR381" s="252"/>
      <c r="MMS381" s="252"/>
      <c r="MMT381" s="252"/>
      <c r="MMU381" s="252"/>
      <c r="MMV381" s="252"/>
      <c r="MMW381" s="252"/>
      <c r="MMX381" s="252"/>
      <c r="MMY381" s="252"/>
      <c r="MMZ381" s="252"/>
      <c r="MNA381" s="252"/>
      <c r="MNB381" s="252"/>
      <c r="MNC381" s="252"/>
      <c r="MND381" s="252"/>
      <c r="MNE381" s="252"/>
      <c r="MNF381" s="252"/>
      <c r="MNG381" s="252"/>
      <c r="MNH381" s="252"/>
      <c r="MNI381" s="252"/>
      <c r="MNJ381" s="252"/>
      <c r="MNK381" s="252"/>
      <c r="MNL381" s="252"/>
      <c r="MNM381" s="252"/>
      <c r="MNN381" s="252"/>
      <c r="MNO381" s="252"/>
      <c r="MNP381" s="252"/>
      <c r="MNQ381" s="252"/>
      <c r="MNR381" s="252"/>
      <c r="MNS381" s="252"/>
      <c r="MNT381" s="252"/>
      <c r="MNU381" s="252"/>
      <c r="MNV381" s="252"/>
      <c r="MNW381" s="252"/>
      <c r="MNX381" s="252"/>
      <c r="MNY381" s="252"/>
      <c r="MNZ381" s="252"/>
      <c r="MOA381" s="252"/>
      <c r="MOB381" s="252"/>
      <c r="MOC381" s="252"/>
      <c r="MOD381" s="252"/>
      <c r="MOE381" s="252"/>
      <c r="MOF381" s="252"/>
      <c r="MOG381" s="252"/>
      <c r="MOH381" s="252"/>
      <c r="MOI381" s="252"/>
      <c r="MOJ381" s="252"/>
      <c r="MOK381" s="252"/>
      <c r="MOL381" s="252"/>
      <c r="MOM381" s="252"/>
      <c r="MON381" s="252"/>
      <c r="MOO381" s="252"/>
      <c r="MOP381" s="252"/>
      <c r="MOQ381" s="252"/>
      <c r="MOR381" s="252"/>
      <c r="MOS381" s="252"/>
      <c r="MOT381" s="252"/>
      <c r="MOU381" s="252"/>
      <c r="MOV381" s="252"/>
      <c r="MOW381" s="252"/>
      <c r="MOX381" s="252"/>
      <c r="MOY381" s="252"/>
      <c r="MOZ381" s="252"/>
      <c r="MPA381" s="252"/>
      <c r="MPB381" s="252"/>
      <c r="MPC381" s="252"/>
      <c r="MPD381" s="252"/>
      <c r="MPE381" s="252"/>
      <c r="MPF381" s="252"/>
      <c r="MPG381" s="252"/>
      <c r="MPH381" s="252"/>
      <c r="MPI381" s="252"/>
      <c r="MPJ381" s="252"/>
      <c r="MPK381" s="252"/>
      <c r="MPL381" s="252"/>
      <c r="MPM381" s="252"/>
      <c r="MPN381" s="252"/>
      <c r="MPO381" s="252"/>
      <c r="MPP381" s="252"/>
      <c r="MPQ381" s="252"/>
      <c r="MPR381" s="252"/>
      <c r="MPS381" s="252"/>
      <c r="MPT381" s="252"/>
      <c r="MPU381" s="252"/>
      <c r="MPV381" s="252"/>
      <c r="MPW381" s="252"/>
      <c r="MPX381" s="252"/>
      <c r="MPY381" s="252"/>
      <c r="MPZ381" s="252"/>
      <c r="MQA381" s="252"/>
      <c r="MQB381" s="252"/>
      <c r="MQC381" s="252"/>
      <c r="MQD381" s="252"/>
      <c r="MQE381" s="252"/>
      <c r="MQF381" s="252"/>
      <c r="MQG381" s="252"/>
      <c r="MQH381" s="252"/>
      <c r="MQI381" s="252"/>
      <c r="MQJ381" s="252"/>
      <c r="MQK381" s="252"/>
      <c r="MQL381" s="252"/>
      <c r="MQM381" s="252"/>
      <c r="MQN381" s="252"/>
      <c r="MQO381" s="252"/>
      <c r="MQP381" s="252"/>
      <c r="MQQ381" s="252"/>
      <c r="MQR381" s="252"/>
      <c r="MQS381" s="252"/>
      <c r="MQT381" s="252"/>
      <c r="MQU381" s="252"/>
      <c r="MQV381" s="252"/>
      <c r="MQW381" s="252"/>
      <c r="MQX381" s="252"/>
      <c r="MQY381" s="252"/>
      <c r="MQZ381" s="252"/>
      <c r="MRA381" s="252"/>
      <c r="MRB381" s="252"/>
      <c r="MRC381" s="252"/>
      <c r="MRD381" s="252"/>
      <c r="MRE381" s="252"/>
      <c r="MRF381" s="252"/>
      <c r="MRG381" s="252"/>
      <c r="MRH381" s="252"/>
      <c r="MRI381" s="252"/>
      <c r="MRJ381" s="252"/>
      <c r="MRK381" s="252"/>
      <c r="MRL381" s="252"/>
      <c r="MRM381" s="252"/>
      <c r="MRN381" s="252"/>
      <c r="MRO381" s="252"/>
      <c r="MRP381" s="252"/>
      <c r="MRQ381" s="252"/>
      <c r="MRR381" s="252"/>
      <c r="MRS381" s="252"/>
      <c r="MRT381" s="252"/>
      <c r="MRU381" s="252"/>
      <c r="MRV381" s="252"/>
      <c r="MRW381" s="252"/>
      <c r="MRX381" s="252"/>
      <c r="MRY381" s="252"/>
      <c r="MRZ381" s="252"/>
      <c r="MSA381" s="252"/>
      <c r="MSB381" s="252"/>
      <c r="MSC381" s="252"/>
      <c r="MSD381" s="252"/>
      <c r="MSE381" s="252"/>
      <c r="MSF381" s="252"/>
      <c r="MSG381" s="252"/>
      <c r="MSH381" s="252"/>
      <c r="MSI381" s="252"/>
      <c r="MSJ381" s="252"/>
      <c r="MSK381" s="252"/>
      <c r="MSL381" s="252"/>
      <c r="MSM381" s="252"/>
      <c r="MSN381" s="252"/>
      <c r="MSO381" s="252"/>
      <c r="MSP381" s="252"/>
      <c r="MSQ381" s="252"/>
      <c r="MSR381" s="252"/>
      <c r="MSS381" s="252"/>
      <c r="MST381" s="252"/>
      <c r="MSU381" s="252"/>
      <c r="MSV381" s="252"/>
      <c r="MSW381" s="252"/>
      <c r="MSX381" s="252"/>
      <c r="MSY381" s="252"/>
      <c r="MSZ381" s="252"/>
      <c r="MTA381" s="252"/>
      <c r="MTB381" s="252"/>
      <c r="MTC381" s="252"/>
      <c r="MTD381" s="252"/>
      <c r="MTE381" s="252"/>
      <c r="MTF381" s="252"/>
      <c r="MTG381" s="252"/>
      <c r="MTH381" s="252"/>
      <c r="MTI381" s="252"/>
      <c r="MTJ381" s="252"/>
      <c r="MTK381" s="252"/>
      <c r="MTL381" s="252"/>
      <c r="MTM381" s="252"/>
      <c r="MTN381" s="252"/>
      <c r="MTO381" s="252"/>
      <c r="MTP381" s="252"/>
      <c r="MTQ381" s="252"/>
      <c r="MTR381" s="252"/>
      <c r="MTS381" s="252"/>
      <c r="MTT381" s="252"/>
      <c r="MTU381" s="252"/>
      <c r="MTV381" s="252"/>
      <c r="MTW381" s="252"/>
      <c r="MTX381" s="252"/>
      <c r="MTY381" s="252"/>
      <c r="MTZ381" s="252"/>
      <c r="MUA381" s="252"/>
      <c r="MUB381" s="252"/>
      <c r="MUC381" s="252"/>
      <c r="MUD381" s="252"/>
      <c r="MUE381" s="252"/>
      <c r="MUF381" s="252"/>
      <c r="MUG381" s="252"/>
      <c r="MUH381" s="252"/>
      <c r="MUI381" s="252"/>
      <c r="MUJ381" s="252"/>
      <c r="MUK381" s="252"/>
      <c r="MUL381" s="252"/>
      <c r="MUM381" s="252"/>
      <c r="MUN381" s="252"/>
      <c r="MUO381" s="252"/>
      <c r="MUP381" s="252"/>
      <c r="MUQ381" s="252"/>
      <c r="MUR381" s="252"/>
      <c r="MUS381" s="252"/>
      <c r="MUT381" s="252"/>
      <c r="MUU381" s="252"/>
      <c r="MUV381" s="252"/>
      <c r="MUW381" s="252"/>
      <c r="MUX381" s="252"/>
      <c r="MUY381" s="252"/>
      <c r="MUZ381" s="252"/>
      <c r="MVA381" s="252"/>
      <c r="MVB381" s="252"/>
      <c r="MVC381" s="252"/>
      <c r="MVD381" s="252"/>
      <c r="MVE381" s="252"/>
      <c r="MVF381" s="252"/>
      <c r="MVG381" s="252"/>
      <c r="MVH381" s="252"/>
      <c r="MVI381" s="252"/>
      <c r="MVJ381" s="252"/>
      <c r="MVK381" s="252"/>
      <c r="MVL381" s="252"/>
      <c r="MVM381" s="252"/>
      <c r="MVN381" s="252"/>
      <c r="MVO381" s="252"/>
      <c r="MVP381" s="252"/>
      <c r="MVQ381" s="252"/>
      <c r="MVR381" s="252"/>
      <c r="MVS381" s="252"/>
      <c r="MVT381" s="252"/>
      <c r="MVU381" s="252"/>
      <c r="MVV381" s="252"/>
      <c r="MVW381" s="252"/>
      <c r="MVX381" s="252"/>
      <c r="MVY381" s="252"/>
      <c r="MVZ381" s="252"/>
      <c r="MWA381" s="252"/>
      <c r="MWB381" s="252"/>
      <c r="MWC381" s="252"/>
      <c r="MWD381" s="252"/>
      <c r="MWE381" s="252"/>
      <c r="MWF381" s="252"/>
      <c r="MWG381" s="252"/>
      <c r="MWH381" s="252"/>
      <c r="MWI381" s="252"/>
      <c r="MWJ381" s="252"/>
      <c r="MWK381" s="252"/>
      <c r="MWL381" s="252"/>
      <c r="MWM381" s="252"/>
      <c r="MWN381" s="252"/>
      <c r="MWO381" s="252"/>
      <c r="MWP381" s="252"/>
      <c r="MWQ381" s="252"/>
      <c r="MWR381" s="252"/>
      <c r="MWS381" s="252"/>
      <c r="MWT381" s="252"/>
      <c r="MWU381" s="252"/>
      <c r="MWV381" s="252"/>
      <c r="MWW381" s="252"/>
      <c r="MWX381" s="252"/>
      <c r="MWY381" s="252"/>
      <c r="MWZ381" s="252"/>
      <c r="MXA381" s="252"/>
      <c r="MXB381" s="252"/>
      <c r="MXC381" s="252"/>
      <c r="MXD381" s="252"/>
      <c r="MXE381" s="252"/>
      <c r="MXF381" s="252"/>
      <c r="MXG381" s="252"/>
      <c r="MXH381" s="252"/>
      <c r="MXI381" s="252"/>
      <c r="MXJ381" s="252"/>
      <c r="MXK381" s="252"/>
      <c r="MXL381" s="252"/>
      <c r="MXM381" s="252"/>
      <c r="MXN381" s="252"/>
      <c r="MXO381" s="252"/>
      <c r="MXP381" s="252"/>
      <c r="MXQ381" s="252"/>
      <c r="MXR381" s="252"/>
      <c r="MXS381" s="252"/>
      <c r="MXT381" s="252"/>
      <c r="MXU381" s="252"/>
      <c r="MXV381" s="252"/>
      <c r="MXW381" s="252"/>
      <c r="MXX381" s="252"/>
      <c r="MXY381" s="252"/>
      <c r="MXZ381" s="252"/>
      <c r="MYA381" s="252"/>
      <c r="MYB381" s="252"/>
      <c r="MYC381" s="252"/>
      <c r="MYD381" s="252"/>
      <c r="MYE381" s="252"/>
      <c r="MYF381" s="252"/>
      <c r="MYG381" s="252"/>
      <c r="MYH381" s="252"/>
      <c r="MYI381" s="252"/>
      <c r="MYJ381" s="252"/>
      <c r="MYK381" s="252"/>
      <c r="MYL381" s="252"/>
      <c r="MYM381" s="252"/>
      <c r="MYN381" s="252"/>
      <c r="MYO381" s="252"/>
      <c r="MYP381" s="252"/>
      <c r="MYQ381" s="252"/>
      <c r="MYR381" s="252"/>
      <c r="MYS381" s="252"/>
      <c r="MYT381" s="252"/>
      <c r="MYU381" s="252"/>
      <c r="MYV381" s="252"/>
      <c r="MYW381" s="252"/>
      <c r="MYX381" s="252"/>
      <c r="MYY381" s="252"/>
      <c r="MYZ381" s="252"/>
      <c r="MZA381" s="252"/>
      <c r="MZB381" s="252"/>
      <c r="MZC381" s="252"/>
      <c r="MZD381" s="252"/>
      <c r="MZE381" s="252"/>
      <c r="MZF381" s="252"/>
      <c r="MZG381" s="252"/>
      <c r="MZH381" s="252"/>
      <c r="MZI381" s="252"/>
      <c r="MZJ381" s="252"/>
      <c r="MZK381" s="252"/>
      <c r="MZL381" s="252"/>
      <c r="MZM381" s="252"/>
      <c r="MZN381" s="252"/>
      <c r="MZO381" s="252"/>
      <c r="MZP381" s="252"/>
      <c r="MZQ381" s="252"/>
      <c r="MZR381" s="252"/>
      <c r="MZS381" s="252"/>
      <c r="MZT381" s="252"/>
      <c r="MZU381" s="252"/>
      <c r="MZV381" s="252"/>
      <c r="MZW381" s="252"/>
      <c r="MZX381" s="252"/>
      <c r="MZY381" s="252"/>
      <c r="MZZ381" s="252"/>
      <c r="NAA381" s="252"/>
      <c r="NAB381" s="252"/>
      <c r="NAC381" s="252"/>
      <c r="NAD381" s="252"/>
      <c r="NAE381" s="252"/>
      <c r="NAF381" s="252"/>
      <c r="NAG381" s="252"/>
      <c r="NAH381" s="252"/>
      <c r="NAI381" s="252"/>
      <c r="NAJ381" s="252"/>
      <c r="NAK381" s="252"/>
      <c r="NAL381" s="252"/>
      <c r="NAM381" s="252"/>
      <c r="NAN381" s="252"/>
      <c r="NAO381" s="252"/>
      <c r="NAP381" s="252"/>
      <c r="NAQ381" s="252"/>
      <c r="NAR381" s="252"/>
      <c r="NAS381" s="252"/>
      <c r="NAT381" s="252"/>
      <c r="NAU381" s="252"/>
      <c r="NAV381" s="252"/>
      <c r="NAW381" s="252"/>
      <c r="NAX381" s="252"/>
      <c r="NAY381" s="252"/>
      <c r="NAZ381" s="252"/>
      <c r="NBA381" s="252"/>
      <c r="NBB381" s="252"/>
      <c r="NBC381" s="252"/>
      <c r="NBD381" s="252"/>
      <c r="NBE381" s="252"/>
      <c r="NBF381" s="252"/>
      <c r="NBG381" s="252"/>
      <c r="NBH381" s="252"/>
      <c r="NBI381" s="252"/>
      <c r="NBJ381" s="252"/>
      <c r="NBK381" s="252"/>
      <c r="NBL381" s="252"/>
      <c r="NBM381" s="252"/>
      <c r="NBN381" s="252"/>
      <c r="NBO381" s="252"/>
      <c r="NBP381" s="252"/>
      <c r="NBQ381" s="252"/>
      <c r="NBR381" s="252"/>
      <c r="NBS381" s="252"/>
      <c r="NBT381" s="252"/>
      <c r="NBU381" s="252"/>
      <c r="NBV381" s="252"/>
      <c r="NBW381" s="252"/>
      <c r="NBX381" s="252"/>
      <c r="NBY381" s="252"/>
      <c r="NBZ381" s="252"/>
      <c r="NCA381" s="252"/>
      <c r="NCB381" s="252"/>
      <c r="NCC381" s="252"/>
      <c r="NCD381" s="252"/>
      <c r="NCE381" s="252"/>
      <c r="NCF381" s="252"/>
      <c r="NCG381" s="252"/>
      <c r="NCH381" s="252"/>
      <c r="NCI381" s="252"/>
      <c r="NCJ381" s="252"/>
      <c r="NCK381" s="252"/>
      <c r="NCL381" s="252"/>
      <c r="NCM381" s="252"/>
      <c r="NCN381" s="252"/>
      <c r="NCO381" s="252"/>
      <c r="NCP381" s="252"/>
      <c r="NCQ381" s="252"/>
      <c r="NCR381" s="252"/>
      <c r="NCS381" s="252"/>
      <c r="NCT381" s="252"/>
      <c r="NCU381" s="252"/>
      <c r="NCV381" s="252"/>
      <c r="NCW381" s="252"/>
      <c r="NCX381" s="252"/>
      <c r="NCY381" s="252"/>
      <c r="NCZ381" s="252"/>
      <c r="NDA381" s="252"/>
      <c r="NDB381" s="252"/>
      <c r="NDC381" s="252"/>
      <c r="NDD381" s="252"/>
      <c r="NDE381" s="252"/>
      <c r="NDF381" s="252"/>
      <c r="NDG381" s="252"/>
      <c r="NDH381" s="252"/>
      <c r="NDI381" s="252"/>
      <c r="NDJ381" s="252"/>
      <c r="NDK381" s="252"/>
      <c r="NDL381" s="252"/>
      <c r="NDM381" s="252"/>
      <c r="NDN381" s="252"/>
      <c r="NDO381" s="252"/>
      <c r="NDP381" s="252"/>
      <c r="NDQ381" s="252"/>
      <c r="NDR381" s="252"/>
      <c r="NDS381" s="252"/>
      <c r="NDT381" s="252"/>
      <c r="NDU381" s="252"/>
      <c r="NDV381" s="252"/>
      <c r="NDW381" s="252"/>
      <c r="NDX381" s="252"/>
      <c r="NDY381" s="252"/>
      <c r="NDZ381" s="252"/>
      <c r="NEA381" s="252"/>
      <c r="NEB381" s="252"/>
      <c r="NEC381" s="252"/>
      <c r="NED381" s="252"/>
      <c r="NEE381" s="252"/>
      <c r="NEF381" s="252"/>
      <c r="NEG381" s="252"/>
      <c r="NEH381" s="252"/>
      <c r="NEI381" s="252"/>
      <c r="NEJ381" s="252"/>
      <c r="NEK381" s="252"/>
      <c r="NEL381" s="252"/>
      <c r="NEM381" s="252"/>
      <c r="NEN381" s="252"/>
      <c r="NEO381" s="252"/>
      <c r="NEP381" s="252"/>
      <c r="NEQ381" s="252"/>
      <c r="NER381" s="252"/>
      <c r="NES381" s="252"/>
      <c r="NET381" s="252"/>
      <c r="NEU381" s="252"/>
      <c r="NEV381" s="252"/>
      <c r="NEW381" s="252"/>
      <c r="NEX381" s="252"/>
      <c r="NEY381" s="252"/>
      <c r="NEZ381" s="252"/>
      <c r="NFA381" s="252"/>
      <c r="NFB381" s="252"/>
      <c r="NFC381" s="252"/>
      <c r="NFD381" s="252"/>
      <c r="NFE381" s="252"/>
      <c r="NFF381" s="252"/>
      <c r="NFG381" s="252"/>
      <c r="NFH381" s="252"/>
      <c r="NFI381" s="252"/>
      <c r="NFJ381" s="252"/>
      <c r="NFK381" s="252"/>
      <c r="NFL381" s="252"/>
      <c r="NFM381" s="252"/>
      <c r="NFN381" s="252"/>
      <c r="NFO381" s="252"/>
      <c r="NFP381" s="252"/>
      <c r="NFQ381" s="252"/>
      <c r="NFR381" s="252"/>
      <c r="NFS381" s="252"/>
      <c r="NFT381" s="252"/>
      <c r="NFU381" s="252"/>
      <c r="NFV381" s="252"/>
      <c r="NFW381" s="252"/>
      <c r="NFX381" s="252"/>
      <c r="NFY381" s="252"/>
      <c r="NFZ381" s="252"/>
      <c r="NGA381" s="252"/>
      <c r="NGB381" s="252"/>
      <c r="NGC381" s="252"/>
      <c r="NGD381" s="252"/>
      <c r="NGE381" s="252"/>
      <c r="NGF381" s="252"/>
      <c r="NGG381" s="252"/>
      <c r="NGH381" s="252"/>
      <c r="NGI381" s="252"/>
      <c r="NGJ381" s="252"/>
      <c r="NGK381" s="252"/>
      <c r="NGL381" s="252"/>
      <c r="NGM381" s="252"/>
      <c r="NGN381" s="252"/>
      <c r="NGO381" s="252"/>
      <c r="NGP381" s="252"/>
      <c r="NGQ381" s="252"/>
      <c r="NGR381" s="252"/>
      <c r="NGS381" s="252"/>
      <c r="NGT381" s="252"/>
      <c r="NGU381" s="252"/>
      <c r="NGV381" s="252"/>
      <c r="NGW381" s="252"/>
      <c r="NGX381" s="252"/>
      <c r="NGY381" s="252"/>
      <c r="NGZ381" s="252"/>
      <c r="NHA381" s="252"/>
      <c r="NHB381" s="252"/>
      <c r="NHC381" s="252"/>
      <c r="NHD381" s="252"/>
      <c r="NHE381" s="252"/>
      <c r="NHF381" s="252"/>
      <c r="NHG381" s="252"/>
      <c r="NHH381" s="252"/>
      <c r="NHI381" s="252"/>
      <c r="NHJ381" s="252"/>
      <c r="NHK381" s="252"/>
      <c r="NHL381" s="252"/>
      <c r="NHM381" s="252"/>
      <c r="NHN381" s="252"/>
      <c r="NHO381" s="252"/>
      <c r="NHP381" s="252"/>
      <c r="NHQ381" s="252"/>
      <c r="NHR381" s="252"/>
      <c r="NHS381" s="252"/>
      <c r="NHT381" s="252"/>
      <c r="NHU381" s="252"/>
      <c r="NHV381" s="252"/>
      <c r="NHW381" s="252"/>
      <c r="NHX381" s="252"/>
      <c r="NHY381" s="252"/>
      <c r="NHZ381" s="252"/>
      <c r="NIA381" s="252"/>
      <c r="NIB381" s="252"/>
      <c r="NIC381" s="252"/>
      <c r="NID381" s="252"/>
      <c r="NIE381" s="252"/>
      <c r="NIF381" s="252"/>
      <c r="NIG381" s="252"/>
      <c r="NIH381" s="252"/>
      <c r="NII381" s="252"/>
      <c r="NIJ381" s="252"/>
      <c r="NIK381" s="252"/>
      <c r="NIL381" s="252"/>
      <c r="NIM381" s="252"/>
      <c r="NIN381" s="252"/>
      <c r="NIO381" s="252"/>
      <c r="NIP381" s="252"/>
      <c r="NIQ381" s="252"/>
      <c r="NIR381" s="252"/>
      <c r="NIS381" s="252"/>
      <c r="NIT381" s="252"/>
      <c r="NIU381" s="252"/>
      <c r="NIV381" s="252"/>
      <c r="NIW381" s="252"/>
      <c r="NIX381" s="252"/>
      <c r="NIY381" s="252"/>
      <c r="NIZ381" s="252"/>
      <c r="NJA381" s="252"/>
      <c r="NJB381" s="252"/>
      <c r="NJC381" s="252"/>
      <c r="NJD381" s="252"/>
      <c r="NJE381" s="252"/>
      <c r="NJF381" s="252"/>
      <c r="NJG381" s="252"/>
      <c r="NJH381" s="252"/>
      <c r="NJI381" s="252"/>
      <c r="NJJ381" s="252"/>
      <c r="NJK381" s="252"/>
      <c r="NJL381" s="252"/>
      <c r="NJM381" s="252"/>
      <c r="NJN381" s="252"/>
      <c r="NJO381" s="252"/>
      <c r="NJP381" s="252"/>
      <c r="NJQ381" s="252"/>
      <c r="NJR381" s="252"/>
      <c r="NJS381" s="252"/>
      <c r="NJT381" s="252"/>
      <c r="NJU381" s="252"/>
      <c r="NJV381" s="252"/>
      <c r="NJW381" s="252"/>
      <c r="NJX381" s="252"/>
      <c r="NJY381" s="252"/>
      <c r="NJZ381" s="252"/>
      <c r="NKA381" s="252"/>
      <c r="NKB381" s="252"/>
      <c r="NKC381" s="252"/>
      <c r="NKD381" s="252"/>
      <c r="NKE381" s="252"/>
      <c r="NKF381" s="252"/>
      <c r="NKG381" s="252"/>
      <c r="NKH381" s="252"/>
      <c r="NKI381" s="252"/>
      <c r="NKJ381" s="252"/>
      <c r="NKK381" s="252"/>
      <c r="NKL381" s="252"/>
      <c r="NKM381" s="252"/>
      <c r="NKN381" s="252"/>
      <c r="NKO381" s="252"/>
      <c r="NKP381" s="252"/>
      <c r="NKQ381" s="252"/>
      <c r="NKR381" s="252"/>
      <c r="NKS381" s="252"/>
      <c r="NKT381" s="252"/>
      <c r="NKU381" s="252"/>
      <c r="NKV381" s="252"/>
      <c r="NKW381" s="252"/>
      <c r="NKX381" s="252"/>
      <c r="NKY381" s="252"/>
      <c r="NKZ381" s="252"/>
      <c r="NLA381" s="252"/>
      <c r="NLB381" s="252"/>
      <c r="NLC381" s="252"/>
      <c r="NLD381" s="252"/>
      <c r="NLE381" s="252"/>
      <c r="NLF381" s="252"/>
      <c r="NLG381" s="252"/>
      <c r="NLH381" s="252"/>
      <c r="NLI381" s="252"/>
      <c r="NLJ381" s="252"/>
      <c r="NLK381" s="252"/>
      <c r="NLL381" s="252"/>
      <c r="NLM381" s="252"/>
      <c r="NLN381" s="252"/>
      <c r="NLO381" s="252"/>
      <c r="NLP381" s="252"/>
      <c r="NLQ381" s="252"/>
      <c r="NLR381" s="252"/>
      <c r="NLS381" s="252"/>
      <c r="NLT381" s="252"/>
      <c r="NLU381" s="252"/>
      <c r="NLV381" s="252"/>
      <c r="NLW381" s="252"/>
      <c r="NLX381" s="252"/>
      <c r="NLY381" s="252"/>
      <c r="NLZ381" s="252"/>
      <c r="NMA381" s="252"/>
      <c r="NMB381" s="252"/>
      <c r="NMC381" s="252"/>
      <c r="NMD381" s="252"/>
      <c r="NME381" s="252"/>
      <c r="NMF381" s="252"/>
      <c r="NMG381" s="252"/>
      <c r="NMH381" s="252"/>
      <c r="NMI381" s="252"/>
      <c r="NMJ381" s="252"/>
      <c r="NMK381" s="252"/>
      <c r="NML381" s="252"/>
      <c r="NMM381" s="252"/>
      <c r="NMN381" s="252"/>
      <c r="NMO381" s="252"/>
      <c r="NMP381" s="252"/>
      <c r="NMQ381" s="252"/>
      <c r="NMR381" s="252"/>
      <c r="NMS381" s="252"/>
      <c r="NMT381" s="252"/>
      <c r="NMU381" s="252"/>
      <c r="NMV381" s="252"/>
      <c r="NMW381" s="252"/>
      <c r="NMX381" s="252"/>
      <c r="NMY381" s="252"/>
      <c r="NMZ381" s="252"/>
      <c r="NNA381" s="252"/>
      <c r="NNB381" s="252"/>
      <c r="NNC381" s="252"/>
      <c r="NND381" s="252"/>
      <c r="NNE381" s="252"/>
      <c r="NNF381" s="252"/>
      <c r="NNG381" s="252"/>
      <c r="NNH381" s="252"/>
      <c r="NNI381" s="252"/>
      <c r="NNJ381" s="252"/>
      <c r="NNK381" s="252"/>
      <c r="NNL381" s="252"/>
      <c r="NNM381" s="252"/>
      <c r="NNN381" s="252"/>
      <c r="NNO381" s="252"/>
      <c r="NNP381" s="252"/>
      <c r="NNQ381" s="252"/>
      <c r="NNR381" s="252"/>
      <c r="NNS381" s="252"/>
      <c r="NNT381" s="252"/>
      <c r="NNU381" s="252"/>
      <c r="NNV381" s="252"/>
      <c r="NNW381" s="252"/>
      <c r="NNX381" s="252"/>
      <c r="NNY381" s="252"/>
      <c r="NNZ381" s="252"/>
      <c r="NOA381" s="252"/>
      <c r="NOB381" s="252"/>
      <c r="NOC381" s="252"/>
      <c r="NOD381" s="252"/>
      <c r="NOE381" s="252"/>
      <c r="NOF381" s="252"/>
      <c r="NOG381" s="252"/>
      <c r="NOH381" s="252"/>
      <c r="NOI381" s="252"/>
      <c r="NOJ381" s="252"/>
      <c r="NOK381" s="252"/>
      <c r="NOL381" s="252"/>
      <c r="NOM381" s="252"/>
      <c r="NON381" s="252"/>
      <c r="NOO381" s="252"/>
      <c r="NOP381" s="252"/>
      <c r="NOQ381" s="252"/>
      <c r="NOR381" s="252"/>
      <c r="NOS381" s="252"/>
      <c r="NOT381" s="252"/>
      <c r="NOU381" s="252"/>
      <c r="NOV381" s="252"/>
      <c r="NOW381" s="252"/>
      <c r="NOX381" s="252"/>
      <c r="NOY381" s="252"/>
      <c r="NOZ381" s="252"/>
      <c r="NPA381" s="252"/>
      <c r="NPB381" s="252"/>
      <c r="NPC381" s="252"/>
      <c r="NPD381" s="252"/>
      <c r="NPE381" s="252"/>
      <c r="NPF381" s="252"/>
      <c r="NPG381" s="252"/>
      <c r="NPH381" s="252"/>
      <c r="NPI381" s="252"/>
      <c r="NPJ381" s="252"/>
      <c r="NPK381" s="252"/>
      <c r="NPL381" s="252"/>
      <c r="NPM381" s="252"/>
      <c r="NPN381" s="252"/>
      <c r="NPO381" s="252"/>
      <c r="NPP381" s="252"/>
      <c r="NPQ381" s="252"/>
      <c r="NPR381" s="252"/>
      <c r="NPS381" s="252"/>
      <c r="NPT381" s="252"/>
      <c r="NPU381" s="252"/>
      <c r="NPV381" s="252"/>
      <c r="NPW381" s="252"/>
      <c r="NPX381" s="252"/>
      <c r="NPY381" s="252"/>
      <c r="NPZ381" s="252"/>
      <c r="NQA381" s="252"/>
      <c r="NQB381" s="252"/>
      <c r="NQC381" s="252"/>
      <c r="NQD381" s="252"/>
      <c r="NQE381" s="252"/>
      <c r="NQF381" s="252"/>
      <c r="NQG381" s="252"/>
      <c r="NQH381" s="252"/>
      <c r="NQI381" s="252"/>
      <c r="NQJ381" s="252"/>
      <c r="NQK381" s="252"/>
      <c r="NQL381" s="252"/>
      <c r="NQM381" s="252"/>
      <c r="NQN381" s="252"/>
      <c r="NQO381" s="252"/>
      <c r="NQP381" s="252"/>
      <c r="NQQ381" s="252"/>
      <c r="NQR381" s="252"/>
      <c r="NQS381" s="252"/>
      <c r="NQT381" s="252"/>
      <c r="NQU381" s="252"/>
      <c r="NQV381" s="252"/>
      <c r="NQW381" s="252"/>
      <c r="NQX381" s="252"/>
      <c r="NQY381" s="252"/>
      <c r="NQZ381" s="252"/>
      <c r="NRA381" s="252"/>
      <c r="NRB381" s="252"/>
      <c r="NRC381" s="252"/>
      <c r="NRD381" s="252"/>
      <c r="NRE381" s="252"/>
      <c r="NRF381" s="252"/>
      <c r="NRG381" s="252"/>
      <c r="NRH381" s="252"/>
      <c r="NRI381" s="252"/>
      <c r="NRJ381" s="252"/>
      <c r="NRK381" s="252"/>
      <c r="NRL381" s="252"/>
      <c r="NRM381" s="252"/>
      <c r="NRN381" s="252"/>
      <c r="NRO381" s="252"/>
      <c r="NRP381" s="252"/>
      <c r="NRQ381" s="252"/>
      <c r="NRR381" s="252"/>
      <c r="NRS381" s="252"/>
      <c r="NRT381" s="252"/>
      <c r="NRU381" s="252"/>
      <c r="NRV381" s="252"/>
      <c r="NRW381" s="252"/>
      <c r="NRX381" s="252"/>
      <c r="NRY381" s="252"/>
      <c r="NRZ381" s="252"/>
      <c r="NSA381" s="252"/>
      <c r="NSB381" s="252"/>
      <c r="NSC381" s="252"/>
      <c r="NSD381" s="252"/>
      <c r="NSE381" s="252"/>
      <c r="NSF381" s="252"/>
      <c r="NSG381" s="252"/>
      <c r="NSH381" s="252"/>
      <c r="NSI381" s="252"/>
      <c r="NSJ381" s="252"/>
      <c r="NSK381" s="252"/>
      <c r="NSL381" s="252"/>
      <c r="NSM381" s="252"/>
      <c r="NSN381" s="252"/>
      <c r="NSO381" s="252"/>
      <c r="NSP381" s="252"/>
      <c r="NSQ381" s="252"/>
      <c r="NSR381" s="252"/>
      <c r="NSS381" s="252"/>
      <c r="NST381" s="252"/>
      <c r="NSU381" s="252"/>
      <c r="NSV381" s="252"/>
      <c r="NSW381" s="252"/>
      <c r="NSX381" s="252"/>
      <c r="NSY381" s="252"/>
      <c r="NSZ381" s="252"/>
      <c r="NTA381" s="252"/>
      <c r="NTB381" s="252"/>
      <c r="NTC381" s="252"/>
      <c r="NTD381" s="252"/>
      <c r="NTE381" s="252"/>
      <c r="NTF381" s="252"/>
      <c r="NTG381" s="252"/>
      <c r="NTH381" s="252"/>
      <c r="NTI381" s="252"/>
      <c r="NTJ381" s="252"/>
      <c r="NTK381" s="252"/>
      <c r="NTL381" s="252"/>
      <c r="NTM381" s="252"/>
      <c r="NTN381" s="252"/>
      <c r="NTO381" s="252"/>
      <c r="NTP381" s="252"/>
      <c r="NTQ381" s="252"/>
      <c r="NTR381" s="252"/>
      <c r="NTS381" s="252"/>
      <c r="NTT381" s="252"/>
      <c r="NTU381" s="252"/>
      <c r="NTV381" s="252"/>
      <c r="NTW381" s="252"/>
      <c r="NTX381" s="252"/>
      <c r="NTY381" s="252"/>
      <c r="NTZ381" s="252"/>
      <c r="NUA381" s="252"/>
      <c r="NUB381" s="252"/>
      <c r="NUC381" s="252"/>
      <c r="NUD381" s="252"/>
      <c r="NUE381" s="252"/>
      <c r="NUF381" s="252"/>
      <c r="NUG381" s="252"/>
      <c r="NUH381" s="252"/>
      <c r="NUI381" s="252"/>
      <c r="NUJ381" s="252"/>
      <c r="NUK381" s="252"/>
      <c r="NUL381" s="252"/>
      <c r="NUM381" s="252"/>
      <c r="NUN381" s="252"/>
      <c r="NUO381" s="252"/>
      <c r="NUP381" s="252"/>
      <c r="NUQ381" s="252"/>
      <c r="NUR381" s="252"/>
      <c r="NUS381" s="252"/>
      <c r="NUT381" s="252"/>
      <c r="NUU381" s="252"/>
      <c r="NUV381" s="252"/>
      <c r="NUW381" s="252"/>
      <c r="NUX381" s="252"/>
      <c r="NUY381" s="252"/>
      <c r="NUZ381" s="252"/>
      <c r="NVA381" s="252"/>
      <c r="NVB381" s="252"/>
      <c r="NVC381" s="252"/>
      <c r="NVD381" s="252"/>
      <c r="NVE381" s="252"/>
      <c r="NVF381" s="252"/>
      <c r="NVG381" s="252"/>
      <c r="NVH381" s="252"/>
      <c r="NVI381" s="252"/>
      <c r="NVJ381" s="252"/>
      <c r="NVK381" s="252"/>
      <c r="NVL381" s="252"/>
      <c r="NVM381" s="252"/>
      <c r="NVN381" s="252"/>
      <c r="NVO381" s="252"/>
      <c r="NVP381" s="252"/>
      <c r="NVQ381" s="252"/>
      <c r="NVR381" s="252"/>
      <c r="NVS381" s="252"/>
      <c r="NVT381" s="252"/>
      <c r="NVU381" s="252"/>
      <c r="NVV381" s="252"/>
      <c r="NVW381" s="252"/>
      <c r="NVX381" s="252"/>
      <c r="NVY381" s="252"/>
      <c r="NVZ381" s="252"/>
      <c r="NWA381" s="252"/>
      <c r="NWB381" s="252"/>
      <c r="NWC381" s="252"/>
      <c r="NWD381" s="252"/>
      <c r="NWE381" s="252"/>
      <c r="NWF381" s="252"/>
      <c r="NWG381" s="252"/>
      <c r="NWH381" s="252"/>
      <c r="NWI381" s="252"/>
      <c r="NWJ381" s="252"/>
      <c r="NWK381" s="252"/>
      <c r="NWL381" s="252"/>
      <c r="NWM381" s="252"/>
      <c r="NWN381" s="252"/>
      <c r="NWO381" s="252"/>
      <c r="NWP381" s="252"/>
      <c r="NWQ381" s="252"/>
      <c r="NWR381" s="252"/>
      <c r="NWS381" s="252"/>
      <c r="NWT381" s="252"/>
      <c r="NWU381" s="252"/>
      <c r="NWV381" s="252"/>
      <c r="NWW381" s="252"/>
      <c r="NWX381" s="252"/>
      <c r="NWY381" s="252"/>
      <c r="NWZ381" s="252"/>
      <c r="NXA381" s="252"/>
      <c r="NXB381" s="252"/>
      <c r="NXC381" s="252"/>
      <c r="NXD381" s="252"/>
      <c r="NXE381" s="252"/>
      <c r="NXF381" s="252"/>
      <c r="NXG381" s="252"/>
      <c r="NXH381" s="252"/>
      <c r="NXI381" s="252"/>
      <c r="NXJ381" s="252"/>
      <c r="NXK381" s="252"/>
      <c r="NXL381" s="252"/>
      <c r="NXM381" s="252"/>
      <c r="NXN381" s="252"/>
      <c r="NXO381" s="252"/>
      <c r="NXP381" s="252"/>
      <c r="NXQ381" s="252"/>
      <c r="NXR381" s="252"/>
      <c r="NXS381" s="252"/>
      <c r="NXT381" s="252"/>
      <c r="NXU381" s="252"/>
      <c r="NXV381" s="252"/>
      <c r="NXW381" s="252"/>
      <c r="NXX381" s="252"/>
      <c r="NXY381" s="252"/>
      <c r="NXZ381" s="252"/>
      <c r="NYA381" s="252"/>
      <c r="NYB381" s="252"/>
      <c r="NYC381" s="252"/>
      <c r="NYD381" s="252"/>
      <c r="NYE381" s="252"/>
      <c r="NYF381" s="252"/>
      <c r="NYG381" s="252"/>
      <c r="NYH381" s="252"/>
      <c r="NYI381" s="252"/>
      <c r="NYJ381" s="252"/>
      <c r="NYK381" s="252"/>
      <c r="NYL381" s="252"/>
      <c r="NYM381" s="252"/>
      <c r="NYN381" s="252"/>
      <c r="NYO381" s="252"/>
      <c r="NYP381" s="252"/>
      <c r="NYQ381" s="252"/>
      <c r="NYR381" s="252"/>
      <c r="NYS381" s="252"/>
      <c r="NYT381" s="252"/>
      <c r="NYU381" s="252"/>
      <c r="NYV381" s="252"/>
      <c r="NYW381" s="252"/>
      <c r="NYX381" s="252"/>
      <c r="NYY381" s="252"/>
      <c r="NYZ381" s="252"/>
      <c r="NZA381" s="252"/>
      <c r="NZB381" s="252"/>
      <c r="NZC381" s="252"/>
      <c r="NZD381" s="252"/>
      <c r="NZE381" s="252"/>
      <c r="NZF381" s="252"/>
      <c r="NZG381" s="252"/>
      <c r="NZH381" s="252"/>
      <c r="NZI381" s="252"/>
      <c r="NZJ381" s="252"/>
      <c r="NZK381" s="252"/>
      <c r="NZL381" s="252"/>
      <c r="NZM381" s="252"/>
      <c r="NZN381" s="252"/>
      <c r="NZO381" s="252"/>
      <c r="NZP381" s="252"/>
      <c r="NZQ381" s="252"/>
      <c r="NZR381" s="252"/>
      <c r="NZS381" s="252"/>
      <c r="NZT381" s="252"/>
      <c r="NZU381" s="252"/>
      <c r="NZV381" s="252"/>
      <c r="NZW381" s="252"/>
      <c r="NZX381" s="252"/>
      <c r="NZY381" s="252"/>
      <c r="NZZ381" s="252"/>
      <c r="OAA381" s="252"/>
      <c r="OAB381" s="252"/>
      <c r="OAC381" s="252"/>
      <c r="OAD381" s="252"/>
      <c r="OAE381" s="252"/>
      <c r="OAF381" s="252"/>
      <c r="OAG381" s="252"/>
      <c r="OAH381" s="252"/>
      <c r="OAI381" s="252"/>
      <c r="OAJ381" s="252"/>
      <c r="OAK381" s="252"/>
      <c r="OAL381" s="252"/>
      <c r="OAM381" s="252"/>
      <c r="OAN381" s="252"/>
      <c r="OAO381" s="252"/>
      <c r="OAP381" s="252"/>
      <c r="OAQ381" s="252"/>
      <c r="OAR381" s="252"/>
      <c r="OAS381" s="252"/>
      <c r="OAT381" s="252"/>
      <c r="OAU381" s="252"/>
      <c r="OAV381" s="252"/>
      <c r="OAW381" s="252"/>
      <c r="OAX381" s="252"/>
      <c r="OAY381" s="252"/>
      <c r="OAZ381" s="252"/>
      <c r="OBA381" s="252"/>
      <c r="OBB381" s="252"/>
      <c r="OBC381" s="252"/>
      <c r="OBD381" s="252"/>
      <c r="OBE381" s="252"/>
      <c r="OBF381" s="252"/>
      <c r="OBG381" s="252"/>
      <c r="OBH381" s="252"/>
      <c r="OBI381" s="252"/>
      <c r="OBJ381" s="252"/>
      <c r="OBK381" s="252"/>
      <c r="OBL381" s="252"/>
      <c r="OBM381" s="252"/>
      <c r="OBN381" s="252"/>
      <c r="OBO381" s="252"/>
      <c r="OBP381" s="252"/>
      <c r="OBQ381" s="252"/>
      <c r="OBR381" s="252"/>
      <c r="OBS381" s="252"/>
      <c r="OBT381" s="252"/>
      <c r="OBU381" s="252"/>
      <c r="OBV381" s="252"/>
      <c r="OBW381" s="252"/>
      <c r="OBX381" s="252"/>
      <c r="OBY381" s="252"/>
      <c r="OBZ381" s="252"/>
      <c r="OCA381" s="252"/>
      <c r="OCB381" s="252"/>
      <c r="OCC381" s="252"/>
      <c r="OCD381" s="252"/>
      <c r="OCE381" s="252"/>
      <c r="OCF381" s="252"/>
      <c r="OCG381" s="252"/>
      <c r="OCH381" s="252"/>
      <c r="OCI381" s="252"/>
      <c r="OCJ381" s="252"/>
      <c r="OCK381" s="252"/>
      <c r="OCL381" s="252"/>
      <c r="OCM381" s="252"/>
      <c r="OCN381" s="252"/>
      <c r="OCO381" s="252"/>
      <c r="OCP381" s="252"/>
      <c r="OCQ381" s="252"/>
      <c r="OCR381" s="252"/>
      <c r="OCS381" s="252"/>
      <c r="OCT381" s="252"/>
      <c r="OCU381" s="252"/>
      <c r="OCV381" s="252"/>
      <c r="OCW381" s="252"/>
      <c r="OCX381" s="252"/>
      <c r="OCY381" s="252"/>
      <c r="OCZ381" s="252"/>
      <c r="ODA381" s="252"/>
      <c r="ODB381" s="252"/>
      <c r="ODC381" s="252"/>
      <c r="ODD381" s="252"/>
      <c r="ODE381" s="252"/>
      <c r="ODF381" s="252"/>
      <c r="ODG381" s="252"/>
      <c r="ODH381" s="252"/>
      <c r="ODI381" s="252"/>
      <c r="ODJ381" s="252"/>
      <c r="ODK381" s="252"/>
      <c r="ODL381" s="252"/>
      <c r="ODM381" s="252"/>
      <c r="ODN381" s="252"/>
      <c r="ODO381" s="252"/>
      <c r="ODP381" s="252"/>
      <c r="ODQ381" s="252"/>
      <c r="ODR381" s="252"/>
      <c r="ODS381" s="252"/>
      <c r="ODT381" s="252"/>
      <c r="ODU381" s="252"/>
      <c r="ODV381" s="252"/>
      <c r="ODW381" s="252"/>
      <c r="ODX381" s="252"/>
      <c r="ODY381" s="252"/>
      <c r="ODZ381" s="252"/>
      <c r="OEA381" s="252"/>
      <c r="OEB381" s="252"/>
      <c r="OEC381" s="252"/>
      <c r="OED381" s="252"/>
      <c r="OEE381" s="252"/>
      <c r="OEF381" s="252"/>
      <c r="OEG381" s="252"/>
      <c r="OEH381" s="252"/>
      <c r="OEI381" s="252"/>
      <c r="OEJ381" s="252"/>
      <c r="OEK381" s="252"/>
      <c r="OEL381" s="252"/>
      <c r="OEM381" s="252"/>
      <c r="OEN381" s="252"/>
      <c r="OEO381" s="252"/>
      <c r="OEP381" s="252"/>
      <c r="OEQ381" s="252"/>
      <c r="OER381" s="252"/>
      <c r="OES381" s="252"/>
      <c r="OET381" s="252"/>
      <c r="OEU381" s="252"/>
      <c r="OEV381" s="252"/>
      <c r="OEW381" s="252"/>
      <c r="OEX381" s="252"/>
      <c r="OEY381" s="252"/>
      <c r="OEZ381" s="252"/>
      <c r="OFA381" s="252"/>
      <c r="OFB381" s="252"/>
      <c r="OFC381" s="252"/>
      <c r="OFD381" s="252"/>
      <c r="OFE381" s="252"/>
      <c r="OFF381" s="252"/>
      <c r="OFG381" s="252"/>
      <c r="OFH381" s="252"/>
      <c r="OFI381" s="252"/>
      <c r="OFJ381" s="252"/>
      <c r="OFK381" s="252"/>
      <c r="OFL381" s="252"/>
      <c r="OFM381" s="252"/>
      <c r="OFN381" s="252"/>
      <c r="OFO381" s="252"/>
      <c r="OFP381" s="252"/>
      <c r="OFQ381" s="252"/>
      <c r="OFR381" s="252"/>
      <c r="OFS381" s="252"/>
      <c r="OFT381" s="252"/>
      <c r="OFU381" s="252"/>
      <c r="OFV381" s="252"/>
      <c r="OFW381" s="252"/>
      <c r="OFX381" s="252"/>
      <c r="OFY381" s="252"/>
      <c r="OFZ381" s="252"/>
      <c r="OGA381" s="252"/>
      <c r="OGB381" s="252"/>
      <c r="OGC381" s="252"/>
      <c r="OGD381" s="252"/>
      <c r="OGE381" s="252"/>
      <c r="OGF381" s="252"/>
      <c r="OGG381" s="252"/>
      <c r="OGH381" s="252"/>
      <c r="OGI381" s="252"/>
      <c r="OGJ381" s="252"/>
      <c r="OGK381" s="252"/>
      <c r="OGL381" s="252"/>
      <c r="OGM381" s="252"/>
      <c r="OGN381" s="252"/>
      <c r="OGO381" s="252"/>
      <c r="OGP381" s="252"/>
      <c r="OGQ381" s="252"/>
      <c r="OGR381" s="252"/>
      <c r="OGS381" s="252"/>
      <c r="OGT381" s="252"/>
      <c r="OGU381" s="252"/>
      <c r="OGV381" s="252"/>
      <c r="OGW381" s="252"/>
      <c r="OGX381" s="252"/>
      <c r="OGY381" s="252"/>
      <c r="OGZ381" s="252"/>
      <c r="OHA381" s="252"/>
      <c r="OHB381" s="252"/>
      <c r="OHC381" s="252"/>
      <c r="OHD381" s="252"/>
      <c r="OHE381" s="252"/>
      <c r="OHF381" s="252"/>
      <c r="OHG381" s="252"/>
      <c r="OHH381" s="252"/>
      <c r="OHI381" s="252"/>
      <c r="OHJ381" s="252"/>
      <c r="OHK381" s="252"/>
      <c r="OHL381" s="252"/>
      <c r="OHM381" s="252"/>
      <c r="OHN381" s="252"/>
      <c r="OHO381" s="252"/>
      <c r="OHP381" s="252"/>
      <c r="OHQ381" s="252"/>
      <c r="OHR381" s="252"/>
      <c r="OHS381" s="252"/>
      <c r="OHT381" s="252"/>
      <c r="OHU381" s="252"/>
      <c r="OHV381" s="252"/>
      <c r="OHW381" s="252"/>
      <c r="OHX381" s="252"/>
      <c r="OHY381" s="252"/>
      <c r="OHZ381" s="252"/>
      <c r="OIA381" s="252"/>
      <c r="OIB381" s="252"/>
      <c r="OIC381" s="252"/>
      <c r="OID381" s="252"/>
      <c r="OIE381" s="252"/>
      <c r="OIF381" s="252"/>
      <c r="OIG381" s="252"/>
      <c r="OIH381" s="252"/>
      <c r="OII381" s="252"/>
      <c r="OIJ381" s="252"/>
      <c r="OIK381" s="252"/>
      <c r="OIL381" s="252"/>
      <c r="OIM381" s="252"/>
      <c r="OIN381" s="252"/>
      <c r="OIO381" s="252"/>
      <c r="OIP381" s="252"/>
      <c r="OIQ381" s="252"/>
      <c r="OIR381" s="252"/>
      <c r="OIS381" s="252"/>
      <c r="OIT381" s="252"/>
      <c r="OIU381" s="252"/>
      <c r="OIV381" s="252"/>
      <c r="OIW381" s="252"/>
      <c r="OIX381" s="252"/>
      <c r="OIY381" s="252"/>
      <c r="OIZ381" s="252"/>
      <c r="OJA381" s="252"/>
      <c r="OJB381" s="252"/>
      <c r="OJC381" s="252"/>
      <c r="OJD381" s="252"/>
      <c r="OJE381" s="252"/>
      <c r="OJF381" s="252"/>
      <c r="OJG381" s="252"/>
      <c r="OJH381" s="252"/>
      <c r="OJI381" s="252"/>
      <c r="OJJ381" s="252"/>
      <c r="OJK381" s="252"/>
      <c r="OJL381" s="252"/>
      <c r="OJM381" s="252"/>
      <c r="OJN381" s="252"/>
      <c r="OJO381" s="252"/>
      <c r="OJP381" s="252"/>
      <c r="OJQ381" s="252"/>
      <c r="OJR381" s="252"/>
      <c r="OJS381" s="252"/>
      <c r="OJT381" s="252"/>
      <c r="OJU381" s="252"/>
      <c r="OJV381" s="252"/>
      <c r="OJW381" s="252"/>
      <c r="OJX381" s="252"/>
      <c r="OJY381" s="252"/>
      <c r="OJZ381" s="252"/>
      <c r="OKA381" s="252"/>
      <c r="OKB381" s="252"/>
      <c r="OKC381" s="252"/>
      <c r="OKD381" s="252"/>
      <c r="OKE381" s="252"/>
      <c r="OKF381" s="252"/>
      <c r="OKG381" s="252"/>
      <c r="OKH381" s="252"/>
      <c r="OKI381" s="252"/>
      <c r="OKJ381" s="252"/>
      <c r="OKK381" s="252"/>
      <c r="OKL381" s="252"/>
      <c r="OKM381" s="252"/>
      <c r="OKN381" s="252"/>
      <c r="OKO381" s="252"/>
      <c r="OKP381" s="252"/>
      <c r="OKQ381" s="252"/>
      <c r="OKR381" s="252"/>
      <c r="OKS381" s="252"/>
      <c r="OKT381" s="252"/>
      <c r="OKU381" s="252"/>
      <c r="OKV381" s="252"/>
      <c r="OKW381" s="252"/>
      <c r="OKX381" s="252"/>
      <c r="OKY381" s="252"/>
      <c r="OKZ381" s="252"/>
      <c r="OLA381" s="252"/>
      <c r="OLB381" s="252"/>
      <c r="OLC381" s="252"/>
      <c r="OLD381" s="252"/>
      <c r="OLE381" s="252"/>
      <c r="OLF381" s="252"/>
      <c r="OLG381" s="252"/>
      <c r="OLH381" s="252"/>
      <c r="OLI381" s="252"/>
      <c r="OLJ381" s="252"/>
      <c r="OLK381" s="252"/>
      <c r="OLL381" s="252"/>
      <c r="OLM381" s="252"/>
      <c r="OLN381" s="252"/>
      <c r="OLO381" s="252"/>
      <c r="OLP381" s="252"/>
      <c r="OLQ381" s="252"/>
      <c r="OLR381" s="252"/>
      <c r="OLS381" s="252"/>
      <c r="OLT381" s="252"/>
      <c r="OLU381" s="252"/>
      <c r="OLV381" s="252"/>
      <c r="OLW381" s="252"/>
      <c r="OLX381" s="252"/>
      <c r="OLY381" s="252"/>
      <c r="OLZ381" s="252"/>
      <c r="OMA381" s="252"/>
      <c r="OMB381" s="252"/>
      <c r="OMC381" s="252"/>
      <c r="OMD381" s="252"/>
      <c r="OME381" s="252"/>
      <c r="OMF381" s="252"/>
      <c r="OMG381" s="252"/>
      <c r="OMH381" s="252"/>
      <c r="OMI381" s="252"/>
      <c r="OMJ381" s="252"/>
      <c r="OMK381" s="252"/>
      <c r="OML381" s="252"/>
      <c r="OMM381" s="252"/>
      <c r="OMN381" s="252"/>
      <c r="OMO381" s="252"/>
      <c r="OMP381" s="252"/>
      <c r="OMQ381" s="252"/>
      <c r="OMR381" s="252"/>
      <c r="OMS381" s="252"/>
      <c r="OMT381" s="252"/>
      <c r="OMU381" s="252"/>
      <c r="OMV381" s="252"/>
      <c r="OMW381" s="252"/>
      <c r="OMX381" s="252"/>
      <c r="OMY381" s="252"/>
      <c r="OMZ381" s="252"/>
      <c r="ONA381" s="252"/>
      <c r="ONB381" s="252"/>
      <c r="ONC381" s="252"/>
      <c r="OND381" s="252"/>
      <c r="ONE381" s="252"/>
      <c r="ONF381" s="252"/>
      <c r="ONG381" s="252"/>
      <c r="ONH381" s="252"/>
      <c r="ONI381" s="252"/>
      <c r="ONJ381" s="252"/>
      <c r="ONK381" s="252"/>
      <c r="ONL381" s="252"/>
      <c r="ONM381" s="252"/>
      <c r="ONN381" s="252"/>
      <c r="ONO381" s="252"/>
      <c r="ONP381" s="252"/>
      <c r="ONQ381" s="252"/>
      <c r="ONR381" s="252"/>
      <c r="ONS381" s="252"/>
      <c r="ONT381" s="252"/>
      <c r="ONU381" s="252"/>
      <c r="ONV381" s="252"/>
      <c r="ONW381" s="252"/>
      <c r="ONX381" s="252"/>
      <c r="ONY381" s="252"/>
      <c r="ONZ381" s="252"/>
      <c r="OOA381" s="252"/>
      <c r="OOB381" s="252"/>
      <c r="OOC381" s="252"/>
      <c r="OOD381" s="252"/>
      <c r="OOE381" s="252"/>
      <c r="OOF381" s="252"/>
      <c r="OOG381" s="252"/>
      <c r="OOH381" s="252"/>
      <c r="OOI381" s="252"/>
      <c r="OOJ381" s="252"/>
      <c r="OOK381" s="252"/>
      <c r="OOL381" s="252"/>
      <c r="OOM381" s="252"/>
      <c r="OON381" s="252"/>
      <c r="OOO381" s="252"/>
      <c r="OOP381" s="252"/>
      <c r="OOQ381" s="252"/>
      <c r="OOR381" s="252"/>
      <c r="OOS381" s="252"/>
      <c r="OOT381" s="252"/>
      <c r="OOU381" s="252"/>
      <c r="OOV381" s="252"/>
      <c r="OOW381" s="252"/>
      <c r="OOX381" s="252"/>
      <c r="OOY381" s="252"/>
      <c r="OOZ381" s="252"/>
      <c r="OPA381" s="252"/>
      <c r="OPB381" s="252"/>
      <c r="OPC381" s="252"/>
      <c r="OPD381" s="252"/>
      <c r="OPE381" s="252"/>
      <c r="OPF381" s="252"/>
      <c r="OPG381" s="252"/>
      <c r="OPH381" s="252"/>
      <c r="OPI381" s="252"/>
      <c r="OPJ381" s="252"/>
      <c r="OPK381" s="252"/>
      <c r="OPL381" s="252"/>
      <c r="OPM381" s="252"/>
      <c r="OPN381" s="252"/>
      <c r="OPO381" s="252"/>
      <c r="OPP381" s="252"/>
      <c r="OPQ381" s="252"/>
      <c r="OPR381" s="252"/>
      <c r="OPS381" s="252"/>
      <c r="OPT381" s="252"/>
      <c r="OPU381" s="252"/>
      <c r="OPV381" s="252"/>
      <c r="OPW381" s="252"/>
      <c r="OPX381" s="252"/>
      <c r="OPY381" s="252"/>
      <c r="OPZ381" s="252"/>
      <c r="OQA381" s="252"/>
      <c r="OQB381" s="252"/>
      <c r="OQC381" s="252"/>
      <c r="OQD381" s="252"/>
      <c r="OQE381" s="252"/>
      <c r="OQF381" s="252"/>
      <c r="OQG381" s="252"/>
      <c r="OQH381" s="252"/>
      <c r="OQI381" s="252"/>
      <c r="OQJ381" s="252"/>
      <c r="OQK381" s="252"/>
      <c r="OQL381" s="252"/>
      <c r="OQM381" s="252"/>
      <c r="OQN381" s="252"/>
      <c r="OQO381" s="252"/>
      <c r="OQP381" s="252"/>
      <c r="OQQ381" s="252"/>
      <c r="OQR381" s="252"/>
      <c r="OQS381" s="252"/>
      <c r="OQT381" s="252"/>
      <c r="OQU381" s="252"/>
      <c r="OQV381" s="252"/>
      <c r="OQW381" s="252"/>
      <c r="OQX381" s="252"/>
      <c r="OQY381" s="252"/>
      <c r="OQZ381" s="252"/>
      <c r="ORA381" s="252"/>
      <c r="ORB381" s="252"/>
      <c r="ORC381" s="252"/>
      <c r="ORD381" s="252"/>
      <c r="ORE381" s="252"/>
      <c r="ORF381" s="252"/>
      <c r="ORG381" s="252"/>
      <c r="ORH381" s="252"/>
      <c r="ORI381" s="252"/>
      <c r="ORJ381" s="252"/>
      <c r="ORK381" s="252"/>
      <c r="ORL381" s="252"/>
      <c r="ORM381" s="252"/>
      <c r="ORN381" s="252"/>
      <c r="ORO381" s="252"/>
      <c r="ORP381" s="252"/>
      <c r="ORQ381" s="252"/>
      <c r="ORR381" s="252"/>
      <c r="ORS381" s="252"/>
      <c r="ORT381" s="252"/>
      <c r="ORU381" s="252"/>
      <c r="ORV381" s="252"/>
      <c r="ORW381" s="252"/>
      <c r="ORX381" s="252"/>
      <c r="ORY381" s="252"/>
      <c r="ORZ381" s="252"/>
      <c r="OSA381" s="252"/>
      <c r="OSB381" s="252"/>
      <c r="OSC381" s="252"/>
      <c r="OSD381" s="252"/>
      <c r="OSE381" s="252"/>
      <c r="OSF381" s="252"/>
      <c r="OSG381" s="252"/>
      <c r="OSH381" s="252"/>
      <c r="OSI381" s="252"/>
      <c r="OSJ381" s="252"/>
      <c r="OSK381" s="252"/>
      <c r="OSL381" s="252"/>
      <c r="OSM381" s="252"/>
      <c r="OSN381" s="252"/>
      <c r="OSO381" s="252"/>
      <c r="OSP381" s="252"/>
      <c r="OSQ381" s="252"/>
      <c r="OSR381" s="252"/>
      <c r="OSS381" s="252"/>
      <c r="OST381" s="252"/>
      <c r="OSU381" s="252"/>
      <c r="OSV381" s="252"/>
      <c r="OSW381" s="252"/>
      <c r="OSX381" s="252"/>
      <c r="OSY381" s="252"/>
      <c r="OSZ381" s="252"/>
      <c r="OTA381" s="252"/>
      <c r="OTB381" s="252"/>
      <c r="OTC381" s="252"/>
      <c r="OTD381" s="252"/>
      <c r="OTE381" s="252"/>
      <c r="OTF381" s="252"/>
      <c r="OTG381" s="252"/>
      <c r="OTH381" s="252"/>
      <c r="OTI381" s="252"/>
      <c r="OTJ381" s="252"/>
      <c r="OTK381" s="252"/>
      <c r="OTL381" s="252"/>
      <c r="OTM381" s="252"/>
      <c r="OTN381" s="252"/>
      <c r="OTO381" s="252"/>
      <c r="OTP381" s="252"/>
      <c r="OTQ381" s="252"/>
      <c r="OTR381" s="252"/>
      <c r="OTS381" s="252"/>
      <c r="OTT381" s="252"/>
      <c r="OTU381" s="252"/>
      <c r="OTV381" s="252"/>
      <c r="OTW381" s="252"/>
      <c r="OTX381" s="252"/>
      <c r="OTY381" s="252"/>
      <c r="OTZ381" s="252"/>
      <c r="OUA381" s="252"/>
      <c r="OUB381" s="252"/>
      <c r="OUC381" s="252"/>
      <c r="OUD381" s="252"/>
      <c r="OUE381" s="252"/>
      <c r="OUF381" s="252"/>
      <c r="OUG381" s="252"/>
      <c r="OUH381" s="252"/>
      <c r="OUI381" s="252"/>
      <c r="OUJ381" s="252"/>
      <c r="OUK381" s="252"/>
      <c r="OUL381" s="252"/>
      <c r="OUM381" s="252"/>
      <c r="OUN381" s="252"/>
      <c r="OUO381" s="252"/>
      <c r="OUP381" s="252"/>
      <c r="OUQ381" s="252"/>
      <c r="OUR381" s="252"/>
      <c r="OUS381" s="252"/>
      <c r="OUT381" s="252"/>
      <c r="OUU381" s="252"/>
      <c r="OUV381" s="252"/>
      <c r="OUW381" s="252"/>
      <c r="OUX381" s="252"/>
      <c r="OUY381" s="252"/>
      <c r="OUZ381" s="252"/>
      <c r="OVA381" s="252"/>
      <c r="OVB381" s="252"/>
      <c r="OVC381" s="252"/>
      <c r="OVD381" s="252"/>
      <c r="OVE381" s="252"/>
      <c r="OVF381" s="252"/>
      <c r="OVG381" s="252"/>
      <c r="OVH381" s="252"/>
      <c r="OVI381" s="252"/>
      <c r="OVJ381" s="252"/>
      <c r="OVK381" s="252"/>
      <c r="OVL381" s="252"/>
      <c r="OVM381" s="252"/>
      <c r="OVN381" s="252"/>
      <c r="OVO381" s="252"/>
      <c r="OVP381" s="252"/>
      <c r="OVQ381" s="252"/>
      <c r="OVR381" s="252"/>
      <c r="OVS381" s="252"/>
      <c r="OVT381" s="252"/>
      <c r="OVU381" s="252"/>
      <c r="OVV381" s="252"/>
      <c r="OVW381" s="252"/>
      <c r="OVX381" s="252"/>
      <c r="OVY381" s="252"/>
      <c r="OVZ381" s="252"/>
      <c r="OWA381" s="252"/>
      <c r="OWB381" s="252"/>
      <c r="OWC381" s="252"/>
      <c r="OWD381" s="252"/>
      <c r="OWE381" s="252"/>
      <c r="OWF381" s="252"/>
      <c r="OWG381" s="252"/>
      <c r="OWH381" s="252"/>
      <c r="OWI381" s="252"/>
      <c r="OWJ381" s="252"/>
      <c r="OWK381" s="252"/>
      <c r="OWL381" s="252"/>
      <c r="OWM381" s="252"/>
      <c r="OWN381" s="252"/>
      <c r="OWO381" s="252"/>
      <c r="OWP381" s="252"/>
      <c r="OWQ381" s="252"/>
      <c r="OWR381" s="252"/>
      <c r="OWS381" s="252"/>
      <c r="OWT381" s="252"/>
      <c r="OWU381" s="252"/>
      <c r="OWV381" s="252"/>
      <c r="OWW381" s="252"/>
      <c r="OWX381" s="252"/>
      <c r="OWY381" s="252"/>
      <c r="OWZ381" s="252"/>
      <c r="OXA381" s="252"/>
      <c r="OXB381" s="252"/>
      <c r="OXC381" s="252"/>
      <c r="OXD381" s="252"/>
      <c r="OXE381" s="252"/>
      <c r="OXF381" s="252"/>
      <c r="OXG381" s="252"/>
      <c r="OXH381" s="252"/>
      <c r="OXI381" s="252"/>
      <c r="OXJ381" s="252"/>
      <c r="OXK381" s="252"/>
      <c r="OXL381" s="252"/>
      <c r="OXM381" s="252"/>
      <c r="OXN381" s="252"/>
      <c r="OXO381" s="252"/>
      <c r="OXP381" s="252"/>
      <c r="OXQ381" s="252"/>
      <c r="OXR381" s="252"/>
      <c r="OXS381" s="252"/>
      <c r="OXT381" s="252"/>
      <c r="OXU381" s="252"/>
      <c r="OXV381" s="252"/>
      <c r="OXW381" s="252"/>
      <c r="OXX381" s="252"/>
      <c r="OXY381" s="252"/>
      <c r="OXZ381" s="252"/>
      <c r="OYA381" s="252"/>
      <c r="OYB381" s="252"/>
      <c r="OYC381" s="252"/>
      <c r="OYD381" s="252"/>
      <c r="OYE381" s="252"/>
      <c r="OYF381" s="252"/>
      <c r="OYG381" s="252"/>
      <c r="OYH381" s="252"/>
      <c r="OYI381" s="252"/>
      <c r="OYJ381" s="252"/>
      <c r="OYK381" s="252"/>
      <c r="OYL381" s="252"/>
      <c r="OYM381" s="252"/>
      <c r="OYN381" s="252"/>
      <c r="OYO381" s="252"/>
      <c r="OYP381" s="252"/>
      <c r="OYQ381" s="252"/>
      <c r="OYR381" s="252"/>
      <c r="OYS381" s="252"/>
      <c r="OYT381" s="252"/>
      <c r="OYU381" s="252"/>
      <c r="OYV381" s="252"/>
      <c r="OYW381" s="252"/>
      <c r="OYX381" s="252"/>
      <c r="OYY381" s="252"/>
      <c r="OYZ381" s="252"/>
      <c r="OZA381" s="252"/>
      <c r="OZB381" s="252"/>
      <c r="OZC381" s="252"/>
      <c r="OZD381" s="252"/>
      <c r="OZE381" s="252"/>
      <c r="OZF381" s="252"/>
      <c r="OZG381" s="252"/>
      <c r="OZH381" s="252"/>
      <c r="OZI381" s="252"/>
      <c r="OZJ381" s="252"/>
      <c r="OZK381" s="252"/>
      <c r="OZL381" s="252"/>
      <c r="OZM381" s="252"/>
      <c r="OZN381" s="252"/>
      <c r="OZO381" s="252"/>
      <c r="OZP381" s="252"/>
      <c r="OZQ381" s="252"/>
      <c r="OZR381" s="252"/>
      <c r="OZS381" s="252"/>
      <c r="OZT381" s="252"/>
      <c r="OZU381" s="252"/>
      <c r="OZV381" s="252"/>
      <c r="OZW381" s="252"/>
      <c r="OZX381" s="252"/>
      <c r="OZY381" s="252"/>
      <c r="OZZ381" s="252"/>
      <c r="PAA381" s="252"/>
      <c r="PAB381" s="252"/>
      <c r="PAC381" s="252"/>
      <c r="PAD381" s="252"/>
      <c r="PAE381" s="252"/>
      <c r="PAF381" s="252"/>
      <c r="PAG381" s="252"/>
      <c r="PAH381" s="252"/>
      <c r="PAI381" s="252"/>
      <c r="PAJ381" s="252"/>
      <c r="PAK381" s="252"/>
      <c r="PAL381" s="252"/>
      <c r="PAM381" s="252"/>
      <c r="PAN381" s="252"/>
      <c r="PAO381" s="252"/>
      <c r="PAP381" s="252"/>
      <c r="PAQ381" s="252"/>
      <c r="PAR381" s="252"/>
      <c r="PAS381" s="252"/>
      <c r="PAT381" s="252"/>
      <c r="PAU381" s="252"/>
      <c r="PAV381" s="252"/>
      <c r="PAW381" s="252"/>
      <c r="PAX381" s="252"/>
      <c r="PAY381" s="252"/>
      <c r="PAZ381" s="252"/>
      <c r="PBA381" s="252"/>
      <c r="PBB381" s="252"/>
      <c r="PBC381" s="252"/>
      <c r="PBD381" s="252"/>
      <c r="PBE381" s="252"/>
      <c r="PBF381" s="252"/>
      <c r="PBG381" s="252"/>
      <c r="PBH381" s="252"/>
      <c r="PBI381" s="252"/>
      <c r="PBJ381" s="252"/>
      <c r="PBK381" s="252"/>
      <c r="PBL381" s="252"/>
      <c r="PBM381" s="252"/>
      <c r="PBN381" s="252"/>
      <c r="PBO381" s="252"/>
      <c r="PBP381" s="252"/>
      <c r="PBQ381" s="252"/>
      <c r="PBR381" s="252"/>
      <c r="PBS381" s="252"/>
      <c r="PBT381" s="252"/>
      <c r="PBU381" s="252"/>
      <c r="PBV381" s="252"/>
      <c r="PBW381" s="252"/>
      <c r="PBX381" s="252"/>
      <c r="PBY381" s="252"/>
      <c r="PBZ381" s="252"/>
      <c r="PCA381" s="252"/>
      <c r="PCB381" s="252"/>
      <c r="PCC381" s="252"/>
      <c r="PCD381" s="252"/>
      <c r="PCE381" s="252"/>
      <c r="PCF381" s="252"/>
      <c r="PCG381" s="252"/>
      <c r="PCH381" s="252"/>
      <c r="PCI381" s="252"/>
      <c r="PCJ381" s="252"/>
      <c r="PCK381" s="252"/>
      <c r="PCL381" s="252"/>
      <c r="PCM381" s="252"/>
      <c r="PCN381" s="252"/>
      <c r="PCO381" s="252"/>
      <c r="PCP381" s="252"/>
      <c r="PCQ381" s="252"/>
      <c r="PCR381" s="252"/>
      <c r="PCS381" s="252"/>
      <c r="PCT381" s="252"/>
      <c r="PCU381" s="252"/>
      <c r="PCV381" s="252"/>
      <c r="PCW381" s="252"/>
      <c r="PCX381" s="252"/>
      <c r="PCY381" s="252"/>
      <c r="PCZ381" s="252"/>
      <c r="PDA381" s="252"/>
      <c r="PDB381" s="252"/>
      <c r="PDC381" s="252"/>
      <c r="PDD381" s="252"/>
      <c r="PDE381" s="252"/>
      <c r="PDF381" s="252"/>
      <c r="PDG381" s="252"/>
      <c r="PDH381" s="252"/>
      <c r="PDI381" s="252"/>
      <c r="PDJ381" s="252"/>
      <c r="PDK381" s="252"/>
      <c r="PDL381" s="252"/>
      <c r="PDM381" s="252"/>
      <c r="PDN381" s="252"/>
      <c r="PDO381" s="252"/>
      <c r="PDP381" s="252"/>
      <c r="PDQ381" s="252"/>
      <c r="PDR381" s="252"/>
      <c r="PDS381" s="252"/>
      <c r="PDT381" s="252"/>
      <c r="PDU381" s="252"/>
      <c r="PDV381" s="252"/>
      <c r="PDW381" s="252"/>
      <c r="PDX381" s="252"/>
      <c r="PDY381" s="252"/>
      <c r="PDZ381" s="252"/>
      <c r="PEA381" s="252"/>
      <c r="PEB381" s="252"/>
      <c r="PEC381" s="252"/>
      <c r="PED381" s="252"/>
      <c r="PEE381" s="252"/>
      <c r="PEF381" s="252"/>
      <c r="PEG381" s="252"/>
      <c r="PEH381" s="252"/>
      <c r="PEI381" s="252"/>
      <c r="PEJ381" s="252"/>
      <c r="PEK381" s="252"/>
      <c r="PEL381" s="252"/>
      <c r="PEM381" s="252"/>
      <c r="PEN381" s="252"/>
      <c r="PEO381" s="252"/>
      <c r="PEP381" s="252"/>
      <c r="PEQ381" s="252"/>
      <c r="PER381" s="252"/>
      <c r="PES381" s="252"/>
      <c r="PET381" s="252"/>
      <c r="PEU381" s="252"/>
      <c r="PEV381" s="252"/>
      <c r="PEW381" s="252"/>
      <c r="PEX381" s="252"/>
      <c r="PEY381" s="252"/>
      <c r="PEZ381" s="252"/>
      <c r="PFA381" s="252"/>
      <c r="PFB381" s="252"/>
      <c r="PFC381" s="252"/>
      <c r="PFD381" s="252"/>
      <c r="PFE381" s="252"/>
      <c r="PFF381" s="252"/>
      <c r="PFG381" s="252"/>
      <c r="PFH381" s="252"/>
      <c r="PFI381" s="252"/>
      <c r="PFJ381" s="252"/>
      <c r="PFK381" s="252"/>
      <c r="PFL381" s="252"/>
      <c r="PFM381" s="252"/>
      <c r="PFN381" s="252"/>
      <c r="PFO381" s="252"/>
      <c r="PFP381" s="252"/>
      <c r="PFQ381" s="252"/>
      <c r="PFR381" s="252"/>
      <c r="PFS381" s="252"/>
      <c r="PFT381" s="252"/>
      <c r="PFU381" s="252"/>
      <c r="PFV381" s="252"/>
      <c r="PFW381" s="252"/>
      <c r="PFX381" s="252"/>
      <c r="PFY381" s="252"/>
      <c r="PFZ381" s="252"/>
      <c r="PGA381" s="252"/>
      <c r="PGB381" s="252"/>
      <c r="PGC381" s="252"/>
      <c r="PGD381" s="252"/>
      <c r="PGE381" s="252"/>
      <c r="PGF381" s="252"/>
      <c r="PGG381" s="252"/>
      <c r="PGH381" s="252"/>
      <c r="PGI381" s="252"/>
      <c r="PGJ381" s="252"/>
      <c r="PGK381" s="252"/>
      <c r="PGL381" s="252"/>
      <c r="PGM381" s="252"/>
      <c r="PGN381" s="252"/>
      <c r="PGO381" s="252"/>
      <c r="PGP381" s="252"/>
      <c r="PGQ381" s="252"/>
      <c r="PGR381" s="252"/>
      <c r="PGS381" s="252"/>
      <c r="PGT381" s="252"/>
      <c r="PGU381" s="252"/>
      <c r="PGV381" s="252"/>
      <c r="PGW381" s="252"/>
      <c r="PGX381" s="252"/>
      <c r="PGY381" s="252"/>
      <c r="PGZ381" s="252"/>
      <c r="PHA381" s="252"/>
      <c r="PHB381" s="252"/>
      <c r="PHC381" s="252"/>
      <c r="PHD381" s="252"/>
      <c r="PHE381" s="252"/>
      <c r="PHF381" s="252"/>
      <c r="PHG381" s="252"/>
      <c r="PHH381" s="252"/>
      <c r="PHI381" s="252"/>
      <c r="PHJ381" s="252"/>
      <c r="PHK381" s="252"/>
      <c r="PHL381" s="252"/>
      <c r="PHM381" s="252"/>
      <c r="PHN381" s="252"/>
      <c r="PHO381" s="252"/>
      <c r="PHP381" s="252"/>
      <c r="PHQ381" s="252"/>
      <c r="PHR381" s="252"/>
      <c r="PHS381" s="252"/>
      <c r="PHT381" s="252"/>
      <c r="PHU381" s="252"/>
      <c r="PHV381" s="252"/>
      <c r="PHW381" s="252"/>
      <c r="PHX381" s="252"/>
      <c r="PHY381" s="252"/>
      <c r="PHZ381" s="252"/>
      <c r="PIA381" s="252"/>
      <c r="PIB381" s="252"/>
      <c r="PIC381" s="252"/>
      <c r="PID381" s="252"/>
      <c r="PIE381" s="252"/>
      <c r="PIF381" s="252"/>
      <c r="PIG381" s="252"/>
      <c r="PIH381" s="252"/>
      <c r="PII381" s="252"/>
      <c r="PIJ381" s="252"/>
      <c r="PIK381" s="252"/>
      <c r="PIL381" s="252"/>
      <c r="PIM381" s="252"/>
      <c r="PIN381" s="252"/>
      <c r="PIO381" s="252"/>
      <c r="PIP381" s="252"/>
      <c r="PIQ381" s="252"/>
      <c r="PIR381" s="252"/>
      <c r="PIS381" s="252"/>
      <c r="PIT381" s="252"/>
      <c r="PIU381" s="252"/>
      <c r="PIV381" s="252"/>
      <c r="PIW381" s="252"/>
      <c r="PIX381" s="252"/>
      <c r="PIY381" s="252"/>
      <c r="PIZ381" s="252"/>
      <c r="PJA381" s="252"/>
      <c r="PJB381" s="252"/>
      <c r="PJC381" s="252"/>
      <c r="PJD381" s="252"/>
      <c r="PJE381" s="252"/>
      <c r="PJF381" s="252"/>
      <c r="PJG381" s="252"/>
      <c r="PJH381" s="252"/>
      <c r="PJI381" s="252"/>
      <c r="PJJ381" s="252"/>
      <c r="PJK381" s="252"/>
      <c r="PJL381" s="252"/>
      <c r="PJM381" s="252"/>
      <c r="PJN381" s="252"/>
      <c r="PJO381" s="252"/>
      <c r="PJP381" s="252"/>
      <c r="PJQ381" s="252"/>
      <c r="PJR381" s="252"/>
      <c r="PJS381" s="252"/>
      <c r="PJT381" s="252"/>
      <c r="PJU381" s="252"/>
      <c r="PJV381" s="252"/>
      <c r="PJW381" s="252"/>
      <c r="PJX381" s="252"/>
      <c r="PJY381" s="252"/>
      <c r="PJZ381" s="252"/>
      <c r="PKA381" s="252"/>
      <c r="PKB381" s="252"/>
      <c r="PKC381" s="252"/>
      <c r="PKD381" s="252"/>
      <c r="PKE381" s="252"/>
      <c r="PKF381" s="252"/>
      <c r="PKG381" s="252"/>
      <c r="PKH381" s="252"/>
      <c r="PKI381" s="252"/>
      <c r="PKJ381" s="252"/>
      <c r="PKK381" s="252"/>
      <c r="PKL381" s="252"/>
      <c r="PKM381" s="252"/>
      <c r="PKN381" s="252"/>
      <c r="PKO381" s="252"/>
      <c r="PKP381" s="252"/>
      <c r="PKQ381" s="252"/>
      <c r="PKR381" s="252"/>
      <c r="PKS381" s="252"/>
      <c r="PKT381" s="252"/>
      <c r="PKU381" s="252"/>
      <c r="PKV381" s="252"/>
      <c r="PKW381" s="252"/>
      <c r="PKX381" s="252"/>
      <c r="PKY381" s="252"/>
      <c r="PKZ381" s="252"/>
      <c r="PLA381" s="252"/>
      <c r="PLB381" s="252"/>
      <c r="PLC381" s="252"/>
      <c r="PLD381" s="252"/>
      <c r="PLE381" s="252"/>
      <c r="PLF381" s="252"/>
      <c r="PLG381" s="252"/>
      <c r="PLH381" s="252"/>
      <c r="PLI381" s="252"/>
      <c r="PLJ381" s="252"/>
      <c r="PLK381" s="252"/>
      <c r="PLL381" s="252"/>
      <c r="PLM381" s="252"/>
      <c r="PLN381" s="252"/>
      <c r="PLO381" s="252"/>
      <c r="PLP381" s="252"/>
      <c r="PLQ381" s="252"/>
      <c r="PLR381" s="252"/>
      <c r="PLS381" s="252"/>
      <c r="PLT381" s="252"/>
      <c r="PLU381" s="252"/>
      <c r="PLV381" s="252"/>
      <c r="PLW381" s="252"/>
      <c r="PLX381" s="252"/>
      <c r="PLY381" s="252"/>
      <c r="PLZ381" s="252"/>
      <c r="PMA381" s="252"/>
      <c r="PMB381" s="252"/>
      <c r="PMC381" s="252"/>
      <c r="PMD381" s="252"/>
      <c r="PME381" s="252"/>
      <c r="PMF381" s="252"/>
      <c r="PMG381" s="252"/>
      <c r="PMH381" s="252"/>
      <c r="PMI381" s="252"/>
      <c r="PMJ381" s="252"/>
      <c r="PMK381" s="252"/>
      <c r="PML381" s="252"/>
      <c r="PMM381" s="252"/>
      <c r="PMN381" s="252"/>
      <c r="PMO381" s="252"/>
      <c r="PMP381" s="252"/>
      <c r="PMQ381" s="252"/>
      <c r="PMR381" s="252"/>
      <c r="PMS381" s="252"/>
      <c r="PMT381" s="252"/>
      <c r="PMU381" s="252"/>
      <c r="PMV381" s="252"/>
      <c r="PMW381" s="252"/>
      <c r="PMX381" s="252"/>
      <c r="PMY381" s="252"/>
      <c r="PMZ381" s="252"/>
      <c r="PNA381" s="252"/>
      <c r="PNB381" s="252"/>
      <c r="PNC381" s="252"/>
      <c r="PND381" s="252"/>
      <c r="PNE381" s="252"/>
      <c r="PNF381" s="252"/>
      <c r="PNG381" s="252"/>
      <c r="PNH381" s="252"/>
      <c r="PNI381" s="252"/>
      <c r="PNJ381" s="252"/>
      <c r="PNK381" s="252"/>
      <c r="PNL381" s="252"/>
      <c r="PNM381" s="252"/>
      <c r="PNN381" s="252"/>
      <c r="PNO381" s="252"/>
      <c r="PNP381" s="252"/>
      <c r="PNQ381" s="252"/>
      <c r="PNR381" s="252"/>
      <c r="PNS381" s="252"/>
      <c r="PNT381" s="252"/>
      <c r="PNU381" s="252"/>
      <c r="PNV381" s="252"/>
      <c r="PNW381" s="252"/>
      <c r="PNX381" s="252"/>
      <c r="PNY381" s="252"/>
      <c r="PNZ381" s="252"/>
      <c r="POA381" s="252"/>
      <c r="POB381" s="252"/>
      <c r="POC381" s="252"/>
      <c r="POD381" s="252"/>
      <c r="POE381" s="252"/>
      <c r="POF381" s="252"/>
      <c r="POG381" s="252"/>
      <c r="POH381" s="252"/>
      <c r="POI381" s="252"/>
      <c r="POJ381" s="252"/>
      <c r="POK381" s="252"/>
      <c r="POL381" s="252"/>
      <c r="POM381" s="252"/>
      <c r="PON381" s="252"/>
      <c r="POO381" s="252"/>
      <c r="POP381" s="252"/>
      <c r="POQ381" s="252"/>
      <c r="POR381" s="252"/>
      <c r="POS381" s="252"/>
      <c r="POT381" s="252"/>
      <c r="POU381" s="252"/>
      <c r="POV381" s="252"/>
      <c r="POW381" s="252"/>
      <c r="POX381" s="252"/>
      <c r="POY381" s="252"/>
      <c r="POZ381" s="252"/>
      <c r="PPA381" s="252"/>
      <c r="PPB381" s="252"/>
      <c r="PPC381" s="252"/>
      <c r="PPD381" s="252"/>
      <c r="PPE381" s="252"/>
      <c r="PPF381" s="252"/>
      <c r="PPG381" s="252"/>
      <c r="PPH381" s="252"/>
      <c r="PPI381" s="252"/>
      <c r="PPJ381" s="252"/>
      <c r="PPK381" s="252"/>
      <c r="PPL381" s="252"/>
      <c r="PPM381" s="252"/>
      <c r="PPN381" s="252"/>
      <c r="PPO381" s="252"/>
      <c r="PPP381" s="252"/>
      <c r="PPQ381" s="252"/>
      <c r="PPR381" s="252"/>
      <c r="PPS381" s="252"/>
      <c r="PPT381" s="252"/>
      <c r="PPU381" s="252"/>
      <c r="PPV381" s="252"/>
      <c r="PPW381" s="252"/>
      <c r="PPX381" s="252"/>
      <c r="PPY381" s="252"/>
      <c r="PPZ381" s="252"/>
      <c r="PQA381" s="252"/>
      <c r="PQB381" s="252"/>
      <c r="PQC381" s="252"/>
      <c r="PQD381" s="252"/>
      <c r="PQE381" s="252"/>
      <c r="PQF381" s="252"/>
      <c r="PQG381" s="252"/>
      <c r="PQH381" s="252"/>
      <c r="PQI381" s="252"/>
      <c r="PQJ381" s="252"/>
      <c r="PQK381" s="252"/>
      <c r="PQL381" s="252"/>
      <c r="PQM381" s="252"/>
      <c r="PQN381" s="252"/>
      <c r="PQO381" s="252"/>
      <c r="PQP381" s="252"/>
      <c r="PQQ381" s="252"/>
      <c r="PQR381" s="252"/>
      <c r="PQS381" s="252"/>
      <c r="PQT381" s="252"/>
      <c r="PQU381" s="252"/>
      <c r="PQV381" s="252"/>
      <c r="PQW381" s="252"/>
      <c r="PQX381" s="252"/>
      <c r="PQY381" s="252"/>
      <c r="PQZ381" s="252"/>
      <c r="PRA381" s="252"/>
      <c r="PRB381" s="252"/>
      <c r="PRC381" s="252"/>
      <c r="PRD381" s="252"/>
      <c r="PRE381" s="252"/>
      <c r="PRF381" s="252"/>
      <c r="PRG381" s="252"/>
      <c r="PRH381" s="252"/>
      <c r="PRI381" s="252"/>
      <c r="PRJ381" s="252"/>
      <c r="PRK381" s="252"/>
      <c r="PRL381" s="252"/>
      <c r="PRM381" s="252"/>
      <c r="PRN381" s="252"/>
      <c r="PRO381" s="252"/>
      <c r="PRP381" s="252"/>
      <c r="PRQ381" s="252"/>
      <c r="PRR381" s="252"/>
      <c r="PRS381" s="252"/>
      <c r="PRT381" s="252"/>
      <c r="PRU381" s="252"/>
      <c r="PRV381" s="252"/>
      <c r="PRW381" s="252"/>
      <c r="PRX381" s="252"/>
      <c r="PRY381" s="252"/>
      <c r="PRZ381" s="252"/>
      <c r="PSA381" s="252"/>
      <c r="PSB381" s="252"/>
      <c r="PSC381" s="252"/>
      <c r="PSD381" s="252"/>
      <c r="PSE381" s="252"/>
      <c r="PSF381" s="252"/>
      <c r="PSG381" s="252"/>
      <c r="PSH381" s="252"/>
      <c r="PSI381" s="252"/>
      <c r="PSJ381" s="252"/>
      <c r="PSK381" s="252"/>
      <c r="PSL381" s="252"/>
      <c r="PSM381" s="252"/>
      <c r="PSN381" s="252"/>
      <c r="PSO381" s="252"/>
      <c r="PSP381" s="252"/>
      <c r="PSQ381" s="252"/>
      <c r="PSR381" s="252"/>
      <c r="PSS381" s="252"/>
      <c r="PST381" s="252"/>
      <c r="PSU381" s="252"/>
      <c r="PSV381" s="252"/>
      <c r="PSW381" s="252"/>
      <c r="PSX381" s="252"/>
      <c r="PSY381" s="252"/>
      <c r="PSZ381" s="252"/>
      <c r="PTA381" s="252"/>
      <c r="PTB381" s="252"/>
      <c r="PTC381" s="252"/>
      <c r="PTD381" s="252"/>
      <c r="PTE381" s="252"/>
      <c r="PTF381" s="252"/>
      <c r="PTG381" s="252"/>
      <c r="PTH381" s="252"/>
      <c r="PTI381" s="252"/>
      <c r="PTJ381" s="252"/>
      <c r="PTK381" s="252"/>
      <c r="PTL381" s="252"/>
      <c r="PTM381" s="252"/>
      <c r="PTN381" s="252"/>
      <c r="PTO381" s="252"/>
      <c r="PTP381" s="252"/>
      <c r="PTQ381" s="252"/>
      <c r="PTR381" s="252"/>
      <c r="PTS381" s="252"/>
      <c r="PTT381" s="252"/>
      <c r="PTU381" s="252"/>
      <c r="PTV381" s="252"/>
      <c r="PTW381" s="252"/>
      <c r="PTX381" s="252"/>
      <c r="PTY381" s="252"/>
      <c r="PTZ381" s="252"/>
      <c r="PUA381" s="252"/>
      <c r="PUB381" s="252"/>
      <c r="PUC381" s="252"/>
      <c r="PUD381" s="252"/>
      <c r="PUE381" s="252"/>
      <c r="PUF381" s="252"/>
      <c r="PUG381" s="252"/>
      <c r="PUH381" s="252"/>
      <c r="PUI381" s="252"/>
      <c r="PUJ381" s="252"/>
      <c r="PUK381" s="252"/>
      <c r="PUL381" s="252"/>
      <c r="PUM381" s="252"/>
      <c r="PUN381" s="252"/>
      <c r="PUO381" s="252"/>
      <c r="PUP381" s="252"/>
      <c r="PUQ381" s="252"/>
      <c r="PUR381" s="252"/>
      <c r="PUS381" s="252"/>
      <c r="PUT381" s="252"/>
      <c r="PUU381" s="252"/>
      <c r="PUV381" s="252"/>
      <c r="PUW381" s="252"/>
      <c r="PUX381" s="252"/>
      <c r="PUY381" s="252"/>
      <c r="PUZ381" s="252"/>
      <c r="PVA381" s="252"/>
      <c r="PVB381" s="252"/>
      <c r="PVC381" s="252"/>
      <c r="PVD381" s="252"/>
      <c r="PVE381" s="252"/>
      <c r="PVF381" s="252"/>
      <c r="PVG381" s="252"/>
      <c r="PVH381" s="252"/>
      <c r="PVI381" s="252"/>
      <c r="PVJ381" s="252"/>
      <c r="PVK381" s="252"/>
      <c r="PVL381" s="252"/>
      <c r="PVM381" s="252"/>
      <c r="PVN381" s="252"/>
      <c r="PVO381" s="252"/>
      <c r="PVP381" s="252"/>
      <c r="PVQ381" s="252"/>
      <c r="PVR381" s="252"/>
      <c r="PVS381" s="252"/>
      <c r="PVT381" s="252"/>
      <c r="PVU381" s="252"/>
      <c r="PVV381" s="252"/>
      <c r="PVW381" s="252"/>
      <c r="PVX381" s="252"/>
      <c r="PVY381" s="252"/>
      <c r="PVZ381" s="252"/>
      <c r="PWA381" s="252"/>
      <c r="PWB381" s="252"/>
      <c r="PWC381" s="252"/>
      <c r="PWD381" s="252"/>
      <c r="PWE381" s="252"/>
      <c r="PWF381" s="252"/>
      <c r="PWG381" s="252"/>
      <c r="PWH381" s="252"/>
      <c r="PWI381" s="252"/>
      <c r="PWJ381" s="252"/>
      <c r="PWK381" s="252"/>
      <c r="PWL381" s="252"/>
      <c r="PWM381" s="252"/>
      <c r="PWN381" s="252"/>
      <c r="PWO381" s="252"/>
      <c r="PWP381" s="252"/>
      <c r="PWQ381" s="252"/>
      <c r="PWR381" s="252"/>
      <c r="PWS381" s="252"/>
      <c r="PWT381" s="252"/>
      <c r="PWU381" s="252"/>
      <c r="PWV381" s="252"/>
      <c r="PWW381" s="252"/>
      <c r="PWX381" s="252"/>
      <c r="PWY381" s="252"/>
      <c r="PWZ381" s="252"/>
      <c r="PXA381" s="252"/>
      <c r="PXB381" s="252"/>
      <c r="PXC381" s="252"/>
      <c r="PXD381" s="252"/>
      <c r="PXE381" s="252"/>
      <c r="PXF381" s="252"/>
      <c r="PXG381" s="252"/>
      <c r="PXH381" s="252"/>
      <c r="PXI381" s="252"/>
      <c r="PXJ381" s="252"/>
      <c r="PXK381" s="252"/>
      <c r="PXL381" s="252"/>
      <c r="PXM381" s="252"/>
      <c r="PXN381" s="252"/>
      <c r="PXO381" s="252"/>
      <c r="PXP381" s="252"/>
      <c r="PXQ381" s="252"/>
      <c r="PXR381" s="252"/>
      <c r="PXS381" s="252"/>
      <c r="PXT381" s="252"/>
      <c r="PXU381" s="252"/>
      <c r="PXV381" s="252"/>
      <c r="PXW381" s="252"/>
      <c r="PXX381" s="252"/>
      <c r="PXY381" s="252"/>
      <c r="PXZ381" s="252"/>
      <c r="PYA381" s="252"/>
      <c r="PYB381" s="252"/>
      <c r="PYC381" s="252"/>
      <c r="PYD381" s="252"/>
      <c r="PYE381" s="252"/>
      <c r="PYF381" s="252"/>
      <c r="PYG381" s="252"/>
      <c r="PYH381" s="252"/>
      <c r="PYI381" s="252"/>
      <c r="PYJ381" s="252"/>
      <c r="PYK381" s="252"/>
      <c r="PYL381" s="252"/>
      <c r="PYM381" s="252"/>
      <c r="PYN381" s="252"/>
      <c r="PYO381" s="252"/>
      <c r="PYP381" s="252"/>
      <c r="PYQ381" s="252"/>
      <c r="PYR381" s="252"/>
      <c r="PYS381" s="252"/>
      <c r="PYT381" s="252"/>
      <c r="PYU381" s="252"/>
      <c r="PYV381" s="252"/>
      <c r="PYW381" s="252"/>
      <c r="PYX381" s="252"/>
      <c r="PYY381" s="252"/>
      <c r="PYZ381" s="252"/>
      <c r="PZA381" s="252"/>
      <c r="PZB381" s="252"/>
      <c r="PZC381" s="252"/>
      <c r="PZD381" s="252"/>
      <c r="PZE381" s="252"/>
      <c r="PZF381" s="252"/>
      <c r="PZG381" s="252"/>
      <c r="PZH381" s="252"/>
      <c r="PZI381" s="252"/>
      <c r="PZJ381" s="252"/>
      <c r="PZK381" s="252"/>
      <c r="PZL381" s="252"/>
      <c r="PZM381" s="252"/>
      <c r="PZN381" s="252"/>
      <c r="PZO381" s="252"/>
      <c r="PZP381" s="252"/>
      <c r="PZQ381" s="252"/>
      <c r="PZR381" s="252"/>
      <c r="PZS381" s="252"/>
      <c r="PZT381" s="252"/>
      <c r="PZU381" s="252"/>
      <c r="PZV381" s="252"/>
      <c r="PZW381" s="252"/>
      <c r="PZX381" s="252"/>
      <c r="PZY381" s="252"/>
      <c r="PZZ381" s="252"/>
      <c r="QAA381" s="252"/>
      <c r="QAB381" s="252"/>
      <c r="QAC381" s="252"/>
      <c r="QAD381" s="252"/>
      <c r="QAE381" s="252"/>
      <c r="QAF381" s="252"/>
      <c r="QAG381" s="252"/>
      <c r="QAH381" s="252"/>
      <c r="QAI381" s="252"/>
      <c r="QAJ381" s="252"/>
      <c r="QAK381" s="252"/>
      <c r="QAL381" s="252"/>
      <c r="QAM381" s="252"/>
      <c r="QAN381" s="252"/>
      <c r="QAO381" s="252"/>
      <c r="QAP381" s="252"/>
      <c r="QAQ381" s="252"/>
      <c r="QAR381" s="252"/>
      <c r="QAS381" s="252"/>
      <c r="QAT381" s="252"/>
      <c r="QAU381" s="252"/>
      <c r="QAV381" s="252"/>
      <c r="QAW381" s="252"/>
      <c r="QAX381" s="252"/>
      <c r="QAY381" s="252"/>
      <c r="QAZ381" s="252"/>
      <c r="QBA381" s="252"/>
      <c r="QBB381" s="252"/>
      <c r="QBC381" s="252"/>
      <c r="QBD381" s="252"/>
      <c r="QBE381" s="252"/>
      <c r="QBF381" s="252"/>
      <c r="QBG381" s="252"/>
      <c r="QBH381" s="252"/>
      <c r="QBI381" s="252"/>
      <c r="QBJ381" s="252"/>
      <c r="QBK381" s="252"/>
      <c r="QBL381" s="252"/>
      <c r="QBM381" s="252"/>
      <c r="QBN381" s="252"/>
      <c r="QBO381" s="252"/>
      <c r="QBP381" s="252"/>
      <c r="QBQ381" s="252"/>
      <c r="QBR381" s="252"/>
      <c r="QBS381" s="252"/>
      <c r="QBT381" s="252"/>
      <c r="QBU381" s="252"/>
      <c r="QBV381" s="252"/>
      <c r="QBW381" s="252"/>
      <c r="QBX381" s="252"/>
      <c r="QBY381" s="252"/>
      <c r="QBZ381" s="252"/>
      <c r="QCA381" s="252"/>
      <c r="QCB381" s="252"/>
      <c r="QCC381" s="252"/>
      <c r="QCD381" s="252"/>
      <c r="QCE381" s="252"/>
      <c r="QCF381" s="252"/>
      <c r="QCG381" s="252"/>
      <c r="QCH381" s="252"/>
      <c r="QCI381" s="252"/>
      <c r="QCJ381" s="252"/>
      <c r="QCK381" s="252"/>
      <c r="QCL381" s="252"/>
      <c r="QCM381" s="252"/>
      <c r="QCN381" s="252"/>
      <c r="QCO381" s="252"/>
      <c r="QCP381" s="252"/>
      <c r="QCQ381" s="252"/>
      <c r="QCR381" s="252"/>
      <c r="QCS381" s="252"/>
      <c r="QCT381" s="252"/>
      <c r="QCU381" s="252"/>
      <c r="QCV381" s="252"/>
      <c r="QCW381" s="252"/>
      <c r="QCX381" s="252"/>
      <c r="QCY381" s="252"/>
      <c r="QCZ381" s="252"/>
      <c r="QDA381" s="252"/>
      <c r="QDB381" s="252"/>
      <c r="QDC381" s="252"/>
      <c r="QDD381" s="252"/>
      <c r="QDE381" s="252"/>
      <c r="QDF381" s="252"/>
      <c r="QDG381" s="252"/>
      <c r="QDH381" s="252"/>
      <c r="QDI381" s="252"/>
      <c r="QDJ381" s="252"/>
      <c r="QDK381" s="252"/>
      <c r="QDL381" s="252"/>
      <c r="QDM381" s="252"/>
      <c r="QDN381" s="252"/>
      <c r="QDO381" s="252"/>
      <c r="QDP381" s="252"/>
      <c r="QDQ381" s="252"/>
      <c r="QDR381" s="252"/>
      <c r="QDS381" s="252"/>
      <c r="QDT381" s="252"/>
      <c r="QDU381" s="252"/>
      <c r="QDV381" s="252"/>
      <c r="QDW381" s="252"/>
      <c r="QDX381" s="252"/>
      <c r="QDY381" s="252"/>
      <c r="QDZ381" s="252"/>
      <c r="QEA381" s="252"/>
      <c r="QEB381" s="252"/>
      <c r="QEC381" s="252"/>
      <c r="QED381" s="252"/>
      <c r="QEE381" s="252"/>
      <c r="QEF381" s="252"/>
      <c r="QEG381" s="252"/>
      <c r="QEH381" s="252"/>
      <c r="QEI381" s="252"/>
      <c r="QEJ381" s="252"/>
      <c r="QEK381" s="252"/>
      <c r="QEL381" s="252"/>
      <c r="QEM381" s="252"/>
      <c r="QEN381" s="252"/>
      <c r="QEO381" s="252"/>
      <c r="QEP381" s="252"/>
      <c r="QEQ381" s="252"/>
      <c r="QER381" s="252"/>
      <c r="QES381" s="252"/>
      <c r="QET381" s="252"/>
      <c r="QEU381" s="252"/>
      <c r="QEV381" s="252"/>
      <c r="QEW381" s="252"/>
      <c r="QEX381" s="252"/>
      <c r="QEY381" s="252"/>
      <c r="QEZ381" s="252"/>
      <c r="QFA381" s="252"/>
      <c r="QFB381" s="252"/>
      <c r="QFC381" s="252"/>
      <c r="QFD381" s="252"/>
      <c r="QFE381" s="252"/>
      <c r="QFF381" s="252"/>
      <c r="QFG381" s="252"/>
      <c r="QFH381" s="252"/>
      <c r="QFI381" s="252"/>
      <c r="QFJ381" s="252"/>
      <c r="QFK381" s="252"/>
      <c r="QFL381" s="252"/>
      <c r="QFM381" s="252"/>
      <c r="QFN381" s="252"/>
      <c r="QFO381" s="252"/>
      <c r="QFP381" s="252"/>
      <c r="QFQ381" s="252"/>
      <c r="QFR381" s="252"/>
      <c r="QFS381" s="252"/>
      <c r="QFT381" s="252"/>
      <c r="QFU381" s="252"/>
      <c r="QFV381" s="252"/>
      <c r="QFW381" s="252"/>
      <c r="QFX381" s="252"/>
      <c r="QFY381" s="252"/>
      <c r="QFZ381" s="252"/>
      <c r="QGA381" s="252"/>
      <c r="QGB381" s="252"/>
      <c r="QGC381" s="252"/>
      <c r="QGD381" s="252"/>
      <c r="QGE381" s="252"/>
      <c r="QGF381" s="252"/>
      <c r="QGG381" s="252"/>
      <c r="QGH381" s="252"/>
      <c r="QGI381" s="252"/>
      <c r="QGJ381" s="252"/>
      <c r="QGK381" s="252"/>
      <c r="QGL381" s="252"/>
      <c r="QGM381" s="252"/>
      <c r="QGN381" s="252"/>
      <c r="QGO381" s="252"/>
      <c r="QGP381" s="252"/>
      <c r="QGQ381" s="252"/>
      <c r="QGR381" s="252"/>
      <c r="QGS381" s="252"/>
      <c r="QGT381" s="252"/>
      <c r="QGU381" s="252"/>
      <c r="QGV381" s="252"/>
      <c r="QGW381" s="252"/>
      <c r="QGX381" s="252"/>
      <c r="QGY381" s="252"/>
      <c r="QGZ381" s="252"/>
      <c r="QHA381" s="252"/>
      <c r="QHB381" s="252"/>
      <c r="QHC381" s="252"/>
      <c r="QHD381" s="252"/>
      <c r="QHE381" s="252"/>
      <c r="QHF381" s="252"/>
      <c r="QHG381" s="252"/>
      <c r="QHH381" s="252"/>
      <c r="QHI381" s="252"/>
      <c r="QHJ381" s="252"/>
      <c r="QHK381" s="252"/>
      <c r="QHL381" s="252"/>
      <c r="QHM381" s="252"/>
      <c r="QHN381" s="252"/>
      <c r="QHO381" s="252"/>
      <c r="QHP381" s="252"/>
      <c r="QHQ381" s="252"/>
      <c r="QHR381" s="252"/>
      <c r="QHS381" s="252"/>
      <c r="QHT381" s="252"/>
      <c r="QHU381" s="252"/>
      <c r="QHV381" s="252"/>
      <c r="QHW381" s="252"/>
      <c r="QHX381" s="252"/>
      <c r="QHY381" s="252"/>
      <c r="QHZ381" s="252"/>
      <c r="QIA381" s="252"/>
      <c r="QIB381" s="252"/>
      <c r="QIC381" s="252"/>
      <c r="QID381" s="252"/>
      <c r="QIE381" s="252"/>
      <c r="QIF381" s="252"/>
      <c r="QIG381" s="252"/>
      <c r="QIH381" s="252"/>
      <c r="QII381" s="252"/>
      <c r="QIJ381" s="252"/>
      <c r="QIK381" s="252"/>
      <c r="QIL381" s="252"/>
      <c r="QIM381" s="252"/>
      <c r="QIN381" s="252"/>
      <c r="QIO381" s="252"/>
      <c r="QIP381" s="252"/>
      <c r="QIQ381" s="252"/>
      <c r="QIR381" s="252"/>
      <c r="QIS381" s="252"/>
      <c r="QIT381" s="252"/>
      <c r="QIU381" s="252"/>
      <c r="QIV381" s="252"/>
      <c r="QIW381" s="252"/>
      <c r="QIX381" s="252"/>
      <c r="QIY381" s="252"/>
      <c r="QIZ381" s="252"/>
      <c r="QJA381" s="252"/>
      <c r="QJB381" s="252"/>
      <c r="QJC381" s="252"/>
      <c r="QJD381" s="252"/>
      <c r="QJE381" s="252"/>
      <c r="QJF381" s="252"/>
      <c r="QJG381" s="252"/>
      <c r="QJH381" s="252"/>
      <c r="QJI381" s="252"/>
      <c r="QJJ381" s="252"/>
      <c r="QJK381" s="252"/>
      <c r="QJL381" s="252"/>
      <c r="QJM381" s="252"/>
      <c r="QJN381" s="252"/>
      <c r="QJO381" s="252"/>
      <c r="QJP381" s="252"/>
      <c r="QJQ381" s="252"/>
      <c r="QJR381" s="252"/>
      <c r="QJS381" s="252"/>
      <c r="QJT381" s="252"/>
      <c r="QJU381" s="252"/>
      <c r="QJV381" s="252"/>
      <c r="QJW381" s="252"/>
      <c r="QJX381" s="252"/>
      <c r="QJY381" s="252"/>
      <c r="QJZ381" s="252"/>
      <c r="QKA381" s="252"/>
      <c r="QKB381" s="252"/>
      <c r="QKC381" s="252"/>
      <c r="QKD381" s="252"/>
      <c r="QKE381" s="252"/>
      <c r="QKF381" s="252"/>
      <c r="QKG381" s="252"/>
      <c r="QKH381" s="252"/>
      <c r="QKI381" s="252"/>
      <c r="QKJ381" s="252"/>
      <c r="QKK381" s="252"/>
      <c r="QKL381" s="252"/>
      <c r="QKM381" s="252"/>
      <c r="QKN381" s="252"/>
      <c r="QKO381" s="252"/>
      <c r="QKP381" s="252"/>
      <c r="QKQ381" s="252"/>
      <c r="QKR381" s="252"/>
      <c r="QKS381" s="252"/>
      <c r="QKT381" s="252"/>
      <c r="QKU381" s="252"/>
      <c r="QKV381" s="252"/>
      <c r="QKW381" s="252"/>
      <c r="QKX381" s="252"/>
      <c r="QKY381" s="252"/>
      <c r="QKZ381" s="252"/>
      <c r="QLA381" s="252"/>
      <c r="QLB381" s="252"/>
      <c r="QLC381" s="252"/>
      <c r="QLD381" s="252"/>
      <c r="QLE381" s="252"/>
      <c r="QLF381" s="252"/>
      <c r="QLG381" s="252"/>
      <c r="QLH381" s="252"/>
      <c r="QLI381" s="252"/>
      <c r="QLJ381" s="252"/>
      <c r="QLK381" s="252"/>
      <c r="QLL381" s="252"/>
      <c r="QLM381" s="252"/>
      <c r="QLN381" s="252"/>
      <c r="QLO381" s="252"/>
      <c r="QLP381" s="252"/>
      <c r="QLQ381" s="252"/>
      <c r="QLR381" s="252"/>
      <c r="QLS381" s="252"/>
      <c r="QLT381" s="252"/>
      <c r="QLU381" s="252"/>
      <c r="QLV381" s="252"/>
      <c r="QLW381" s="252"/>
      <c r="QLX381" s="252"/>
      <c r="QLY381" s="252"/>
      <c r="QLZ381" s="252"/>
      <c r="QMA381" s="252"/>
      <c r="QMB381" s="252"/>
      <c r="QMC381" s="252"/>
      <c r="QMD381" s="252"/>
      <c r="QME381" s="252"/>
      <c r="QMF381" s="252"/>
      <c r="QMG381" s="252"/>
      <c r="QMH381" s="252"/>
      <c r="QMI381" s="252"/>
      <c r="QMJ381" s="252"/>
      <c r="QMK381" s="252"/>
      <c r="QML381" s="252"/>
      <c r="QMM381" s="252"/>
      <c r="QMN381" s="252"/>
      <c r="QMO381" s="252"/>
      <c r="QMP381" s="252"/>
      <c r="QMQ381" s="252"/>
      <c r="QMR381" s="252"/>
      <c r="QMS381" s="252"/>
      <c r="QMT381" s="252"/>
      <c r="QMU381" s="252"/>
      <c r="QMV381" s="252"/>
      <c r="QMW381" s="252"/>
      <c r="QMX381" s="252"/>
      <c r="QMY381" s="252"/>
      <c r="QMZ381" s="252"/>
      <c r="QNA381" s="252"/>
      <c r="QNB381" s="252"/>
      <c r="QNC381" s="252"/>
      <c r="QND381" s="252"/>
      <c r="QNE381" s="252"/>
      <c r="QNF381" s="252"/>
      <c r="QNG381" s="252"/>
      <c r="QNH381" s="252"/>
      <c r="QNI381" s="252"/>
      <c r="QNJ381" s="252"/>
      <c r="QNK381" s="252"/>
      <c r="QNL381" s="252"/>
      <c r="QNM381" s="252"/>
      <c r="QNN381" s="252"/>
      <c r="QNO381" s="252"/>
      <c r="QNP381" s="252"/>
      <c r="QNQ381" s="252"/>
      <c r="QNR381" s="252"/>
      <c r="QNS381" s="252"/>
      <c r="QNT381" s="252"/>
      <c r="QNU381" s="252"/>
      <c r="QNV381" s="252"/>
      <c r="QNW381" s="252"/>
      <c r="QNX381" s="252"/>
      <c r="QNY381" s="252"/>
      <c r="QNZ381" s="252"/>
      <c r="QOA381" s="252"/>
      <c r="QOB381" s="252"/>
      <c r="QOC381" s="252"/>
      <c r="QOD381" s="252"/>
      <c r="QOE381" s="252"/>
      <c r="QOF381" s="252"/>
      <c r="QOG381" s="252"/>
      <c r="QOH381" s="252"/>
      <c r="QOI381" s="252"/>
      <c r="QOJ381" s="252"/>
      <c r="QOK381" s="252"/>
      <c r="QOL381" s="252"/>
      <c r="QOM381" s="252"/>
      <c r="QON381" s="252"/>
      <c r="QOO381" s="252"/>
      <c r="QOP381" s="252"/>
      <c r="QOQ381" s="252"/>
      <c r="QOR381" s="252"/>
      <c r="QOS381" s="252"/>
      <c r="QOT381" s="252"/>
      <c r="QOU381" s="252"/>
      <c r="QOV381" s="252"/>
      <c r="QOW381" s="252"/>
      <c r="QOX381" s="252"/>
      <c r="QOY381" s="252"/>
      <c r="QOZ381" s="252"/>
      <c r="QPA381" s="252"/>
      <c r="QPB381" s="252"/>
      <c r="QPC381" s="252"/>
      <c r="QPD381" s="252"/>
      <c r="QPE381" s="252"/>
      <c r="QPF381" s="252"/>
      <c r="QPG381" s="252"/>
      <c r="QPH381" s="252"/>
      <c r="QPI381" s="252"/>
      <c r="QPJ381" s="252"/>
      <c r="QPK381" s="252"/>
      <c r="QPL381" s="252"/>
      <c r="QPM381" s="252"/>
      <c r="QPN381" s="252"/>
      <c r="QPO381" s="252"/>
      <c r="QPP381" s="252"/>
      <c r="QPQ381" s="252"/>
      <c r="QPR381" s="252"/>
      <c r="QPS381" s="252"/>
      <c r="QPT381" s="252"/>
      <c r="QPU381" s="252"/>
      <c r="QPV381" s="252"/>
      <c r="QPW381" s="252"/>
      <c r="QPX381" s="252"/>
      <c r="QPY381" s="252"/>
      <c r="QPZ381" s="252"/>
      <c r="QQA381" s="252"/>
      <c r="QQB381" s="252"/>
      <c r="QQC381" s="252"/>
      <c r="QQD381" s="252"/>
      <c r="QQE381" s="252"/>
      <c r="QQF381" s="252"/>
      <c r="QQG381" s="252"/>
      <c r="QQH381" s="252"/>
      <c r="QQI381" s="252"/>
      <c r="QQJ381" s="252"/>
      <c r="QQK381" s="252"/>
      <c r="QQL381" s="252"/>
      <c r="QQM381" s="252"/>
      <c r="QQN381" s="252"/>
      <c r="QQO381" s="252"/>
      <c r="QQP381" s="252"/>
      <c r="QQQ381" s="252"/>
      <c r="QQR381" s="252"/>
      <c r="QQS381" s="252"/>
      <c r="QQT381" s="252"/>
      <c r="QQU381" s="252"/>
      <c r="QQV381" s="252"/>
      <c r="QQW381" s="252"/>
      <c r="QQX381" s="252"/>
      <c r="QQY381" s="252"/>
      <c r="QQZ381" s="252"/>
      <c r="QRA381" s="252"/>
      <c r="QRB381" s="252"/>
      <c r="QRC381" s="252"/>
      <c r="QRD381" s="252"/>
      <c r="QRE381" s="252"/>
      <c r="QRF381" s="252"/>
      <c r="QRG381" s="252"/>
      <c r="QRH381" s="252"/>
      <c r="QRI381" s="252"/>
      <c r="QRJ381" s="252"/>
      <c r="QRK381" s="252"/>
      <c r="QRL381" s="252"/>
      <c r="QRM381" s="252"/>
      <c r="QRN381" s="252"/>
      <c r="QRO381" s="252"/>
      <c r="QRP381" s="252"/>
      <c r="QRQ381" s="252"/>
      <c r="QRR381" s="252"/>
      <c r="QRS381" s="252"/>
      <c r="QRT381" s="252"/>
      <c r="QRU381" s="252"/>
      <c r="QRV381" s="252"/>
      <c r="QRW381" s="252"/>
      <c r="QRX381" s="252"/>
      <c r="QRY381" s="252"/>
      <c r="QRZ381" s="252"/>
      <c r="QSA381" s="252"/>
      <c r="QSB381" s="252"/>
      <c r="QSC381" s="252"/>
      <c r="QSD381" s="252"/>
      <c r="QSE381" s="252"/>
      <c r="QSF381" s="252"/>
      <c r="QSG381" s="252"/>
      <c r="QSH381" s="252"/>
      <c r="QSI381" s="252"/>
      <c r="QSJ381" s="252"/>
      <c r="QSK381" s="252"/>
      <c r="QSL381" s="252"/>
      <c r="QSM381" s="252"/>
      <c r="QSN381" s="252"/>
      <c r="QSO381" s="252"/>
      <c r="QSP381" s="252"/>
      <c r="QSQ381" s="252"/>
      <c r="QSR381" s="252"/>
      <c r="QSS381" s="252"/>
      <c r="QST381" s="252"/>
      <c r="QSU381" s="252"/>
      <c r="QSV381" s="252"/>
      <c r="QSW381" s="252"/>
      <c r="QSX381" s="252"/>
      <c r="QSY381" s="252"/>
      <c r="QSZ381" s="252"/>
      <c r="QTA381" s="252"/>
      <c r="QTB381" s="252"/>
      <c r="QTC381" s="252"/>
      <c r="QTD381" s="252"/>
      <c r="QTE381" s="252"/>
      <c r="QTF381" s="252"/>
      <c r="QTG381" s="252"/>
      <c r="QTH381" s="252"/>
      <c r="QTI381" s="252"/>
      <c r="QTJ381" s="252"/>
      <c r="QTK381" s="252"/>
      <c r="QTL381" s="252"/>
      <c r="QTM381" s="252"/>
      <c r="QTN381" s="252"/>
      <c r="QTO381" s="252"/>
      <c r="QTP381" s="252"/>
      <c r="QTQ381" s="252"/>
      <c r="QTR381" s="252"/>
      <c r="QTS381" s="252"/>
      <c r="QTT381" s="252"/>
      <c r="QTU381" s="252"/>
      <c r="QTV381" s="252"/>
      <c r="QTW381" s="252"/>
      <c r="QTX381" s="252"/>
      <c r="QTY381" s="252"/>
      <c r="QTZ381" s="252"/>
      <c r="QUA381" s="252"/>
      <c r="QUB381" s="252"/>
      <c r="QUC381" s="252"/>
      <c r="QUD381" s="252"/>
      <c r="QUE381" s="252"/>
      <c r="QUF381" s="252"/>
      <c r="QUG381" s="252"/>
      <c r="QUH381" s="252"/>
      <c r="QUI381" s="252"/>
      <c r="QUJ381" s="252"/>
      <c r="QUK381" s="252"/>
      <c r="QUL381" s="252"/>
      <c r="QUM381" s="252"/>
      <c r="QUN381" s="252"/>
      <c r="QUO381" s="252"/>
      <c r="QUP381" s="252"/>
      <c r="QUQ381" s="252"/>
      <c r="QUR381" s="252"/>
      <c r="QUS381" s="252"/>
      <c r="QUT381" s="252"/>
      <c r="QUU381" s="252"/>
      <c r="QUV381" s="252"/>
      <c r="QUW381" s="252"/>
      <c r="QUX381" s="252"/>
      <c r="QUY381" s="252"/>
      <c r="QUZ381" s="252"/>
      <c r="QVA381" s="252"/>
      <c r="QVB381" s="252"/>
      <c r="QVC381" s="252"/>
      <c r="QVD381" s="252"/>
      <c r="QVE381" s="252"/>
      <c r="QVF381" s="252"/>
      <c r="QVG381" s="252"/>
      <c r="QVH381" s="252"/>
      <c r="QVI381" s="252"/>
      <c r="QVJ381" s="252"/>
      <c r="QVK381" s="252"/>
      <c r="QVL381" s="252"/>
      <c r="QVM381" s="252"/>
      <c r="QVN381" s="252"/>
      <c r="QVO381" s="252"/>
      <c r="QVP381" s="252"/>
      <c r="QVQ381" s="252"/>
      <c r="QVR381" s="252"/>
      <c r="QVS381" s="252"/>
      <c r="QVT381" s="252"/>
      <c r="QVU381" s="252"/>
      <c r="QVV381" s="252"/>
      <c r="QVW381" s="252"/>
      <c r="QVX381" s="252"/>
      <c r="QVY381" s="252"/>
      <c r="QVZ381" s="252"/>
      <c r="QWA381" s="252"/>
      <c r="QWB381" s="252"/>
      <c r="QWC381" s="252"/>
      <c r="QWD381" s="252"/>
      <c r="QWE381" s="252"/>
      <c r="QWF381" s="252"/>
      <c r="QWG381" s="252"/>
      <c r="QWH381" s="252"/>
      <c r="QWI381" s="252"/>
      <c r="QWJ381" s="252"/>
      <c r="QWK381" s="252"/>
      <c r="QWL381" s="252"/>
      <c r="QWM381" s="252"/>
      <c r="QWN381" s="252"/>
      <c r="QWO381" s="252"/>
      <c r="QWP381" s="252"/>
      <c r="QWQ381" s="252"/>
      <c r="QWR381" s="252"/>
      <c r="QWS381" s="252"/>
      <c r="QWT381" s="252"/>
      <c r="QWU381" s="252"/>
      <c r="QWV381" s="252"/>
      <c r="QWW381" s="252"/>
      <c r="QWX381" s="252"/>
      <c r="QWY381" s="252"/>
      <c r="QWZ381" s="252"/>
      <c r="QXA381" s="252"/>
      <c r="QXB381" s="252"/>
      <c r="QXC381" s="252"/>
      <c r="QXD381" s="252"/>
      <c r="QXE381" s="252"/>
      <c r="QXF381" s="252"/>
      <c r="QXG381" s="252"/>
      <c r="QXH381" s="252"/>
      <c r="QXI381" s="252"/>
      <c r="QXJ381" s="252"/>
      <c r="QXK381" s="252"/>
      <c r="QXL381" s="252"/>
      <c r="QXM381" s="252"/>
      <c r="QXN381" s="252"/>
      <c r="QXO381" s="252"/>
      <c r="QXP381" s="252"/>
      <c r="QXQ381" s="252"/>
      <c r="QXR381" s="252"/>
      <c r="QXS381" s="252"/>
      <c r="QXT381" s="252"/>
      <c r="QXU381" s="252"/>
      <c r="QXV381" s="252"/>
      <c r="QXW381" s="252"/>
      <c r="QXX381" s="252"/>
      <c r="QXY381" s="252"/>
      <c r="QXZ381" s="252"/>
      <c r="QYA381" s="252"/>
      <c r="QYB381" s="252"/>
      <c r="QYC381" s="252"/>
      <c r="QYD381" s="252"/>
      <c r="QYE381" s="252"/>
      <c r="QYF381" s="252"/>
      <c r="QYG381" s="252"/>
      <c r="QYH381" s="252"/>
      <c r="QYI381" s="252"/>
      <c r="QYJ381" s="252"/>
      <c r="QYK381" s="252"/>
      <c r="QYL381" s="252"/>
      <c r="QYM381" s="252"/>
      <c r="QYN381" s="252"/>
      <c r="QYO381" s="252"/>
      <c r="QYP381" s="252"/>
      <c r="QYQ381" s="252"/>
      <c r="QYR381" s="252"/>
      <c r="QYS381" s="252"/>
      <c r="QYT381" s="252"/>
      <c r="QYU381" s="252"/>
      <c r="QYV381" s="252"/>
      <c r="QYW381" s="252"/>
      <c r="QYX381" s="252"/>
      <c r="QYY381" s="252"/>
      <c r="QYZ381" s="252"/>
      <c r="QZA381" s="252"/>
      <c r="QZB381" s="252"/>
      <c r="QZC381" s="252"/>
      <c r="QZD381" s="252"/>
      <c r="QZE381" s="252"/>
      <c r="QZF381" s="252"/>
      <c r="QZG381" s="252"/>
      <c r="QZH381" s="252"/>
      <c r="QZI381" s="252"/>
      <c r="QZJ381" s="252"/>
      <c r="QZK381" s="252"/>
      <c r="QZL381" s="252"/>
      <c r="QZM381" s="252"/>
      <c r="QZN381" s="252"/>
      <c r="QZO381" s="252"/>
      <c r="QZP381" s="252"/>
      <c r="QZQ381" s="252"/>
      <c r="QZR381" s="252"/>
      <c r="QZS381" s="252"/>
      <c r="QZT381" s="252"/>
      <c r="QZU381" s="252"/>
      <c r="QZV381" s="252"/>
      <c r="QZW381" s="252"/>
      <c r="QZX381" s="252"/>
      <c r="QZY381" s="252"/>
      <c r="QZZ381" s="252"/>
      <c r="RAA381" s="252"/>
      <c r="RAB381" s="252"/>
      <c r="RAC381" s="252"/>
      <c r="RAD381" s="252"/>
      <c r="RAE381" s="252"/>
      <c r="RAF381" s="252"/>
      <c r="RAG381" s="252"/>
      <c r="RAH381" s="252"/>
      <c r="RAI381" s="252"/>
      <c r="RAJ381" s="252"/>
      <c r="RAK381" s="252"/>
      <c r="RAL381" s="252"/>
      <c r="RAM381" s="252"/>
      <c r="RAN381" s="252"/>
      <c r="RAO381" s="252"/>
      <c r="RAP381" s="252"/>
      <c r="RAQ381" s="252"/>
      <c r="RAR381" s="252"/>
      <c r="RAS381" s="252"/>
      <c r="RAT381" s="252"/>
      <c r="RAU381" s="252"/>
      <c r="RAV381" s="252"/>
      <c r="RAW381" s="252"/>
      <c r="RAX381" s="252"/>
      <c r="RAY381" s="252"/>
      <c r="RAZ381" s="252"/>
      <c r="RBA381" s="252"/>
      <c r="RBB381" s="252"/>
      <c r="RBC381" s="252"/>
      <c r="RBD381" s="252"/>
      <c r="RBE381" s="252"/>
      <c r="RBF381" s="252"/>
      <c r="RBG381" s="252"/>
      <c r="RBH381" s="252"/>
      <c r="RBI381" s="252"/>
      <c r="RBJ381" s="252"/>
      <c r="RBK381" s="252"/>
      <c r="RBL381" s="252"/>
      <c r="RBM381" s="252"/>
      <c r="RBN381" s="252"/>
      <c r="RBO381" s="252"/>
      <c r="RBP381" s="252"/>
      <c r="RBQ381" s="252"/>
      <c r="RBR381" s="252"/>
      <c r="RBS381" s="252"/>
      <c r="RBT381" s="252"/>
      <c r="RBU381" s="252"/>
      <c r="RBV381" s="252"/>
      <c r="RBW381" s="252"/>
      <c r="RBX381" s="252"/>
      <c r="RBY381" s="252"/>
      <c r="RBZ381" s="252"/>
      <c r="RCA381" s="252"/>
      <c r="RCB381" s="252"/>
      <c r="RCC381" s="252"/>
      <c r="RCD381" s="252"/>
      <c r="RCE381" s="252"/>
      <c r="RCF381" s="252"/>
      <c r="RCG381" s="252"/>
      <c r="RCH381" s="252"/>
      <c r="RCI381" s="252"/>
      <c r="RCJ381" s="252"/>
      <c r="RCK381" s="252"/>
      <c r="RCL381" s="252"/>
      <c r="RCM381" s="252"/>
      <c r="RCN381" s="252"/>
      <c r="RCO381" s="252"/>
      <c r="RCP381" s="252"/>
      <c r="RCQ381" s="252"/>
      <c r="RCR381" s="252"/>
      <c r="RCS381" s="252"/>
      <c r="RCT381" s="252"/>
      <c r="RCU381" s="252"/>
      <c r="RCV381" s="252"/>
      <c r="RCW381" s="252"/>
      <c r="RCX381" s="252"/>
      <c r="RCY381" s="252"/>
      <c r="RCZ381" s="252"/>
      <c r="RDA381" s="252"/>
      <c r="RDB381" s="252"/>
      <c r="RDC381" s="252"/>
      <c r="RDD381" s="252"/>
      <c r="RDE381" s="252"/>
      <c r="RDF381" s="252"/>
      <c r="RDG381" s="252"/>
      <c r="RDH381" s="252"/>
      <c r="RDI381" s="252"/>
      <c r="RDJ381" s="252"/>
      <c r="RDK381" s="252"/>
      <c r="RDL381" s="252"/>
      <c r="RDM381" s="252"/>
      <c r="RDN381" s="252"/>
      <c r="RDO381" s="252"/>
      <c r="RDP381" s="252"/>
      <c r="RDQ381" s="252"/>
      <c r="RDR381" s="252"/>
      <c r="RDS381" s="252"/>
      <c r="RDT381" s="252"/>
      <c r="RDU381" s="252"/>
      <c r="RDV381" s="252"/>
      <c r="RDW381" s="252"/>
      <c r="RDX381" s="252"/>
      <c r="RDY381" s="252"/>
      <c r="RDZ381" s="252"/>
      <c r="REA381" s="252"/>
      <c r="REB381" s="252"/>
      <c r="REC381" s="252"/>
      <c r="RED381" s="252"/>
      <c r="REE381" s="252"/>
      <c r="REF381" s="252"/>
      <c r="REG381" s="252"/>
      <c r="REH381" s="252"/>
      <c r="REI381" s="252"/>
      <c r="REJ381" s="252"/>
      <c r="REK381" s="252"/>
      <c r="REL381" s="252"/>
      <c r="REM381" s="252"/>
      <c r="REN381" s="252"/>
      <c r="REO381" s="252"/>
      <c r="REP381" s="252"/>
      <c r="REQ381" s="252"/>
      <c r="RER381" s="252"/>
      <c r="RES381" s="252"/>
      <c r="RET381" s="252"/>
      <c r="REU381" s="252"/>
      <c r="REV381" s="252"/>
      <c r="REW381" s="252"/>
      <c r="REX381" s="252"/>
      <c r="REY381" s="252"/>
      <c r="REZ381" s="252"/>
      <c r="RFA381" s="252"/>
      <c r="RFB381" s="252"/>
      <c r="RFC381" s="252"/>
      <c r="RFD381" s="252"/>
      <c r="RFE381" s="252"/>
      <c r="RFF381" s="252"/>
      <c r="RFG381" s="252"/>
      <c r="RFH381" s="252"/>
      <c r="RFI381" s="252"/>
      <c r="RFJ381" s="252"/>
      <c r="RFK381" s="252"/>
      <c r="RFL381" s="252"/>
      <c r="RFM381" s="252"/>
      <c r="RFN381" s="252"/>
      <c r="RFO381" s="252"/>
      <c r="RFP381" s="252"/>
      <c r="RFQ381" s="252"/>
      <c r="RFR381" s="252"/>
      <c r="RFS381" s="252"/>
      <c r="RFT381" s="252"/>
      <c r="RFU381" s="252"/>
      <c r="RFV381" s="252"/>
      <c r="RFW381" s="252"/>
      <c r="RFX381" s="252"/>
      <c r="RFY381" s="252"/>
      <c r="RFZ381" s="252"/>
      <c r="RGA381" s="252"/>
      <c r="RGB381" s="252"/>
      <c r="RGC381" s="252"/>
      <c r="RGD381" s="252"/>
      <c r="RGE381" s="252"/>
      <c r="RGF381" s="252"/>
      <c r="RGG381" s="252"/>
      <c r="RGH381" s="252"/>
      <c r="RGI381" s="252"/>
      <c r="RGJ381" s="252"/>
      <c r="RGK381" s="252"/>
      <c r="RGL381" s="252"/>
      <c r="RGM381" s="252"/>
      <c r="RGN381" s="252"/>
      <c r="RGO381" s="252"/>
      <c r="RGP381" s="252"/>
      <c r="RGQ381" s="252"/>
      <c r="RGR381" s="252"/>
      <c r="RGS381" s="252"/>
      <c r="RGT381" s="252"/>
      <c r="RGU381" s="252"/>
      <c r="RGV381" s="252"/>
      <c r="RGW381" s="252"/>
      <c r="RGX381" s="252"/>
      <c r="RGY381" s="252"/>
      <c r="RGZ381" s="252"/>
      <c r="RHA381" s="252"/>
      <c r="RHB381" s="252"/>
      <c r="RHC381" s="252"/>
      <c r="RHD381" s="252"/>
      <c r="RHE381" s="252"/>
      <c r="RHF381" s="252"/>
      <c r="RHG381" s="252"/>
      <c r="RHH381" s="252"/>
      <c r="RHI381" s="252"/>
      <c r="RHJ381" s="252"/>
      <c r="RHK381" s="252"/>
      <c r="RHL381" s="252"/>
      <c r="RHM381" s="252"/>
      <c r="RHN381" s="252"/>
      <c r="RHO381" s="252"/>
      <c r="RHP381" s="252"/>
      <c r="RHQ381" s="252"/>
      <c r="RHR381" s="252"/>
      <c r="RHS381" s="252"/>
      <c r="RHT381" s="252"/>
      <c r="RHU381" s="252"/>
      <c r="RHV381" s="252"/>
      <c r="RHW381" s="252"/>
      <c r="RHX381" s="252"/>
      <c r="RHY381" s="252"/>
      <c r="RHZ381" s="252"/>
      <c r="RIA381" s="252"/>
      <c r="RIB381" s="252"/>
      <c r="RIC381" s="252"/>
      <c r="RID381" s="252"/>
      <c r="RIE381" s="252"/>
      <c r="RIF381" s="252"/>
      <c r="RIG381" s="252"/>
      <c r="RIH381" s="252"/>
      <c r="RII381" s="252"/>
      <c r="RIJ381" s="252"/>
      <c r="RIK381" s="252"/>
      <c r="RIL381" s="252"/>
      <c r="RIM381" s="252"/>
      <c r="RIN381" s="252"/>
      <c r="RIO381" s="252"/>
      <c r="RIP381" s="252"/>
      <c r="RIQ381" s="252"/>
      <c r="RIR381" s="252"/>
      <c r="RIS381" s="252"/>
      <c r="RIT381" s="252"/>
      <c r="RIU381" s="252"/>
      <c r="RIV381" s="252"/>
      <c r="RIW381" s="252"/>
      <c r="RIX381" s="252"/>
      <c r="RIY381" s="252"/>
      <c r="RIZ381" s="252"/>
      <c r="RJA381" s="252"/>
      <c r="RJB381" s="252"/>
      <c r="RJC381" s="252"/>
      <c r="RJD381" s="252"/>
      <c r="RJE381" s="252"/>
      <c r="RJF381" s="252"/>
      <c r="RJG381" s="252"/>
      <c r="RJH381" s="252"/>
      <c r="RJI381" s="252"/>
      <c r="RJJ381" s="252"/>
      <c r="RJK381" s="252"/>
      <c r="RJL381" s="252"/>
      <c r="RJM381" s="252"/>
      <c r="RJN381" s="252"/>
      <c r="RJO381" s="252"/>
      <c r="RJP381" s="252"/>
      <c r="RJQ381" s="252"/>
      <c r="RJR381" s="252"/>
      <c r="RJS381" s="252"/>
      <c r="RJT381" s="252"/>
      <c r="RJU381" s="252"/>
      <c r="RJV381" s="252"/>
      <c r="RJW381" s="252"/>
      <c r="RJX381" s="252"/>
      <c r="RJY381" s="252"/>
      <c r="RJZ381" s="252"/>
      <c r="RKA381" s="252"/>
      <c r="RKB381" s="252"/>
      <c r="RKC381" s="252"/>
      <c r="RKD381" s="252"/>
      <c r="RKE381" s="252"/>
      <c r="RKF381" s="252"/>
      <c r="RKG381" s="252"/>
      <c r="RKH381" s="252"/>
      <c r="RKI381" s="252"/>
      <c r="RKJ381" s="252"/>
      <c r="RKK381" s="252"/>
      <c r="RKL381" s="252"/>
      <c r="RKM381" s="252"/>
      <c r="RKN381" s="252"/>
      <c r="RKO381" s="252"/>
      <c r="RKP381" s="252"/>
      <c r="RKQ381" s="252"/>
      <c r="RKR381" s="252"/>
      <c r="RKS381" s="252"/>
      <c r="RKT381" s="252"/>
      <c r="RKU381" s="252"/>
      <c r="RKV381" s="252"/>
      <c r="RKW381" s="252"/>
      <c r="RKX381" s="252"/>
      <c r="RKY381" s="252"/>
      <c r="RKZ381" s="252"/>
      <c r="RLA381" s="252"/>
      <c r="RLB381" s="252"/>
      <c r="RLC381" s="252"/>
      <c r="RLD381" s="252"/>
      <c r="RLE381" s="252"/>
      <c r="RLF381" s="252"/>
      <c r="RLG381" s="252"/>
      <c r="RLH381" s="252"/>
      <c r="RLI381" s="252"/>
      <c r="RLJ381" s="252"/>
      <c r="RLK381" s="252"/>
      <c r="RLL381" s="252"/>
      <c r="RLM381" s="252"/>
      <c r="RLN381" s="252"/>
      <c r="RLO381" s="252"/>
      <c r="RLP381" s="252"/>
      <c r="RLQ381" s="252"/>
      <c r="RLR381" s="252"/>
      <c r="RLS381" s="252"/>
      <c r="RLT381" s="252"/>
      <c r="RLU381" s="252"/>
      <c r="RLV381" s="252"/>
      <c r="RLW381" s="252"/>
      <c r="RLX381" s="252"/>
      <c r="RLY381" s="252"/>
      <c r="RLZ381" s="252"/>
      <c r="RMA381" s="252"/>
      <c r="RMB381" s="252"/>
      <c r="RMC381" s="252"/>
      <c r="RMD381" s="252"/>
      <c r="RME381" s="252"/>
      <c r="RMF381" s="252"/>
      <c r="RMG381" s="252"/>
      <c r="RMH381" s="252"/>
      <c r="RMI381" s="252"/>
      <c r="RMJ381" s="252"/>
      <c r="RMK381" s="252"/>
      <c r="RML381" s="252"/>
      <c r="RMM381" s="252"/>
      <c r="RMN381" s="252"/>
      <c r="RMO381" s="252"/>
      <c r="RMP381" s="252"/>
      <c r="RMQ381" s="252"/>
      <c r="RMR381" s="252"/>
      <c r="RMS381" s="252"/>
      <c r="RMT381" s="252"/>
      <c r="RMU381" s="252"/>
      <c r="RMV381" s="252"/>
      <c r="RMW381" s="252"/>
      <c r="RMX381" s="252"/>
      <c r="RMY381" s="252"/>
      <c r="RMZ381" s="252"/>
      <c r="RNA381" s="252"/>
      <c r="RNB381" s="252"/>
      <c r="RNC381" s="252"/>
      <c r="RND381" s="252"/>
      <c r="RNE381" s="252"/>
      <c r="RNF381" s="252"/>
      <c r="RNG381" s="252"/>
      <c r="RNH381" s="252"/>
      <c r="RNI381" s="252"/>
      <c r="RNJ381" s="252"/>
      <c r="RNK381" s="252"/>
      <c r="RNL381" s="252"/>
      <c r="RNM381" s="252"/>
      <c r="RNN381" s="252"/>
      <c r="RNO381" s="252"/>
      <c r="RNP381" s="252"/>
      <c r="RNQ381" s="252"/>
      <c r="RNR381" s="252"/>
      <c r="RNS381" s="252"/>
      <c r="RNT381" s="252"/>
      <c r="RNU381" s="252"/>
      <c r="RNV381" s="252"/>
      <c r="RNW381" s="252"/>
      <c r="RNX381" s="252"/>
      <c r="RNY381" s="252"/>
      <c r="RNZ381" s="252"/>
      <c r="ROA381" s="252"/>
      <c r="ROB381" s="252"/>
      <c r="ROC381" s="252"/>
      <c r="ROD381" s="252"/>
      <c r="ROE381" s="252"/>
      <c r="ROF381" s="252"/>
      <c r="ROG381" s="252"/>
      <c r="ROH381" s="252"/>
      <c r="ROI381" s="252"/>
      <c r="ROJ381" s="252"/>
      <c r="ROK381" s="252"/>
      <c r="ROL381" s="252"/>
      <c r="ROM381" s="252"/>
      <c r="RON381" s="252"/>
      <c r="ROO381" s="252"/>
      <c r="ROP381" s="252"/>
      <c r="ROQ381" s="252"/>
      <c r="ROR381" s="252"/>
      <c r="ROS381" s="252"/>
      <c r="ROT381" s="252"/>
      <c r="ROU381" s="252"/>
      <c r="ROV381" s="252"/>
      <c r="ROW381" s="252"/>
      <c r="ROX381" s="252"/>
      <c r="ROY381" s="252"/>
      <c r="ROZ381" s="252"/>
      <c r="RPA381" s="252"/>
      <c r="RPB381" s="252"/>
      <c r="RPC381" s="252"/>
      <c r="RPD381" s="252"/>
      <c r="RPE381" s="252"/>
      <c r="RPF381" s="252"/>
      <c r="RPG381" s="252"/>
      <c r="RPH381" s="252"/>
      <c r="RPI381" s="252"/>
      <c r="RPJ381" s="252"/>
      <c r="RPK381" s="252"/>
      <c r="RPL381" s="252"/>
      <c r="RPM381" s="252"/>
      <c r="RPN381" s="252"/>
      <c r="RPO381" s="252"/>
      <c r="RPP381" s="252"/>
      <c r="RPQ381" s="252"/>
      <c r="RPR381" s="252"/>
      <c r="RPS381" s="252"/>
      <c r="RPT381" s="252"/>
      <c r="RPU381" s="252"/>
      <c r="RPV381" s="252"/>
      <c r="RPW381" s="252"/>
      <c r="RPX381" s="252"/>
      <c r="RPY381" s="252"/>
      <c r="RPZ381" s="252"/>
      <c r="RQA381" s="252"/>
      <c r="RQB381" s="252"/>
      <c r="RQC381" s="252"/>
      <c r="RQD381" s="252"/>
      <c r="RQE381" s="252"/>
      <c r="RQF381" s="252"/>
      <c r="RQG381" s="252"/>
      <c r="RQH381" s="252"/>
      <c r="RQI381" s="252"/>
      <c r="RQJ381" s="252"/>
      <c r="RQK381" s="252"/>
      <c r="RQL381" s="252"/>
      <c r="RQM381" s="252"/>
      <c r="RQN381" s="252"/>
      <c r="RQO381" s="252"/>
      <c r="RQP381" s="252"/>
      <c r="RQQ381" s="252"/>
      <c r="RQR381" s="252"/>
      <c r="RQS381" s="252"/>
      <c r="RQT381" s="252"/>
      <c r="RQU381" s="252"/>
      <c r="RQV381" s="252"/>
      <c r="RQW381" s="252"/>
      <c r="RQX381" s="252"/>
      <c r="RQY381" s="252"/>
      <c r="RQZ381" s="252"/>
      <c r="RRA381" s="252"/>
      <c r="RRB381" s="252"/>
      <c r="RRC381" s="252"/>
      <c r="RRD381" s="252"/>
      <c r="RRE381" s="252"/>
      <c r="RRF381" s="252"/>
      <c r="RRG381" s="252"/>
      <c r="RRH381" s="252"/>
      <c r="RRI381" s="252"/>
      <c r="RRJ381" s="252"/>
      <c r="RRK381" s="252"/>
      <c r="RRL381" s="252"/>
      <c r="RRM381" s="252"/>
      <c r="RRN381" s="252"/>
      <c r="RRO381" s="252"/>
      <c r="RRP381" s="252"/>
      <c r="RRQ381" s="252"/>
      <c r="RRR381" s="252"/>
      <c r="RRS381" s="252"/>
      <c r="RRT381" s="252"/>
      <c r="RRU381" s="252"/>
      <c r="RRV381" s="252"/>
      <c r="RRW381" s="252"/>
      <c r="RRX381" s="252"/>
      <c r="RRY381" s="252"/>
      <c r="RRZ381" s="252"/>
      <c r="RSA381" s="252"/>
      <c r="RSB381" s="252"/>
      <c r="RSC381" s="252"/>
      <c r="RSD381" s="252"/>
      <c r="RSE381" s="252"/>
      <c r="RSF381" s="252"/>
      <c r="RSG381" s="252"/>
      <c r="RSH381" s="252"/>
      <c r="RSI381" s="252"/>
      <c r="RSJ381" s="252"/>
      <c r="RSK381" s="252"/>
      <c r="RSL381" s="252"/>
      <c r="RSM381" s="252"/>
      <c r="RSN381" s="252"/>
      <c r="RSO381" s="252"/>
      <c r="RSP381" s="252"/>
      <c r="RSQ381" s="252"/>
      <c r="RSR381" s="252"/>
      <c r="RSS381" s="252"/>
      <c r="RST381" s="252"/>
      <c r="RSU381" s="252"/>
      <c r="RSV381" s="252"/>
      <c r="RSW381" s="252"/>
      <c r="RSX381" s="252"/>
      <c r="RSY381" s="252"/>
      <c r="RSZ381" s="252"/>
      <c r="RTA381" s="252"/>
      <c r="RTB381" s="252"/>
      <c r="RTC381" s="252"/>
      <c r="RTD381" s="252"/>
      <c r="RTE381" s="252"/>
      <c r="RTF381" s="252"/>
      <c r="RTG381" s="252"/>
      <c r="RTH381" s="252"/>
      <c r="RTI381" s="252"/>
      <c r="RTJ381" s="252"/>
      <c r="RTK381" s="252"/>
      <c r="RTL381" s="252"/>
      <c r="RTM381" s="252"/>
      <c r="RTN381" s="252"/>
      <c r="RTO381" s="252"/>
      <c r="RTP381" s="252"/>
      <c r="RTQ381" s="252"/>
      <c r="RTR381" s="252"/>
      <c r="RTS381" s="252"/>
      <c r="RTT381" s="252"/>
      <c r="RTU381" s="252"/>
      <c r="RTV381" s="252"/>
      <c r="RTW381" s="252"/>
      <c r="RTX381" s="252"/>
      <c r="RTY381" s="252"/>
      <c r="RTZ381" s="252"/>
      <c r="RUA381" s="252"/>
      <c r="RUB381" s="252"/>
      <c r="RUC381" s="252"/>
      <c r="RUD381" s="252"/>
      <c r="RUE381" s="252"/>
      <c r="RUF381" s="252"/>
      <c r="RUG381" s="252"/>
      <c r="RUH381" s="252"/>
      <c r="RUI381" s="252"/>
      <c r="RUJ381" s="252"/>
      <c r="RUK381" s="252"/>
      <c r="RUL381" s="252"/>
      <c r="RUM381" s="252"/>
      <c r="RUN381" s="252"/>
      <c r="RUO381" s="252"/>
      <c r="RUP381" s="252"/>
      <c r="RUQ381" s="252"/>
      <c r="RUR381" s="252"/>
      <c r="RUS381" s="252"/>
      <c r="RUT381" s="252"/>
      <c r="RUU381" s="252"/>
      <c r="RUV381" s="252"/>
      <c r="RUW381" s="252"/>
      <c r="RUX381" s="252"/>
      <c r="RUY381" s="252"/>
      <c r="RUZ381" s="252"/>
      <c r="RVA381" s="252"/>
      <c r="RVB381" s="252"/>
      <c r="RVC381" s="252"/>
      <c r="RVD381" s="252"/>
      <c r="RVE381" s="252"/>
      <c r="RVF381" s="252"/>
      <c r="RVG381" s="252"/>
      <c r="RVH381" s="252"/>
      <c r="RVI381" s="252"/>
      <c r="RVJ381" s="252"/>
      <c r="RVK381" s="252"/>
      <c r="RVL381" s="252"/>
      <c r="RVM381" s="252"/>
      <c r="RVN381" s="252"/>
      <c r="RVO381" s="252"/>
      <c r="RVP381" s="252"/>
      <c r="RVQ381" s="252"/>
      <c r="RVR381" s="252"/>
      <c r="RVS381" s="252"/>
      <c r="RVT381" s="252"/>
      <c r="RVU381" s="252"/>
      <c r="RVV381" s="252"/>
      <c r="RVW381" s="252"/>
      <c r="RVX381" s="252"/>
      <c r="RVY381" s="252"/>
      <c r="RVZ381" s="252"/>
      <c r="RWA381" s="252"/>
      <c r="RWB381" s="252"/>
      <c r="RWC381" s="252"/>
      <c r="RWD381" s="252"/>
      <c r="RWE381" s="252"/>
      <c r="RWF381" s="252"/>
      <c r="RWG381" s="252"/>
      <c r="RWH381" s="252"/>
      <c r="RWI381" s="252"/>
      <c r="RWJ381" s="252"/>
      <c r="RWK381" s="252"/>
      <c r="RWL381" s="252"/>
      <c r="RWM381" s="252"/>
      <c r="RWN381" s="252"/>
      <c r="RWO381" s="252"/>
      <c r="RWP381" s="252"/>
      <c r="RWQ381" s="252"/>
      <c r="RWR381" s="252"/>
      <c r="RWS381" s="252"/>
      <c r="RWT381" s="252"/>
      <c r="RWU381" s="252"/>
      <c r="RWV381" s="252"/>
      <c r="RWW381" s="252"/>
      <c r="RWX381" s="252"/>
      <c r="RWY381" s="252"/>
      <c r="RWZ381" s="252"/>
      <c r="RXA381" s="252"/>
      <c r="RXB381" s="252"/>
      <c r="RXC381" s="252"/>
      <c r="RXD381" s="252"/>
      <c r="RXE381" s="252"/>
      <c r="RXF381" s="252"/>
      <c r="RXG381" s="252"/>
      <c r="RXH381" s="252"/>
      <c r="RXI381" s="252"/>
      <c r="RXJ381" s="252"/>
      <c r="RXK381" s="252"/>
      <c r="RXL381" s="252"/>
      <c r="RXM381" s="252"/>
      <c r="RXN381" s="252"/>
      <c r="RXO381" s="252"/>
      <c r="RXP381" s="252"/>
      <c r="RXQ381" s="252"/>
      <c r="RXR381" s="252"/>
      <c r="RXS381" s="252"/>
      <c r="RXT381" s="252"/>
      <c r="RXU381" s="252"/>
      <c r="RXV381" s="252"/>
      <c r="RXW381" s="252"/>
      <c r="RXX381" s="252"/>
      <c r="RXY381" s="252"/>
      <c r="RXZ381" s="252"/>
      <c r="RYA381" s="252"/>
      <c r="RYB381" s="252"/>
      <c r="RYC381" s="252"/>
      <c r="RYD381" s="252"/>
      <c r="RYE381" s="252"/>
      <c r="RYF381" s="252"/>
      <c r="RYG381" s="252"/>
      <c r="RYH381" s="252"/>
      <c r="RYI381" s="252"/>
      <c r="RYJ381" s="252"/>
      <c r="RYK381" s="252"/>
      <c r="RYL381" s="252"/>
      <c r="RYM381" s="252"/>
      <c r="RYN381" s="252"/>
      <c r="RYO381" s="252"/>
      <c r="RYP381" s="252"/>
      <c r="RYQ381" s="252"/>
      <c r="RYR381" s="252"/>
      <c r="RYS381" s="252"/>
      <c r="RYT381" s="252"/>
      <c r="RYU381" s="252"/>
      <c r="RYV381" s="252"/>
      <c r="RYW381" s="252"/>
      <c r="RYX381" s="252"/>
      <c r="RYY381" s="252"/>
      <c r="RYZ381" s="252"/>
      <c r="RZA381" s="252"/>
      <c r="RZB381" s="252"/>
      <c r="RZC381" s="252"/>
      <c r="RZD381" s="252"/>
      <c r="RZE381" s="252"/>
      <c r="RZF381" s="252"/>
      <c r="RZG381" s="252"/>
      <c r="RZH381" s="252"/>
      <c r="RZI381" s="252"/>
      <c r="RZJ381" s="252"/>
      <c r="RZK381" s="252"/>
      <c r="RZL381" s="252"/>
      <c r="RZM381" s="252"/>
      <c r="RZN381" s="252"/>
      <c r="RZO381" s="252"/>
      <c r="RZP381" s="252"/>
      <c r="RZQ381" s="252"/>
      <c r="RZR381" s="252"/>
      <c r="RZS381" s="252"/>
      <c r="RZT381" s="252"/>
      <c r="RZU381" s="252"/>
      <c r="RZV381" s="252"/>
      <c r="RZW381" s="252"/>
      <c r="RZX381" s="252"/>
      <c r="RZY381" s="252"/>
      <c r="RZZ381" s="252"/>
      <c r="SAA381" s="252"/>
      <c r="SAB381" s="252"/>
      <c r="SAC381" s="252"/>
      <c r="SAD381" s="252"/>
      <c r="SAE381" s="252"/>
      <c r="SAF381" s="252"/>
      <c r="SAG381" s="252"/>
      <c r="SAH381" s="252"/>
      <c r="SAI381" s="252"/>
      <c r="SAJ381" s="252"/>
      <c r="SAK381" s="252"/>
      <c r="SAL381" s="252"/>
      <c r="SAM381" s="252"/>
      <c r="SAN381" s="252"/>
      <c r="SAO381" s="252"/>
      <c r="SAP381" s="252"/>
      <c r="SAQ381" s="252"/>
      <c r="SAR381" s="252"/>
      <c r="SAS381" s="252"/>
      <c r="SAT381" s="252"/>
      <c r="SAU381" s="252"/>
      <c r="SAV381" s="252"/>
      <c r="SAW381" s="252"/>
      <c r="SAX381" s="252"/>
      <c r="SAY381" s="252"/>
      <c r="SAZ381" s="252"/>
      <c r="SBA381" s="252"/>
      <c r="SBB381" s="252"/>
      <c r="SBC381" s="252"/>
      <c r="SBD381" s="252"/>
      <c r="SBE381" s="252"/>
      <c r="SBF381" s="252"/>
      <c r="SBG381" s="252"/>
      <c r="SBH381" s="252"/>
      <c r="SBI381" s="252"/>
      <c r="SBJ381" s="252"/>
      <c r="SBK381" s="252"/>
      <c r="SBL381" s="252"/>
      <c r="SBM381" s="252"/>
      <c r="SBN381" s="252"/>
      <c r="SBO381" s="252"/>
      <c r="SBP381" s="252"/>
      <c r="SBQ381" s="252"/>
      <c r="SBR381" s="252"/>
      <c r="SBS381" s="252"/>
      <c r="SBT381" s="252"/>
      <c r="SBU381" s="252"/>
      <c r="SBV381" s="252"/>
      <c r="SBW381" s="252"/>
      <c r="SBX381" s="252"/>
      <c r="SBY381" s="252"/>
      <c r="SBZ381" s="252"/>
      <c r="SCA381" s="252"/>
      <c r="SCB381" s="252"/>
      <c r="SCC381" s="252"/>
      <c r="SCD381" s="252"/>
      <c r="SCE381" s="252"/>
      <c r="SCF381" s="252"/>
      <c r="SCG381" s="252"/>
      <c r="SCH381" s="252"/>
      <c r="SCI381" s="252"/>
      <c r="SCJ381" s="252"/>
      <c r="SCK381" s="252"/>
      <c r="SCL381" s="252"/>
      <c r="SCM381" s="252"/>
      <c r="SCN381" s="252"/>
      <c r="SCO381" s="252"/>
      <c r="SCP381" s="252"/>
      <c r="SCQ381" s="252"/>
      <c r="SCR381" s="252"/>
      <c r="SCS381" s="252"/>
      <c r="SCT381" s="252"/>
      <c r="SCU381" s="252"/>
      <c r="SCV381" s="252"/>
      <c r="SCW381" s="252"/>
      <c r="SCX381" s="252"/>
      <c r="SCY381" s="252"/>
      <c r="SCZ381" s="252"/>
      <c r="SDA381" s="252"/>
      <c r="SDB381" s="252"/>
      <c r="SDC381" s="252"/>
      <c r="SDD381" s="252"/>
      <c r="SDE381" s="252"/>
      <c r="SDF381" s="252"/>
      <c r="SDG381" s="252"/>
      <c r="SDH381" s="252"/>
      <c r="SDI381" s="252"/>
      <c r="SDJ381" s="252"/>
      <c r="SDK381" s="252"/>
      <c r="SDL381" s="252"/>
      <c r="SDM381" s="252"/>
      <c r="SDN381" s="252"/>
      <c r="SDO381" s="252"/>
      <c r="SDP381" s="252"/>
      <c r="SDQ381" s="252"/>
      <c r="SDR381" s="252"/>
      <c r="SDS381" s="252"/>
      <c r="SDT381" s="252"/>
      <c r="SDU381" s="252"/>
      <c r="SDV381" s="252"/>
      <c r="SDW381" s="252"/>
      <c r="SDX381" s="252"/>
      <c r="SDY381" s="252"/>
      <c r="SDZ381" s="252"/>
      <c r="SEA381" s="252"/>
      <c r="SEB381" s="252"/>
      <c r="SEC381" s="252"/>
      <c r="SED381" s="252"/>
      <c r="SEE381" s="252"/>
      <c r="SEF381" s="252"/>
      <c r="SEG381" s="252"/>
      <c r="SEH381" s="252"/>
      <c r="SEI381" s="252"/>
      <c r="SEJ381" s="252"/>
      <c r="SEK381" s="252"/>
      <c r="SEL381" s="252"/>
      <c r="SEM381" s="252"/>
      <c r="SEN381" s="252"/>
      <c r="SEO381" s="252"/>
      <c r="SEP381" s="252"/>
      <c r="SEQ381" s="252"/>
      <c r="SER381" s="252"/>
      <c r="SES381" s="252"/>
      <c r="SET381" s="252"/>
      <c r="SEU381" s="252"/>
      <c r="SEV381" s="252"/>
      <c r="SEW381" s="252"/>
      <c r="SEX381" s="252"/>
      <c r="SEY381" s="252"/>
      <c r="SEZ381" s="252"/>
      <c r="SFA381" s="252"/>
      <c r="SFB381" s="252"/>
      <c r="SFC381" s="252"/>
      <c r="SFD381" s="252"/>
      <c r="SFE381" s="252"/>
      <c r="SFF381" s="252"/>
      <c r="SFG381" s="252"/>
      <c r="SFH381" s="252"/>
      <c r="SFI381" s="252"/>
      <c r="SFJ381" s="252"/>
      <c r="SFK381" s="252"/>
      <c r="SFL381" s="252"/>
      <c r="SFM381" s="252"/>
      <c r="SFN381" s="252"/>
      <c r="SFO381" s="252"/>
      <c r="SFP381" s="252"/>
      <c r="SFQ381" s="252"/>
      <c r="SFR381" s="252"/>
      <c r="SFS381" s="252"/>
      <c r="SFT381" s="252"/>
      <c r="SFU381" s="252"/>
      <c r="SFV381" s="252"/>
      <c r="SFW381" s="252"/>
      <c r="SFX381" s="252"/>
      <c r="SFY381" s="252"/>
      <c r="SFZ381" s="252"/>
      <c r="SGA381" s="252"/>
      <c r="SGB381" s="252"/>
      <c r="SGC381" s="252"/>
      <c r="SGD381" s="252"/>
      <c r="SGE381" s="252"/>
      <c r="SGF381" s="252"/>
      <c r="SGG381" s="252"/>
      <c r="SGH381" s="252"/>
      <c r="SGI381" s="252"/>
      <c r="SGJ381" s="252"/>
      <c r="SGK381" s="252"/>
      <c r="SGL381" s="252"/>
      <c r="SGM381" s="252"/>
      <c r="SGN381" s="252"/>
      <c r="SGO381" s="252"/>
      <c r="SGP381" s="252"/>
      <c r="SGQ381" s="252"/>
      <c r="SGR381" s="252"/>
      <c r="SGS381" s="252"/>
      <c r="SGT381" s="252"/>
      <c r="SGU381" s="252"/>
      <c r="SGV381" s="252"/>
      <c r="SGW381" s="252"/>
      <c r="SGX381" s="252"/>
      <c r="SGY381" s="252"/>
      <c r="SGZ381" s="252"/>
      <c r="SHA381" s="252"/>
      <c r="SHB381" s="252"/>
      <c r="SHC381" s="252"/>
      <c r="SHD381" s="252"/>
      <c r="SHE381" s="252"/>
      <c r="SHF381" s="252"/>
      <c r="SHG381" s="252"/>
      <c r="SHH381" s="252"/>
      <c r="SHI381" s="252"/>
      <c r="SHJ381" s="252"/>
      <c r="SHK381" s="252"/>
      <c r="SHL381" s="252"/>
      <c r="SHM381" s="252"/>
      <c r="SHN381" s="252"/>
      <c r="SHO381" s="252"/>
      <c r="SHP381" s="252"/>
      <c r="SHQ381" s="252"/>
      <c r="SHR381" s="252"/>
      <c r="SHS381" s="252"/>
      <c r="SHT381" s="252"/>
      <c r="SHU381" s="252"/>
      <c r="SHV381" s="252"/>
      <c r="SHW381" s="252"/>
      <c r="SHX381" s="252"/>
      <c r="SHY381" s="252"/>
      <c r="SHZ381" s="252"/>
      <c r="SIA381" s="252"/>
      <c r="SIB381" s="252"/>
      <c r="SIC381" s="252"/>
      <c r="SID381" s="252"/>
      <c r="SIE381" s="252"/>
      <c r="SIF381" s="252"/>
      <c r="SIG381" s="252"/>
      <c r="SIH381" s="252"/>
      <c r="SII381" s="252"/>
      <c r="SIJ381" s="252"/>
      <c r="SIK381" s="252"/>
      <c r="SIL381" s="252"/>
      <c r="SIM381" s="252"/>
      <c r="SIN381" s="252"/>
      <c r="SIO381" s="252"/>
      <c r="SIP381" s="252"/>
      <c r="SIQ381" s="252"/>
      <c r="SIR381" s="252"/>
      <c r="SIS381" s="252"/>
      <c r="SIT381" s="252"/>
      <c r="SIU381" s="252"/>
      <c r="SIV381" s="252"/>
      <c r="SIW381" s="252"/>
      <c r="SIX381" s="252"/>
      <c r="SIY381" s="252"/>
      <c r="SIZ381" s="252"/>
      <c r="SJA381" s="252"/>
      <c r="SJB381" s="252"/>
      <c r="SJC381" s="252"/>
      <c r="SJD381" s="252"/>
      <c r="SJE381" s="252"/>
      <c r="SJF381" s="252"/>
      <c r="SJG381" s="252"/>
      <c r="SJH381" s="252"/>
      <c r="SJI381" s="252"/>
      <c r="SJJ381" s="252"/>
      <c r="SJK381" s="252"/>
      <c r="SJL381" s="252"/>
      <c r="SJM381" s="252"/>
      <c r="SJN381" s="252"/>
      <c r="SJO381" s="252"/>
      <c r="SJP381" s="252"/>
      <c r="SJQ381" s="252"/>
      <c r="SJR381" s="252"/>
      <c r="SJS381" s="252"/>
      <c r="SJT381" s="252"/>
      <c r="SJU381" s="252"/>
      <c r="SJV381" s="252"/>
      <c r="SJW381" s="252"/>
      <c r="SJX381" s="252"/>
      <c r="SJY381" s="252"/>
      <c r="SJZ381" s="252"/>
      <c r="SKA381" s="252"/>
      <c r="SKB381" s="252"/>
      <c r="SKC381" s="252"/>
      <c r="SKD381" s="252"/>
      <c r="SKE381" s="252"/>
      <c r="SKF381" s="252"/>
      <c r="SKG381" s="252"/>
      <c r="SKH381" s="252"/>
      <c r="SKI381" s="252"/>
      <c r="SKJ381" s="252"/>
      <c r="SKK381" s="252"/>
      <c r="SKL381" s="252"/>
      <c r="SKM381" s="252"/>
      <c r="SKN381" s="252"/>
      <c r="SKO381" s="252"/>
      <c r="SKP381" s="252"/>
      <c r="SKQ381" s="252"/>
      <c r="SKR381" s="252"/>
      <c r="SKS381" s="252"/>
      <c r="SKT381" s="252"/>
      <c r="SKU381" s="252"/>
      <c r="SKV381" s="252"/>
      <c r="SKW381" s="252"/>
      <c r="SKX381" s="252"/>
      <c r="SKY381" s="252"/>
      <c r="SKZ381" s="252"/>
      <c r="SLA381" s="252"/>
      <c r="SLB381" s="252"/>
      <c r="SLC381" s="252"/>
      <c r="SLD381" s="252"/>
      <c r="SLE381" s="252"/>
      <c r="SLF381" s="252"/>
      <c r="SLG381" s="252"/>
      <c r="SLH381" s="252"/>
      <c r="SLI381" s="252"/>
      <c r="SLJ381" s="252"/>
      <c r="SLK381" s="252"/>
      <c r="SLL381" s="252"/>
      <c r="SLM381" s="252"/>
      <c r="SLN381" s="252"/>
      <c r="SLO381" s="252"/>
      <c r="SLP381" s="252"/>
      <c r="SLQ381" s="252"/>
      <c r="SLR381" s="252"/>
      <c r="SLS381" s="252"/>
      <c r="SLT381" s="252"/>
      <c r="SLU381" s="252"/>
      <c r="SLV381" s="252"/>
      <c r="SLW381" s="252"/>
      <c r="SLX381" s="252"/>
      <c r="SLY381" s="252"/>
      <c r="SLZ381" s="252"/>
      <c r="SMA381" s="252"/>
      <c r="SMB381" s="252"/>
      <c r="SMC381" s="252"/>
      <c r="SMD381" s="252"/>
      <c r="SME381" s="252"/>
      <c r="SMF381" s="252"/>
      <c r="SMG381" s="252"/>
      <c r="SMH381" s="252"/>
      <c r="SMI381" s="252"/>
      <c r="SMJ381" s="252"/>
      <c r="SMK381" s="252"/>
      <c r="SML381" s="252"/>
      <c r="SMM381" s="252"/>
      <c r="SMN381" s="252"/>
      <c r="SMO381" s="252"/>
      <c r="SMP381" s="252"/>
      <c r="SMQ381" s="252"/>
      <c r="SMR381" s="252"/>
      <c r="SMS381" s="252"/>
      <c r="SMT381" s="252"/>
      <c r="SMU381" s="252"/>
      <c r="SMV381" s="252"/>
      <c r="SMW381" s="252"/>
      <c r="SMX381" s="252"/>
      <c r="SMY381" s="252"/>
      <c r="SMZ381" s="252"/>
      <c r="SNA381" s="252"/>
      <c r="SNB381" s="252"/>
      <c r="SNC381" s="252"/>
      <c r="SND381" s="252"/>
      <c r="SNE381" s="252"/>
      <c r="SNF381" s="252"/>
      <c r="SNG381" s="252"/>
      <c r="SNH381" s="252"/>
      <c r="SNI381" s="252"/>
      <c r="SNJ381" s="252"/>
      <c r="SNK381" s="252"/>
      <c r="SNL381" s="252"/>
      <c r="SNM381" s="252"/>
      <c r="SNN381" s="252"/>
      <c r="SNO381" s="252"/>
      <c r="SNP381" s="252"/>
      <c r="SNQ381" s="252"/>
      <c r="SNR381" s="252"/>
      <c r="SNS381" s="252"/>
      <c r="SNT381" s="252"/>
      <c r="SNU381" s="252"/>
      <c r="SNV381" s="252"/>
      <c r="SNW381" s="252"/>
      <c r="SNX381" s="252"/>
      <c r="SNY381" s="252"/>
      <c r="SNZ381" s="252"/>
      <c r="SOA381" s="252"/>
      <c r="SOB381" s="252"/>
      <c r="SOC381" s="252"/>
      <c r="SOD381" s="252"/>
      <c r="SOE381" s="252"/>
      <c r="SOF381" s="252"/>
      <c r="SOG381" s="252"/>
      <c r="SOH381" s="252"/>
      <c r="SOI381" s="252"/>
      <c r="SOJ381" s="252"/>
      <c r="SOK381" s="252"/>
      <c r="SOL381" s="252"/>
      <c r="SOM381" s="252"/>
      <c r="SON381" s="252"/>
      <c r="SOO381" s="252"/>
      <c r="SOP381" s="252"/>
      <c r="SOQ381" s="252"/>
      <c r="SOR381" s="252"/>
      <c r="SOS381" s="252"/>
      <c r="SOT381" s="252"/>
      <c r="SOU381" s="252"/>
      <c r="SOV381" s="252"/>
      <c r="SOW381" s="252"/>
      <c r="SOX381" s="252"/>
      <c r="SOY381" s="252"/>
      <c r="SOZ381" s="252"/>
      <c r="SPA381" s="252"/>
      <c r="SPB381" s="252"/>
      <c r="SPC381" s="252"/>
      <c r="SPD381" s="252"/>
      <c r="SPE381" s="252"/>
      <c r="SPF381" s="252"/>
      <c r="SPG381" s="252"/>
      <c r="SPH381" s="252"/>
      <c r="SPI381" s="252"/>
      <c r="SPJ381" s="252"/>
      <c r="SPK381" s="252"/>
      <c r="SPL381" s="252"/>
      <c r="SPM381" s="252"/>
      <c r="SPN381" s="252"/>
      <c r="SPO381" s="252"/>
      <c r="SPP381" s="252"/>
      <c r="SPQ381" s="252"/>
      <c r="SPR381" s="252"/>
      <c r="SPS381" s="252"/>
      <c r="SPT381" s="252"/>
      <c r="SPU381" s="252"/>
      <c r="SPV381" s="252"/>
      <c r="SPW381" s="252"/>
      <c r="SPX381" s="252"/>
      <c r="SPY381" s="252"/>
      <c r="SPZ381" s="252"/>
      <c r="SQA381" s="252"/>
      <c r="SQB381" s="252"/>
      <c r="SQC381" s="252"/>
      <c r="SQD381" s="252"/>
      <c r="SQE381" s="252"/>
      <c r="SQF381" s="252"/>
      <c r="SQG381" s="252"/>
      <c r="SQH381" s="252"/>
      <c r="SQI381" s="252"/>
      <c r="SQJ381" s="252"/>
      <c r="SQK381" s="252"/>
      <c r="SQL381" s="252"/>
      <c r="SQM381" s="252"/>
      <c r="SQN381" s="252"/>
      <c r="SQO381" s="252"/>
      <c r="SQP381" s="252"/>
      <c r="SQQ381" s="252"/>
      <c r="SQR381" s="252"/>
      <c r="SQS381" s="252"/>
      <c r="SQT381" s="252"/>
      <c r="SQU381" s="252"/>
      <c r="SQV381" s="252"/>
      <c r="SQW381" s="252"/>
      <c r="SQX381" s="252"/>
      <c r="SQY381" s="252"/>
      <c r="SQZ381" s="252"/>
      <c r="SRA381" s="252"/>
      <c r="SRB381" s="252"/>
      <c r="SRC381" s="252"/>
      <c r="SRD381" s="252"/>
      <c r="SRE381" s="252"/>
      <c r="SRF381" s="252"/>
      <c r="SRG381" s="252"/>
      <c r="SRH381" s="252"/>
      <c r="SRI381" s="252"/>
      <c r="SRJ381" s="252"/>
      <c r="SRK381" s="252"/>
      <c r="SRL381" s="252"/>
      <c r="SRM381" s="252"/>
      <c r="SRN381" s="252"/>
      <c r="SRO381" s="252"/>
      <c r="SRP381" s="252"/>
      <c r="SRQ381" s="252"/>
      <c r="SRR381" s="252"/>
      <c r="SRS381" s="252"/>
      <c r="SRT381" s="252"/>
      <c r="SRU381" s="252"/>
      <c r="SRV381" s="252"/>
      <c r="SRW381" s="252"/>
      <c r="SRX381" s="252"/>
      <c r="SRY381" s="252"/>
      <c r="SRZ381" s="252"/>
      <c r="SSA381" s="252"/>
      <c r="SSB381" s="252"/>
      <c r="SSC381" s="252"/>
      <c r="SSD381" s="252"/>
      <c r="SSE381" s="252"/>
      <c r="SSF381" s="252"/>
      <c r="SSG381" s="252"/>
      <c r="SSH381" s="252"/>
      <c r="SSI381" s="252"/>
      <c r="SSJ381" s="252"/>
      <c r="SSK381" s="252"/>
      <c r="SSL381" s="252"/>
      <c r="SSM381" s="252"/>
      <c r="SSN381" s="252"/>
      <c r="SSO381" s="252"/>
      <c r="SSP381" s="252"/>
      <c r="SSQ381" s="252"/>
      <c r="SSR381" s="252"/>
      <c r="SSS381" s="252"/>
      <c r="SST381" s="252"/>
      <c r="SSU381" s="252"/>
      <c r="SSV381" s="252"/>
      <c r="SSW381" s="252"/>
      <c r="SSX381" s="252"/>
      <c r="SSY381" s="252"/>
      <c r="SSZ381" s="252"/>
      <c r="STA381" s="252"/>
      <c r="STB381" s="252"/>
      <c r="STC381" s="252"/>
      <c r="STD381" s="252"/>
      <c r="STE381" s="252"/>
      <c r="STF381" s="252"/>
      <c r="STG381" s="252"/>
      <c r="STH381" s="252"/>
      <c r="STI381" s="252"/>
      <c r="STJ381" s="252"/>
      <c r="STK381" s="252"/>
      <c r="STL381" s="252"/>
      <c r="STM381" s="252"/>
      <c r="STN381" s="252"/>
      <c r="STO381" s="252"/>
      <c r="STP381" s="252"/>
      <c r="STQ381" s="252"/>
      <c r="STR381" s="252"/>
      <c r="STS381" s="252"/>
      <c r="STT381" s="252"/>
      <c r="STU381" s="252"/>
      <c r="STV381" s="252"/>
      <c r="STW381" s="252"/>
      <c r="STX381" s="252"/>
      <c r="STY381" s="252"/>
      <c r="STZ381" s="252"/>
      <c r="SUA381" s="252"/>
      <c r="SUB381" s="252"/>
      <c r="SUC381" s="252"/>
      <c r="SUD381" s="252"/>
      <c r="SUE381" s="252"/>
      <c r="SUF381" s="252"/>
      <c r="SUG381" s="252"/>
      <c r="SUH381" s="252"/>
      <c r="SUI381" s="252"/>
      <c r="SUJ381" s="252"/>
      <c r="SUK381" s="252"/>
      <c r="SUL381" s="252"/>
      <c r="SUM381" s="252"/>
      <c r="SUN381" s="252"/>
      <c r="SUO381" s="252"/>
      <c r="SUP381" s="252"/>
      <c r="SUQ381" s="252"/>
      <c r="SUR381" s="252"/>
      <c r="SUS381" s="252"/>
      <c r="SUT381" s="252"/>
      <c r="SUU381" s="252"/>
      <c r="SUV381" s="252"/>
      <c r="SUW381" s="252"/>
      <c r="SUX381" s="252"/>
      <c r="SUY381" s="252"/>
      <c r="SUZ381" s="252"/>
      <c r="SVA381" s="252"/>
      <c r="SVB381" s="252"/>
      <c r="SVC381" s="252"/>
      <c r="SVD381" s="252"/>
      <c r="SVE381" s="252"/>
      <c r="SVF381" s="252"/>
      <c r="SVG381" s="252"/>
      <c r="SVH381" s="252"/>
      <c r="SVI381" s="252"/>
      <c r="SVJ381" s="252"/>
      <c r="SVK381" s="252"/>
      <c r="SVL381" s="252"/>
      <c r="SVM381" s="252"/>
      <c r="SVN381" s="252"/>
      <c r="SVO381" s="252"/>
      <c r="SVP381" s="252"/>
      <c r="SVQ381" s="252"/>
      <c r="SVR381" s="252"/>
      <c r="SVS381" s="252"/>
      <c r="SVT381" s="252"/>
      <c r="SVU381" s="252"/>
      <c r="SVV381" s="252"/>
      <c r="SVW381" s="252"/>
      <c r="SVX381" s="252"/>
      <c r="SVY381" s="252"/>
      <c r="SVZ381" s="252"/>
      <c r="SWA381" s="252"/>
      <c r="SWB381" s="252"/>
      <c r="SWC381" s="252"/>
      <c r="SWD381" s="252"/>
      <c r="SWE381" s="252"/>
      <c r="SWF381" s="252"/>
      <c r="SWG381" s="252"/>
      <c r="SWH381" s="252"/>
      <c r="SWI381" s="252"/>
      <c r="SWJ381" s="252"/>
      <c r="SWK381" s="252"/>
      <c r="SWL381" s="252"/>
      <c r="SWM381" s="252"/>
      <c r="SWN381" s="252"/>
      <c r="SWO381" s="252"/>
      <c r="SWP381" s="252"/>
      <c r="SWQ381" s="252"/>
      <c r="SWR381" s="252"/>
      <c r="SWS381" s="252"/>
      <c r="SWT381" s="252"/>
      <c r="SWU381" s="252"/>
      <c r="SWV381" s="252"/>
      <c r="SWW381" s="252"/>
      <c r="SWX381" s="252"/>
      <c r="SWY381" s="252"/>
      <c r="SWZ381" s="252"/>
      <c r="SXA381" s="252"/>
      <c r="SXB381" s="252"/>
      <c r="SXC381" s="252"/>
      <c r="SXD381" s="252"/>
      <c r="SXE381" s="252"/>
      <c r="SXF381" s="252"/>
      <c r="SXG381" s="252"/>
      <c r="SXH381" s="252"/>
      <c r="SXI381" s="252"/>
      <c r="SXJ381" s="252"/>
      <c r="SXK381" s="252"/>
      <c r="SXL381" s="252"/>
      <c r="SXM381" s="252"/>
      <c r="SXN381" s="252"/>
      <c r="SXO381" s="252"/>
      <c r="SXP381" s="252"/>
      <c r="SXQ381" s="252"/>
      <c r="SXR381" s="252"/>
      <c r="SXS381" s="252"/>
      <c r="SXT381" s="252"/>
      <c r="SXU381" s="252"/>
      <c r="SXV381" s="252"/>
      <c r="SXW381" s="252"/>
      <c r="SXX381" s="252"/>
      <c r="SXY381" s="252"/>
      <c r="SXZ381" s="252"/>
      <c r="SYA381" s="252"/>
      <c r="SYB381" s="252"/>
      <c r="SYC381" s="252"/>
      <c r="SYD381" s="252"/>
      <c r="SYE381" s="252"/>
      <c r="SYF381" s="252"/>
      <c r="SYG381" s="252"/>
      <c r="SYH381" s="252"/>
      <c r="SYI381" s="252"/>
      <c r="SYJ381" s="252"/>
      <c r="SYK381" s="252"/>
      <c r="SYL381" s="252"/>
      <c r="SYM381" s="252"/>
      <c r="SYN381" s="252"/>
      <c r="SYO381" s="252"/>
      <c r="SYP381" s="252"/>
      <c r="SYQ381" s="252"/>
      <c r="SYR381" s="252"/>
      <c r="SYS381" s="252"/>
      <c r="SYT381" s="252"/>
      <c r="SYU381" s="252"/>
      <c r="SYV381" s="252"/>
      <c r="SYW381" s="252"/>
      <c r="SYX381" s="252"/>
      <c r="SYY381" s="252"/>
      <c r="SYZ381" s="252"/>
      <c r="SZA381" s="252"/>
      <c r="SZB381" s="252"/>
      <c r="SZC381" s="252"/>
      <c r="SZD381" s="252"/>
      <c r="SZE381" s="252"/>
      <c r="SZF381" s="252"/>
      <c r="SZG381" s="252"/>
      <c r="SZH381" s="252"/>
      <c r="SZI381" s="252"/>
      <c r="SZJ381" s="252"/>
      <c r="SZK381" s="252"/>
      <c r="SZL381" s="252"/>
      <c r="SZM381" s="252"/>
      <c r="SZN381" s="252"/>
      <c r="SZO381" s="252"/>
      <c r="SZP381" s="252"/>
      <c r="SZQ381" s="252"/>
      <c r="SZR381" s="252"/>
      <c r="SZS381" s="252"/>
      <c r="SZT381" s="252"/>
      <c r="SZU381" s="252"/>
      <c r="SZV381" s="252"/>
      <c r="SZW381" s="252"/>
      <c r="SZX381" s="252"/>
      <c r="SZY381" s="252"/>
      <c r="SZZ381" s="252"/>
      <c r="TAA381" s="252"/>
      <c r="TAB381" s="252"/>
      <c r="TAC381" s="252"/>
      <c r="TAD381" s="252"/>
      <c r="TAE381" s="252"/>
      <c r="TAF381" s="252"/>
      <c r="TAG381" s="252"/>
      <c r="TAH381" s="252"/>
      <c r="TAI381" s="252"/>
      <c r="TAJ381" s="252"/>
      <c r="TAK381" s="252"/>
      <c r="TAL381" s="252"/>
      <c r="TAM381" s="252"/>
      <c r="TAN381" s="252"/>
      <c r="TAO381" s="252"/>
      <c r="TAP381" s="252"/>
      <c r="TAQ381" s="252"/>
      <c r="TAR381" s="252"/>
      <c r="TAS381" s="252"/>
      <c r="TAT381" s="252"/>
      <c r="TAU381" s="252"/>
      <c r="TAV381" s="252"/>
      <c r="TAW381" s="252"/>
      <c r="TAX381" s="252"/>
      <c r="TAY381" s="252"/>
      <c r="TAZ381" s="252"/>
      <c r="TBA381" s="252"/>
      <c r="TBB381" s="252"/>
      <c r="TBC381" s="252"/>
      <c r="TBD381" s="252"/>
      <c r="TBE381" s="252"/>
      <c r="TBF381" s="252"/>
      <c r="TBG381" s="252"/>
      <c r="TBH381" s="252"/>
      <c r="TBI381" s="252"/>
      <c r="TBJ381" s="252"/>
      <c r="TBK381" s="252"/>
      <c r="TBL381" s="252"/>
      <c r="TBM381" s="252"/>
      <c r="TBN381" s="252"/>
      <c r="TBO381" s="252"/>
      <c r="TBP381" s="252"/>
      <c r="TBQ381" s="252"/>
      <c r="TBR381" s="252"/>
      <c r="TBS381" s="252"/>
      <c r="TBT381" s="252"/>
      <c r="TBU381" s="252"/>
      <c r="TBV381" s="252"/>
      <c r="TBW381" s="252"/>
      <c r="TBX381" s="252"/>
      <c r="TBY381" s="252"/>
      <c r="TBZ381" s="252"/>
      <c r="TCA381" s="252"/>
      <c r="TCB381" s="252"/>
      <c r="TCC381" s="252"/>
      <c r="TCD381" s="252"/>
      <c r="TCE381" s="252"/>
      <c r="TCF381" s="252"/>
      <c r="TCG381" s="252"/>
      <c r="TCH381" s="252"/>
      <c r="TCI381" s="252"/>
      <c r="TCJ381" s="252"/>
      <c r="TCK381" s="252"/>
      <c r="TCL381" s="252"/>
      <c r="TCM381" s="252"/>
      <c r="TCN381" s="252"/>
      <c r="TCO381" s="252"/>
      <c r="TCP381" s="252"/>
      <c r="TCQ381" s="252"/>
      <c r="TCR381" s="252"/>
      <c r="TCS381" s="252"/>
      <c r="TCT381" s="252"/>
      <c r="TCU381" s="252"/>
      <c r="TCV381" s="252"/>
      <c r="TCW381" s="252"/>
      <c r="TCX381" s="252"/>
      <c r="TCY381" s="252"/>
      <c r="TCZ381" s="252"/>
      <c r="TDA381" s="252"/>
      <c r="TDB381" s="252"/>
      <c r="TDC381" s="252"/>
      <c r="TDD381" s="252"/>
      <c r="TDE381" s="252"/>
      <c r="TDF381" s="252"/>
      <c r="TDG381" s="252"/>
      <c r="TDH381" s="252"/>
      <c r="TDI381" s="252"/>
      <c r="TDJ381" s="252"/>
      <c r="TDK381" s="252"/>
      <c r="TDL381" s="252"/>
      <c r="TDM381" s="252"/>
      <c r="TDN381" s="252"/>
      <c r="TDO381" s="252"/>
      <c r="TDP381" s="252"/>
      <c r="TDQ381" s="252"/>
      <c r="TDR381" s="252"/>
      <c r="TDS381" s="252"/>
      <c r="TDT381" s="252"/>
      <c r="TDU381" s="252"/>
      <c r="TDV381" s="252"/>
      <c r="TDW381" s="252"/>
      <c r="TDX381" s="252"/>
      <c r="TDY381" s="252"/>
      <c r="TDZ381" s="252"/>
      <c r="TEA381" s="252"/>
      <c r="TEB381" s="252"/>
      <c r="TEC381" s="252"/>
      <c r="TED381" s="252"/>
      <c r="TEE381" s="252"/>
      <c r="TEF381" s="252"/>
      <c r="TEG381" s="252"/>
      <c r="TEH381" s="252"/>
      <c r="TEI381" s="252"/>
      <c r="TEJ381" s="252"/>
      <c r="TEK381" s="252"/>
      <c r="TEL381" s="252"/>
      <c r="TEM381" s="252"/>
      <c r="TEN381" s="252"/>
      <c r="TEO381" s="252"/>
      <c r="TEP381" s="252"/>
      <c r="TEQ381" s="252"/>
      <c r="TER381" s="252"/>
      <c r="TES381" s="252"/>
      <c r="TET381" s="252"/>
      <c r="TEU381" s="252"/>
      <c r="TEV381" s="252"/>
      <c r="TEW381" s="252"/>
      <c r="TEX381" s="252"/>
      <c r="TEY381" s="252"/>
      <c r="TEZ381" s="252"/>
      <c r="TFA381" s="252"/>
      <c r="TFB381" s="252"/>
      <c r="TFC381" s="252"/>
      <c r="TFD381" s="252"/>
      <c r="TFE381" s="252"/>
      <c r="TFF381" s="252"/>
      <c r="TFG381" s="252"/>
      <c r="TFH381" s="252"/>
      <c r="TFI381" s="252"/>
      <c r="TFJ381" s="252"/>
      <c r="TFK381" s="252"/>
      <c r="TFL381" s="252"/>
      <c r="TFM381" s="252"/>
      <c r="TFN381" s="252"/>
      <c r="TFO381" s="252"/>
      <c r="TFP381" s="252"/>
      <c r="TFQ381" s="252"/>
      <c r="TFR381" s="252"/>
      <c r="TFS381" s="252"/>
      <c r="TFT381" s="252"/>
      <c r="TFU381" s="252"/>
      <c r="TFV381" s="252"/>
      <c r="TFW381" s="252"/>
      <c r="TFX381" s="252"/>
      <c r="TFY381" s="252"/>
      <c r="TFZ381" s="252"/>
      <c r="TGA381" s="252"/>
      <c r="TGB381" s="252"/>
      <c r="TGC381" s="252"/>
      <c r="TGD381" s="252"/>
      <c r="TGE381" s="252"/>
      <c r="TGF381" s="252"/>
      <c r="TGG381" s="252"/>
      <c r="TGH381" s="252"/>
      <c r="TGI381" s="252"/>
      <c r="TGJ381" s="252"/>
      <c r="TGK381" s="252"/>
      <c r="TGL381" s="252"/>
      <c r="TGM381" s="252"/>
      <c r="TGN381" s="252"/>
      <c r="TGO381" s="252"/>
      <c r="TGP381" s="252"/>
      <c r="TGQ381" s="252"/>
      <c r="TGR381" s="252"/>
      <c r="TGS381" s="252"/>
      <c r="TGT381" s="252"/>
      <c r="TGU381" s="252"/>
      <c r="TGV381" s="252"/>
      <c r="TGW381" s="252"/>
      <c r="TGX381" s="252"/>
      <c r="TGY381" s="252"/>
      <c r="TGZ381" s="252"/>
      <c r="THA381" s="252"/>
      <c r="THB381" s="252"/>
      <c r="THC381" s="252"/>
      <c r="THD381" s="252"/>
      <c r="THE381" s="252"/>
      <c r="THF381" s="252"/>
      <c r="THG381" s="252"/>
      <c r="THH381" s="252"/>
      <c r="THI381" s="252"/>
      <c r="THJ381" s="252"/>
      <c r="THK381" s="252"/>
      <c r="THL381" s="252"/>
      <c r="THM381" s="252"/>
      <c r="THN381" s="252"/>
      <c r="THO381" s="252"/>
      <c r="THP381" s="252"/>
      <c r="THQ381" s="252"/>
      <c r="THR381" s="252"/>
      <c r="THS381" s="252"/>
      <c r="THT381" s="252"/>
      <c r="THU381" s="252"/>
      <c r="THV381" s="252"/>
      <c r="THW381" s="252"/>
      <c r="THX381" s="252"/>
      <c r="THY381" s="252"/>
      <c r="THZ381" s="252"/>
      <c r="TIA381" s="252"/>
      <c r="TIB381" s="252"/>
      <c r="TIC381" s="252"/>
      <c r="TID381" s="252"/>
      <c r="TIE381" s="252"/>
      <c r="TIF381" s="252"/>
      <c r="TIG381" s="252"/>
      <c r="TIH381" s="252"/>
      <c r="TII381" s="252"/>
      <c r="TIJ381" s="252"/>
      <c r="TIK381" s="252"/>
      <c r="TIL381" s="252"/>
      <c r="TIM381" s="252"/>
      <c r="TIN381" s="252"/>
      <c r="TIO381" s="252"/>
      <c r="TIP381" s="252"/>
      <c r="TIQ381" s="252"/>
      <c r="TIR381" s="252"/>
      <c r="TIS381" s="252"/>
      <c r="TIT381" s="252"/>
      <c r="TIU381" s="252"/>
      <c r="TIV381" s="252"/>
      <c r="TIW381" s="252"/>
      <c r="TIX381" s="252"/>
      <c r="TIY381" s="252"/>
      <c r="TIZ381" s="252"/>
      <c r="TJA381" s="252"/>
      <c r="TJB381" s="252"/>
      <c r="TJC381" s="252"/>
      <c r="TJD381" s="252"/>
      <c r="TJE381" s="252"/>
      <c r="TJF381" s="252"/>
      <c r="TJG381" s="252"/>
      <c r="TJH381" s="252"/>
      <c r="TJI381" s="252"/>
      <c r="TJJ381" s="252"/>
      <c r="TJK381" s="252"/>
      <c r="TJL381" s="252"/>
      <c r="TJM381" s="252"/>
      <c r="TJN381" s="252"/>
      <c r="TJO381" s="252"/>
      <c r="TJP381" s="252"/>
      <c r="TJQ381" s="252"/>
      <c r="TJR381" s="252"/>
      <c r="TJS381" s="252"/>
      <c r="TJT381" s="252"/>
      <c r="TJU381" s="252"/>
      <c r="TJV381" s="252"/>
      <c r="TJW381" s="252"/>
      <c r="TJX381" s="252"/>
      <c r="TJY381" s="252"/>
      <c r="TJZ381" s="252"/>
      <c r="TKA381" s="252"/>
      <c r="TKB381" s="252"/>
      <c r="TKC381" s="252"/>
      <c r="TKD381" s="252"/>
      <c r="TKE381" s="252"/>
      <c r="TKF381" s="252"/>
      <c r="TKG381" s="252"/>
      <c r="TKH381" s="252"/>
      <c r="TKI381" s="252"/>
      <c r="TKJ381" s="252"/>
      <c r="TKK381" s="252"/>
      <c r="TKL381" s="252"/>
      <c r="TKM381" s="252"/>
      <c r="TKN381" s="252"/>
      <c r="TKO381" s="252"/>
      <c r="TKP381" s="252"/>
      <c r="TKQ381" s="252"/>
      <c r="TKR381" s="252"/>
      <c r="TKS381" s="252"/>
      <c r="TKT381" s="252"/>
      <c r="TKU381" s="252"/>
      <c r="TKV381" s="252"/>
      <c r="TKW381" s="252"/>
      <c r="TKX381" s="252"/>
      <c r="TKY381" s="252"/>
      <c r="TKZ381" s="252"/>
      <c r="TLA381" s="252"/>
      <c r="TLB381" s="252"/>
      <c r="TLC381" s="252"/>
      <c r="TLD381" s="252"/>
      <c r="TLE381" s="252"/>
      <c r="TLF381" s="252"/>
      <c r="TLG381" s="252"/>
      <c r="TLH381" s="252"/>
      <c r="TLI381" s="252"/>
      <c r="TLJ381" s="252"/>
      <c r="TLK381" s="252"/>
      <c r="TLL381" s="252"/>
      <c r="TLM381" s="252"/>
      <c r="TLN381" s="252"/>
      <c r="TLO381" s="252"/>
      <c r="TLP381" s="252"/>
      <c r="TLQ381" s="252"/>
      <c r="TLR381" s="252"/>
      <c r="TLS381" s="252"/>
      <c r="TLT381" s="252"/>
      <c r="TLU381" s="252"/>
      <c r="TLV381" s="252"/>
      <c r="TLW381" s="252"/>
      <c r="TLX381" s="252"/>
      <c r="TLY381" s="252"/>
      <c r="TLZ381" s="252"/>
      <c r="TMA381" s="252"/>
      <c r="TMB381" s="252"/>
      <c r="TMC381" s="252"/>
      <c r="TMD381" s="252"/>
      <c r="TME381" s="252"/>
      <c r="TMF381" s="252"/>
      <c r="TMG381" s="252"/>
      <c r="TMH381" s="252"/>
      <c r="TMI381" s="252"/>
      <c r="TMJ381" s="252"/>
      <c r="TMK381" s="252"/>
      <c r="TML381" s="252"/>
      <c r="TMM381" s="252"/>
      <c r="TMN381" s="252"/>
      <c r="TMO381" s="252"/>
      <c r="TMP381" s="252"/>
      <c r="TMQ381" s="252"/>
      <c r="TMR381" s="252"/>
      <c r="TMS381" s="252"/>
      <c r="TMT381" s="252"/>
      <c r="TMU381" s="252"/>
      <c r="TMV381" s="252"/>
      <c r="TMW381" s="252"/>
      <c r="TMX381" s="252"/>
      <c r="TMY381" s="252"/>
      <c r="TMZ381" s="252"/>
      <c r="TNA381" s="252"/>
      <c r="TNB381" s="252"/>
      <c r="TNC381" s="252"/>
      <c r="TND381" s="252"/>
      <c r="TNE381" s="252"/>
      <c r="TNF381" s="252"/>
      <c r="TNG381" s="252"/>
      <c r="TNH381" s="252"/>
      <c r="TNI381" s="252"/>
      <c r="TNJ381" s="252"/>
      <c r="TNK381" s="252"/>
      <c r="TNL381" s="252"/>
      <c r="TNM381" s="252"/>
      <c r="TNN381" s="252"/>
      <c r="TNO381" s="252"/>
      <c r="TNP381" s="252"/>
      <c r="TNQ381" s="252"/>
      <c r="TNR381" s="252"/>
      <c r="TNS381" s="252"/>
      <c r="TNT381" s="252"/>
      <c r="TNU381" s="252"/>
      <c r="TNV381" s="252"/>
      <c r="TNW381" s="252"/>
      <c r="TNX381" s="252"/>
      <c r="TNY381" s="252"/>
      <c r="TNZ381" s="252"/>
      <c r="TOA381" s="252"/>
      <c r="TOB381" s="252"/>
      <c r="TOC381" s="252"/>
      <c r="TOD381" s="252"/>
      <c r="TOE381" s="252"/>
      <c r="TOF381" s="252"/>
      <c r="TOG381" s="252"/>
      <c r="TOH381" s="252"/>
      <c r="TOI381" s="252"/>
      <c r="TOJ381" s="252"/>
      <c r="TOK381" s="252"/>
      <c r="TOL381" s="252"/>
      <c r="TOM381" s="252"/>
      <c r="TON381" s="252"/>
      <c r="TOO381" s="252"/>
      <c r="TOP381" s="252"/>
      <c r="TOQ381" s="252"/>
      <c r="TOR381" s="252"/>
      <c r="TOS381" s="252"/>
      <c r="TOT381" s="252"/>
      <c r="TOU381" s="252"/>
      <c r="TOV381" s="252"/>
      <c r="TOW381" s="252"/>
      <c r="TOX381" s="252"/>
      <c r="TOY381" s="252"/>
      <c r="TOZ381" s="252"/>
      <c r="TPA381" s="252"/>
      <c r="TPB381" s="252"/>
      <c r="TPC381" s="252"/>
      <c r="TPD381" s="252"/>
      <c r="TPE381" s="252"/>
      <c r="TPF381" s="252"/>
      <c r="TPG381" s="252"/>
      <c r="TPH381" s="252"/>
      <c r="TPI381" s="252"/>
      <c r="TPJ381" s="252"/>
      <c r="TPK381" s="252"/>
      <c r="TPL381" s="252"/>
      <c r="TPM381" s="252"/>
      <c r="TPN381" s="252"/>
      <c r="TPO381" s="252"/>
      <c r="TPP381" s="252"/>
      <c r="TPQ381" s="252"/>
      <c r="TPR381" s="252"/>
      <c r="TPS381" s="252"/>
      <c r="TPT381" s="252"/>
      <c r="TPU381" s="252"/>
      <c r="TPV381" s="252"/>
      <c r="TPW381" s="252"/>
      <c r="TPX381" s="252"/>
      <c r="TPY381" s="252"/>
      <c r="TPZ381" s="252"/>
      <c r="TQA381" s="252"/>
      <c r="TQB381" s="252"/>
      <c r="TQC381" s="252"/>
      <c r="TQD381" s="252"/>
      <c r="TQE381" s="252"/>
      <c r="TQF381" s="252"/>
      <c r="TQG381" s="252"/>
      <c r="TQH381" s="252"/>
      <c r="TQI381" s="252"/>
      <c r="TQJ381" s="252"/>
      <c r="TQK381" s="252"/>
      <c r="TQL381" s="252"/>
      <c r="TQM381" s="252"/>
      <c r="TQN381" s="252"/>
      <c r="TQO381" s="252"/>
      <c r="TQP381" s="252"/>
      <c r="TQQ381" s="252"/>
      <c r="TQR381" s="252"/>
      <c r="TQS381" s="252"/>
      <c r="TQT381" s="252"/>
      <c r="TQU381" s="252"/>
      <c r="TQV381" s="252"/>
      <c r="TQW381" s="252"/>
      <c r="TQX381" s="252"/>
      <c r="TQY381" s="252"/>
      <c r="TQZ381" s="252"/>
      <c r="TRA381" s="252"/>
      <c r="TRB381" s="252"/>
      <c r="TRC381" s="252"/>
      <c r="TRD381" s="252"/>
      <c r="TRE381" s="252"/>
      <c r="TRF381" s="252"/>
      <c r="TRG381" s="252"/>
      <c r="TRH381" s="252"/>
      <c r="TRI381" s="252"/>
      <c r="TRJ381" s="252"/>
      <c r="TRK381" s="252"/>
      <c r="TRL381" s="252"/>
      <c r="TRM381" s="252"/>
      <c r="TRN381" s="252"/>
      <c r="TRO381" s="252"/>
      <c r="TRP381" s="252"/>
      <c r="TRQ381" s="252"/>
      <c r="TRR381" s="252"/>
      <c r="TRS381" s="252"/>
      <c r="TRT381" s="252"/>
      <c r="TRU381" s="252"/>
      <c r="TRV381" s="252"/>
      <c r="TRW381" s="252"/>
      <c r="TRX381" s="252"/>
      <c r="TRY381" s="252"/>
      <c r="TRZ381" s="252"/>
      <c r="TSA381" s="252"/>
      <c r="TSB381" s="252"/>
      <c r="TSC381" s="252"/>
      <c r="TSD381" s="252"/>
      <c r="TSE381" s="252"/>
      <c r="TSF381" s="252"/>
      <c r="TSG381" s="252"/>
      <c r="TSH381" s="252"/>
      <c r="TSI381" s="252"/>
      <c r="TSJ381" s="252"/>
      <c r="TSK381" s="252"/>
      <c r="TSL381" s="252"/>
      <c r="TSM381" s="252"/>
      <c r="TSN381" s="252"/>
      <c r="TSO381" s="252"/>
      <c r="TSP381" s="252"/>
      <c r="TSQ381" s="252"/>
      <c r="TSR381" s="252"/>
      <c r="TSS381" s="252"/>
      <c r="TST381" s="252"/>
      <c r="TSU381" s="252"/>
      <c r="TSV381" s="252"/>
      <c r="TSW381" s="252"/>
      <c r="TSX381" s="252"/>
      <c r="TSY381" s="252"/>
      <c r="TSZ381" s="252"/>
      <c r="TTA381" s="252"/>
      <c r="TTB381" s="252"/>
      <c r="TTC381" s="252"/>
      <c r="TTD381" s="252"/>
      <c r="TTE381" s="252"/>
      <c r="TTF381" s="252"/>
      <c r="TTG381" s="252"/>
      <c r="TTH381" s="252"/>
      <c r="TTI381" s="252"/>
      <c r="TTJ381" s="252"/>
      <c r="TTK381" s="252"/>
      <c r="TTL381" s="252"/>
      <c r="TTM381" s="252"/>
      <c r="TTN381" s="252"/>
      <c r="TTO381" s="252"/>
      <c r="TTP381" s="252"/>
      <c r="TTQ381" s="252"/>
      <c r="TTR381" s="252"/>
      <c r="TTS381" s="252"/>
      <c r="TTT381" s="252"/>
      <c r="TTU381" s="252"/>
      <c r="TTV381" s="252"/>
      <c r="TTW381" s="252"/>
      <c r="TTX381" s="252"/>
      <c r="TTY381" s="252"/>
      <c r="TTZ381" s="252"/>
      <c r="TUA381" s="252"/>
      <c r="TUB381" s="252"/>
      <c r="TUC381" s="252"/>
      <c r="TUD381" s="252"/>
      <c r="TUE381" s="252"/>
      <c r="TUF381" s="252"/>
      <c r="TUG381" s="252"/>
      <c r="TUH381" s="252"/>
      <c r="TUI381" s="252"/>
      <c r="TUJ381" s="252"/>
      <c r="TUK381" s="252"/>
      <c r="TUL381" s="252"/>
      <c r="TUM381" s="252"/>
      <c r="TUN381" s="252"/>
      <c r="TUO381" s="252"/>
      <c r="TUP381" s="252"/>
      <c r="TUQ381" s="252"/>
      <c r="TUR381" s="252"/>
      <c r="TUS381" s="252"/>
      <c r="TUT381" s="252"/>
      <c r="TUU381" s="252"/>
      <c r="TUV381" s="252"/>
      <c r="TUW381" s="252"/>
      <c r="TUX381" s="252"/>
      <c r="TUY381" s="252"/>
      <c r="TUZ381" s="252"/>
      <c r="TVA381" s="252"/>
      <c r="TVB381" s="252"/>
      <c r="TVC381" s="252"/>
      <c r="TVD381" s="252"/>
      <c r="TVE381" s="252"/>
      <c r="TVF381" s="252"/>
      <c r="TVG381" s="252"/>
      <c r="TVH381" s="252"/>
      <c r="TVI381" s="252"/>
      <c r="TVJ381" s="252"/>
      <c r="TVK381" s="252"/>
      <c r="TVL381" s="252"/>
      <c r="TVM381" s="252"/>
      <c r="TVN381" s="252"/>
      <c r="TVO381" s="252"/>
      <c r="TVP381" s="252"/>
      <c r="TVQ381" s="252"/>
      <c r="TVR381" s="252"/>
      <c r="TVS381" s="252"/>
      <c r="TVT381" s="252"/>
      <c r="TVU381" s="252"/>
      <c r="TVV381" s="252"/>
      <c r="TVW381" s="252"/>
      <c r="TVX381" s="252"/>
      <c r="TVY381" s="252"/>
      <c r="TVZ381" s="252"/>
      <c r="TWA381" s="252"/>
      <c r="TWB381" s="252"/>
      <c r="TWC381" s="252"/>
      <c r="TWD381" s="252"/>
      <c r="TWE381" s="252"/>
      <c r="TWF381" s="252"/>
      <c r="TWG381" s="252"/>
      <c r="TWH381" s="252"/>
      <c r="TWI381" s="252"/>
      <c r="TWJ381" s="252"/>
      <c r="TWK381" s="252"/>
      <c r="TWL381" s="252"/>
      <c r="TWM381" s="252"/>
      <c r="TWN381" s="252"/>
      <c r="TWO381" s="252"/>
      <c r="TWP381" s="252"/>
      <c r="TWQ381" s="252"/>
      <c r="TWR381" s="252"/>
      <c r="TWS381" s="252"/>
      <c r="TWT381" s="252"/>
      <c r="TWU381" s="252"/>
      <c r="TWV381" s="252"/>
      <c r="TWW381" s="252"/>
      <c r="TWX381" s="252"/>
      <c r="TWY381" s="252"/>
      <c r="TWZ381" s="252"/>
      <c r="TXA381" s="252"/>
      <c r="TXB381" s="252"/>
      <c r="TXC381" s="252"/>
      <c r="TXD381" s="252"/>
      <c r="TXE381" s="252"/>
      <c r="TXF381" s="252"/>
      <c r="TXG381" s="252"/>
      <c r="TXH381" s="252"/>
      <c r="TXI381" s="252"/>
      <c r="TXJ381" s="252"/>
      <c r="TXK381" s="252"/>
      <c r="TXL381" s="252"/>
      <c r="TXM381" s="252"/>
      <c r="TXN381" s="252"/>
      <c r="TXO381" s="252"/>
      <c r="TXP381" s="252"/>
      <c r="TXQ381" s="252"/>
      <c r="TXR381" s="252"/>
      <c r="TXS381" s="252"/>
      <c r="TXT381" s="252"/>
      <c r="TXU381" s="252"/>
      <c r="TXV381" s="252"/>
      <c r="TXW381" s="252"/>
      <c r="TXX381" s="252"/>
      <c r="TXY381" s="252"/>
      <c r="TXZ381" s="252"/>
      <c r="TYA381" s="252"/>
      <c r="TYB381" s="252"/>
      <c r="TYC381" s="252"/>
      <c r="TYD381" s="252"/>
      <c r="TYE381" s="252"/>
      <c r="TYF381" s="252"/>
      <c r="TYG381" s="252"/>
      <c r="TYH381" s="252"/>
      <c r="TYI381" s="252"/>
      <c r="TYJ381" s="252"/>
      <c r="TYK381" s="252"/>
      <c r="TYL381" s="252"/>
      <c r="TYM381" s="252"/>
      <c r="TYN381" s="252"/>
      <c r="TYO381" s="252"/>
      <c r="TYP381" s="252"/>
      <c r="TYQ381" s="252"/>
      <c r="TYR381" s="252"/>
      <c r="TYS381" s="252"/>
      <c r="TYT381" s="252"/>
      <c r="TYU381" s="252"/>
      <c r="TYV381" s="252"/>
      <c r="TYW381" s="252"/>
      <c r="TYX381" s="252"/>
      <c r="TYY381" s="252"/>
      <c r="TYZ381" s="252"/>
      <c r="TZA381" s="252"/>
      <c r="TZB381" s="252"/>
      <c r="TZC381" s="252"/>
      <c r="TZD381" s="252"/>
      <c r="TZE381" s="252"/>
      <c r="TZF381" s="252"/>
      <c r="TZG381" s="252"/>
      <c r="TZH381" s="252"/>
      <c r="TZI381" s="252"/>
      <c r="TZJ381" s="252"/>
      <c r="TZK381" s="252"/>
      <c r="TZL381" s="252"/>
      <c r="TZM381" s="252"/>
      <c r="TZN381" s="252"/>
      <c r="TZO381" s="252"/>
      <c r="TZP381" s="252"/>
      <c r="TZQ381" s="252"/>
      <c r="TZR381" s="252"/>
      <c r="TZS381" s="252"/>
      <c r="TZT381" s="252"/>
      <c r="TZU381" s="252"/>
      <c r="TZV381" s="252"/>
      <c r="TZW381" s="252"/>
      <c r="TZX381" s="252"/>
      <c r="TZY381" s="252"/>
      <c r="TZZ381" s="252"/>
      <c r="UAA381" s="252"/>
      <c r="UAB381" s="252"/>
      <c r="UAC381" s="252"/>
      <c r="UAD381" s="252"/>
      <c r="UAE381" s="252"/>
      <c r="UAF381" s="252"/>
      <c r="UAG381" s="252"/>
      <c r="UAH381" s="252"/>
      <c r="UAI381" s="252"/>
      <c r="UAJ381" s="252"/>
      <c r="UAK381" s="252"/>
      <c r="UAL381" s="252"/>
      <c r="UAM381" s="252"/>
      <c r="UAN381" s="252"/>
      <c r="UAO381" s="252"/>
      <c r="UAP381" s="252"/>
      <c r="UAQ381" s="252"/>
      <c r="UAR381" s="252"/>
      <c r="UAS381" s="252"/>
      <c r="UAT381" s="252"/>
      <c r="UAU381" s="252"/>
      <c r="UAV381" s="252"/>
      <c r="UAW381" s="252"/>
      <c r="UAX381" s="252"/>
      <c r="UAY381" s="252"/>
      <c r="UAZ381" s="252"/>
      <c r="UBA381" s="252"/>
      <c r="UBB381" s="252"/>
      <c r="UBC381" s="252"/>
      <c r="UBD381" s="252"/>
      <c r="UBE381" s="252"/>
      <c r="UBF381" s="252"/>
      <c r="UBG381" s="252"/>
      <c r="UBH381" s="252"/>
      <c r="UBI381" s="252"/>
      <c r="UBJ381" s="252"/>
      <c r="UBK381" s="252"/>
      <c r="UBL381" s="252"/>
      <c r="UBM381" s="252"/>
      <c r="UBN381" s="252"/>
      <c r="UBO381" s="252"/>
      <c r="UBP381" s="252"/>
      <c r="UBQ381" s="252"/>
      <c r="UBR381" s="252"/>
      <c r="UBS381" s="252"/>
      <c r="UBT381" s="252"/>
      <c r="UBU381" s="252"/>
      <c r="UBV381" s="252"/>
      <c r="UBW381" s="252"/>
      <c r="UBX381" s="252"/>
      <c r="UBY381" s="252"/>
      <c r="UBZ381" s="252"/>
      <c r="UCA381" s="252"/>
      <c r="UCB381" s="252"/>
      <c r="UCC381" s="252"/>
      <c r="UCD381" s="252"/>
      <c r="UCE381" s="252"/>
      <c r="UCF381" s="252"/>
      <c r="UCG381" s="252"/>
      <c r="UCH381" s="252"/>
      <c r="UCI381" s="252"/>
      <c r="UCJ381" s="252"/>
      <c r="UCK381" s="252"/>
      <c r="UCL381" s="252"/>
      <c r="UCM381" s="252"/>
      <c r="UCN381" s="252"/>
      <c r="UCO381" s="252"/>
      <c r="UCP381" s="252"/>
      <c r="UCQ381" s="252"/>
      <c r="UCR381" s="252"/>
      <c r="UCS381" s="252"/>
      <c r="UCT381" s="252"/>
      <c r="UCU381" s="252"/>
      <c r="UCV381" s="252"/>
      <c r="UCW381" s="252"/>
      <c r="UCX381" s="252"/>
      <c r="UCY381" s="252"/>
      <c r="UCZ381" s="252"/>
      <c r="UDA381" s="252"/>
      <c r="UDB381" s="252"/>
      <c r="UDC381" s="252"/>
      <c r="UDD381" s="252"/>
      <c r="UDE381" s="252"/>
      <c r="UDF381" s="252"/>
      <c r="UDG381" s="252"/>
      <c r="UDH381" s="252"/>
      <c r="UDI381" s="252"/>
      <c r="UDJ381" s="252"/>
      <c r="UDK381" s="252"/>
      <c r="UDL381" s="252"/>
      <c r="UDM381" s="252"/>
      <c r="UDN381" s="252"/>
      <c r="UDO381" s="252"/>
      <c r="UDP381" s="252"/>
      <c r="UDQ381" s="252"/>
      <c r="UDR381" s="252"/>
      <c r="UDS381" s="252"/>
      <c r="UDT381" s="252"/>
      <c r="UDU381" s="252"/>
      <c r="UDV381" s="252"/>
      <c r="UDW381" s="252"/>
      <c r="UDX381" s="252"/>
      <c r="UDY381" s="252"/>
      <c r="UDZ381" s="252"/>
      <c r="UEA381" s="252"/>
      <c r="UEB381" s="252"/>
      <c r="UEC381" s="252"/>
      <c r="UED381" s="252"/>
      <c r="UEE381" s="252"/>
      <c r="UEF381" s="252"/>
      <c r="UEG381" s="252"/>
      <c r="UEH381" s="252"/>
      <c r="UEI381" s="252"/>
      <c r="UEJ381" s="252"/>
      <c r="UEK381" s="252"/>
      <c r="UEL381" s="252"/>
      <c r="UEM381" s="252"/>
      <c r="UEN381" s="252"/>
      <c r="UEO381" s="252"/>
      <c r="UEP381" s="252"/>
      <c r="UEQ381" s="252"/>
      <c r="UER381" s="252"/>
      <c r="UES381" s="252"/>
      <c r="UET381" s="252"/>
      <c r="UEU381" s="252"/>
      <c r="UEV381" s="252"/>
      <c r="UEW381" s="252"/>
      <c r="UEX381" s="252"/>
      <c r="UEY381" s="252"/>
      <c r="UEZ381" s="252"/>
      <c r="UFA381" s="252"/>
      <c r="UFB381" s="252"/>
      <c r="UFC381" s="252"/>
      <c r="UFD381" s="252"/>
      <c r="UFE381" s="252"/>
      <c r="UFF381" s="252"/>
      <c r="UFG381" s="252"/>
      <c r="UFH381" s="252"/>
      <c r="UFI381" s="252"/>
      <c r="UFJ381" s="252"/>
      <c r="UFK381" s="252"/>
      <c r="UFL381" s="252"/>
      <c r="UFM381" s="252"/>
      <c r="UFN381" s="252"/>
      <c r="UFO381" s="252"/>
      <c r="UFP381" s="252"/>
      <c r="UFQ381" s="252"/>
      <c r="UFR381" s="252"/>
      <c r="UFS381" s="252"/>
      <c r="UFT381" s="252"/>
      <c r="UFU381" s="252"/>
      <c r="UFV381" s="252"/>
      <c r="UFW381" s="252"/>
      <c r="UFX381" s="252"/>
      <c r="UFY381" s="252"/>
      <c r="UFZ381" s="252"/>
      <c r="UGA381" s="252"/>
      <c r="UGB381" s="252"/>
      <c r="UGC381" s="252"/>
      <c r="UGD381" s="252"/>
      <c r="UGE381" s="252"/>
      <c r="UGF381" s="252"/>
      <c r="UGG381" s="252"/>
      <c r="UGH381" s="252"/>
      <c r="UGI381" s="252"/>
      <c r="UGJ381" s="252"/>
      <c r="UGK381" s="252"/>
      <c r="UGL381" s="252"/>
      <c r="UGM381" s="252"/>
      <c r="UGN381" s="252"/>
      <c r="UGO381" s="252"/>
      <c r="UGP381" s="252"/>
      <c r="UGQ381" s="252"/>
      <c r="UGR381" s="252"/>
      <c r="UGS381" s="252"/>
      <c r="UGT381" s="252"/>
      <c r="UGU381" s="252"/>
      <c r="UGV381" s="252"/>
      <c r="UGW381" s="252"/>
      <c r="UGX381" s="252"/>
      <c r="UGY381" s="252"/>
      <c r="UGZ381" s="252"/>
      <c r="UHA381" s="252"/>
      <c r="UHB381" s="252"/>
      <c r="UHC381" s="252"/>
      <c r="UHD381" s="252"/>
      <c r="UHE381" s="252"/>
      <c r="UHF381" s="252"/>
      <c r="UHG381" s="252"/>
      <c r="UHH381" s="252"/>
      <c r="UHI381" s="252"/>
      <c r="UHJ381" s="252"/>
      <c r="UHK381" s="252"/>
      <c r="UHL381" s="252"/>
      <c r="UHM381" s="252"/>
      <c r="UHN381" s="252"/>
      <c r="UHO381" s="252"/>
      <c r="UHP381" s="252"/>
      <c r="UHQ381" s="252"/>
      <c r="UHR381" s="252"/>
      <c r="UHS381" s="252"/>
      <c r="UHT381" s="252"/>
      <c r="UHU381" s="252"/>
      <c r="UHV381" s="252"/>
      <c r="UHW381" s="252"/>
      <c r="UHX381" s="252"/>
      <c r="UHY381" s="252"/>
      <c r="UHZ381" s="252"/>
      <c r="UIA381" s="252"/>
      <c r="UIB381" s="252"/>
      <c r="UIC381" s="252"/>
      <c r="UID381" s="252"/>
      <c r="UIE381" s="252"/>
      <c r="UIF381" s="252"/>
      <c r="UIG381" s="252"/>
      <c r="UIH381" s="252"/>
      <c r="UII381" s="252"/>
      <c r="UIJ381" s="252"/>
      <c r="UIK381" s="252"/>
      <c r="UIL381" s="252"/>
      <c r="UIM381" s="252"/>
      <c r="UIN381" s="252"/>
      <c r="UIO381" s="252"/>
      <c r="UIP381" s="252"/>
      <c r="UIQ381" s="252"/>
      <c r="UIR381" s="252"/>
      <c r="UIS381" s="252"/>
      <c r="UIT381" s="252"/>
      <c r="UIU381" s="252"/>
      <c r="UIV381" s="252"/>
      <c r="UIW381" s="252"/>
      <c r="UIX381" s="252"/>
      <c r="UIY381" s="252"/>
      <c r="UIZ381" s="252"/>
      <c r="UJA381" s="252"/>
      <c r="UJB381" s="252"/>
      <c r="UJC381" s="252"/>
      <c r="UJD381" s="252"/>
      <c r="UJE381" s="252"/>
      <c r="UJF381" s="252"/>
      <c r="UJG381" s="252"/>
      <c r="UJH381" s="252"/>
      <c r="UJI381" s="252"/>
      <c r="UJJ381" s="252"/>
      <c r="UJK381" s="252"/>
      <c r="UJL381" s="252"/>
      <c r="UJM381" s="252"/>
      <c r="UJN381" s="252"/>
      <c r="UJO381" s="252"/>
      <c r="UJP381" s="252"/>
      <c r="UJQ381" s="252"/>
      <c r="UJR381" s="252"/>
      <c r="UJS381" s="252"/>
      <c r="UJT381" s="252"/>
      <c r="UJU381" s="252"/>
      <c r="UJV381" s="252"/>
      <c r="UJW381" s="252"/>
      <c r="UJX381" s="252"/>
      <c r="UJY381" s="252"/>
      <c r="UJZ381" s="252"/>
      <c r="UKA381" s="252"/>
      <c r="UKB381" s="252"/>
      <c r="UKC381" s="252"/>
      <c r="UKD381" s="252"/>
      <c r="UKE381" s="252"/>
      <c r="UKF381" s="252"/>
      <c r="UKG381" s="252"/>
      <c r="UKH381" s="252"/>
      <c r="UKI381" s="252"/>
      <c r="UKJ381" s="252"/>
      <c r="UKK381" s="252"/>
      <c r="UKL381" s="252"/>
      <c r="UKM381" s="252"/>
      <c r="UKN381" s="252"/>
      <c r="UKO381" s="252"/>
      <c r="UKP381" s="252"/>
      <c r="UKQ381" s="252"/>
      <c r="UKR381" s="252"/>
      <c r="UKS381" s="252"/>
      <c r="UKT381" s="252"/>
      <c r="UKU381" s="252"/>
      <c r="UKV381" s="252"/>
      <c r="UKW381" s="252"/>
      <c r="UKX381" s="252"/>
      <c r="UKY381" s="252"/>
      <c r="UKZ381" s="252"/>
      <c r="ULA381" s="252"/>
      <c r="ULB381" s="252"/>
      <c r="ULC381" s="252"/>
      <c r="ULD381" s="252"/>
      <c r="ULE381" s="252"/>
      <c r="ULF381" s="252"/>
      <c r="ULG381" s="252"/>
      <c r="ULH381" s="252"/>
      <c r="ULI381" s="252"/>
      <c r="ULJ381" s="252"/>
      <c r="ULK381" s="252"/>
      <c r="ULL381" s="252"/>
      <c r="ULM381" s="252"/>
      <c r="ULN381" s="252"/>
      <c r="ULO381" s="252"/>
      <c r="ULP381" s="252"/>
      <c r="ULQ381" s="252"/>
      <c r="ULR381" s="252"/>
      <c r="ULS381" s="252"/>
      <c r="ULT381" s="252"/>
      <c r="ULU381" s="252"/>
      <c r="ULV381" s="252"/>
      <c r="ULW381" s="252"/>
      <c r="ULX381" s="252"/>
      <c r="ULY381" s="252"/>
      <c r="ULZ381" s="252"/>
      <c r="UMA381" s="252"/>
      <c r="UMB381" s="252"/>
      <c r="UMC381" s="252"/>
      <c r="UMD381" s="252"/>
      <c r="UME381" s="252"/>
      <c r="UMF381" s="252"/>
      <c r="UMG381" s="252"/>
      <c r="UMH381" s="252"/>
      <c r="UMI381" s="252"/>
      <c r="UMJ381" s="252"/>
      <c r="UMK381" s="252"/>
      <c r="UML381" s="252"/>
      <c r="UMM381" s="252"/>
      <c r="UMN381" s="252"/>
      <c r="UMO381" s="252"/>
      <c r="UMP381" s="252"/>
      <c r="UMQ381" s="252"/>
      <c r="UMR381" s="252"/>
      <c r="UMS381" s="252"/>
      <c r="UMT381" s="252"/>
      <c r="UMU381" s="252"/>
      <c r="UMV381" s="252"/>
      <c r="UMW381" s="252"/>
      <c r="UMX381" s="252"/>
      <c r="UMY381" s="252"/>
      <c r="UMZ381" s="252"/>
      <c r="UNA381" s="252"/>
      <c r="UNB381" s="252"/>
      <c r="UNC381" s="252"/>
      <c r="UND381" s="252"/>
      <c r="UNE381" s="252"/>
      <c r="UNF381" s="252"/>
      <c r="UNG381" s="252"/>
      <c r="UNH381" s="252"/>
      <c r="UNI381" s="252"/>
      <c r="UNJ381" s="252"/>
      <c r="UNK381" s="252"/>
      <c r="UNL381" s="252"/>
      <c r="UNM381" s="252"/>
      <c r="UNN381" s="252"/>
      <c r="UNO381" s="252"/>
      <c r="UNP381" s="252"/>
      <c r="UNQ381" s="252"/>
      <c r="UNR381" s="252"/>
      <c r="UNS381" s="252"/>
      <c r="UNT381" s="252"/>
      <c r="UNU381" s="252"/>
      <c r="UNV381" s="252"/>
      <c r="UNW381" s="252"/>
      <c r="UNX381" s="252"/>
      <c r="UNY381" s="252"/>
      <c r="UNZ381" s="252"/>
      <c r="UOA381" s="252"/>
      <c r="UOB381" s="252"/>
      <c r="UOC381" s="252"/>
      <c r="UOD381" s="252"/>
      <c r="UOE381" s="252"/>
      <c r="UOF381" s="252"/>
      <c r="UOG381" s="252"/>
      <c r="UOH381" s="252"/>
      <c r="UOI381" s="252"/>
      <c r="UOJ381" s="252"/>
      <c r="UOK381" s="252"/>
      <c r="UOL381" s="252"/>
      <c r="UOM381" s="252"/>
      <c r="UON381" s="252"/>
      <c r="UOO381" s="252"/>
      <c r="UOP381" s="252"/>
      <c r="UOQ381" s="252"/>
      <c r="UOR381" s="252"/>
      <c r="UOS381" s="252"/>
      <c r="UOT381" s="252"/>
      <c r="UOU381" s="252"/>
      <c r="UOV381" s="252"/>
      <c r="UOW381" s="252"/>
      <c r="UOX381" s="252"/>
      <c r="UOY381" s="252"/>
      <c r="UOZ381" s="252"/>
      <c r="UPA381" s="252"/>
      <c r="UPB381" s="252"/>
      <c r="UPC381" s="252"/>
      <c r="UPD381" s="252"/>
      <c r="UPE381" s="252"/>
      <c r="UPF381" s="252"/>
      <c r="UPG381" s="252"/>
      <c r="UPH381" s="252"/>
      <c r="UPI381" s="252"/>
      <c r="UPJ381" s="252"/>
      <c r="UPK381" s="252"/>
      <c r="UPL381" s="252"/>
      <c r="UPM381" s="252"/>
      <c r="UPN381" s="252"/>
      <c r="UPO381" s="252"/>
      <c r="UPP381" s="252"/>
      <c r="UPQ381" s="252"/>
      <c r="UPR381" s="252"/>
      <c r="UPS381" s="252"/>
      <c r="UPT381" s="252"/>
      <c r="UPU381" s="252"/>
      <c r="UPV381" s="252"/>
      <c r="UPW381" s="252"/>
      <c r="UPX381" s="252"/>
      <c r="UPY381" s="252"/>
      <c r="UPZ381" s="252"/>
      <c r="UQA381" s="252"/>
      <c r="UQB381" s="252"/>
      <c r="UQC381" s="252"/>
      <c r="UQD381" s="252"/>
      <c r="UQE381" s="252"/>
      <c r="UQF381" s="252"/>
      <c r="UQG381" s="252"/>
      <c r="UQH381" s="252"/>
      <c r="UQI381" s="252"/>
      <c r="UQJ381" s="252"/>
      <c r="UQK381" s="252"/>
      <c r="UQL381" s="252"/>
      <c r="UQM381" s="252"/>
      <c r="UQN381" s="252"/>
      <c r="UQO381" s="252"/>
      <c r="UQP381" s="252"/>
      <c r="UQQ381" s="252"/>
      <c r="UQR381" s="252"/>
      <c r="UQS381" s="252"/>
      <c r="UQT381" s="252"/>
      <c r="UQU381" s="252"/>
      <c r="UQV381" s="252"/>
      <c r="UQW381" s="252"/>
      <c r="UQX381" s="252"/>
      <c r="UQY381" s="252"/>
      <c r="UQZ381" s="252"/>
      <c r="URA381" s="252"/>
      <c r="URB381" s="252"/>
      <c r="URC381" s="252"/>
      <c r="URD381" s="252"/>
      <c r="URE381" s="252"/>
      <c r="URF381" s="252"/>
      <c r="URG381" s="252"/>
      <c r="URH381" s="252"/>
      <c r="URI381" s="252"/>
      <c r="URJ381" s="252"/>
      <c r="URK381" s="252"/>
      <c r="URL381" s="252"/>
      <c r="URM381" s="252"/>
      <c r="URN381" s="252"/>
      <c r="URO381" s="252"/>
      <c r="URP381" s="252"/>
      <c r="URQ381" s="252"/>
      <c r="URR381" s="252"/>
      <c r="URS381" s="252"/>
      <c r="URT381" s="252"/>
      <c r="URU381" s="252"/>
      <c r="URV381" s="252"/>
      <c r="URW381" s="252"/>
      <c r="URX381" s="252"/>
      <c r="URY381" s="252"/>
      <c r="URZ381" s="252"/>
      <c r="USA381" s="252"/>
      <c r="USB381" s="252"/>
      <c r="USC381" s="252"/>
      <c r="USD381" s="252"/>
      <c r="USE381" s="252"/>
      <c r="USF381" s="252"/>
      <c r="USG381" s="252"/>
      <c r="USH381" s="252"/>
      <c r="USI381" s="252"/>
      <c r="USJ381" s="252"/>
      <c r="USK381" s="252"/>
      <c r="USL381" s="252"/>
      <c r="USM381" s="252"/>
      <c r="USN381" s="252"/>
      <c r="USO381" s="252"/>
      <c r="USP381" s="252"/>
      <c r="USQ381" s="252"/>
      <c r="USR381" s="252"/>
      <c r="USS381" s="252"/>
      <c r="UST381" s="252"/>
      <c r="USU381" s="252"/>
      <c r="USV381" s="252"/>
      <c r="USW381" s="252"/>
      <c r="USX381" s="252"/>
      <c r="USY381" s="252"/>
      <c r="USZ381" s="252"/>
      <c r="UTA381" s="252"/>
      <c r="UTB381" s="252"/>
      <c r="UTC381" s="252"/>
      <c r="UTD381" s="252"/>
      <c r="UTE381" s="252"/>
      <c r="UTF381" s="252"/>
      <c r="UTG381" s="252"/>
      <c r="UTH381" s="252"/>
      <c r="UTI381" s="252"/>
      <c r="UTJ381" s="252"/>
      <c r="UTK381" s="252"/>
      <c r="UTL381" s="252"/>
      <c r="UTM381" s="252"/>
      <c r="UTN381" s="252"/>
      <c r="UTO381" s="252"/>
      <c r="UTP381" s="252"/>
      <c r="UTQ381" s="252"/>
      <c r="UTR381" s="252"/>
      <c r="UTS381" s="252"/>
      <c r="UTT381" s="252"/>
      <c r="UTU381" s="252"/>
      <c r="UTV381" s="252"/>
      <c r="UTW381" s="252"/>
      <c r="UTX381" s="252"/>
      <c r="UTY381" s="252"/>
      <c r="UTZ381" s="252"/>
      <c r="UUA381" s="252"/>
      <c r="UUB381" s="252"/>
      <c r="UUC381" s="252"/>
      <c r="UUD381" s="252"/>
      <c r="UUE381" s="252"/>
      <c r="UUF381" s="252"/>
      <c r="UUG381" s="252"/>
      <c r="UUH381" s="252"/>
      <c r="UUI381" s="252"/>
      <c r="UUJ381" s="252"/>
      <c r="UUK381" s="252"/>
      <c r="UUL381" s="252"/>
      <c r="UUM381" s="252"/>
      <c r="UUN381" s="252"/>
      <c r="UUO381" s="252"/>
      <c r="UUP381" s="252"/>
      <c r="UUQ381" s="252"/>
      <c r="UUR381" s="252"/>
      <c r="UUS381" s="252"/>
      <c r="UUT381" s="252"/>
      <c r="UUU381" s="252"/>
      <c r="UUV381" s="252"/>
      <c r="UUW381" s="252"/>
      <c r="UUX381" s="252"/>
      <c r="UUY381" s="252"/>
      <c r="UUZ381" s="252"/>
      <c r="UVA381" s="252"/>
      <c r="UVB381" s="252"/>
      <c r="UVC381" s="252"/>
      <c r="UVD381" s="252"/>
      <c r="UVE381" s="252"/>
      <c r="UVF381" s="252"/>
      <c r="UVG381" s="252"/>
      <c r="UVH381" s="252"/>
      <c r="UVI381" s="252"/>
      <c r="UVJ381" s="252"/>
      <c r="UVK381" s="252"/>
      <c r="UVL381" s="252"/>
      <c r="UVM381" s="252"/>
      <c r="UVN381" s="252"/>
      <c r="UVO381" s="252"/>
      <c r="UVP381" s="252"/>
      <c r="UVQ381" s="252"/>
      <c r="UVR381" s="252"/>
      <c r="UVS381" s="252"/>
      <c r="UVT381" s="252"/>
      <c r="UVU381" s="252"/>
      <c r="UVV381" s="252"/>
      <c r="UVW381" s="252"/>
      <c r="UVX381" s="252"/>
      <c r="UVY381" s="252"/>
      <c r="UVZ381" s="252"/>
      <c r="UWA381" s="252"/>
      <c r="UWB381" s="252"/>
      <c r="UWC381" s="252"/>
      <c r="UWD381" s="252"/>
      <c r="UWE381" s="252"/>
      <c r="UWF381" s="252"/>
      <c r="UWG381" s="252"/>
      <c r="UWH381" s="252"/>
      <c r="UWI381" s="252"/>
      <c r="UWJ381" s="252"/>
      <c r="UWK381" s="252"/>
      <c r="UWL381" s="252"/>
      <c r="UWM381" s="252"/>
      <c r="UWN381" s="252"/>
      <c r="UWO381" s="252"/>
      <c r="UWP381" s="252"/>
      <c r="UWQ381" s="252"/>
      <c r="UWR381" s="252"/>
      <c r="UWS381" s="252"/>
      <c r="UWT381" s="252"/>
      <c r="UWU381" s="252"/>
      <c r="UWV381" s="252"/>
      <c r="UWW381" s="252"/>
      <c r="UWX381" s="252"/>
      <c r="UWY381" s="252"/>
      <c r="UWZ381" s="252"/>
      <c r="UXA381" s="252"/>
      <c r="UXB381" s="252"/>
      <c r="UXC381" s="252"/>
      <c r="UXD381" s="252"/>
      <c r="UXE381" s="252"/>
      <c r="UXF381" s="252"/>
      <c r="UXG381" s="252"/>
      <c r="UXH381" s="252"/>
      <c r="UXI381" s="252"/>
      <c r="UXJ381" s="252"/>
      <c r="UXK381" s="252"/>
      <c r="UXL381" s="252"/>
      <c r="UXM381" s="252"/>
      <c r="UXN381" s="252"/>
      <c r="UXO381" s="252"/>
      <c r="UXP381" s="252"/>
      <c r="UXQ381" s="252"/>
      <c r="UXR381" s="252"/>
      <c r="UXS381" s="252"/>
      <c r="UXT381" s="252"/>
      <c r="UXU381" s="252"/>
      <c r="UXV381" s="252"/>
      <c r="UXW381" s="252"/>
      <c r="UXX381" s="252"/>
      <c r="UXY381" s="252"/>
      <c r="UXZ381" s="252"/>
      <c r="UYA381" s="252"/>
      <c r="UYB381" s="252"/>
      <c r="UYC381" s="252"/>
      <c r="UYD381" s="252"/>
      <c r="UYE381" s="252"/>
      <c r="UYF381" s="252"/>
      <c r="UYG381" s="252"/>
      <c r="UYH381" s="252"/>
      <c r="UYI381" s="252"/>
      <c r="UYJ381" s="252"/>
      <c r="UYK381" s="252"/>
      <c r="UYL381" s="252"/>
      <c r="UYM381" s="252"/>
      <c r="UYN381" s="252"/>
      <c r="UYO381" s="252"/>
      <c r="UYP381" s="252"/>
      <c r="UYQ381" s="252"/>
      <c r="UYR381" s="252"/>
      <c r="UYS381" s="252"/>
      <c r="UYT381" s="252"/>
      <c r="UYU381" s="252"/>
      <c r="UYV381" s="252"/>
      <c r="UYW381" s="252"/>
      <c r="UYX381" s="252"/>
      <c r="UYY381" s="252"/>
      <c r="UYZ381" s="252"/>
      <c r="UZA381" s="252"/>
      <c r="UZB381" s="252"/>
      <c r="UZC381" s="252"/>
      <c r="UZD381" s="252"/>
      <c r="UZE381" s="252"/>
      <c r="UZF381" s="252"/>
      <c r="UZG381" s="252"/>
      <c r="UZH381" s="252"/>
      <c r="UZI381" s="252"/>
      <c r="UZJ381" s="252"/>
      <c r="UZK381" s="252"/>
      <c r="UZL381" s="252"/>
      <c r="UZM381" s="252"/>
      <c r="UZN381" s="252"/>
      <c r="UZO381" s="252"/>
      <c r="UZP381" s="252"/>
      <c r="UZQ381" s="252"/>
      <c r="UZR381" s="252"/>
      <c r="UZS381" s="252"/>
      <c r="UZT381" s="252"/>
      <c r="UZU381" s="252"/>
      <c r="UZV381" s="252"/>
      <c r="UZW381" s="252"/>
      <c r="UZX381" s="252"/>
      <c r="UZY381" s="252"/>
      <c r="UZZ381" s="252"/>
      <c r="VAA381" s="252"/>
      <c r="VAB381" s="252"/>
      <c r="VAC381" s="252"/>
      <c r="VAD381" s="252"/>
      <c r="VAE381" s="252"/>
      <c r="VAF381" s="252"/>
      <c r="VAG381" s="252"/>
      <c r="VAH381" s="252"/>
      <c r="VAI381" s="252"/>
      <c r="VAJ381" s="252"/>
      <c r="VAK381" s="252"/>
      <c r="VAL381" s="252"/>
      <c r="VAM381" s="252"/>
      <c r="VAN381" s="252"/>
      <c r="VAO381" s="252"/>
      <c r="VAP381" s="252"/>
      <c r="VAQ381" s="252"/>
      <c r="VAR381" s="252"/>
      <c r="VAS381" s="252"/>
      <c r="VAT381" s="252"/>
      <c r="VAU381" s="252"/>
      <c r="VAV381" s="252"/>
      <c r="VAW381" s="252"/>
      <c r="VAX381" s="252"/>
      <c r="VAY381" s="252"/>
      <c r="VAZ381" s="252"/>
      <c r="VBA381" s="252"/>
      <c r="VBB381" s="252"/>
      <c r="VBC381" s="252"/>
      <c r="VBD381" s="252"/>
      <c r="VBE381" s="252"/>
      <c r="VBF381" s="252"/>
      <c r="VBG381" s="252"/>
      <c r="VBH381" s="252"/>
      <c r="VBI381" s="252"/>
      <c r="VBJ381" s="252"/>
      <c r="VBK381" s="252"/>
      <c r="VBL381" s="252"/>
      <c r="VBM381" s="252"/>
      <c r="VBN381" s="252"/>
      <c r="VBO381" s="252"/>
      <c r="VBP381" s="252"/>
      <c r="VBQ381" s="252"/>
      <c r="VBR381" s="252"/>
      <c r="VBS381" s="252"/>
      <c r="VBT381" s="252"/>
      <c r="VBU381" s="252"/>
      <c r="VBV381" s="252"/>
      <c r="VBW381" s="252"/>
      <c r="VBX381" s="252"/>
      <c r="VBY381" s="252"/>
      <c r="VBZ381" s="252"/>
      <c r="VCA381" s="252"/>
      <c r="VCB381" s="252"/>
      <c r="VCC381" s="252"/>
      <c r="VCD381" s="252"/>
      <c r="VCE381" s="252"/>
      <c r="VCF381" s="252"/>
      <c r="VCG381" s="252"/>
      <c r="VCH381" s="252"/>
      <c r="VCI381" s="252"/>
      <c r="VCJ381" s="252"/>
      <c r="VCK381" s="252"/>
      <c r="VCL381" s="252"/>
      <c r="VCM381" s="252"/>
      <c r="VCN381" s="252"/>
      <c r="VCO381" s="252"/>
      <c r="VCP381" s="252"/>
      <c r="VCQ381" s="252"/>
      <c r="VCR381" s="252"/>
      <c r="VCS381" s="252"/>
      <c r="VCT381" s="252"/>
      <c r="VCU381" s="252"/>
      <c r="VCV381" s="252"/>
      <c r="VCW381" s="252"/>
      <c r="VCX381" s="252"/>
      <c r="VCY381" s="252"/>
      <c r="VCZ381" s="252"/>
      <c r="VDA381" s="252"/>
      <c r="VDB381" s="252"/>
      <c r="VDC381" s="252"/>
      <c r="VDD381" s="252"/>
      <c r="VDE381" s="252"/>
      <c r="VDF381" s="252"/>
      <c r="VDG381" s="252"/>
      <c r="VDH381" s="252"/>
      <c r="VDI381" s="252"/>
      <c r="VDJ381" s="252"/>
      <c r="VDK381" s="252"/>
      <c r="VDL381" s="252"/>
      <c r="VDM381" s="252"/>
      <c r="VDN381" s="252"/>
      <c r="VDO381" s="252"/>
      <c r="VDP381" s="252"/>
      <c r="VDQ381" s="252"/>
      <c r="VDR381" s="252"/>
      <c r="VDS381" s="252"/>
      <c r="VDT381" s="252"/>
      <c r="VDU381" s="252"/>
      <c r="VDV381" s="252"/>
      <c r="VDW381" s="252"/>
      <c r="VDX381" s="252"/>
      <c r="VDY381" s="252"/>
      <c r="VDZ381" s="252"/>
      <c r="VEA381" s="252"/>
      <c r="VEB381" s="252"/>
      <c r="VEC381" s="252"/>
      <c r="VED381" s="252"/>
      <c r="VEE381" s="252"/>
      <c r="VEF381" s="252"/>
      <c r="VEG381" s="252"/>
      <c r="VEH381" s="252"/>
      <c r="VEI381" s="252"/>
      <c r="VEJ381" s="252"/>
      <c r="VEK381" s="252"/>
      <c r="VEL381" s="252"/>
      <c r="VEM381" s="252"/>
      <c r="VEN381" s="252"/>
      <c r="VEO381" s="252"/>
      <c r="VEP381" s="252"/>
      <c r="VEQ381" s="252"/>
      <c r="VER381" s="252"/>
      <c r="VES381" s="252"/>
      <c r="VET381" s="252"/>
      <c r="VEU381" s="252"/>
      <c r="VEV381" s="252"/>
      <c r="VEW381" s="252"/>
      <c r="VEX381" s="252"/>
      <c r="VEY381" s="252"/>
      <c r="VEZ381" s="252"/>
      <c r="VFA381" s="252"/>
      <c r="VFB381" s="252"/>
      <c r="VFC381" s="252"/>
      <c r="VFD381" s="252"/>
      <c r="VFE381" s="252"/>
      <c r="VFF381" s="252"/>
      <c r="VFG381" s="252"/>
      <c r="VFH381" s="252"/>
      <c r="VFI381" s="252"/>
      <c r="VFJ381" s="252"/>
      <c r="VFK381" s="252"/>
      <c r="VFL381" s="252"/>
      <c r="VFM381" s="252"/>
      <c r="VFN381" s="252"/>
      <c r="VFO381" s="252"/>
      <c r="VFP381" s="252"/>
      <c r="VFQ381" s="252"/>
      <c r="VFR381" s="252"/>
      <c r="VFS381" s="252"/>
      <c r="VFT381" s="252"/>
      <c r="VFU381" s="252"/>
      <c r="VFV381" s="252"/>
      <c r="VFW381" s="252"/>
      <c r="VFX381" s="252"/>
      <c r="VFY381" s="252"/>
      <c r="VFZ381" s="252"/>
      <c r="VGA381" s="252"/>
      <c r="VGB381" s="252"/>
      <c r="VGC381" s="252"/>
      <c r="VGD381" s="252"/>
      <c r="VGE381" s="252"/>
      <c r="VGF381" s="252"/>
      <c r="VGG381" s="252"/>
      <c r="VGH381" s="252"/>
      <c r="VGI381" s="252"/>
      <c r="VGJ381" s="252"/>
      <c r="VGK381" s="252"/>
      <c r="VGL381" s="252"/>
      <c r="VGM381" s="252"/>
      <c r="VGN381" s="252"/>
      <c r="VGO381" s="252"/>
      <c r="VGP381" s="252"/>
      <c r="VGQ381" s="252"/>
      <c r="VGR381" s="252"/>
      <c r="VGS381" s="252"/>
      <c r="VGT381" s="252"/>
      <c r="VGU381" s="252"/>
      <c r="VGV381" s="252"/>
      <c r="VGW381" s="252"/>
      <c r="VGX381" s="252"/>
      <c r="VGY381" s="252"/>
      <c r="VGZ381" s="252"/>
      <c r="VHA381" s="252"/>
      <c r="VHB381" s="252"/>
      <c r="VHC381" s="252"/>
      <c r="VHD381" s="252"/>
      <c r="VHE381" s="252"/>
      <c r="VHF381" s="252"/>
      <c r="VHG381" s="252"/>
      <c r="VHH381" s="252"/>
      <c r="VHI381" s="252"/>
      <c r="VHJ381" s="252"/>
      <c r="VHK381" s="252"/>
      <c r="VHL381" s="252"/>
      <c r="VHM381" s="252"/>
      <c r="VHN381" s="252"/>
      <c r="VHO381" s="252"/>
      <c r="VHP381" s="252"/>
      <c r="VHQ381" s="252"/>
      <c r="VHR381" s="252"/>
      <c r="VHS381" s="252"/>
      <c r="VHT381" s="252"/>
      <c r="VHU381" s="252"/>
      <c r="VHV381" s="252"/>
      <c r="VHW381" s="252"/>
      <c r="VHX381" s="252"/>
      <c r="VHY381" s="252"/>
      <c r="VHZ381" s="252"/>
      <c r="VIA381" s="252"/>
      <c r="VIB381" s="252"/>
      <c r="VIC381" s="252"/>
      <c r="VID381" s="252"/>
      <c r="VIE381" s="252"/>
      <c r="VIF381" s="252"/>
      <c r="VIG381" s="252"/>
      <c r="VIH381" s="252"/>
      <c r="VII381" s="252"/>
      <c r="VIJ381" s="252"/>
      <c r="VIK381" s="252"/>
      <c r="VIL381" s="252"/>
      <c r="VIM381" s="252"/>
      <c r="VIN381" s="252"/>
      <c r="VIO381" s="252"/>
      <c r="VIP381" s="252"/>
      <c r="VIQ381" s="252"/>
      <c r="VIR381" s="252"/>
      <c r="VIS381" s="252"/>
      <c r="VIT381" s="252"/>
      <c r="VIU381" s="252"/>
      <c r="VIV381" s="252"/>
      <c r="VIW381" s="252"/>
      <c r="VIX381" s="252"/>
      <c r="VIY381" s="252"/>
      <c r="VIZ381" s="252"/>
      <c r="VJA381" s="252"/>
      <c r="VJB381" s="252"/>
      <c r="VJC381" s="252"/>
      <c r="VJD381" s="252"/>
      <c r="VJE381" s="252"/>
      <c r="VJF381" s="252"/>
      <c r="VJG381" s="252"/>
      <c r="VJH381" s="252"/>
      <c r="VJI381" s="252"/>
      <c r="VJJ381" s="252"/>
      <c r="VJK381" s="252"/>
      <c r="VJL381" s="252"/>
      <c r="VJM381" s="252"/>
      <c r="VJN381" s="252"/>
      <c r="VJO381" s="252"/>
      <c r="VJP381" s="252"/>
      <c r="VJQ381" s="252"/>
      <c r="VJR381" s="252"/>
      <c r="VJS381" s="252"/>
      <c r="VJT381" s="252"/>
      <c r="VJU381" s="252"/>
      <c r="VJV381" s="252"/>
      <c r="VJW381" s="252"/>
      <c r="VJX381" s="252"/>
      <c r="VJY381" s="252"/>
      <c r="VJZ381" s="252"/>
      <c r="VKA381" s="252"/>
      <c r="VKB381" s="252"/>
      <c r="VKC381" s="252"/>
      <c r="VKD381" s="252"/>
      <c r="VKE381" s="252"/>
      <c r="VKF381" s="252"/>
      <c r="VKG381" s="252"/>
      <c r="VKH381" s="252"/>
      <c r="VKI381" s="252"/>
      <c r="VKJ381" s="252"/>
      <c r="VKK381" s="252"/>
      <c r="VKL381" s="252"/>
      <c r="VKM381" s="252"/>
      <c r="VKN381" s="252"/>
      <c r="VKO381" s="252"/>
      <c r="VKP381" s="252"/>
      <c r="VKQ381" s="252"/>
      <c r="VKR381" s="252"/>
      <c r="VKS381" s="252"/>
      <c r="VKT381" s="252"/>
      <c r="VKU381" s="252"/>
      <c r="VKV381" s="252"/>
      <c r="VKW381" s="252"/>
      <c r="VKX381" s="252"/>
      <c r="VKY381" s="252"/>
      <c r="VKZ381" s="252"/>
      <c r="VLA381" s="252"/>
      <c r="VLB381" s="252"/>
      <c r="VLC381" s="252"/>
      <c r="VLD381" s="252"/>
      <c r="VLE381" s="252"/>
      <c r="VLF381" s="252"/>
      <c r="VLG381" s="252"/>
      <c r="VLH381" s="252"/>
      <c r="VLI381" s="252"/>
      <c r="VLJ381" s="252"/>
      <c r="VLK381" s="252"/>
      <c r="VLL381" s="252"/>
      <c r="VLM381" s="252"/>
      <c r="VLN381" s="252"/>
      <c r="VLO381" s="252"/>
      <c r="VLP381" s="252"/>
      <c r="VLQ381" s="252"/>
      <c r="VLR381" s="252"/>
      <c r="VLS381" s="252"/>
      <c r="VLT381" s="252"/>
      <c r="VLU381" s="252"/>
      <c r="VLV381" s="252"/>
      <c r="VLW381" s="252"/>
      <c r="VLX381" s="252"/>
      <c r="VLY381" s="252"/>
      <c r="VLZ381" s="252"/>
      <c r="VMA381" s="252"/>
      <c r="VMB381" s="252"/>
      <c r="VMC381" s="252"/>
      <c r="VMD381" s="252"/>
      <c r="VME381" s="252"/>
      <c r="VMF381" s="252"/>
      <c r="VMG381" s="252"/>
      <c r="VMH381" s="252"/>
      <c r="VMI381" s="252"/>
      <c r="VMJ381" s="252"/>
      <c r="VMK381" s="252"/>
      <c r="VML381" s="252"/>
      <c r="VMM381" s="252"/>
      <c r="VMN381" s="252"/>
      <c r="VMO381" s="252"/>
      <c r="VMP381" s="252"/>
      <c r="VMQ381" s="252"/>
      <c r="VMR381" s="252"/>
      <c r="VMS381" s="252"/>
      <c r="VMT381" s="252"/>
      <c r="VMU381" s="252"/>
      <c r="VMV381" s="252"/>
      <c r="VMW381" s="252"/>
      <c r="VMX381" s="252"/>
      <c r="VMY381" s="252"/>
      <c r="VMZ381" s="252"/>
      <c r="VNA381" s="252"/>
      <c r="VNB381" s="252"/>
      <c r="VNC381" s="252"/>
      <c r="VND381" s="252"/>
      <c r="VNE381" s="252"/>
      <c r="VNF381" s="252"/>
      <c r="VNG381" s="252"/>
      <c r="VNH381" s="252"/>
      <c r="VNI381" s="252"/>
      <c r="VNJ381" s="252"/>
      <c r="VNK381" s="252"/>
      <c r="VNL381" s="252"/>
      <c r="VNM381" s="252"/>
      <c r="VNN381" s="252"/>
      <c r="VNO381" s="252"/>
      <c r="VNP381" s="252"/>
      <c r="VNQ381" s="252"/>
      <c r="VNR381" s="252"/>
      <c r="VNS381" s="252"/>
      <c r="VNT381" s="252"/>
      <c r="VNU381" s="252"/>
      <c r="VNV381" s="252"/>
      <c r="VNW381" s="252"/>
      <c r="VNX381" s="252"/>
      <c r="VNY381" s="252"/>
      <c r="VNZ381" s="252"/>
      <c r="VOA381" s="252"/>
      <c r="VOB381" s="252"/>
      <c r="VOC381" s="252"/>
      <c r="VOD381" s="252"/>
      <c r="VOE381" s="252"/>
      <c r="VOF381" s="252"/>
      <c r="VOG381" s="252"/>
      <c r="VOH381" s="252"/>
      <c r="VOI381" s="252"/>
      <c r="VOJ381" s="252"/>
      <c r="VOK381" s="252"/>
      <c r="VOL381" s="252"/>
      <c r="VOM381" s="252"/>
      <c r="VON381" s="252"/>
      <c r="VOO381" s="252"/>
      <c r="VOP381" s="252"/>
      <c r="VOQ381" s="252"/>
      <c r="VOR381" s="252"/>
      <c r="VOS381" s="252"/>
      <c r="VOT381" s="252"/>
      <c r="VOU381" s="252"/>
      <c r="VOV381" s="252"/>
      <c r="VOW381" s="252"/>
      <c r="VOX381" s="252"/>
      <c r="VOY381" s="252"/>
      <c r="VOZ381" s="252"/>
      <c r="VPA381" s="252"/>
      <c r="VPB381" s="252"/>
      <c r="VPC381" s="252"/>
      <c r="VPD381" s="252"/>
      <c r="VPE381" s="252"/>
      <c r="VPF381" s="252"/>
      <c r="VPG381" s="252"/>
      <c r="VPH381" s="252"/>
      <c r="VPI381" s="252"/>
      <c r="VPJ381" s="252"/>
      <c r="VPK381" s="252"/>
      <c r="VPL381" s="252"/>
      <c r="VPM381" s="252"/>
      <c r="VPN381" s="252"/>
      <c r="VPO381" s="252"/>
      <c r="VPP381" s="252"/>
      <c r="VPQ381" s="252"/>
      <c r="VPR381" s="252"/>
      <c r="VPS381" s="252"/>
      <c r="VPT381" s="252"/>
      <c r="VPU381" s="252"/>
      <c r="VPV381" s="252"/>
      <c r="VPW381" s="252"/>
      <c r="VPX381" s="252"/>
      <c r="VPY381" s="252"/>
      <c r="VPZ381" s="252"/>
      <c r="VQA381" s="252"/>
      <c r="VQB381" s="252"/>
      <c r="VQC381" s="252"/>
      <c r="VQD381" s="252"/>
      <c r="VQE381" s="252"/>
      <c r="VQF381" s="252"/>
      <c r="VQG381" s="252"/>
      <c r="VQH381" s="252"/>
      <c r="VQI381" s="252"/>
      <c r="VQJ381" s="252"/>
      <c r="VQK381" s="252"/>
      <c r="VQL381" s="252"/>
      <c r="VQM381" s="252"/>
      <c r="VQN381" s="252"/>
      <c r="VQO381" s="252"/>
      <c r="VQP381" s="252"/>
      <c r="VQQ381" s="252"/>
      <c r="VQR381" s="252"/>
      <c r="VQS381" s="252"/>
      <c r="VQT381" s="252"/>
      <c r="VQU381" s="252"/>
      <c r="VQV381" s="252"/>
      <c r="VQW381" s="252"/>
      <c r="VQX381" s="252"/>
      <c r="VQY381" s="252"/>
      <c r="VQZ381" s="252"/>
      <c r="VRA381" s="252"/>
      <c r="VRB381" s="252"/>
      <c r="VRC381" s="252"/>
      <c r="VRD381" s="252"/>
      <c r="VRE381" s="252"/>
      <c r="VRF381" s="252"/>
      <c r="VRG381" s="252"/>
      <c r="VRH381" s="252"/>
      <c r="VRI381" s="252"/>
      <c r="VRJ381" s="252"/>
      <c r="VRK381" s="252"/>
      <c r="VRL381" s="252"/>
      <c r="VRM381" s="252"/>
      <c r="VRN381" s="252"/>
      <c r="VRO381" s="252"/>
      <c r="VRP381" s="252"/>
      <c r="VRQ381" s="252"/>
      <c r="VRR381" s="252"/>
      <c r="VRS381" s="252"/>
      <c r="VRT381" s="252"/>
      <c r="VRU381" s="252"/>
      <c r="VRV381" s="252"/>
      <c r="VRW381" s="252"/>
      <c r="VRX381" s="252"/>
      <c r="VRY381" s="252"/>
      <c r="VRZ381" s="252"/>
      <c r="VSA381" s="252"/>
      <c r="VSB381" s="252"/>
      <c r="VSC381" s="252"/>
      <c r="VSD381" s="252"/>
      <c r="VSE381" s="252"/>
      <c r="VSF381" s="252"/>
      <c r="VSG381" s="252"/>
      <c r="VSH381" s="252"/>
      <c r="VSI381" s="252"/>
      <c r="VSJ381" s="252"/>
      <c r="VSK381" s="252"/>
      <c r="VSL381" s="252"/>
      <c r="VSM381" s="252"/>
      <c r="VSN381" s="252"/>
      <c r="VSO381" s="252"/>
      <c r="VSP381" s="252"/>
      <c r="VSQ381" s="252"/>
      <c r="VSR381" s="252"/>
      <c r="VSS381" s="252"/>
      <c r="VST381" s="252"/>
      <c r="VSU381" s="252"/>
      <c r="VSV381" s="252"/>
      <c r="VSW381" s="252"/>
      <c r="VSX381" s="252"/>
      <c r="VSY381" s="252"/>
      <c r="VSZ381" s="252"/>
      <c r="VTA381" s="252"/>
      <c r="VTB381" s="252"/>
      <c r="VTC381" s="252"/>
      <c r="VTD381" s="252"/>
      <c r="VTE381" s="252"/>
      <c r="VTF381" s="252"/>
      <c r="VTG381" s="252"/>
      <c r="VTH381" s="252"/>
      <c r="VTI381" s="252"/>
      <c r="VTJ381" s="252"/>
      <c r="VTK381" s="252"/>
      <c r="VTL381" s="252"/>
      <c r="VTM381" s="252"/>
      <c r="VTN381" s="252"/>
      <c r="VTO381" s="252"/>
      <c r="VTP381" s="252"/>
      <c r="VTQ381" s="252"/>
      <c r="VTR381" s="252"/>
      <c r="VTS381" s="252"/>
      <c r="VTT381" s="252"/>
      <c r="VTU381" s="252"/>
      <c r="VTV381" s="252"/>
      <c r="VTW381" s="252"/>
      <c r="VTX381" s="252"/>
      <c r="VTY381" s="252"/>
      <c r="VTZ381" s="252"/>
      <c r="VUA381" s="252"/>
      <c r="VUB381" s="252"/>
      <c r="VUC381" s="252"/>
      <c r="VUD381" s="252"/>
      <c r="VUE381" s="252"/>
      <c r="VUF381" s="252"/>
      <c r="VUG381" s="252"/>
      <c r="VUH381" s="252"/>
      <c r="VUI381" s="252"/>
      <c r="VUJ381" s="252"/>
      <c r="VUK381" s="252"/>
      <c r="VUL381" s="252"/>
      <c r="VUM381" s="252"/>
      <c r="VUN381" s="252"/>
      <c r="VUO381" s="252"/>
      <c r="VUP381" s="252"/>
      <c r="VUQ381" s="252"/>
      <c r="VUR381" s="252"/>
      <c r="VUS381" s="252"/>
      <c r="VUT381" s="252"/>
      <c r="VUU381" s="252"/>
      <c r="VUV381" s="252"/>
      <c r="VUW381" s="252"/>
      <c r="VUX381" s="252"/>
      <c r="VUY381" s="252"/>
      <c r="VUZ381" s="252"/>
      <c r="VVA381" s="252"/>
      <c r="VVB381" s="252"/>
      <c r="VVC381" s="252"/>
      <c r="VVD381" s="252"/>
      <c r="VVE381" s="252"/>
      <c r="VVF381" s="252"/>
      <c r="VVG381" s="252"/>
      <c r="VVH381" s="252"/>
      <c r="VVI381" s="252"/>
      <c r="VVJ381" s="252"/>
      <c r="VVK381" s="252"/>
      <c r="VVL381" s="252"/>
      <c r="VVM381" s="252"/>
      <c r="VVN381" s="252"/>
      <c r="VVO381" s="252"/>
      <c r="VVP381" s="252"/>
      <c r="VVQ381" s="252"/>
      <c r="VVR381" s="252"/>
      <c r="VVS381" s="252"/>
      <c r="VVT381" s="252"/>
      <c r="VVU381" s="252"/>
      <c r="VVV381" s="252"/>
      <c r="VVW381" s="252"/>
      <c r="VVX381" s="252"/>
      <c r="VVY381" s="252"/>
      <c r="VVZ381" s="252"/>
      <c r="VWA381" s="252"/>
      <c r="VWB381" s="252"/>
      <c r="VWC381" s="252"/>
      <c r="VWD381" s="252"/>
      <c r="VWE381" s="252"/>
      <c r="VWF381" s="252"/>
      <c r="VWG381" s="252"/>
      <c r="VWH381" s="252"/>
      <c r="VWI381" s="252"/>
      <c r="VWJ381" s="252"/>
      <c r="VWK381" s="252"/>
      <c r="VWL381" s="252"/>
      <c r="VWM381" s="252"/>
      <c r="VWN381" s="252"/>
      <c r="VWO381" s="252"/>
      <c r="VWP381" s="252"/>
      <c r="VWQ381" s="252"/>
      <c r="VWR381" s="252"/>
      <c r="VWS381" s="252"/>
      <c r="VWT381" s="252"/>
      <c r="VWU381" s="252"/>
      <c r="VWV381" s="252"/>
      <c r="VWW381" s="252"/>
      <c r="VWX381" s="252"/>
      <c r="VWY381" s="252"/>
      <c r="VWZ381" s="252"/>
      <c r="VXA381" s="252"/>
      <c r="VXB381" s="252"/>
      <c r="VXC381" s="252"/>
      <c r="VXD381" s="252"/>
      <c r="VXE381" s="252"/>
      <c r="VXF381" s="252"/>
      <c r="VXG381" s="252"/>
      <c r="VXH381" s="252"/>
      <c r="VXI381" s="252"/>
      <c r="VXJ381" s="252"/>
      <c r="VXK381" s="252"/>
      <c r="VXL381" s="252"/>
      <c r="VXM381" s="252"/>
      <c r="VXN381" s="252"/>
      <c r="VXO381" s="252"/>
      <c r="VXP381" s="252"/>
      <c r="VXQ381" s="252"/>
      <c r="VXR381" s="252"/>
      <c r="VXS381" s="252"/>
      <c r="VXT381" s="252"/>
      <c r="VXU381" s="252"/>
      <c r="VXV381" s="252"/>
      <c r="VXW381" s="252"/>
      <c r="VXX381" s="252"/>
      <c r="VXY381" s="252"/>
      <c r="VXZ381" s="252"/>
      <c r="VYA381" s="252"/>
      <c r="VYB381" s="252"/>
      <c r="VYC381" s="252"/>
      <c r="VYD381" s="252"/>
      <c r="VYE381" s="252"/>
      <c r="VYF381" s="252"/>
      <c r="VYG381" s="252"/>
      <c r="VYH381" s="252"/>
      <c r="VYI381" s="252"/>
      <c r="VYJ381" s="252"/>
      <c r="VYK381" s="252"/>
      <c r="VYL381" s="252"/>
      <c r="VYM381" s="252"/>
      <c r="VYN381" s="252"/>
      <c r="VYO381" s="252"/>
      <c r="VYP381" s="252"/>
      <c r="VYQ381" s="252"/>
      <c r="VYR381" s="252"/>
      <c r="VYS381" s="252"/>
      <c r="VYT381" s="252"/>
      <c r="VYU381" s="252"/>
      <c r="VYV381" s="252"/>
      <c r="VYW381" s="252"/>
      <c r="VYX381" s="252"/>
      <c r="VYY381" s="252"/>
      <c r="VYZ381" s="252"/>
      <c r="VZA381" s="252"/>
      <c r="VZB381" s="252"/>
      <c r="VZC381" s="252"/>
      <c r="VZD381" s="252"/>
      <c r="VZE381" s="252"/>
      <c r="VZF381" s="252"/>
      <c r="VZG381" s="252"/>
      <c r="VZH381" s="252"/>
      <c r="VZI381" s="252"/>
      <c r="VZJ381" s="252"/>
      <c r="VZK381" s="252"/>
      <c r="VZL381" s="252"/>
      <c r="VZM381" s="252"/>
      <c r="VZN381" s="252"/>
      <c r="VZO381" s="252"/>
      <c r="VZP381" s="252"/>
      <c r="VZQ381" s="252"/>
      <c r="VZR381" s="252"/>
      <c r="VZS381" s="252"/>
      <c r="VZT381" s="252"/>
      <c r="VZU381" s="252"/>
      <c r="VZV381" s="252"/>
      <c r="VZW381" s="252"/>
      <c r="VZX381" s="252"/>
      <c r="VZY381" s="252"/>
      <c r="VZZ381" s="252"/>
      <c r="WAA381" s="252"/>
      <c r="WAB381" s="252"/>
      <c r="WAC381" s="252"/>
      <c r="WAD381" s="252"/>
      <c r="WAE381" s="252"/>
      <c r="WAF381" s="252"/>
      <c r="WAG381" s="252"/>
      <c r="WAH381" s="252"/>
      <c r="WAI381" s="252"/>
      <c r="WAJ381" s="252"/>
      <c r="WAK381" s="252"/>
      <c r="WAL381" s="252"/>
      <c r="WAM381" s="252"/>
      <c r="WAN381" s="252"/>
      <c r="WAO381" s="252"/>
      <c r="WAP381" s="252"/>
      <c r="WAQ381" s="252"/>
      <c r="WAR381" s="252"/>
      <c r="WAS381" s="252"/>
      <c r="WAT381" s="252"/>
      <c r="WAU381" s="252"/>
      <c r="WAV381" s="252"/>
      <c r="WAW381" s="252"/>
      <c r="WAX381" s="252"/>
      <c r="WAY381" s="252"/>
      <c r="WAZ381" s="252"/>
      <c r="WBA381" s="252"/>
      <c r="WBB381" s="252"/>
      <c r="WBC381" s="252"/>
      <c r="WBD381" s="252"/>
      <c r="WBE381" s="252"/>
      <c r="WBF381" s="252"/>
      <c r="WBG381" s="252"/>
      <c r="WBH381" s="252"/>
      <c r="WBI381" s="252"/>
      <c r="WBJ381" s="252"/>
      <c r="WBK381" s="252"/>
      <c r="WBL381" s="252"/>
      <c r="WBM381" s="252"/>
      <c r="WBN381" s="252"/>
      <c r="WBO381" s="252"/>
      <c r="WBP381" s="252"/>
      <c r="WBQ381" s="252"/>
      <c r="WBR381" s="252"/>
      <c r="WBS381" s="252"/>
      <c r="WBT381" s="252"/>
      <c r="WBU381" s="252"/>
      <c r="WBV381" s="252"/>
      <c r="WBW381" s="252"/>
      <c r="WBX381" s="252"/>
      <c r="WBY381" s="252"/>
      <c r="WBZ381" s="252"/>
      <c r="WCA381" s="252"/>
      <c r="WCB381" s="252"/>
      <c r="WCC381" s="252"/>
      <c r="WCD381" s="252"/>
      <c r="WCE381" s="252"/>
      <c r="WCF381" s="252"/>
      <c r="WCG381" s="252"/>
      <c r="WCH381" s="252"/>
      <c r="WCI381" s="252"/>
      <c r="WCJ381" s="252"/>
      <c r="WCK381" s="252"/>
      <c r="WCL381" s="252"/>
      <c r="WCM381" s="252"/>
      <c r="WCN381" s="252"/>
      <c r="WCO381" s="252"/>
      <c r="WCP381" s="252"/>
      <c r="WCQ381" s="252"/>
      <c r="WCR381" s="252"/>
      <c r="WCS381" s="252"/>
      <c r="WCT381" s="252"/>
      <c r="WCU381" s="252"/>
      <c r="WCV381" s="252"/>
      <c r="WCW381" s="252"/>
      <c r="WCX381" s="252"/>
      <c r="WCY381" s="252"/>
      <c r="WCZ381" s="252"/>
      <c r="WDA381" s="252"/>
      <c r="WDB381" s="252"/>
      <c r="WDC381" s="252"/>
      <c r="WDD381" s="252"/>
      <c r="WDE381" s="252"/>
      <c r="WDF381" s="252"/>
      <c r="WDG381" s="252"/>
      <c r="WDH381" s="252"/>
      <c r="WDI381" s="252"/>
      <c r="WDJ381" s="252"/>
      <c r="WDK381" s="252"/>
      <c r="WDL381" s="252"/>
      <c r="WDM381" s="252"/>
      <c r="WDN381" s="252"/>
      <c r="WDO381" s="252"/>
      <c r="WDP381" s="252"/>
      <c r="WDQ381" s="252"/>
      <c r="WDR381" s="252"/>
      <c r="WDS381" s="252"/>
      <c r="WDT381" s="252"/>
      <c r="WDU381" s="252"/>
      <c r="WDV381" s="252"/>
      <c r="WDW381" s="252"/>
      <c r="WDX381" s="252"/>
      <c r="WDY381" s="252"/>
      <c r="WDZ381" s="252"/>
      <c r="WEA381" s="252"/>
      <c r="WEB381" s="252"/>
      <c r="WEC381" s="252"/>
      <c r="WED381" s="252"/>
      <c r="WEE381" s="252"/>
      <c r="WEF381" s="252"/>
      <c r="WEG381" s="252"/>
      <c r="WEH381" s="252"/>
      <c r="WEI381" s="252"/>
      <c r="WEJ381" s="252"/>
      <c r="WEK381" s="252"/>
      <c r="WEL381" s="252"/>
      <c r="WEM381" s="252"/>
      <c r="WEN381" s="252"/>
      <c r="WEO381" s="252"/>
      <c r="WEP381" s="252"/>
      <c r="WEQ381" s="252"/>
      <c r="WER381" s="252"/>
      <c r="WES381" s="252"/>
      <c r="WET381" s="252"/>
      <c r="WEU381" s="252"/>
      <c r="WEV381" s="252"/>
      <c r="WEW381" s="252"/>
      <c r="WEX381" s="252"/>
      <c r="WEY381" s="252"/>
      <c r="WEZ381" s="252"/>
      <c r="WFA381" s="252"/>
      <c r="WFB381" s="252"/>
      <c r="WFC381" s="252"/>
      <c r="WFD381" s="252"/>
      <c r="WFE381" s="252"/>
      <c r="WFF381" s="252"/>
      <c r="WFG381" s="252"/>
      <c r="WFH381" s="252"/>
      <c r="WFI381" s="252"/>
      <c r="WFJ381" s="252"/>
      <c r="WFK381" s="252"/>
      <c r="WFL381" s="252"/>
      <c r="WFM381" s="252"/>
      <c r="WFN381" s="252"/>
      <c r="WFO381" s="252"/>
      <c r="WFP381" s="252"/>
      <c r="WFQ381" s="252"/>
      <c r="WFR381" s="252"/>
      <c r="WFS381" s="252"/>
      <c r="WFT381" s="252"/>
      <c r="WFU381" s="252"/>
      <c r="WFV381" s="252"/>
      <c r="WFW381" s="252"/>
      <c r="WFX381" s="252"/>
      <c r="WFY381" s="252"/>
      <c r="WFZ381" s="252"/>
      <c r="WGA381" s="252"/>
      <c r="WGB381" s="252"/>
      <c r="WGC381" s="252"/>
      <c r="WGD381" s="252"/>
      <c r="WGE381" s="252"/>
      <c r="WGF381" s="252"/>
      <c r="WGG381" s="252"/>
      <c r="WGH381" s="252"/>
      <c r="WGI381" s="252"/>
      <c r="WGJ381" s="252"/>
      <c r="WGK381" s="252"/>
      <c r="WGL381" s="252"/>
      <c r="WGM381" s="252"/>
      <c r="WGN381" s="252"/>
      <c r="WGO381" s="252"/>
      <c r="WGP381" s="252"/>
      <c r="WGQ381" s="252"/>
      <c r="WGR381" s="252"/>
      <c r="WGS381" s="252"/>
      <c r="WGT381" s="252"/>
      <c r="WGU381" s="252"/>
      <c r="WGV381" s="252"/>
      <c r="WGW381" s="252"/>
      <c r="WGX381" s="252"/>
      <c r="WGY381" s="252"/>
      <c r="WGZ381" s="252"/>
      <c r="WHA381" s="252"/>
      <c r="WHB381" s="252"/>
      <c r="WHC381" s="252"/>
      <c r="WHD381" s="252"/>
      <c r="WHE381" s="252"/>
      <c r="WHF381" s="252"/>
      <c r="WHG381" s="252"/>
      <c r="WHH381" s="252"/>
      <c r="WHI381" s="252"/>
      <c r="WHJ381" s="252"/>
      <c r="WHK381" s="252"/>
      <c r="WHL381" s="252"/>
      <c r="WHM381" s="252"/>
      <c r="WHN381" s="252"/>
      <c r="WHO381" s="252"/>
      <c r="WHP381" s="252"/>
      <c r="WHQ381" s="252"/>
      <c r="WHR381" s="252"/>
      <c r="WHS381" s="252"/>
      <c r="WHT381" s="252"/>
      <c r="WHU381" s="252"/>
      <c r="WHV381" s="252"/>
      <c r="WHW381" s="252"/>
      <c r="WHX381" s="252"/>
      <c r="WHY381" s="252"/>
      <c r="WHZ381" s="252"/>
      <c r="WIA381" s="252"/>
      <c r="WIB381" s="252"/>
      <c r="WIC381" s="252"/>
      <c r="WID381" s="252"/>
      <c r="WIE381" s="252"/>
      <c r="WIF381" s="252"/>
      <c r="WIG381" s="252"/>
      <c r="WIH381" s="252"/>
      <c r="WII381" s="252"/>
      <c r="WIJ381" s="252"/>
      <c r="WIK381" s="252"/>
      <c r="WIL381" s="252"/>
      <c r="WIM381" s="252"/>
      <c r="WIN381" s="252"/>
      <c r="WIO381" s="252"/>
      <c r="WIP381" s="252"/>
      <c r="WIQ381" s="252"/>
      <c r="WIR381" s="252"/>
      <c r="WIS381" s="252"/>
      <c r="WIT381" s="252"/>
      <c r="WIU381" s="252"/>
      <c r="WIV381" s="252"/>
      <c r="WIW381" s="252"/>
      <c r="WIX381" s="252"/>
      <c r="WIY381" s="252"/>
      <c r="WIZ381" s="252"/>
      <c r="WJA381" s="252"/>
      <c r="WJB381" s="252"/>
      <c r="WJC381" s="252"/>
      <c r="WJD381" s="252"/>
      <c r="WJE381" s="252"/>
      <c r="WJF381" s="252"/>
      <c r="WJG381" s="252"/>
      <c r="WJH381" s="252"/>
      <c r="WJI381" s="252"/>
      <c r="WJJ381" s="252"/>
      <c r="WJK381" s="252"/>
      <c r="WJL381" s="252"/>
      <c r="WJM381" s="252"/>
      <c r="WJN381" s="252"/>
      <c r="WJO381" s="252"/>
      <c r="WJP381" s="252"/>
      <c r="WJQ381" s="252"/>
      <c r="WJR381" s="252"/>
      <c r="WJS381" s="252"/>
      <c r="WJT381" s="252"/>
      <c r="WJU381" s="252"/>
      <c r="WJV381" s="252"/>
      <c r="WJW381" s="252"/>
      <c r="WJX381" s="252"/>
      <c r="WJY381" s="252"/>
      <c r="WJZ381" s="252"/>
      <c r="WKA381" s="252"/>
      <c r="WKB381" s="252"/>
      <c r="WKC381" s="252"/>
      <c r="WKD381" s="252"/>
      <c r="WKE381" s="252"/>
      <c r="WKF381" s="252"/>
      <c r="WKG381" s="252"/>
      <c r="WKH381" s="252"/>
      <c r="WKI381" s="252"/>
      <c r="WKJ381" s="252"/>
      <c r="WKK381" s="252"/>
      <c r="WKL381" s="252"/>
      <c r="WKM381" s="252"/>
      <c r="WKN381" s="252"/>
      <c r="WKO381" s="252"/>
      <c r="WKP381" s="252"/>
      <c r="WKQ381" s="252"/>
      <c r="WKR381" s="252"/>
      <c r="WKS381" s="252"/>
      <c r="WKT381" s="252"/>
      <c r="WKU381" s="252"/>
      <c r="WKV381" s="252"/>
      <c r="WKW381" s="252"/>
      <c r="WKX381" s="252"/>
      <c r="WKY381" s="252"/>
      <c r="WKZ381" s="252"/>
      <c r="WLA381" s="252"/>
      <c r="WLB381" s="252"/>
      <c r="WLC381" s="252"/>
      <c r="WLD381" s="252"/>
      <c r="WLE381" s="252"/>
      <c r="WLF381" s="252"/>
      <c r="WLG381" s="252"/>
      <c r="WLH381" s="252"/>
      <c r="WLI381" s="252"/>
      <c r="WLJ381" s="252"/>
      <c r="WLK381" s="252"/>
      <c r="WLL381" s="252"/>
      <c r="WLM381" s="252"/>
      <c r="WLN381" s="252"/>
      <c r="WLO381" s="252"/>
      <c r="WLP381" s="252"/>
      <c r="WLQ381" s="252"/>
      <c r="WLR381" s="252"/>
      <c r="WLS381" s="252"/>
      <c r="WLT381" s="252"/>
      <c r="WLU381" s="252"/>
      <c r="WLV381" s="252"/>
      <c r="WLW381" s="252"/>
      <c r="WLX381" s="252"/>
      <c r="WLY381" s="252"/>
      <c r="WLZ381" s="252"/>
      <c r="WMA381" s="252"/>
      <c r="WMB381" s="252"/>
      <c r="WMC381" s="252"/>
      <c r="WMD381" s="252"/>
      <c r="WME381" s="252"/>
      <c r="WMF381" s="252"/>
      <c r="WMG381" s="252"/>
      <c r="WMH381" s="252"/>
      <c r="WMI381" s="252"/>
      <c r="WMJ381" s="252"/>
      <c r="WMK381" s="252"/>
      <c r="WML381" s="252"/>
      <c r="WMM381" s="252"/>
      <c r="WMN381" s="252"/>
      <c r="WMO381" s="252"/>
      <c r="WMP381" s="252"/>
      <c r="WMQ381" s="252"/>
      <c r="WMR381" s="252"/>
      <c r="WMS381" s="252"/>
      <c r="WMT381" s="252"/>
      <c r="WMU381" s="252"/>
      <c r="WMV381" s="252"/>
      <c r="WMW381" s="252"/>
      <c r="WMX381" s="252"/>
      <c r="WMY381" s="252"/>
      <c r="WMZ381" s="252"/>
      <c r="WNA381" s="252"/>
      <c r="WNB381" s="252"/>
      <c r="WNC381" s="252"/>
      <c r="WND381" s="252"/>
      <c r="WNE381" s="252"/>
      <c r="WNF381" s="252"/>
      <c r="WNG381" s="252"/>
      <c r="WNH381" s="252"/>
      <c r="WNI381" s="252"/>
      <c r="WNJ381" s="252"/>
      <c r="WNK381" s="252"/>
      <c r="WNL381" s="252"/>
      <c r="WNM381" s="252"/>
      <c r="WNN381" s="252"/>
      <c r="WNO381" s="252"/>
      <c r="WNP381" s="252"/>
      <c r="WNQ381" s="252"/>
      <c r="WNR381" s="252"/>
      <c r="WNS381" s="252"/>
      <c r="WNT381" s="252"/>
      <c r="WNU381" s="252"/>
      <c r="WNV381" s="252"/>
      <c r="WNW381" s="252"/>
      <c r="WNX381" s="252"/>
      <c r="WNY381" s="252"/>
      <c r="WNZ381" s="252"/>
      <c r="WOA381" s="252"/>
      <c r="WOB381" s="252"/>
      <c r="WOC381" s="252"/>
      <c r="WOD381" s="252"/>
      <c r="WOE381" s="252"/>
      <c r="WOF381" s="252"/>
      <c r="WOG381" s="252"/>
      <c r="WOH381" s="252"/>
      <c r="WOI381" s="252"/>
      <c r="WOJ381" s="252"/>
      <c r="WOK381" s="252"/>
      <c r="WOL381" s="252"/>
      <c r="WOM381" s="252"/>
      <c r="WON381" s="252"/>
      <c r="WOO381" s="252"/>
      <c r="WOP381" s="252"/>
      <c r="WOQ381" s="252"/>
      <c r="WOR381" s="252"/>
      <c r="WOS381" s="252"/>
      <c r="WOT381" s="252"/>
      <c r="WOU381" s="252"/>
      <c r="WOV381" s="252"/>
      <c r="WOW381" s="252"/>
      <c r="WOX381" s="252"/>
      <c r="WOY381" s="252"/>
      <c r="WOZ381" s="252"/>
      <c r="WPA381" s="252"/>
      <c r="WPB381" s="252"/>
      <c r="WPC381" s="252"/>
      <c r="WPD381" s="252"/>
      <c r="WPE381" s="252"/>
      <c r="WPF381" s="252"/>
      <c r="WPG381" s="252"/>
      <c r="WPH381" s="252"/>
      <c r="WPI381" s="252"/>
      <c r="WPJ381" s="252"/>
      <c r="WPK381" s="252"/>
      <c r="WPL381" s="252"/>
      <c r="WPM381" s="252"/>
      <c r="WPN381" s="252"/>
      <c r="WPO381" s="252"/>
      <c r="WPP381" s="252"/>
      <c r="WPQ381" s="252"/>
      <c r="WPR381" s="252"/>
      <c r="WPS381" s="252"/>
      <c r="WPT381" s="252"/>
      <c r="WPU381" s="252"/>
      <c r="WPV381" s="252"/>
      <c r="WPW381" s="252"/>
      <c r="WPX381" s="252"/>
      <c r="WPY381" s="252"/>
      <c r="WPZ381" s="252"/>
      <c r="WQA381" s="252"/>
      <c r="WQB381" s="252"/>
      <c r="WQC381" s="252"/>
      <c r="WQD381" s="252"/>
      <c r="WQE381" s="252"/>
      <c r="WQF381" s="252"/>
      <c r="WQG381" s="252"/>
      <c r="WQH381" s="252"/>
      <c r="WQI381" s="252"/>
      <c r="WQJ381" s="252"/>
      <c r="WQK381" s="252"/>
      <c r="WQL381" s="252"/>
      <c r="WQM381" s="252"/>
      <c r="WQN381" s="252"/>
      <c r="WQO381" s="252"/>
      <c r="WQP381" s="252"/>
      <c r="WQQ381" s="252"/>
      <c r="WQR381" s="252"/>
      <c r="WQS381" s="252"/>
      <c r="WQT381" s="252"/>
      <c r="WQU381" s="252"/>
      <c r="WQV381" s="252"/>
      <c r="WQW381" s="252"/>
      <c r="WQX381" s="252"/>
      <c r="WQY381" s="252"/>
      <c r="WQZ381" s="252"/>
      <c r="WRA381" s="252"/>
      <c r="WRB381" s="252"/>
      <c r="WRC381" s="252"/>
      <c r="WRD381" s="252"/>
      <c r="WRE381" s="252"/>
      <c r="WRF381" s="252"/>
      <c r="WRG381" s="252"/>
      <c r="WRH381" s="252"/>
      <c r="WRI381" s="252"/>
      <c r="WRJ381" s="252"/>
      <c r="WRK381" s="252"/>
      <c r="WRL381" s="252"/>
      <c r="WRM381" s="252"/>
      <c r="WRN381" s="252"/>
      <c r="WRO381" s="252"/>
      <c r="WRP381" s="252"/>
      <c r="WRQ381" s="252"/>
      <c r="WRR381" s="252"/>
      <c r="WRS381" s="252"/>
      <c r="WRT381" s="252"/>
      <c r="WRU381" s="252"/>
      <c r="WRV381" s="252"/>
      <c r="WRW381" s="252"/>
      <c r="WRX381" s="252"/>
      <c r="WRY381" s="252"/>
      <c r="WRZ381" s="252"/>
      <c r="WSA381" s="252"/>
      <c r="WSB381" s="252"/>
      <c r="WSC381" s="252"/>
      <c r="WSD381" s="252"/>
      <c r="WSE381" s="252"/>
      <c r="WSF381" s="252"/>
      <c r="WSG381" s="252"/>
      <c r="WSH381" s="252"/>
      <c r="WSI381" s="252"/>
      <c r="WSJ381" s="252"/>
      <c r="WSK381" s="252"/>
      <c r="WSL381" s="252"/>
      <c r="WSM381" s="252"/>
      <c r="WSN381" s="252"/>
      <c r="WSO381" s="252"/>
      <c r="WSP381" s="252"/>
      <c r="WSQ381" s="252"/>
      <c r="WSR381" s="252"/>
      <c r="WSS381" s="252"/>
      <c r="WST381" s="252"/>
      <c r="WSU381" s="252"/>
      <c r="WSV381" s="252"/>
      <c r="WSW381" s="252"/>
      <c r="WSX381" s="252"/>
      <c r="WSY381" s="252"/>
      <c r="WSZ381" s="252"/>
      <c r="WTA381" s="252"/>
      <c r="WTB381" s="252"/>
      <c r="WTC381" s="252"/>
      <c r="WTD381" s="252"/>
      <c r="WTE381" s="252"/>
      <c r="WTF381" s="252"/>
      <c r="WTG381" s="252"/>
      <c r="WTH381" s="252"/>
      <c r="WTI381" s="252"/>
      <c r="WTJ381" s="252"/>
      <c r="WTK381" s="252"/>
      <c r="WTL381" s="252"/>
      <c r="WTM381" s="252"/>
      <c r="WTN381" s="252"/>
      <c r="WTO381" s="252"/>
      <c r="WTP381" s="252"/>
      <c r="WTQ381" s="252"/>
      <c r="WTR381" s="252"/>
      <c r="WTS381" s="252"/>
      <c r="WTT381" s="252"/>
      <c r="WTU381" s="252"/>
      <c r="WTV381" s="252"/>
      <c r="WTW381" s="252"/>
      <c r="WTX381" s="252"/>
      <c r="WTY381" s="252"/>
      <c r="WTZ381" s="252"/>
      <c r="WUA381" s="252"/>
      <c r="WUB381" s="252"/>
      <c r="WUC381" s="252"/>
      <c r="WUD381" s="252"/>
      <c r="WUE381" s="252"/>
      <c r="WUF381" s="252"/>
      <c r="WUG381" s="252"/>
      <c r="WUH381" s="252"/>
      <c r="WUI381" s="252"/>
      <c r="WUJ381" s="252"/>
      <c r="WUK381" s="252"/>
      <c r="WUL381" s="252"/>
      <c r="WUM381" s="252"/>
      <c r="WUN381" s="252"/>
      <c r="WUO381" s="252"/>
      <c r="WUP381" s="252"/>
      <c r="WUQ381" s="252"/>
      <c r="WUR381" s="252"/>
      <c r="WUS381" s="252"/>
      <c r="WUT381" s="252"/>
      <c r="WUU381" s="252"/>
      <c r="WUV381" s="252"/>
      <c r="WUW381" s="252"/>
      <c r="WUX381" s="252"/>
      <c r="WUY381" s="252"/>
      <c r="WUZ381" s="252"/>
      <c r="WVA381" s="252"/>
      <c r="WVB381" s="252"/>
      <c r="WVC381" s="252"/>
      <c r="WVD381" s="252"/>
      <c r="WVE381" s="252"/>
      <c r="WVF381" s="252"/>
      <c r="WVG381" s="252"/>
      <c r="WVH381" s="252"/>
      <c r="WVI381" s="252"/>
      <c r="WVJ381" s="252"/>
      <c r="WVK381" s="252"/>
      <c r="WVL381" s="252"/>
      <c r="WVM381" s="252"/>
      <c r="WVN381" s="252"/>
      <c r="WVO381" s="252"/>
      <c r="WVP381" s="252"/>
      <c r="WVQ381" s="252"/>
      <c r="WVR381" s="252"/>
      <c r="WVS381" s="252"/>
      <c r="WVT381" s="252"/>
      <c r="WVU381" s="252"/>
      <c r="WVV381" s="252"/>
      <c r="WVW381" s="252"/>
      <c r="WVX381" s="252"/>
      <c r="WVY381" s="252"/>
      <c r="WVZ381" s="252"/>
      <c r="WWA381" s="252"/>
      <c r="WWB381" s="252"/>
      <c r="WWC381" s="252"/>
      <c r="WWD381" s="252"/>
      <c r="WWE381" s="252"/>
      <c r="WWF381" s="252"/>
      <c r="WWG381" s="252"/>
      <c r="WWH381" s="252"/>
      <c r="WWI381" s="252"/>
      <c r="WWJ381" s="252"/>
      <c r="WWK381" s="252"/>
      <c r="WWL381" s="252"/>
      <c r="WWM381" s="252"/>
      <c r="WWN381" s="252"/>
      <c r="WWO381" s="252"/>
      <c r="WWP381" s="252"/>
      <c r="WWQ381" s="252"/>
      <c r="WWR381" s="252"/>
      <c r="WWS381" s="252"/>
      <c r="WWT381" s="252"/>
      <c r="WWU381" s="252"/>
      <c r="WWV381" s="252"/>
      <c r="WWW381" s="252"/>
      <c r="WWX381" s="252"/>
      <c r="WWY381" s="252"/>
      <c r="WWZ381" s="252"/>
      <c r="WXA381" s="252"/>
      <c r="WXB381" s="252"/>
      <c r="WXC381" s="252"/>
      <c r="WXD381" s="252"/>
      <c r="WXE381" s="252"/>
      <c r="WXF381" s="252"/>
      <c r="WXG381" s="252"/>
      <c r="WXH381" s="252"/>
      <c r="WXI381" s="252"/>
      <c r="WXJ381" s="252"/>
      <c r="WXK381" s="252"/>
      <c r="WXL381" s="252"/>
      <c r="WXM381" s="252"/>
      <c r="WXN381" s="252"/>
      <c r="WXO381" s="252"/>
      <c r="WXP381" s="252"/>
      <c r="WXQ381" s="252"/>
      <c r="WXR381" s="252"/>
      <c r="WXS381" s="252"/>
      <c r="WXT381" s="252"/>
      <c r="WXU381" s="252"/>
      <c r="WXV381" s="252"/>
      <c r="WXW381" s="252"/>
      <c r="WXX381" s="252"/>
      <c r="WXY381" s="252"/>
      <c r="WXZ381" s="252"/>
      <c r="WYA381" s="252"/>
      <c r="WYB381" s="252"/>
      <c r="WYC381" s="252"/>
      <c r="WYD381" s="252"/>
      <c r="WYE381" s="252"/>
      <c r="WYF381" s="252"/>
      <c r="WYG381" s="252"/>
      <c r="WYH381" s="252"/>
      <c r="WYI381" s="252"/>
      <c r="WYJ381" s="252"/>
      <c r="WYK381" s="252"/>
      <c r="WYL381" s="252"/>
      <c r="WYM381" s="252"/>
      <c r="WYN381" s="252"/>
      <c r="WYO381" s="252"/>
      <c r="WYP381" s="252"/>
      <c r="WYQ381" s="252"/>
      <c r="WYR381" s="252"/>
      <c r="WYS381" s="252"/>
      <c r="WYT381" s="252"/>
      <c r="WYU381" s="252"/>
      <c r="WYV381" s="252"/>
      <c r="WYW381" s="252"/>
      <c r="WYX381" s="252"/>
      <c r="WYY381" s="252"/>
      <c r="WYZ381" s="252"/>
      <c r="WZA381" s="252"/>
      <c r="WZB381" s="252"/>
      <c r="WZC381" s="252"/>
      <c r="WZD381" s="252"/>
      <c r="WZE381" s="252"/>
      <c r="WZF381" s="252"/>
      <c r="WZG381" s="252"/>
      <c r="WZH381" s="252"/>
      <c r="WZI381" s="252"/>
      <c r="WZJ381" s="252"/>
      <c r="WZK381" s="252"/>
      <c r="WZL381" s="252"/>
      <c r="WZM381" s="252"/>
      <c r="WZN381" s="252"/>
      <c r="WZO381" s="252"/>
      <c r="WZP381" s="252"/>
      <c r="WZQ381" s="252"/>
      <c r="WZR381" s="252"/>
      <c r="WZS381" s="252"/>
      <c r="WZT381" s="252"/>
      <c r="WZU381" s="252"/>
      <c r="WZV381" s="252"/>
      <c r="WZW381" s="252"/>
      <c r="WZX381" s="252"/>
      <c r="WZY381" s="252"/>
      <c r="WZZ381" s="252"/>
      <c r="XAA381" s="252"/>
      <c r="XAB381" s="252"/>
      <c r="XAC381" s="252"/>
      <c r="XAD381" s="252"/>
      <c r="XAE381" s="252"/>
      <c r="XAF381" s="252"/>
      <c r="XAG381" s="252"/>
      <c r="XAH381" s="252"/>
      <c r="XAI381" s="252"/>
      <c r="XAJ381" s="252"/>
      <c r="XAK381" s="252"/>
      <c r="XAL381" s="252"/>
      <c r="XAM381" s="252"/>
      <c r="XAN381" s="252"/>
      <c r="XAO381" s="252"/>
      <c r="XAP381" s="252"/>
      <c r="XAQ381" s="252"/>
      <c r="XAR381" s="252"/>
      <c r="XAS381" s="252"/>
      <c r="XAT381" s="252"/>
      <c r="XAU381" s="252"/>
      <c r="XAV381" s="252"/>
      <c r="XAW381" s="252"/>
      <c r="XAX381" s="252"/>
      <c r="XAY381" s="252"/>
      <c r="XAZ381" s="252"/>
      <c r="XBA381" s="252"/>
      <c r="XBB381" s="252"/>
      <c r="XBC381" s="252"/>
      <c r="XBD381" s="252"/>
      <c r="XBE381" s="252"/>
      <c r="XBF381" s="252"/>
      <c r="XBG381" s="252"/>
      <c r="XBH381" s="252"/>
      <c r="XBI381" s="252"/>
      <c r="XBJ381" s="252"/>
      <c r="XBK381" s="252"/>
      <c r="XBL381" s="252"/>
      <c r="XBM381" s="252"/>
      <c r="XBN381" s="252"/>
      <c r="XBO381" s="252"/>
      <c r="XBP381" s="252"/>
      <c r="XBQ381" s="252"/>
      <c r="XBR381" s="252"/>
      <c r="XBS381" s="252"/>
      <c r="XBT381" s="252"/>
      <c r="XBU381" s="252"/>
      <c r="XBV381" s="252"/>
      <c r="XBW381" s="252"/>
      <c r="XBX381" s="252"/>
      <c r="XBY381" s="252"/>
      <c r="XBZ381" s="252"/>
      <c r="XCA381" s="252"/>
      <c r="XCB381" s="252"/>
      <c r="XCC381" s="252"/>
      <c r="XCD381" s="252"/>
      <c r="XCE381" s="252"/>
      <c r="XCF381" s="252"/>
      <c r="XCG381" s="252"/>
      <c r="XCH381" s="252"/>
      <c r="XCI381" s="252"/>
      <c r="XCJ381" s="252"/>
      <c r="XCK381" s="252"/>
      <c r="XCL381" s="252"/>
      <c r="XCM381" s="252"/>
      <c r="XCN381" s="252"/>
      <c r="XCO381" s="252"/>
      <c r="XCP381" s="252"/>
      <c r="XCQ381" s="252"/>
      <c r="XCR381" s="252"/>
      <c r="XCS381" s="252"/>
      <c r="XCT381" s="252"/>
      <c r="XCU381" s="252"/>
      <c r="XCV381" s="252"/>
      <c r="XCW381" s="252"/>
      <c r="XCX381" s="252"/>
      <c r="XCY381" s="252"/>
      <c r="XCZ381" s="252"/>
      <c r="XDA381" s="252"/>
      <c r="XDB381" s="252"/>
      <c r="XDC381" s="252"/>
      <c r="XDD381" s="252"/>
      <c r="XDE381" s="252"/>
      <c r="XDF381" s="252"/>
      <c r="XDG381" s="252"/>
      <c r="XDH381" s="252"/>
      <c r="XDI381" s="252"/>
      <c r="XDJ381" s="252"/>
      <c r="XDK381" s="252"/>
      <c r="XDL381" s="252"/>
      <c r="XDM381" s="252"/>
      <c r="XDN381" s="252"/>
      <c r="XDO381" s="252"/>
      <c r="XDP381" s="252"/>
      <c r="XDQ381" s="252"/>
      <c r="XDR381" s="252"/>
      <c r="XDS381" s="252"/>
      <c r="XDT381" s="252"/>
      <c r="XDU381" s="252"/>
      <c r="XDV381" s="252"/>
      <c r="XDW381" s="252"/>
      <c r="XDX381" s="252"/>
      <c r="XDY381" s="252"/>
      <c r="XDZ381" s="252"/>
      <c r="XEA381" s="252"/>
      <c r="XEB381" s="252"/>
      <c r="XEC381" s="252"/>
      <c r="XED381" s="252"/>
      <c r="XEE381" s="252"/>
      <c r="XEF381" s="252"/>
      <c r="XEG381" s="252"/>
      <c r="XEH381" s="252"/>
      <c r="XEI381" s="252"/>
      <c r="XEJ381" s="252"/>
      <c r="XEK381" s="252"/>
      <c r="XEL381" s="252"/>
      <c r="XEM381" s="252"/>
      <c r="XEN381" s="252"/>
      <c r="XEO381" s="252"/>
      <c r="XEP381" s="252"/>
      <c r="XEQ381" s="252"/>
      <c r="XER381" s="252"/>
      <c r="XES381" s="252"/>
      <c r="XET381" s="252"/>
      <c r="XEU381" s="252"/>
    </row>
    <row r="382" spans="2:16375" ht="26.4" hidden="1">
      <c r="B382" s="941" t="s">
        <v>2441</v>
      </c>
      <c r="C382" s="502" t="s">
        <v>134</v>
      </c>
      <c r="D382" s="502"/>
      <c r="E382" s="312"/>
      <c r="F382" s="584" t="s">
        <v>1022</v>
      </c>
      <c r="G382" s="1000" t="s">
        <v>1628</v>
      </c>
      <c r="H382" s="1001">
        <v>1</v>
      </c>
      <c r="I382" s="1001" t="s">
        <v>200</v>
      </c>
      <c r="J382" s="1002" t="s">
        <v>1647</v>
      </c>
      <c r="K382" s="312"/>
      <c r="L382" s="1003" t="s">
        <v>134</v>
      </c>
      <c r="M382" s="1004"/>
      <c r="N382" s="981"/>
      <c r="O382" s="1005"/>
      <c r="P382" s="981"/>
      <c r="Q382" s="1006" t="s">
        <v>134</v>
      </c>
      <c r="R382" s="1004" t="s">
        <v>134</v>
      </c>
      <c r="S382" s="1003"/>
      <c r="T382" s="1007"/>
      <c r="U382" s="1008"/>
      <c r="V382" s="1009"/>
      <c r="X382" s="1010"/>
      <c r="Y382" s="1011"/>
      <c r="Z382" s="1012"/>
      <c r="AA382" s="1010"/>
      <c r="AB382" s="1011"/>
      <c r="AC382" s="1012"/>
      <c r="AE382" s="1000" t="str">
        <f t="shared" si="61"/>
        <v>0x00 ~ 0xFA (0~25Hz)</v>
      </c>
      <c r="AF382" s="238"/>
      <c r="AG382" s="1020">
        <v>0</v>
      </c>
      <c r="AH382" s="1021">
        <v>0.1</v>
      </c>
      <c r="AI382" s="1023" t="s">
        <v>750</v>
      </c>
      <c r="AJ382" s="1028" t="s">
        <v>753</v>
      </c>
      <c r="AK382" s="1026">
        <f t="shared" ref="AK382" si="66">HEX2DEC(AI382)*AH382+AG382</f>
        <v>0</v>
      </c>
      <c r="AL382" s="1029">
        <f t="shared" ref="AL382" si="67">HEX2DEC(AJ382)*AH382+AG382</f>
        <v>25</v>
      </c>
      <c r="AM382" s="1013" t="s">
        <v>755</v>
      </c>
      <c r="AN382" s="1014"/>
      <c r="AP382" s="1030" t="s">
        <v>2289</v>
      </c>
      <c r="AQ382" s="1030" t="s">
        <v>369</v>
      </c>
      <c r="AS382" s="1031" t="s">
        <v>1222</v>
      </c>
      <c r="AT382" s="1031" t="s">
        <v>1222</v>
      </c>
      <c r="AU382" s="1031" t="s">
        <v>1222</v>
      </c>
      <c r="AV382" s="1031" t="s">
        <v>1222</v>
      </c>
      <c r="AW382" s="252"/>
      <c r="AX382" s="252"/>
      <c r="AY382" s="252"/>
      <c r="AZ382" s="252"/>
      <c r="BA382" s="252"/>
      <c r="BB382" s="252"/>
      <c r="BC382" s="252"/>
      <c r="BD382" s="252"/>
      <c r="BE382" s="252"/>
      <c r="BF382" s="252"/>
      <c r="BG382" s="252"/>
      <c r="BH382" s="252"/>
      <c r="BI382" s="252"/>
      <c r="BJ382" s="252"/>
      <c r="BK382" s="252"/>
      <c r="BL382" s="252"/>
      <c r="BM382" s="252"/>
      <c r="BN382" s="252"/>
      <c r="BO382" s="252"/>
      <c r="BP382" s="252"/>
      <c r="BQ382" s="252"/>
      <c r="BR382" s="252"/>
      <c r="BS382" s="252"/>
      <c r="BT382" s="252"/>
      <c r="BU382" s="252"/>
      <c r="BV382" s="252"/>
      <c r="BW382" s="252"/>
      <c r="BX382" s="252"/>
      <c r="BY382" s="252"/>
      <c r="BZ382" s="252"/>
      <c r="CA382" s="252"/>
      <c r="CB382" s="252"/>
      <c r="CC382" s="252"/>
      <c r="CD382" s="252"/>
      <c r="CE382" s="252"/>
      <c r="CF382" s="252"/>
      <c r="CG382" s="252"/>
      <c r="CH382" s="252"/>
      <c r="CI382" s="252"/>
      <c r="CJ382" s="252"/>
      <c r="CK382" s="252"/>
      <c r="CL382" s="252"/>
      <c r="CM382" s="252"/>
      <c r="CN382" s="252"/>
      <c r="CO382" s="252"/>
      <c r="CP382" s="252"/>
      <c r="CQ382" s="252"/>
      <c r="CR382" s="252"/>
      <c r="CS382" s="252"/>
      <c r="CT382" s="252"/>
      <c r="CU382" s="252"/>
      <c r="CV382" s="252"/>
      <c r="CW382" s="252"/>
      <c r="CX382" s="252"/>
      <c r="CY382" s="252"/>
      <c r="CZ382" s="252"/>
      <c r="DA382" s="252"/>
      <c r="DB382" s="252"/>
      <c r="DC382" s="252"/>
      <c r="DD382" s="252"/>
      <c r="DE382" s="252"/>
      <c r="DF382" s="252"/>
      <c r="DG382" s="252"/>
      <c r="DH382" s="252"/>
      <c r="DI382" s="252"/>
      <c r="DJ382" s="252"/>
      <c r="DK382" s="252"/>
      <c r="DL382" s="252"/>
      <c r="DM382" s="252"/>
      <c r="DN382" s="252"/>
      <c r="DO382" s="252"/>
      <c r="DP382" s="252"/>
      <c r="DQ382" s="252"/>
      <c r="DR382" s="252"/>
      <c r="DS382" s="252"/>
      <c r="DT382" s="252"/>
      <c r="DU382" s="252"/>
      <c r="DV382" s="252"/>
      <c r="DW382" s="252"/>
      <c r="DX382" s="252"/>
      <c r="DY382" s="252"/>
      <c r="DZ382" s="252"/>
      <c r="EA382" s="252"/>
      <c r="EB382" s="252"/>
      <c r="EC382" s="252"/>
      <c r="ED382" s="252"/>
      <c r="EE382" s="252"/>
      <c r="EF382" s="252"/>
      <c r="EG382" s="252"/>
      <c r="EH382" s="252"/>
      <c r="EI382" s="252"/>
      <c r="EJ382" s="252"/>
      <c r="EK382" s="252"/>
      <c r="EL382" s="252"/>
      <c r="EM382" s="252"/>
      <c r="EN382" s="252"/>
      <c r="EO382" s="252"/>
      <c r="EP382" s="252"/>
      <c r="EQ382" s="252"/>
      <c r="ER382" s="252"/>
      <c r="ES382" s="252"/>
      <c r="ET382" s="252"/>
      <c r="EU382" s="252"/>
      <c r="EV382" s="252"/>
      <c r="EW382" s="252"/>
      <c r="EX382" s="252"/>
      <c r="EY382" s="252"/>
      <c r="EZ382" s="252"/>
      <c r="FA382" s="252"/>
      <c r="FB382" s="252"/>
      <c r="FC382" s="252"/>
      <c r="FD382" s="252"/>
      <c r="FE382" s="252"/>
      <c r="FF382" s="252"/>
      <c r="FG382" s="252"/>
      <c r="FH382" s="252"/>
      <c r="FI382" s="252"/>
      <c r="FJ382" s="252"/>
      <c r="FK382" s="252"/>
      <c r="FL382" s="252"/>
      <c r="FM382" s="252"/>
      <c r="FN382" s="252"/>
      <c r="FO382" s="252"/>
      <c r="FP382" s="252"/>
      <c r="FQ382" s="252"/>
      <c r="FR382" s="252"/>
      <c r="FS382" s="252"/>
      <c r="FT382" s="252"/>
      <c r="FU382" s="252"/>
      <c r="FV382" s="252"/>
      <c r="FW382" s="252"/>
      <c r="FX382" s="252"/>
      <c r="FY382" s="252"/>
      <c r="FZ382" s="252"/>
      <c r="GA382" s="252"/>
      <c r="GB382" s="252"/>
      <c r="GC382" s="252"/>
      <c r="GD382" s="252"/>
      <c r="GE382" s="252"/>
      <c r="GF382" s="252"/>
      <c r="GG382" s="252"/>
      <c r="GH382" s="252"/>
      <c r="GI382" s="252"/>
      <c r="GJ382" s="252"/>
      <c r="GK382" s="252"/>
      <c r="GL382" s="252"/>
      <c r="GM382" s="252"/>
      <c r="GN382" s="252"/>
      <c r="GO382" s="252"/>
      <c r="GP382" s="252"/>
      <c r="GQ382" s="252"/>
      <c r="GR382" s="252"/>
      <c r="GS382" s="252"/>
      <c r="GT382" s="252"/>
      <c r="GU382" s="252"/>
      <c r="GV382" s="252"/>
      <c r="GW382" s="252"/>
      <c r="GX382" s="252"/>
      <c r="GY382" s="252"/>
      <c r="GZ382" s="252"/>
      <c r="HA382" s="252"/>
      <c r="HB382" s="252"/>
      <c r="HC382" s="252"/>
      <c r="HD382" s="252"/>
      <c r="HE382" s="252"/>
      <c r="HF382" s="252"/>
      <c r="HG382" s="252"/>
      <c r="HH382" s="252"/>
      <c r="HI382" s="252"/>
      <c r="HJ382" s="252"/>
      <c r="HK382" s="252"/>
      <c r="HL382" s="252"/>
      <c r="HM382" s="252"/>
      <c r="HN382" s="252"/>
      <c r="HO382" s="252"/>
      <c r="HP382" s="252"/>
      <c r="HQ382" s="252"/>
      <c r="HR382" s="252"/>
      <c r="HS382" s="252"/>
      <c r="HT382" s="252"/>
      <c r="HU382" s="252"/>
      <c r="HV382" s="252"/>
      <c r="HW382" s="252"/>
      <c r="HX382" s="252"/>
      <c r="HY382" s="252"/>
      <c r="HZ382" s="252"/>
      <c r="IA382" s="252"/>
      <c r="IB382" s="252"/>
      <c r="IC382" s="252"/>
      <c r="ID382" s="252"/>
      <c r="IE382" s="252"/>
      <c r="IF382" s="252"/>
      <c r="IG382" s="252"/>
      <c r="IH382" s="252"/>
      <c r="II382" s="252"/>
      <c r="IJ382" s="252"/>
      <c r="IK382" s="252"/>
      <c r="IL382" s="252"/>
      <c r="IM382" s="252"/>
      <c r="IN382" s="252"/>
      <c r="IO382" s="252"/>
      <c r="IP382" s="252"/>
      <c r="IQ382" s="252"/>
      <c r="IR382" s="252"/>
      <c r="IS382" s="252"/>
      <c r="IT382" s="252"/>
      <c r="IU382" s="252"/>
      <c r="IV382" s="252"/>
      <c r="IW382" s="252"/>
      <c r="IX382" s="252"/>
      <c r="IY382" s="252"/>
      <c r="IZ382" s="252"/>
      <c r="JA382" s="252"/>
      <c r="JB382" s="252"/>
      <c r="JC382" s="252"/>
      <c r="JD382" s="252"/>
      <c r="JE382" s="252"/>
      <c r="JF382" s="252"/>
      <c r="JG382" s="252"/>
      <c r="JH382" s="252"/>
      <c r="JI382" s="252"/>
      <c r="JJ382" s="252"/>
      <c r="JK382" s="252"/>
      <c r="JL382" s="252"/>
      <c r="JM382" s="252"/>
      <c r="JN382" s="252"/>
      <c r="JO382" s="252"/>
      <c r="JP382" s="252"/>
      <c r="JQ382" s="252"/>
      <c r="JR382" s="252"/>
      <c r="JS382" s="252"/>
      <c r="JT382" s="252"/>
      <c r="JU382" s="252"/>
      <c r="JV382" s="252"/>
      <c r="JW382" s="252"/>
      <c r="JX382" s="252"/>
      <c r="JY382" s="252"/>
      <c r="JZ382" s="252"/>
      <c r="KA382" s="252"/>
      <c r="KB382" s="252"/>
      <c r="KC382" s="252"/>
      <c r="KD382" s="252"/>
      <c r="KE382" s="252"/>
      <c r="KF382" s="252"/>
      <c r="KG382" s="252"/>
      <c r="KH382" s="252"/>
      <c r="KI382" s="252"/>
      <c r="KJ382" s="252"/>
      <c r="KK382" s="252"/>
      <c r="KL382" s="252"/>
      <c r="KM382" s="252"/>
      <c r="KN382" s="252"/>
      <c r="KO382" s="252"/>
      <c r="KP382" s="252"/>
      <c r="KQ382" s="252"/>
      <c r="KR382" s="252"/>
      <c r="KS382" s="252"/>
      <c r="KT382" s="252"/>
      <c r="KU382" s="252"/>
      <c r="KV382" s="252"/>
      <c r="KW382" s="252"/>
      <c r="KX382" s="252"/>
      <c r="KY382" s="252"/>
      <c r="KZ382" s="252"/>
      <c r="LA382" s="252"/>
      <c r="LB382" s="252"/>
      <c r="LC382" s="252"/>
      <c r="LD382" s="252"/>
      <c r="LE382" s="252"/>
      <c r="LF382" s="252"/>
      <c r="LG382" s="252"/>
      <c r="LH382" s="252"/>
      <c r="LI382" s="252"/>
      <c r="LJ382" s="252"/>
      <c r="LK382" s="252"/>
      <c r="LL382" s="252"/>
      <c r="LM382" s="252"/>
      <c r="LN382" s="252"/>
      <c r="LO382" s="252"/>
      <c r="LP382" s="252"/>
      <c r="LQ382" s="252"/>
      <c r="LR382" s="252"/>
      <c r="LS382" s="252"/>
      <c r="LT382" s="252"/>
      <c r="LU382" s="252"/>
      <c r="LV382" s="252"/>
      <c r="LW382" s="252"/>
      <c r="LX382" s="252"/>
      <c r="LY382" s="252"/>
      <c r="LZ382" s="252"/>
      <c r="MA382" s="252"/>
      <c r="MB382" s="252"/>
      <c r="MC382" s="252"/>
      <c r="MD382" s="252"/>
      <c r="ME382" s="252"/>
      <c r="MF382" s="252"/>
      <c r="MG382" s="252"/>
      <c r="MH382" s="252"/>
      <c r="MI382" s="252"/>
      <c r="MJ382" s="252"/>
      <c r="MK382" s="252"/>
      <c r="ML382" s="252"/>
      <c r="MM382" s="252"/>
      <c r="MN382" s="252"/>
      <c r="MO382" s="252"/>
      <c r="MP382" s="252"/>
      <c r="MQ382" s="252"/>
      <c r="MR382" s="252"/>
      <c r="MS382" s="252"/>
      <c r="MT382" s="252"/>
      <c r="MU382" s="252"/>
      <c r="MV382" s="252"/>
      <c r="MW382" s="252"/>
      <c r="MX382" s="252"/>
      <c r="MY382" s="252"/>
      <c r="MZ382" s="252"/>
      <c r="NA382" s="252"/>
      <c r="NB382" s="252"/>
      <c r="NC382" s="252"/>
      <c r="ND382" s="252"/>
      <c r="NE382" s="252"/>
      <c r="NF382" s="252"/>
      <c r="NG382" s="252"/>
      <c r="NH382" s="252"/>
      <c r="NI382" s="252"/>
      <c r="NJ382" s="252"/>
      <c r="NK382" s="252"/>
      <c r="NL382" s="252"/>
      <c r="NM382" s="252"/>
      <c r="NN382" s="252"/>
      <c r="NO382" s="252"/>
      <c r="NP382" s="252"/>
      <c r="NQ382" s="252"/>
      <c r="NR382" s="252"/>
      <c r="NS382" s="252"/>
      <c r="NT382" s="252"/>
      <c r="NU382" s="252"/>
      <c r="NV382" s="252"/>
      <c r="NW382" s="252"/>
      <c r="NX382" s="252"/>
      <c r="NY382" s="252"/>
      <c r="NZ382" s="252"/>
      <c r="OA382" s="252"/>
      <c r="OB382" s="252"/>
      <c r="OC382" s="252"/>
      <c r="OD382" s="252"/>
      <c r="OE382" s="252"/>
      <c r="OF382" s="252"/>
      <c r="OG382" s="252"/>
      <c r="OH382" s="252"/>
      <c r="OI382" s="252"/>
      <c r="OJ382" s="252"/>
      <c r="OK382" s="252"/>
      <c r="OL382" s="252"/>
      <c r="OM382" s="252"/>
      <c r="ON382" s="252"/>
      <c r="OO382" s="252"/>
      <c r="OP382" s="252"/>
      <c r="OQ382" s="252"/>
      <c r="OR382" s="252"/>
      <c r="OS382" s="252"/>
      <c r="OT382" s="252"/>
      <c r="OU382" s="252"/>
      <c r="OV382" s="252"/>
      <c r="OW382" s="252"/>
      <c r="OX382" s="252"/>
      <c r="OY382" s="252"/>
      <c r="OZ382" s="252"/>
      <c r="PA382" s="252"/>
      <c r="PB382" s="252"/>
      <c r="PC382" s="252"/>
      <c r="PD382" s="252"/>
      <c r="PE382" s="252"/>
      <c r="PF382" s="252"/>
      <c r="PG382" s="252"/>
      <c r="PH382" s="252"/>
      <c r="PI382" s="252"/>
      <c r="PJ382" s="252"/>
      <c r="PK382" s="252"/>
      <c r="PL382" s="252"/>
      <c r="PM382" s="252"/>
      <c r="PN382" s="252"/>
      <c r="PO382" s="252"/>
      <c r="PP382" s="252"/>
      <c r="PQ382" s="252"/>
      <c r="PR382" s="252"/>
      <c r="PS382" s="252"/>
      <c r="PT382" s="252"/>
      <c r="PU382" s="252"/>
      <c r="PV382" s="252"/>
      <c r="PW382" s="252"/>
      <c r="PX382" s="252"/>
      <c r="PY382" s="252"/>
      <c r="PZ382" s="252"/>
      <c r="QA382" s="252"/>
      <c r="QB382" s="252"/>
      <c r="QC382" s="252"/>
      <c r="QD382" s="252"/>
      <c r="QE382" s="252"/>
      <c r="QF382" s="252"/>
      <c r="QG382" s="252"/>
      <c r="QH382" s="252"/>
      <c r="QI382" s="252"/>
      <c r="QJ382" s="252"/>
      <c r="QK382" s="252"/>
      <c r="QL382" s="252"/>
      <c r="QM382" s="252"/>
      <c r="QN382" s="252"/>
      <c r="QO382" s="252"/>
      <c r="QP382" s="252"/>
      <c r="QQ382" s="252"/>
      <c r="QR382" s="252"/>
      <c r="QS382" s="252"/>
      <c r="QT382" s="252"/>
      <c r="QU382" s="252"/>
      <c r="QV382" s="252"/>
      <c r="QW382" s="252"/>
      <c r="QX382" s="252"/>
      <c r="QY382" s="252"/>
      <c r="QZ382" s="252"/>
      <c r="RA382" s="252"/>
      <c r="RB382" s="252"/>
      <c r="RC382" s="252"/>
      <c r="RD382" s="252"/>
      <c r="RE382" s="252"/>
      <c r="RF382" s="252"/>
      <c r="RG382" s="252"/>
      <c r="RH382" s="252"/>
      <c r="RI382" s="252"/>
      <c r="RJ382" s="252"/>
      <c r="RK382" s="252"/>
      <c r="RL382" s="252"/>
      <c r="RM382" s="252"/>
      <c r="RN382" s="252"/>
      <c r="RO382" s="252"/>
      <c r="RP382" s="252"/>
      <c r="RQ382" s="252"/>
      <c r="RR382" s="252"/>
      <c r="RS382" s="252"/>
      <c r="RT382" s="252"/>
      <c r="RU382" s="252"/>
      <c r="RV382" s="252"/>
      <c r="RW382" s="252"/>
      <c r="RX382" s="252"/>
      <c r="RY382" s="252"/>
      <c r="RZ382" s="252"/>
      <c r="SA382" s="252"/>
      <c r="SB382" s="252"/>
      <c r="SC382" s="252"/>
      <c r="SD382" s="252"/>
      <c r="SE382" s="252"/>
      <c r="SF382" s="252"/>
      <c r="SG382" s="252"/>
      <c r="SH382" s="252"/>
      <c r="SI382" s="252"/>
      <c r="SJ382" s="252"/>
      <c r="SK382" s="252"/>
      <c r="SL382" s="252"/>
      <c r="SM382" s="252"/>
      <c r="SN382" s="252"/>
      <c r="SO382" s="252"/>
      <c r="SP382" s="252"/>
      <c r="SQ382" s="252"/>
      <c r="SR382" s="252"/>
      <c r="SS382" s="252"/>
      <c r="ST382" s="252"/>
      <c r="SU382" s="252"/>
      <c r="SV382" s="252"/>
      <c r="SW382" s="252"/>
      <c r="SX382" s="252"/>
      <c r="SY382" s="252"/>
      <c r="SZ382" s="252"/>
      <c r="TA382" s="252"/>
      <c r="TB382" s="252"/>
      <c r="TC382" s="252"/>
      <c r="TD382" s="252"/>
      <c r="TE382" s="252"/>
      <c r="TF382" s="252"/>
      <c r="TG382" s="252"/>
      <c r="TH382" s="252"/>
      <c r="TI382" s="252"/>
      <c r="TJ382" s="252"/>
      <c r="TK382" s="252"/>
      <c r="TL382" s="252"/>
      <c r="TM382" s="252"/>
      <c r="TN382" s="252"/>
      <c r="TO382" s="252"/>
      <c r="TP382" s="252"/>
      <c r="TQ382" s="252"/>
      <c r="TR382" s="252"/>
      <c r="TS382" s="252"/>
      <c r="TT382" s="252"/>
      <c r="TU382" s="252"/>
      <c r="TV382" s="252"/>
      <c r="TW382" s="252"/>
      <c r="TX382" s="252"/>
      <c r="TY382" s="252"/>
      <c r="TZ382" s="252"/>
      <c r="UA382" s="252"/>
      <c r="UB382" s="252"/>
      <c r="UC382" s="252"/>
      <c r="UD382" s="252"/>
      <c r="UE382" s="252"/>
      <c r="UF382" s="252"/>
      <c r="UG382" s="252"/>
      <c r="UH382" s="252"/>
      <c r="UI382" s="252"/>
      <c r="UJ382" s="252"/>
      <c r="UK382" s="252"/>
      <c r="UL382" s="252"/>
      <c r="UM382" s="252"/>
      <c r="UN382" s="252"/>
      <c r="UO382" s="252"/>
      <c r="UP382" s="252"/>
      <c r="UQ382" s="252"/>
      <c r="UR382" s="252"/>
      <c r="US382" s="252"/>
      <c r="UT382" s="252"/>
      <c r="UU382" s="252"/>
      <c r="UV382" s="252"/>
      <c r="UW382" s="252"/>
      <c r="UX382" s="252"/>
      <c r="UY382" s="252"/>
      <c r="UZ382" s="252"/>
      <c r="VA382" s="252"/>
      <c r="VB382" s="252"/>
      <c r="VC382" s="252"/>
      <c r="VD382" s="252"/>
      <c r="VE382" s="252"/>
      <c r="VF382" s="252"/>
      <c r="VG382" s="252"/>
      <c r="VH382" s="252"/>
      <c r="VI382" s="252"/>
      <c r="VJ382" s="252"/>
      <c r="VK382" s="252"/>
      <c r="VL382" s="252"/>
      <c r="VM382" s="252"/>
      <c r="VN382" s="252"/>
      <c r="VO382" s="252"/>
      <c r="VP382" s="252"/>
      <c r="VQ382" s="252"/>
      <c r="VR382" s="252"/>
      <c r="VS382" s="252"/>
      <c r="VT382" s="252"/>
      <c r="VU382" s="252"/>
      <c r="VV382" s="252"/>
      <c r="VW382" s="252"/>
      <c r="VX382" s="252"/>
      <c r="VY382" s="252"/>
      <c r="VZ382" s="252"/>
      <c r="WA382" s="252"/>
      <c r="WB382" s="252"/>
      <c r="WC382" s="252"/>
      <c r="WD382" s="252"/>
      <c r="WE382" s="252"/>
      <c r="WF382" s="252"/>
      <c r="WG382" s="252"/>
      <c r="WH382" s="252"/>
      <c r="WI382" s="252"/>
      <c r="WJ382" s="252"/>
      <c r="WK382" s="252"/>
      <c r="WL382" s="252"/>
      <c r="WM382" s="252"/>
      <c r="WN382" s="252"/>
      <c r="WO382" s="252"/>
      <c r="WP382" s="252"/>
      <c r="WQ382" s="252"/>
      <c r="WR382" s="252"/>
      <c r="WS382" s="252"/>
      <c r="WT382" s="252"/>
      <c r="WU382" s="252"/>
      <c r="WV382" s="252"/>
      <c r="WW382" s="252"/>
      <c r="WX382" s="252"/>
      <c r="WY382" s="252"/>
      <c r="WZ382" s="252"/>
      <c r="XA382" s="252"/>
      <c r="XB382" s="252"/>
      <c r="XC382" s="252"/>
      <c r="XD382" s="252"/>
      <c r="XE382" s="252"/>
      <c r="XF382" s="252"/>
      <c r="XG382" s="252"/>
      <c r="XH382" s="252"/>
      <c r="XI382" s="252"/>
      <c r="XJ382" s="252"/>
      <c r="XK382" s="252"/>
      <c r="XL382" s="252"/>
      <c r="XM382" s="252"/>
      <c r="XN382" s="252"/>
      <c r="XO382" s="252"/>
      <c r="XP382" s="252"/>
      <c r="XQ382" s="252"/>
      <c r="XR382" s="252"/>
      <c r="XS382" s="252"/>
      <c r="XT382" s="252"/>
      <c r="XU382" s="252"/>
      <c r="XV382" s="252"/>
      <c r="XW382" s="252"/>
      <c r="XX382" s="252"/>
      <c r="XY382" s="252"/>
      <c r="XZ382" s="252"/>
      <c r="YA382" s="252"/>
      <c r="YB382" s="252"/>
      <c r="YC382" s="252"/>
      <c r="YD382" s="252"/>
      <c r="YE382" s="252"/>
      <c r="YF382" s="252"/>
      <c r="YG382" s="252"/>
      <c r="YH382" s="252"/>
      <c r="YI382" s="252"/>
      <c r="YJ382" s="252"/>
      <c r="YK382" s="252"/>
      <c r="YL382" s="252"/>
      <c r="YM382" s="252"/>
      <c r="YN382" s="252"/>
      <c r="YO382" s="252"/>
      <c r="YP382" s="252"/>
      <c r="YQ382" s="252"/>
      <c r="YR382" s="252"/>
      <c r="YS382" s="252"/>
      <c r="YT382" s="252"/>
      <c r="YU382" s="252"/>
      <c r="YV382" s="252"/>
      <c r="YW382" s="252"/>
      <c r="YX382" s="252"/>
      <c r="YY382" s="252"/>
      <c r="YZ382" s="252"/>
      <c r="ZA382" s="252"/>
      <c r="ZB382" s="252"/>
      <c r="ZC382" s="252"/>
      <c r="ZD382" s="252"/>
      <c r="ZE382" s="252"/>
      <c r="ZF382" s="252"/>
      <c r="ZG382" s="252"/>
      <c r="ZH382" s="252"/>
      <c r="ZI382" s="252"/>
      <c r="ZJ382" s="252"/>
      <c r="ZK382" s="252"/>
      <c r="ZL382" s="252"/>
      <c r="ZM382" s="252"/>
      <c r="ZN382" s="252"/>
      <c r="ZO382" s="252"/>
      <c r="ZP382" s="252"/>
      <c r="ZQ382" s="252"/>
      <c r="ZR382" s="252"/>
      <c r="ZS382" s="252"/>
      <c r="ZT382" s="252"/>
      <c r="ZU382" s="252"/>
      <c r="ZV382" s="252"/>
      <c r="ZW382" s="252"/>
      <c r="ZX382" s="252"/>
      <c r="ZY382" s="252"/>
      <c r="ZZ382" s="252"/>
      <c r="AAA382" s="252"/>
      <c r="AAB382" s="252"/>
      <c r="AAC382" s="252"/>
      <c r="AAD382" s="252"/>
      <c r="AAE382" s="252"/>
      <c r="AAF382" s="252"/>
      <c r="AAG382" s="252"/>
      <c r="AAH382" s="252"/>
      <c r="AAI382" s="252"/>
      <c r="AAJ382" s="252"/>
      <c r="AAK382" s="252"/>
      <c r="AAL382" s="252"/>
      <c r="AAM382" s="252"/>
      <c r="AAN382" s="252"/>
      <c r="AAO382" s="252"/>
      <c r="AAP382" s="252"/>
      <c r="AAQ382" s="252"/>
      <c r="AAR382" s="252"/>
      <c r="AAS382" s="252"/>
      <c r="AAT382" s="252"/>
      <c r="AAU382" s="252"/>
      <c r="AAV382" s="252"/>
      <c r="AAW382" s="252"/>
      <c r="AAX382" s="252"/>
      <c r="AAY382" s="252"/>
      <c r="AAZ382" s="252"/>
      <c r="ABA382" s="252"/>
      <c r="ABB382" s="252"/>
      <c r="ABC382" s="252"/>
      <c r="ABD382" s="252"/>
      <c r="ABE382" s="252"/>
      <c r="ABF382" s="252"/>
      <c r="ABG382" s="252"/>
      <c r="ABH382" s="252"/>
      <c r="ABI382" s="252"/>
      <c r="ABJ382" s="252"/>
      <c r="ABK382" s="252"/>
      <c r="ABL382" s="252"/>
      <c r="ABM382" s="252"/>
      <c r="ABN382" s="252"/>
      <c r="ABO382" s="252"/>
      <c r="ABP382" s="252"/>
      <c r="ABQ382" s="252"/>
      <c r="ABR382" s="252"/>
      <c r="ABS382" s="252"/>
      <c r="ABT382" s="252"/>
      <c r="ABU382" s="252"/>
      <c r="ABV382" s="252"/>
      <c r="ABW382" s="252"/>
      <c r="ABX382" s="252"/>
      <c r="ABY382" s="252"/>
      <c r="ABZ382" s="252"/>
      <c r="ACA382" s="252"/>
      <c r="ACB382" s="252"/>
      <c r="ACC382" s="252"/>
      <c r="ACD382" s="252"/>
      <c r="ACE382" s="252"/>
      <c r="ACF382" s="252"/>
      <c r="ACG382" s="252"/>
      <c r="ACH382" s="252"/>
      <c r="ACI382" s="252"/>
      <c r="ACJ382" s="252"/>
      <c r="ACK382" s="252"/>
      <c r="ACL382" s="252"/>
      <c r="ACM382" s="252"/>
      <c r="ACN382" s="252"/>
      <c r="ACO382" s="252"/>
      <c r="ACP382" s="252"/>
      <c r="ACQ382" s="252"/>
      <c r="ACR382" s="252"/>
      <c r="ACS382" s="252"/>
      <c r="ACT382" s="252"/>
      <c r="ACU382" s="252"/>
      <c r="ACV382" s="252"/>
      <c r="ACW382" s="252"/>
      <c r="ACX382" s="252"/>
      <c r="ACY382" s="252"/>
      <c r="ACZ382" s="252"/>
      <c r="ADA382" s="252"/>
      <c r="ADB382" s="252"/>
      <c r="ADC382" s="252"/>
      <c r="ADD382" s="252"/>
      <c r="ADE382" s="252"/>
      <c r="ADF382" s="252"/>
      <c r="ADG382" s="252"/>
      <c r="ADH382" s="252"/>
      <c r="ADI382" s="252"/>
      <c r="ADJ382" s="252"/>
      <c r="ADK382" s="252"/>
      <c r="ADL382" s="252"/>
      <c r="ADM382" s="252"/>
      <c r="ADN382" s="252"/>
      <c r="ADO382" s="252"/>
      <c r="ADP382" s="252"/>
      <c r="ADQ382" s="252"/>
      <c r="ADR382" s="252"/>
      <c r="ADS382" s="252"/>
      <c r="ADT382" s="252"/>
      <c r="ADU382" s="252"/>
      <c r="ADV382" s="252"/>
      <c r="ADW382" s="252"/>
      <c r="ADX382" s="252"/>
      <c r="ADY382" s="252"/>
      <c r="ADZ382" s="252"/>
      <c r="AEA382" s="252"/>
      <c r="AEB382" s="252"/>
      <c r="AEC382" s="252"/>
      <c r="AED382" s="252"/>
      <c r="AEE382" s="252"/>
      <c r="AEF382" s="252"/>
      <c r="AEG382" s="252"/>
      <c r="AEH382" s="252"/>
      <c r="AEI382" s="252"/>
      <c r="AEJ382" s="252"/>
      <c r="AEK382" s="252"/>
      <c r="AEL382" s="252"/>
      <c r="AEM382" s="252"/>
      <c r="AEN382" s="252"/>
      <c r="AEO382" s="252"/>
      <c r="AEP382" s="252"/>
      <c r="AEQ382" s="252"/>
      <c r="AER382" s="252"/>
      <c r="AES382" s="252"/>
      <c r="AET382" s="252"/>
      <c r="AEU382" s="252"/>
      <c r="AEV382" s="252"/>
      <c r="AEW382" s="252"/>
      <c r="AEX382" s="252"/>
      <c r="AEY382" s="252"/>
      <c r="AEZ382" s="252"/>
      <c r="AFA382" s="252"/>
      <c r="AFB382" s="252"/>
      <c r="AFC382" s="252"/>
      <c r="AFD382" s="252"/>
      <c r="AFE382" s="252"/>
      <c r="AFF382" s="252"/>
      <c r="AFG382" s="252"/>
      <c r="AFH382" s="252"/>
      <c r="AFI382" s="252"/>
      <c r="AFJ382" s="252"/>
      <c r="AFK382" s="252"/>
      <c r="AFL382" s="252"/>
      <c r="AFM382" s="252"/>
      <c r="AFN382" s="252"/>
      <c r="AFO382" s="252"/>
      <c r="AFP382" s="252"/>
      <c r="AFQ382" s="252"/>
      <c r="AFR382" s="252"/>
      <c r="AFS382" s="252"/>
      <c r="AFT382" s="252"/>
      <c r="AFU382" s="252"/>
      <c r="AFV382" s="252"/>
      <c r="AFW382" s="252"/>
      <c r="AFX382" s="252"/>
      <c r="AFY382" s="252"/>
      <c r="AFZ382" s="252"/>
      <c r="AGA382" s="252"/>
      <c r="AGB382" s="252"/>
      <c r="AGC382" s="252"/>
      <c r="AGD382" s="252"/>
      <c r="AGE382" s="252"/>
      <c r="AGF382" s="252"/>
      <c r="AGG382" s="252"/>
      <c r="AGH382" s="252"/>
      <c r="AGI382" s="252"/>
      <c r="AGJ382" s="252"/>
      <c r="AGK382" s="252"/>
      <c r="AGL382" s="252"/>
      <c r="AGM382" s="252"/>
      <c r="AGN382" s="252"/>
      <c r="AGO382" s="252"/>
      <c r="AGP382" s="252"/>
      <c r="AGQ382" s="252"/>
      <c r="AGR382" s="252"/>
      <c r="AGS382" s="252"/>
      <c r="AGT382" s="252"/>
      <c r="AGU382" s="252"/>
      <c r="AGV382" s="252"/>
      <c r="AGW382" s="252"/>
      <c r="AGX382" s="252"/>
      <c r="AGY382" s="252"/>
      <c r="AGZ382" s="252"/>
      <c r="AHA382" s="252"/>
      <c r="AHB382" s="252"/>
      <c r="AHC382" s="252"/>
      <c r="AHD382" s="252"/>
      <c r="AHE382" s="252"/>
      <c r="AHF382" s="252"/>
      <c r="AHG382" s="252"/>
      <c r="AHH382" s="252"/>
      <c r="AHI382" s="252"/>
      <c r="AHJ382" s="252"/>
      <c r="AHK382" s="252"/>
      <c r="AHL382" s="252"/>
      <c r="AHM382" s="252"/>
      <c r="AHN382" s="252"/>
      <c r="AHO382" s="252"/>
      <c r="AHP382" s="252"/>
      <c r="AHQ382" s="252"/>
      <c r="AHR382" s="252"/>
      <c r="AHS382" s="252"/>
      <c r="AHT382" s="252"/>
      <c r="AHU382" s="252"/>
      <c r="AHV382" s="252"/>
      <c r="AHW382" s="252"/>
      <c r="AHX382" s="252"/>
      <c r="AHY382" s="252"/>
      <c r="AHZ382" s="252"/>
      <c r="AIA382" s="252"/>
      <c r="AIB382" s="252"/>
      <c r="AIC382" s="252"/>
      <c r="AID382" s="252"/>
      <c r="AIE382" s="252"/>
      <c r="AIF382" s="252"/>
      <c r="AIG382" s="252"/>
      <c r="AIH382" s="252"/>
      <c r="AII382" s="252"/>
      <c r="AIJ382" s="252"/>
      <c r="AIK382" s="252"/>
      <c r="AIL382" s="252"/>
      <c r="AIM382" s="252"/>
      <c r="AIN382" s="252"/>
      <c r="AIO382" s="252"/>
      <c r="AIP382" s="252"/>
      <c r="AIQ382" s="252"/>
      <c r="AIR382" s="252"/>
      <c r="AIS382" s="252"/>
      <c r="AIT382" s="252"/>
      <c r="AIU382" s="252"/>
      <c r="AIV382" s="252"/>
      <c r="AIW382" s="252"/>
      <c r="AIX382" s="252"/>
      <c r="AIY382" s="252"/>
      <c r="AIZ382" s="252"/>
      <c r="AJA382" s="252"/>
      <c r="AJB382" s="252"/>
      <c r="AJC382" s="252"/>
      <c r="AJD382" s="252"/>
      <c r="AJE382" s="252"/>
      <c r="AJF382" s="252"/>
      <c r="AJG382" s="252"/>
      <c r="AJH382" s="252"/>
      <c r="AJI382" s="252"/>
      <c r="AJJ382" s="252"/>
      <c r="AJK382" s="252"/>
      <c r="AJL382" s="252"/>
      <c r="AJM382" s="252"/>
      <c r="AJN382" s="252"/>
      <c r="AJO382" s="252"/>
      <c r="AJP382" s="252"/>
      <c r="AJQ382" s="252"/>
      <c r="AJR382" s="252"/>
      <c r="AJS382" s="252"/>
      <c r="AJT382" s="252"/>
      <c r="AJU382" s="252"/>
      <c r="AJV382" s="252"/>
      <c r="AJW382" s="252"/>
      <c r="AJX382" s="252"/>
      <c r="AJY382" s="252"/>
      <c r="AJZ382" s="252"/>
      <c r="AKA382" s="252"/>
      <c r="AKB382" s="252"/>
      <c r="AKC382" s="252"/>
      <c r="AKD382" s="252"/>
      <c r="AKE382" s="252"/>
      <c r="AKF382" s="252"/>
      <c r="AKG382" s="252"/>
      <c r="AKH382" s="252"/>
      <c r="AKI382" s="252"/>
      <c r="AKJ382" s="252"/>
      <c r="AKK382" s="252"/>
      <c r="AKL382" s="252"/>
      <c r="AKM382" s="252"/>
      <c r="AKN382" s="252"/>
      <c r="AKO382" s="252"/>
      <c r="AKP382" s="252"/>
      <c r="AKQ382" s="252"/>
      <c r="AKR382" s="252"/>
      <c r="AKS382" s="252"/>
      <c r="AKT382" s="252"/>
      <c r="AKU382" s="252"/>
      <c r="AKV382" s="252"/>
      <c r="AKW382" s="252"/>
      <c r="AKX382" s="252"/>
      <c r="AKY382" s="252"/>
      <c r="AKZ382" s="252"/>
      <c r="ALA382" s="252"/>
      <c r="ALB382" s="252"/>
      <c r="ALC382" s="252"/>
      <c r="ALD382" s="252"/>
      <c r="ALE382" s="252"/>
      <c r="ALF382" s="252"/>
      <c r="ALG382" s="252"/>
      <c r="ALH382" s="252"/>
      <c r="ALI382" s="252"/>
      <c r="ALJ382" s="252"/>
      <c r="ALK382" s="252"/>
      <c r="ALL382" s="252"/>
      <c r="ALM382" s="252"/>
      <c r="ALN382" s="252"/>
      <c r="ALO382" s="252"/>
      <c r="ALP382" s="252"/>
      <c r="ALQ382" s="252"/>
      <c r="ALR382" s="252"/>
      <c r="ALS382" s="252"/>
      <c r="ALT382" s="252"/>
      <c r="ALU382" s="252"/>
      <c r="ALV382" s="252"/>
      <c r="ALW382" s="252"/>
      <c r="ALX382" s="252"/>
      <c r="ALY382" s="252"/>
      <c r="ALZ382" s="252"/>
      <c r="AMA382" s="252"/>
      <c r="AMB382" s="252"/>
      <c r="AMC382" s="252"/>
      <c r="AMD382" s="252"/>
      <c r="AME382" s="252"/>
      <c r="AMF382" s="252"/>
      <c r="AMG382" s="252"/>
      <c r="AMH382" s="252"/>
      <c r="AMI382" s="252"/>
      <c r="AMJ382" s="252"/>
      <c r="AMK382" s="252"/>
      <c r="AML382" s="252"/>
      <c r="AMM382" s="252"/>
      <c r="AMN382" s="252"/>
      <c r="AMO382" s="252"/>
      <c r="AMP382" s="252"/>
      <c r="AMQ382" s="252"/>
      <c r="AMR382" s="252"/>
      <c r="AMS382" s="252"/>
      <c r="AMT382" s="252"/>
      <c r="AMU382" s="252"/>
      <c r="AMV382" s="252"/>
      <c r="AMW382" s="252"/>
      <c r="AMX382" s="252"/>
      <c r="AMY382" s="252"/>
      <c r="AMZ382" s="252"/>
      <c r="ANA382" s="252"/>
      <c r="ANB382" s="252"/>
      <c r="ANC382" s="252"/>
      <c r="AND382" s="252"/>
      <c r="ANE382" s="252"/>
      <c r="ANF382" s="252"/>
      <c r="ANG382" s="252"/>
      <c r="ANH382" s="252"/>
      <c r="ANI382" s="252"/>
      <c r="ANJ382" s="252"/>
      <c r="ANK382" s="252"/>
      <c r="ANL382" s="252"/>
      <c r="ANM382" s="252"/>
      <c r="ANN382" s="252"/>
      <c r="ANO382" s="252"/>
      <c r="ANP382" s="252"/>
      <c r="ANQ382" s="252"/>
      <c r="ANR382" s="252"/>
      <c r="ANS382" s="252"/>
      <c r="ANT382" s="252"/>
      <c r="ANU382" s="252"/>
      <c r="ANV382" s="252"/>
      <c r="ANW382" s="252"/>
      <c r="ANX382" s="252"/>
      <c r="ANY382" s="252"/>
      <c r="ANZ382" s="252"/>
      <c r="AOA382" s="252"/>
      <c r="AOB382" s="252"/>
      <c r="AOC382" s="252"/>
      <c r="AOD382" s="252"/>
      <c r="AOE382" s="252"/>
      <c r="AOF382" s="252"/>
      <c r="AOG382" s="252"/>
      <c r="AOH382" s="252"/>
      <c r="AOI382" s="252"/>
      <c r="AOJ382" s="252"/>
      <c r="AOK382" s="252"/>
      <c r="AOL382" s="252"/>
      <c r="AOM382" s="252"/>
      <c r="AON382" s="252"/>
      <c r="AOO382" s="252"/>
      <c r="AOP382" s="252"/>
      <c r="AOQ382" s="252"/>
      <c r="AOR382" s="252"/>
      <c r="AOS382" s="252"/>
      <c r="AOT382" s="252"/>
      <c r="AOU382" s="252"/>
      <c r="AOV382" s="252"/>
      <c r="AOW382" s="252"/>
      <c r="AOX382" s="252"/>
      <c r="AOY382" s="252"/>
      <c r="AOZ382" s="252"/>
      <c r="APA382" s="252"/>
      <c r="APB382" s="252"/>
      <c r="APC382" s="252"/>
      <c r="APD382" s="252"/>
      <c r="APE382" s="252"/>
      <c r="APF382" s="252"/>
      <c r="APG382" s="252"/>
      <c r="APH382" s="252"/>
      <c r="API382" s="252"/>
      <c r="APJ382" s="252"/>
      <c r="APK382" s="252"/>
      <c r="APL382" s="252"/>
      <c r="APM382" s="252"/>
      <c r="APN382" s="252"/>
      <c r="APO382" s="252"/>
      <c r="APP382" s="252"/>
      <c r="APQ382" s="252"/>
      <c r="APR382" s="252"/>
      <c r="APS382" s="252"/>
      <c r="APT382" s="252"/>
      <c r="APU382" s="252"/>
      <c r="APV382" s="252"/>
      <c r="APW382" s="252"/>
      <c r="APX382" s="252"/>
      <c r="APY382" s="252"/>
      <c r="APZ382" s="252"/>
      <c r="AQA382" s="252"/>
      <c r="AQB382" s="252"/>
      <c r="AQC382" s="252"/>
      <c r="AQD382" s="252"/>
      <c r="AQE382" s="252"/>
      <c r="AQF382" s="252"/>
      <c r="AQG382" s="252"/>
      <c r="AQH382" s="252"/>
      <c r="AQI382" s="252"/>
      <c r="AQJ382" s="252"/>
      <c r="AQK382" s="252"/>
      <c r="AQL382" s="252"/>
      <c r="AQM382" s="252"/>
      <c r="AQN382" s="252"/>
      <c r="AQO382" s="252"/>
      <c r="AQP382" s="252"/>
      <c r="AQQ382" s="252"/>
      <c r="AQR382" s="252"/>
      <c r="AQS382" s="252"/>
      <c r="AQT382" s="252"/>
      <c r="AQU382" s="252"/>
      <c r="AQV382" s="252"/>
      <c r="AQW382" s="252"/>
      <c r="AQX382" s="252"/>
      <c r="AQY382" s="252"/>
      <c r="AQZ382" s="252"/>
      <c r="ARA382" s="252"/>
      <c r="ARB382" s="252"/>
      <c r="ARC382" s="252"/>
      <c r="ARD382" s="252"/>
      <c r="ARE382" s="252"/>
      <c r="ARF382" s="252"/>
      <c r="ARG382" s="252"/>
      <c r="ARH382" s="252"/>
      <c r="ARI382" s="252"/>
      <c r="ARJ382" s="252"/>
      <c r="ARK382" s="252"/>
      <c r="ARL382" s="252"/>
      <c r="ARM382" s="252"/>
      <c r="ARN382" s="252"/>
      <c r="ARO382" s="252"/>
      <c r="ARP382" s="252"/>
      <c r="ARQ382" s="252"/>
      <c r="ARR382" s="252"/>
      <c r="ARS382" s="252"/>
      <c r="ART382" s="252"/>
      <c r="ARU382" s="252"/>
      <c r="ARV382" s="252"/>
      <c r="ARW382" s="252"/>
      <c r="ARX382" s="252"/>
      <c r="ARY382" s="252"/>
      <c r="ARZ382" s="252"/>
      <c r="ASA382" s="252"/>
      <c r="ASB382" s="252"/>
      <c r="ASC382" s="252"/>
      <c r="ASD382" s="252"/>
      <c r="ASE382" s="252"/>
      <c r="ASF382" s="252"/>
      <c r="ASG382" s="252"/>
      <c r="ASH382" s="252"/>
      <c r="ASI382" s="252"/>
      <c r="ASJ382" s="252"/>
      <c r="ASK382" s="252"/>
      <c r="ASL382" s="252"/>
      <c r="ASM382" s="252"/>
      <c r="ASN382" s="252"/>
      <c r="ASO382" s="252"/>
      <c r="ASP382" s="252"/>
      <c r="ASQ382" s="252"/>
      <c r="ASR382" s="252"/>
      <c r="ASS382" s="252"/>
      <c r="AST382" s="252"/>
      <c r="ASU382" s="252"/>
      <c r="ASV382" s="252"/>
      <c r="ASW382" s="252"/>
      <c r="ASX382" s="252"/>
      <c r="ASY382" s="252"/>
      <c r="ASZ382" s="252"/>
      <c r="ATA382" s="252"/>
      <c r="ATB382" s="252"/>
      <c r="ATC382" s="252"/>
      <c r="ATD382" s="252"/>
      <c r="ATE382" s="252"/>
      <c r="ATF382" s="252"/>
      <c r="ATG382" s="252"/>
      <c r="ATH382" s="252"/>
      <c r="ATI382" s="252"/>
      <c r="ATJ382" s="252"/>
      <c r="ATK382" s="252"/>
      <c r="ATL382" s="252"/>
      <c r="ATM382" s="252"/>
      <c r="ATN382" s="252"/>
      <c r="ATO382" s="252"/>
      <c r="ATP382" s="252"/>
      <c r="ATQ382" s="252"/>
      <c r="ATR382" s="252"/>
      <c r="ATS382" s="252"/>
      <c r="ATT382" s="252"/>
      <c r="ATU382" s="252"/>
      <c r="ATV382" s="252"/>
      <c r="ATW382" s="252"/>
      <c r="ATX382" s="252"/>
      <c r="ATY382" s="252"/>
      <c r="ATZ382" s="252"/>
      <c r="AUA382" s="252"/>
      <c r="AUB382" s="252"/>
      <c r="AUC382" s="252"/>
      <c r="AUD382" s="252"/>
      <c r="AUE382" s="252"/>
      <c r="AUF382" s="252"/>
      <c r="AUG382" s="252"/>
      <c r="AUH382" s="252"/>
      <c r="AUI382" s="252"/>
      <c r="AUJ382" s="252"/>
      <c r="AUK382" s="252"/>
      <c r="AUL382" s="252"/>
      <c r="AUM382" s="252"/>
      <c r="AUN382" s="252"/>
      <c r="AUO382" s="252"/>
      <c r="AUP382" s="252"/>
      <c r="AUQ382" s="252"/>
      <c r="AUR382" s="252"/>
      <c r="AUS382" s="252"/>
      <c r="AUT382" s="252"/>
      <c r="AUU382" s="252"/>
      <c r="AUV382" s="252"/>
      <c r="AUW382" s="252"/>
      <c r="AUX382" s="252"/>
      <c r="AUY382" s="252"/>
      <c r="AUZ382" s="252"/>
      <c r="AVA382" s="252"/>
      <c r="AVB382" s="252"/>
      <c r="AVC382" s="252"/>
      <c r="AVD382" s="252"/>
      <c r="AVE382" s="252"/>
      <c r="AVF382" s="252"/>
      <c r="AVG382" s="252"/>
      <c r="AVH382" s="252"/>
      <c r="AVI382" s="252"/>
      <c r="AVJ382" s="252"/>
      <c r="AVK382" s="252"/>
      <c r="AVL382" s="252"/>
      <c r="AVM382" s="252"/>
      <c r="AVN382" s="252"/>
      <c r="AVO382" s="252"/>
      <c r="AVP382" s="252"/>
      <c r="AVQ382" s="252"/>
      <c r="AVR382" s="252"/>
      <c r="AVS382" s="252"/>
      <c r="AVT382" s="252"/>
      <c r="AVU382" s="252"/>
      <c r="AVV382" s="252"/>
      <c r="AVW382" s="252"/>
      <c r="AVX382" s="252"/>
      <c r="AVY382" s="252"/>
      <c r="AVZ382" s="252"/>
      <c r="AWA382" s="252"/>
      <c r="AWB382" s="252"/>
      <c r="AWC382" s="252"/>
      <c r="AWD382" s="252"/>
      <c r="AWE382" s="252"/>
      <c r="AWF382" s="252"/>
      <c r="AWG382" s="252"/>
      <c r="AWH382" s="252"/>
      <c r="AWI382" s="252"/>
      <c r="AWJ382" s="252"/>
      <c r="AWK382" s="252"/>
      <c r="AWL382" s="252"/>
      <c r="AWM382" s="252"/>
      <c r="AWN382" s="252"/>
      <c r="AWO382" s="252"/>
      <c r="AWP382" s="252"/>
      <c r="AWQ382" s="252"/>
      <c r="AWR382" s="252"/>
      <c r="AWS382" s="252"/>
      <c r="AWT382" s="252"/>
      <c r="AWU382" s="252"/>
      <c r="AWV382" s="252"/>
      <c r="AWW382" s="252"/>
      <c r="AWX382" s="252"/>
      <c r="AWY382" s="252"/>
      <c r="AWZ382" s="252"/>
      <c r="AXA382" s="252"/>
      <c r="AXB382" s="252"/>
      <c r="AXC382" s="252"/>
      <c r="AXD382" s="252"/>
      <c r="AXE382" s="252"/>
      <c r="AXF382" s="252"/>
      <c r="AXG382" s="252"/>
      <c r="AXH382" s="252"/>
      <c r="AXI382" s="252"/>
      <c r="AXJ382" s="252"/>
      <c r="AXK382" s="252"/>
      <c r="AXL382" s="252"/>
      <c r="AXM382" s="252"/>
      <c r="AXN382" s="252"/>
      <c r="AXO382" s="252"/>
      <c r="AXP382" s="252"/>
      <c r="AXQ382" s="252"/>
      <c r="AXR382" s="252"/>
      <c r="AXS382" s="252"/>
      <c r="AXT382" s="252"/>
      <c r="AXU382" s="252"/>
      <c r="AXV382" s="252"/>
      <c r="AXW382" s="252"/>
      <c r="AXX382" s="252"/>
      <c r="AXY382" s="252"/>
      <c r="AXZ382" s="252"/>
      <c r="AYA382" s="252"/>
      <c r="AYB382" s="252"/>
      <c r="AYC382" s="252"/>
      <c r="AYD382" s="252"/>
      <c r="AYE382" s="252"/>
      <c r="AYF382" s="252"/>
      <c r="AYG382" s="252"/>
      <c r="AYH382" s="252"/>
      <c r="AYI382" s="252"/>
      <c r="AYJ382" s="252"/>
      <c r="AYK382" s="252"/>
      <c r="AYL382" s="252"/>
      <c r="AYM382" s="252"/>
      <c r="AYN382" s="252"/>
      <c r="AYO382" s="252"/>
      <c r="AYP382" s="252"/>
      <c r="AYQ382" s="252"/>
      <c r="AYR382" s="252"/>
      <c r="AYS382" s="252"/>
      <c r="AYT382" s="252"/>
      <c r="AYU382" s="252"/>
      <c r="AYV382" s="252"/>
      <c r="AYW382" s="252"/>
      <c r="AYX382" s="252"/>
      <c r="AYY382" s="252"/>
      <c r="AYZ382" s="252"/>
      <c r="AZA382" s="252"/>
      <c r="AZB382" s="252"/>
      <c r="AZC382" s="252"/>
      <c r="AZD382" s="252"/>
      <c r="AZE382" s="252"/>
      <c r="AZF382" s="252"/>
      <c r="AZG382" s="252"/>
      <c r="AZH382" s="252"/>
      <c r="AZI382" s="252"/>
      <c r="AZJ382" s="252"/>
      <c r="AZK382" s="252"/>
      <c r="AZL382" s="252"/>
      <c r="AZM382" s="252"/>
      <c r="AZN382" s="252"/>
      <c r="AZO382" s="252"/>
      <c r="AZP382" s="252"/>
      <c r="AZQ382" s="252"/>
      <c r="AZR382" s="252"/>
      <c r="AZS382" s="252"/>
      <c r="AZT382" s="252"/>
      <c r="AZU382" s="252"/>
      <c r="AZV382" s="252"/>
      <c r="AZW382" s="252"/>
      <c r="AZX382" s="252"/>
      <c r="AZY382" s="252"/>
      <c r="AZZ382" s="252"/>
      <c r="BAA382" s="252"/>
      <c r="BAB382" s="252"/>
      <c r="BAC382" s="252"/>
      <c r="BAD382" s="252"/>
      <c r="BAE382" s="252"/>
      <c r="BAF382" s="252"/>
      <c r="BAG382" s="252"/>
      <c r="BAH382" s="252"/>
      <c r="BAI382" s="252"/>
      <c r="BAJ382" s="252"/>
      <c r="BAK382" s="252"/>
      <c r="BAL382" s="252"/>
      <c r="BAM382" s="252"/>
      <c r="BAN382" s="252"/>
      <c r="BAO382" s="252"/>
      <c r="BAP382" s="252"/>
      <c r="BAQ382" s="252"/>
      <c r="BAR382" s="252"/>
      <c r="BAS382" s="252"/>
      <c r="BAT382" s="252"/>
      <c r="BAU382" s="252"/>
      <c r="BAV382" s="252"/>
      <c r="BAW382" s="252"/>
      <c r="BAX382" s="252"/>
      <c r="BAY382" s="252"/>
      <c r="BAZ382" s="252"/>
      <c r="BBA382" s="252"/>
      <c r="BBB382" s="252"/>
      <c r="BBC382" s="252"/>
      <c r="BBD382" s="252"/>
      <c r="BBE382" s="252"/>
      <c r="BBF382" s="252"/>
      <c r="BBG382" s="252"/>
      <c r="BBH382" s="252"/>
      <c r="BBI382" s="252"/>
      <c r="BBJ382" s="252"/>
      <c r="BBK382" s="252"/>
      <c r="BBL382" s="252"/>
      <c r="BBM382" s="252"/>
      <c r="BBN382" s="252"/>
      <c r="BBO382" s="252"/>
      <c r="BBP382" s="252"/>
      <c r="BBQ382" s="252"/>
      <c r="BBR382" s="252"/>
      <c r="BBS382" s="252"/>
      <c r="BBT382" s="252"/>
      <c r="BBU382" s="252"/>
      <c r="BBV382" s="252"/>
      <c r="BBW382" s="252"/>
      <c r="BBX382" s="252"/>
      <c r="BBY382" s="252"/>
      <c r="BBZ382" s="252"/>
      <c r="BCA382" s="252"/>
      <c r="BCB382" s="252"/>
      <c r="BCC382" s="252"/>
      <c r="BCD382" s="252"/>
      <c r="BCE382" s="252"/>
      <c r="BCF382" s="252"/>
      <c r="BCG382" s="252"/>
      <c r="BCH382" s="252"/>
      <c r="BCI382" s="252"/>
      <c r="BCJ382" s="252"/>
      <c r="BCK382" s="252"/>
      <c r="BCL382" s="252"/>
      <c r="BCM382" s="252"/>
      <c r="BCN382" s="252"/>
      <c r="BCO382" s="252"/>
      <c r="BCP382" s="252"/>
      <c r="BCQ382" s="252"/>
      <c r="BCR382" s="252"/>
      <c r="BCS382" s="252"/>
      <c r="BCT382" s="252"/>
      <c r="BCU382" s="252"/>
      <c r="BCV382" s="252"/>
      <c r="BCW382" s="252"/>
      <c r="BCX382" s="252"/>
      <c r="BCY382" s="252"/>
      <c r="BCZ382" s="252"/>
      <c r="BDA382" s="252"/>
      <c r="BDB382" s="252"/>
      <c r="BDC382" s="252"/>
      <c r="BDD382" s="252"/>
      <c r="BDE382" s="252"/>
      <c r="BDF382" s="252"/>
      <c r="BDG382" s="252"/>
      <c r="BDH382" s="252"/>
      <c r="BDI382" s="252"/>
      <c r="BDJ382" s="252"/>
      <c r="BDK382" s="252"/>
      <c r="BDL382" s="252"/>
      <c r="BDM382" s="252"/>
      <c r="BDN382" s="252"/>
      <c r="BDO382" s="252"/>
      <c r="BDP382" s="252"/>
      <c r="BDQ382" s="252"/>
      <c r="BDR382" s="252"/>
      <c r="BDS382" s="252"/>
      <c r="BDT382" s="252"/>
      <c r="BDU382" s="252"/>
      <c r="BDV382" s="252"/>
      <c r="BDW382" s="252"/>
      <c r="BDX382" s="252"/>
      <c r="BDY382" s="252"/>
      <c r="BDZ382" s="252"/>
      <c r="BEA382" s="252"/>
      <c r="BEB382" s="252"/>
      <c r="BEC382" s="252"/>
      <c r="BED382" s="252"/>
      <c r="BEE382" s="252"/>
      <c r="BEF382" s="252"/>
      <c r="BEG382" s="252"/>
      <c r="BEH382" s="252"/>
      <c r="BEI382" s="252"/>
      <c r="BEJ382" s="252"/>
      <c r="BEK382" s="252"/>
      <c r="BEL382" s="252"/>
      <c r="BEM382" s="252"/>
      <c r="BEN382" s="252"/>
      <c r="BEO382" s="252"/>
      <c r="BEP382" s="252"/>
      <c r="BEQ382" s="252"/>
      <c r="BER382" s="252"/>
      <c r="BES382" s="252"/>
      <c r="BET382" s="252"/>
      <c r="BEU382" s="252"/>
      <c r="BEV382" s="252"/>
      <c r="BEW382" s="252"/>
      <c r="BEX382" s="252"/>
      <c r="BEY382" s="252"/>
      <c r="BEZ382" s="252"/>
      <c r="BFA382" s="252"/>
      <c r="BFB382" s="252"/>
      <c r="BFC382" s="252"/>
      <c r="BFD382" s="252"/>
      <c r="BFE382" s="252"/>
      <c r="BFF382" s="252"/>
      <c r="BFG382" s="252"/>
      <c r="BFH382" s="252"/>
      <c r="BFI382" s="252"/>
      <c r="BFJ382" s="252"/>
      <c r="BFK382" s="252"/>
      <c r="BFL382" s="252"/>
      <c r="BFM382" s="252"/>
      <c r="BFN382" s="252"/>
      <c r="BFO382" s="252"/>
      <c r="BFP382" s="252"/>
      <c r="BFQ382" s="252"/>
      <c r="BFR382" s="252"/>
      <c r="BFS382" s="252"/>
      <c r="BFT382" s="252"/>
      <c r="BFU382" s="252"/>
      <c r="BFV382" s="252"/>
      <c r="BFW382" s="252"/>
      <c r="BFX382" s="252"/>
      <c r="BFY382" s="252"/>
      <c r="BFZ382" s="252"/>
      <c r="BGA382" s="252"/>
      <c r="BGB382" s="252"/>
      <c r="BGC382" s="252"/>
      <c r="BGD382" s="252"/>
      <c r="BGE382" s="252"/>
      <c r="BGF382" s="252"/>
      <c r="BGG382" s="252"/>
      <c r="BGH382" s="252"/>
      <c r="BGI382" s="252"/>
      <c r="BGJ382" s="252"/>
      <c r="BGK382" s="252"/>
      <c r="BGL382" s="252"/>
      <c r="BGM382" s="252"/>
      <c r="BGN382" s="252"/>
      <c r="BGO382" s="252"/>
      <c r="BGP382" s="252"/>
      <c r="BGQ382" s="252"/>
      <c r="BGR382" s="252"/>
      <c r="BGS382" s="252"/>
      <c r="BGT382" s="252"/>
      <c r="BGU382" s="252"/>
      <c r="BGV382" s="252"/>
      <c r="BGW382" s="252"/>
      <c r="BGX382" s="252"/>
      <c r="BGY382" s="252"/>
      <c r="BGZ382" s="252"/>
      <c r="BHA382" s="252"/>
      <c r="BHB382" s="252"/>
      <c r="BHC382" s="252"/>
      <c r="BHD382" s="252"/>
      <c r="BHE382" s="252"/>
      <c r="BHF382" s="252"/>
      <c r="BHG382" s="252"/>
      <c r="BHH382" s="252"/>
      <c r="BHI382" s="252"/>
      <c r="BHJ382" s="252"/>
      <c r="BHK382" s="252"/>
      <c r="BHL382" s="252"/>
      <c r="BHM382" s="252"/>
      <c r="BHN382" s="252"/>
      <c r="BHO382" s="252"/>
      <c r="BHP382" s="252"/>
      <c r="BHQ382" s="252"/>
      <c r="BHR382" s="252"/>
      <c r="BHS382" s="252"/>
      <c r="BHT382" s="252"/>
      <c r="BHU382" s="252"/>
      <c r="BHV382" s="252"/>
      <c r="BHW382" s="252"/>
      <c r="BHX382" s="252"/>
      <c r="BHY382" s="252"/>
      <c r="BHZ382" s="252"/>
      <c r="BIA382" s="252"/>
      <c r="BIB382" s="252"/>
      <c r="BIC382" s="252"/>
      <c r="BID382" s="252"/>
      <c r="BIE382" s="252"/>
      <c r="BIF382" s="252"/>
      <c r="BIG382" s="252"/>
      <c r="BIH382" s="252"/>
      <c r="BII382" s="252"/>
      <c r="BIJ382" s="252"/>
      <c r="BIK382" s="252"/>
      <c r="BIL382" s="252"/>
      <c r="BIM382" s="252"/>
      <c r="BIN382" s="252"/>
      <c r="BIO382" s="252"/>
      <c r="BIP382" s="252"/>
      <c r="BIQ382" s="252"/>
      <c r="BIR382" s="252"/>
      <c r="BIS382" s="252"/>
      <c r="BIT382" s="252"/>
      <c r="BIU382" s="252"/>
      <c r="BIV382" s="252"/>
      <c r="BIW382" s="252"/>
      <c r="BIX382" s="252"/>
      <c r="BIY382" s="252"/>
      <c r="BIZ382" s="252"/>
      <c r="BJA382" s="252"/>
      <c r="BJB382" s="252"/>
      <c r="BJC382" s="252"/>
      <c r="BJD382" s="252"/>
      <c r="BJE382" s="252"/>
      <c r="BJF382" s="252"/>
      <c r="BJG382" s="252"/>
      <c r="BJH382" s="252"/>
      <c r="BJI382" s="252"/>
      <c r="BJJ382" s="252"/>
      <c r="BJK382" s="252"/>
      <c r="BJL382" s="252"/>
      <c r="BJM382" s="252"/>
      <c r="BJN382" s="252"/>
      <c r="BJO382" s="252"/>
      <c r="BJP382" s="252"/>
      <c r="BJQ382" s="252"/>
      <c r="BJR382" s="252"/>
      <c r="BJS382" s="252"/>
      <c r="BJT382" s="252"/>
      <c r="BJU382" s="252"/>
      <c r="BJV382" s="252"/>
      <c r="BJW382" s="252"/>
      <c r="BJX382" s="252"/>
      <c r="BJY382" s="252"/>
      <c r="BJZ382" s="252"/>
      <c r="BKA382" s="252"/>
      <c r="BKB382" s="252"/>
      <c r="BKC382" s="252"/>
      <c r="BKD382" s="252"/>
      <c r="BKE382" s="252"/>
      <c r="BKF382" s="252"/>
      <c r="BKG382" s="252"/>
      <c r="BKH382" s="252"/>
      <c r="BKI382" s="252"/>
      <c r="BKJ382" s="252"/>
      <c r="BKK382" s="252"/>
      <c r="BKL382" s="252"/>
      <c r="BKM382" s="252"/>
      <c r="BKN382" s="252"/>
      <c r="BKO382" s="252"/>
      <c r="BKP382" s="252"/>
      <c r="BKQ382" s="252"/>
      <c r="BKR382" s="252"/>
      <c r="BKS382" s="252"/>
      <c r="BKT382" s="252"/>
      <c r="BKU382" s="252"/>
      <c r="BKV382" s="252"/>
      <c r="BKW382" s="252"/>
      <c r="BKX382" s="252"/>
      <c r="BKY382" s="252"/>
      <c r="BKZ382" s="252"/>
      <c r="BLA382" s="252"/>
      <c r="BLB382" s="252"/>
      <c r="BLC382" s="252"/>
      <c r="BLD382" s="252"/>
      <c r="BLE382" s="252"/>
      <c r="BLF382" s="252"/>
      <c r="BLG382" s="252"/>
      <c r="BLH382" s="252"/>
      <c r="BLI382" s="252"/>
      <c r="BLJ382" s="252"/>
      <c r="BLK382" s="252"/>
      <c r="BLL382" s="252"/>
      <c r="BLM382" s="252"/>
      <c r="BLN382" s="252"/>
      <c r="BLO382" s="252"/>
      <c r="BLP382" s="252"/>
      <c r="BLQ382" s="252"/>
      <c r="BLR382" s="252"/>
      <c r="BLS382" s="252"/>
      <c r="BLT382" s="252"/>
      <c r="BLU382" s="252"/>
      <c r="BLV382" s="252"/>
      <c r="BLW382" s="252"/>
      <c r="BLX382" s="252"/>
      <c r="BLY382" s="252"/>
      <c r="BLZ382" s="252"/>
      <c r="BMA382" s="252"/>
      <c r="BMB382" s="252"/>
      <c r="BMC382" s="252"/>
      <c r="BMD382" s="252"/>
      <c r="BME382" s="252"/>
      <c r="BMF382" s="252"/>
      <c r="BMG382" s="252"/>
      <c r="BMH382" s="252"/>
      <c r="BMI382" s="252"/>
      <c r="BMJ382" s="252"/>
      <c r="BMK382" s="252"/>
      <c r="BML382" s="252"/>
      <c r="BMM382" s="252"/>
      <c r="BMN382" s="252"/>
      <c r="BMO382" s="252"/>
      <c r="BMP382" s="252"/>
      <c r="BMQ382" s="252"/>
      <c r="BMR382" s="252"/>
      <c r="BMS382" s="252"/>
      <c r="BMT382" s="252"/>
      <c r="BMU382" s="252"/>
      <c r="BMV382" s="252"/>
      <c r="BMW382" s="252"/>
      <c r="BMX382" s="252"/>
      <c r="BMY382" s="252"/>
      <c r="BMZ382" s="252"/>
      <c r="BNA382" s="252"/>
      <c r="BNB382" s="252"/>
      <c r="BNC382" s="252"/>
      <c r="BND382" s="252"/>
      <c r="BNE382" s="252"/>
      <c r="BNF382" s="252"/>
      <c r="BNG382" s="252"/>
      <c r="BNH382" s="252"/>
      <c r="BNI382" s="252"/>
      <c r="BNJ382" s="252"/>
      <c r="BNK382" s="252"/>
      <c r="BNL382" s="252"/>
      <c r="BNM382" s="252"/>
      <c r="BNN382" s="252"/>
      <c r="BNO382" s="252"/>
      <c r="BNP382" s="252"/>
      <c r="BNQ382" s="252"/>
      <c r="BNR382" s="252"/>
      <c r="BNS382" s="252"/>
      <c r="BNT382" s="252"/>
      <c r="BNU382" s="252"/>
      <c r="BNV382" s="252"/>
      <c r="BNW382" s="252"/>
      <c r="BNX382" s="252"/>
      <c r="BNY382" s="252"/>
      <c r="BNZ382" s="252"/>
      <c r="BOA382" s="252"/>
      <c r="BOB382" s="252"/>
      <c r="BOC382" s="252"/>
      <c r="BOD382" s="252"/>
      <c r="BOE382" s="252"/>
      <c r="BOF382" s="252"/>
      <c r="BOG382" s="252"/>
      <c r="BOH382" s="252"/>
      <c r="BOI382" s="252"/>
      <c r="BOJ382" s="252"/>
      <c r="BOK382" s="252"/>
      <c r="BOL382" s="252"/>
      <c r="BOM382" s="252"/>
      <c r="BON382" s="252"/>
      <c r="BOO382" s="252"/>
      <c r="BOP382" s="252"/>
      <c r="BOQ382" s="252"/>
      <c r="BOR382" s="252"/>
      <c r="BOS382" s="252"/>
      <c r="BOT382" s="252"/>
      <c r="BOU382" s="252"/>
      <c r="BOV382" s="252"/>
      <c r="BOW382" s="252"/>
      <c r="BOX382" s="252"/>
      <c r="BOY382" s="252"/>
      <c r="BOZ382" s="252"/>
      <c r="BPA382" s="252"/>
      <c r="BPB382" s="252"/>
      <c r="BPC382" s="252"/>
      <c r="BPD382" s="252"/>
      <c r="BPE382" s="252"/>
      <c r="BPF382" s="252"/>
      <c r="BPG382" s="252"/>
      <c r="BPH382" s="252"/>
      <c r="BPI382" s="252"/>
      <c r="BPJ382" s="252"/>
      <c r="BPK382" s="252"/>
      <c r="BPL382" s="252"/>
      <c r="BPM382" s="252"/>
      <c r="BPN382" s="252"/>
      <c r="BPO382" s="252"/>
      <c r="BPP382" s="252"/>
      <c r="BPQ382" s="252"/>
      <c r="BPR382" s="252"/>
      <c r="BPS382" s="252"/>
      <c r="BPT382" s="252"/>
      <c r="BPU382" s="252"/>
      <c r="BPV382" s="252"/>
      <c r="BPW382" s="252"/>
      <c r="BPX382" s="252"/>
      <c r="BPY382" s="252"/>
      <c r="BPZ382" s="252"/>
      <c r="BQA382" s="252"/>
      <c r="BQB382" s="252"/>
      <c r="BQC382" s="252"/>
      <c r="BQD382" s="252"/>
      <c r="BQE382" s="252"/>
      <c r="BQF382" s="252"/>
      <c r="BQG382" s="252"/>
      <c r="BQH382" s="252"/>
      <c r="BQI382" s="252"/>
      <c r="BQJ382" s="252"/>
      <c r="BQK382" s="252"/>
      <c r="BQL382" s="252"/>
      <c r="BQM382" s="252"/>
      <c r="BQN382" s="252"/>
      <c r="BQO382" s="252"/>
      <c r="BQP382" s="252"/>
      <c r="BQQ382" s="252"/>
      <c r="BQR382" s="252"/>
      <c r="BQS382" s="252"/>
      <c r="BQT382" s="252"/>
      <c r="BQU382" s="252"/>
      <c r="BQV382" s="252"/>
      <c r="BQW382" s="252"/>
      <c r="BQX382" s="252"/>
      <c r="BQY382" s="252"/>
      <c r="BQZ382" s="252"/>
      <c r="BRA382" s="252"/>
      <c r="BRB382" s="252"/>
      <c r="BRC382" s="252"/>
      <c r="BRD382" s="252"/>
      <c r="BRE382" s="252"/>
      <c r="BRF382" s="252"/>
      <c r="BRG382" s="252"/>
      <c r="BRH382" s="252"/>
      <c r="BRI382" s="252"/>
      <c r="BRJ382" s="252"/>
      <c r="BRK382" s="252"/>
      <c r="BRL382" s="252"/>
      <c r="BRM382" s="252"/>
      <c r="BRN382" s="252"/>
      <c r="BRO382" s="252"/>
      <c r="BRP382" s="252"/>
      <c r="BRQ382" s="252"/>
      <c r="BRR382" s="252"/>
      <c r="BRS382" s="252"/>
      <c r="BRT382" s="252"/>
      <c r="BRU382" s="252"/>
      <c r="BRV382" s="252"/>
      <c r="BRW382" s="252"/>
      <c r="BRX382" s="252"/>
      <c r="BRY382" s="252"/>
      <c r="BRZ382" s="252"/>
      <c r="BSA382" s="252"/>
      <c r="BSB382" s="252"/>
      <c r="BSC382" s="252"/>
      <c r="BSD382" s="252"/>
      <c r="BSE382" s="252"/>
      <c r="BSF382" s="252"/>
      <c r="BSG382" s="252"/>
      <c r="BSH382" s="252"/>
      <c r="BSI382" s="252"/>
      <c r="BSJ382" s="252"/>
      <c r="BSK382" s="252"/>
      <c r="BSL382" s="252"/>
      <c r="BSM382" s="252"/>
      <c r="BSN382" s="252"/>
      <c r="BSO382" s="252"/>
      <c r="BSP382" s="252"/>
      <c r="BSQ382" s="252"/>
      <c r="BSR382" s="252"/>
      <c r="BSS382" s="252"/>
      <c r="BST382" s="252"/>
      <c r="BSU382" s="252"/>
      <c r="BSV382" s="252"/>
      <c r="BSW382" s="252"/>
      <c r="BSX382" s="252"/>
      <c r="BSY382" s="252"/>
      <c r="BSZ382" s="252"/>
      <c r="BTA382" s="252"/>
      <c r="BTB382" s="252"/>
      <c r="BTC382" s="252"/>
      <c r="BTD382" s="252"/>
      <c r="BTE382" s="252"/>
      <c r="BTF382" s="252"/>
      <c r="BTG382" s="252"/>
      <c r="BTH382" s="252"/>
      <c r="BTI382" s="252"/>
      <c r="BTJ382" s="252"/>
      <c r="BTK382" s="252"/>
      <c r="BTL382" s="252"/>
      <c r="BTM382" s="252"/>
      <c r="BTN382" s="252"/>
      <c r="BTO382" s="252"/>
      <c r="BTP382" s="252"/>
      <c r="BTQ382" s="252"/>
      <c r="BTR382" s="252"/>
      <c r="BTS382" s="252"/>
      <c r="BTT382" s="252"/>
      <c r="BTU382" s="252"/>
      <c r="BTV382" s="252"/>
      <c r="BTW382" s="252"/>
      <c r="BTX382" s="252"/>
      <c r="BTY382" s="252"/>
      <c r="BTZ382" s="252"/>
      <c r="BUA382" s="252"/>
      <c r="BUB382" s="252"/>
      <c r="BUC382" s="252"/>
      <c r="BUD382" s="252"/>
      <c r="BUE382" s="252"/>
      <c r="BUF382" s="252"/>
      <c r="BUG382" s="252"/>
      <c r="BUH382" s="252"/>
      <c r="BUI382" s="252"/>
      <c r="BUJ382" s="252"/>
      <c r="BUK382" s="252"/>
      <c r="BUL382" s="252"/>
      <c r="BUM382" s="252"/>
      <c r="BUN382" s="252"/>
      <c r="BUO382" s="252"/>
      <c r="BUP382" s="252"/>
      <c r="BUQ382" s="252"/>
      <c r="BUR382" s="252"/>
      <c r="BUS382" s="252"/>
      <c r="BUT382" s="252"/>
      <c r="BUU382" s="252"/>
      <c r="BUV382" s="252"/>
      <c r="BUW382" s="252"/>
      <c r="BUX382" s="252"/>
      <c r="BUY382" s="252"/>
      <c r="BUZ382" s="252"/>
      <c r="BVA382" s="252"/>
      <c r="BVB382" s="252"/>
      <c r="BVC382" s="252"/>
      <c r="BVD382" s="252"/>
      <c r="BVE382" s="252"/>
      <c r="BVF382" s="252"/>
      <c r="BVG382" s="252"/>
      <c r="BVH382" s="252"/>
      <c r="BVI382" s="252"/>
      <c r="BVJ382" s="252"/>
      <c r="BVK382" s="252"/>
      <c r="BVL382" s="252"/>
      <c r="BVM382" s="252"/>
      <c r="BVN382" s="252"/>
      <c r="BVO382" s="252"/>
      <c r="BVP382" s="252"/>
      <c r="BVQ382" s="252"/>
      <c r="BVR382" s="252"/>
      <c r="BVS382" s="252"/>
      <c r="BVT382" s="252"/>
      <c r="BVU382" s="252"/>
      <c r="BVV382" s="252"/>
      <c r="BVW382" s="252"/>
      <c r="BVX382" s="252"/>
      <c r="BVY382" s="252"/>
      <c r="BVZ382" s="252"/>
      <c r="BWA382" s="252"/>
      <c r="BWB382" s="252"/>
      <c r="BWC382" s="252"/>
      <c r="BWD382" s="252"/>
      <c r="BWE382" s="252"/>
      <c r="BWF382" s="252"/>
      <c r="BWG382" s="252"/>
      <c r="BWH382" s="252"/>
      <c r="BWI382" s="252"/>
      <c r="BWJ382" s="252"/>
      <c r="BWK382" s="252"/>
      <c r="BWL382" s="252"/>
      <c r="BWM382" s="252"/>
      <c r="BWN382" s="252"/>
      <c r="BWO382" s="252"/>
      <c r="BWP382" s="252"/>
      <c r="BWQ382" s="252"/>
      <c r="BWR382" s="252"/>
      <c r="BWS382" s="252"/>
      <c r="BWT382" s="252"/>
      <c r="BWU382" s="252"/>
      <c r="BWV382" s="252"/>
      <c r="BWW382" s="252"/>
      <c r="BWX382" s="252"/>
      <c r="BWY382" s="252"/>
      <c r="BWZ382" s="252"/>
      <c r="BXA382" s="252"/>
      <c r="BXB382" s="252"/>
      <c r="BXC382" s="252"/>
      <c r="BXD382" s="252"/>
      <c r="BXE382" s="252"/>
      <c r="BXF382" s="252"/>
      <c r="BXG382" s="252"/>
      <c r="BXH382" s="252"/>
      <c r="BXI382" s="252"/>
      <c r="BXJ382" s="252"/>
      <c r="BXK382" s="252"/>
      <c r="BXL382" s="252"/>
      <c r="BXM382" s="252"/>
      <c r="BXN382" s="252"/>
      <c r="BXO382" s="252"/>
      <c r="BXP382" s="252"/>
      <c r="BXQ382" s="252"/>
      <c r="BXR382" s="252"/>
      <c r="BXS382" s="252"/>
      <c r="BXT382" s="252"/>
      <c r="BXU382" s="252"/>
      <c r="BXV382" s="252"/>
      <c r="BXW382" s="252"/>
      <c r="BXX382" s="252"/>
      <c r="BXY382" s="252"/>
      <c r="BXZ382" s="252"/>
      <c r="BYA382" s="252"/>
      <c r="BYB382" s="252"/>
      <c r="BYC382" s="252"/>
      <c r="BYD382" s="252"/>
      <c r="BYE382" s="252"/>
      <c r="BYF382" s="252"/>
      <c r="BYG382" s="252"/>
      <c r="BYH382" s="252"/>
      <c r="BYI382" s="252"/>
      <c r="BYJ382" s="252"/>
      <c r="BYK382" s="252"/>
      <c r="BYL382" s="252"/>
      <c r="BYM382" s="252"/>
      <c r="BYN382" s="252"/>
      <c r="BYO382" s="252"/>
      <c r="BYP382" s="252"/>
      <c r="BYQ382" s="252"/>
      <c r="BYR382" s="252"/>
      <c r="BYS382" s="252"/>
      <c r="BYT382" s="252"/>
      <c r="BYU382" s="252"/>
      <c r="BYV382" s="252"/>
      <c r="BYW382" s="252"/>
      <c r="BYX382" s="252"/>
      <c r="BYY382" s="252"/>
      <c r="BYZ382" s="252"/>
      <c r="BZA382" s="252"/>
      <c r="BZB382" s="252"/>
      <c r="BZC382" s="252"/>
      <c r="BZD382" s="252"/>
      <c r="BZE382" s="252"/>
      <c r="BZF382" s="252"/>
      <c r="BZG382" s="252"/>
      <c r="BZH382" s="252"/>
      <c r="BZI382" s="252"/>
      <c r="BZJ382" s="252"/>
      <c r="BZK382" s="252"/>
      <c r="BZL382" s="252"/>
      <c r="BZM382" s="252"/>
      <c r="BZN382" s="252"/>
      <c r="BZO382" s="252"/>
      <c r="BZP382" s="252"/>
      <c r="BZQ382" s="252"/>
      <c r="BZR382" s="252"/>
      <c r="BZS382" s="252"/>
      <c r="BZT382" s="252"/>
      <c r="BZU382" s="252"/>
      <c r="BZV382" s="252"/>
      <c r="BZW382" s="252"/>
      <c r="BZX382" s="252"/>
      <c r="BZY382" s="252"/>
      <c r="BZZ382" s="252"/>
      <c r="CAA382" s="252"/>
      <c r="CAB382" s="252"/>
      <c r="CAC382" s="252"/>
      <c r="CAD382" s="252"/>
      <c r="CAE382" s="252"/>
      <c r="CAF382" s="252"/>
      <c r="CAG382" s="252"/>
      <c r="CAH382" s="252"/>
      <c r="CAI382" s="252"/>
      <c r="CAJ382" s="252"/>
      <c r="CAK382" s="252"/>
      <c r="CAL382" s="252"/>
      <c r="CAM382" s="252"/>
      <c r="CAN382" s="252"/>
      <c r="CAO382" s="252"/>
      <c r="CAP382" s="252"/>
      <c r="CAQ382" s="252"/>
      <c r="CAR382" s="252"/>
      <c r="CAS382" s="252"/>
      <c r="CAT382" s="252"/>
      <c r="CAU382" s="252"/>
      <c r="CAV382" s="252"/>
      <c r="CAW382" s="252"/>
      <c r="CAX382" s="252"/>
      <c r="CAY382" s="252"/>
      <c r="CAZ382" s="252"/>
      <c r="CBA382" s="252"/>
      <c r="CBB382" s="252"/>
      <c r="CBC382" s="252"/>
      <c r="CBD382" s="252"/>
      <c r="CBE382" s="252"/>
      <c r="CBF382" s="252"/>
      <c r="CBG382" s="252"/>
      <c r="CBH382" s="252"/>
      <c r="CBI382" s="252"/>
      <c r="CBJ382" s="252"/>
      <c r="CBK382" s="252"/>
      <c r="CBL382" s="252"/>
      <c r="CBM382" s="252"/>
      <c r="CBN382" s="252"/>
      <c r="CBO382" s="252"/>
      <c r="CBP382" s="252"/>
      <c r="CBQ382" s="252"/>
      <c r="CBR382" s="252"/>
      <c r="CBS382" s="252"/>
      <c r="CBT382" s="252"/>
      <c r="CBU382" s="252"/>
      <c r="CBV382" s="252"/>
      <c r="CBW382" s="252"/>
      <c r="CBX382" s="252"/>
      <c r="CBY382" s="252"/>
      <c r="CBZ382" s="252"/>
      <c r="CCA382" s="252"/>
      <c r="CCB382" s="252"/>
      <c r="CCC382" s="252"/>
      <c r="CCD382" s="252"/>
      <c r="CCE382" s="252"/>
      <c r="CCF382" s="252"/>
      <c r="CCG382" s="252"/>
      <c r="CCH382" s="252"/>
      <c r="CCI382" s="252"/>
      <c r="CCJ382" s="252"/>
      <c r="CCK382" s="252"/>
      <c r="CCL382" s="252"/>
      <c r="CCM382" s="252"/>
      <c r="CCN382" s="252"/>
      <c r="CCO382" s="252"/>
      <c r="CCP382" s="252"/>
      <c r="CCQ382" s="252"/>
      <c r="CCR382" s="252"/>
      <c r="CCS382" s="252"/>
      <c r="CCT382" s="252"/>
      <c r="CCU382" s="252"/>
      <c r="CCV382" s="252"/>
      <c r="CCW382" s="252"/>
      <c r="CCX382" s="252"/>
      <c r="CCY382" s="252"/>
      <c r="CCZ382" s="252"/>
      <c r="CDA382" s="252"/>
      <c r="CDB382" s="252"/>
      <c r="CDC382" s="252"/>
      <c r="CDD382" s="252"/>
      <c r="CDE382" s="252"/>
      <c r="CDF382" s="252"/>
      <c r="CDG382" s="252"/>
      <c r="CDH382" s="252"/>
      <c r="CDI382" s="252"/>
      <c r="CDJ382" s="252"/>
      <c r="CDK382" s="252"/>
      <c r="CDL382" s="252"/>
      <c r="CDM382" s="252"/>
      <c r="CDN382" s="252"/>
      <c r="CDO382" s="252"/>
      <c r="CDP382" s="252"/>
      <c r="CDQ382" s="252"/>
      <c r="CDR382" s="252"/>
      <c r="CDS382" s="252"/>
      <c r="CDT382" s="252"/>
      <c r="CDU382" s="252"/>
      <c r="CDV382" s="252"/>
      <c r="CDW382" s="252"/>
      <c r="CDX382" s="252"/>
      <c r="CDY382" s="252"/>
      <c r="CDZ382" s="252"/>
      <c r="CEA382" s="252"/>
      <c r="CEB382" s="252"/>
      <c r="CEC382" s="252"/>
      <c r="CED382" s="252"/>
      <c r="CEE382" s="252"/>
      <c r="CEF382" s="252"/>
      <c r="CEG382" s="252"/>
      <c r="CEH382" s="252"/>
      <c r="CEI382" s="252"/>
      <c r="CEJ382" s="252"/>
      <c r="CEK382" s="252"/>
      <c r="CEL382" s="252"/>
      <c r="CEM382" s="252"/>
      <c r="CEN382" s="252"/>
      <c r="CEO382" s="252"/>
      <c r="CEP382" s="252"/>
      <c r="CEQ382" s="252"/>
      <c r="CER382" s="252"/>
      <c r="CES382" s="252"/>
      <c r="CET382" s="252"/>
      <c r="CEU382" s="252"/>
      <c r="CEV382" s="252"/>
      <c r="CEW382" s="252"/>
      <c r="CEX382" s="252"/>
      <c r="CEY382" s="252"/>
      <c r="CEZ382" s="252"/>
      <c r="CFA382" s="252"/>
      <c r="CFB382" s="252"/>
      <c r="CFC382" s="252"/>
      <c r="CFD382" s="252"/>
      <c r="CFE382" s="252"/>
      <c r="CFF382" s="252"/>
      <c r="CFG382" s="252"/>
      <c r="CFH382" s="252"/>
      <c r="CFI382" s="252"/>
      <c r="CFJ382" s="252"/>
      <c r="CFK382" s="252"/>
      <c r="CFL382" s="252"/>
      <c r="CFM382" s="252"/>
      <c r="CFN382" s="252"/>
      <c r="CFO382" s="252"/>
      <c r="CFP382" s="252"/>
      <c r="CFQ382" s="252"/>
      <c r="CFR382" s="252"/>
      <c r="CFS382" s="252"/>
      <c r="CFT382" s="252"/>
      <c r="CFU382" s="252"/>
      <c r="CFV382" s="252"/>
      <c r="CFW382" s="252"/>
      <c r="CFX382" s="252"/>
      <c r="CFY382" s="252"/>
      <c r="CFZ382" s="252"/>
      <c r="CGA382" s="252"/>
      <c r="CGB382" s="252"/>
      <c r="CGC382" s="252"/>
      <c r="CGD382" s="252"/>
      <c r="CGE382" s="252"/>
      <c r="CGF382" s="252"/>
      <c r="CGG382" s="252"/>
      <c r="CGH382" s="252"/>
      <c r="CGI382" s="252"/>
      <c r="CGJ382" s="252"/>
      <c r="CGK382" s="252"/>
      <c r="CGL382" s="252"/>
      <c r="CGM382" s="252"/>
      <c r="CGN382" s="252"/>
      <c r="CGO382" s="252"/>
      <c r="CGP382" s="252"/>
      <c r="CGQ382" s="252"/>
      <c r="CGR382" s="252"/>
      <c r="CGS382" s="252"/>
      <c r="CGT382" s="252"/>
      <c r="CGU382" s="252"/>
      <c r="CGV382" s="252"/>
      <c r="CGW382" s="252"/>
      <c r="CGX382" s="252"/>
      <c r="CGY382" s="252"/>
      <c r="CGZ382" s="252"/>
      <c r="CHA382" s="252"/>
      <c r="CHB382" s="252"/>
      <c r="CHC382" s="252"/>
      <c r="CHD382" s="252"/>
      <c r="CHE382" s="252"/>
      <c r="CHF382" s="252"/>
      <c r="CHG382" s="252"/>
      <c r="CHH382" s="252"/>
      <c r="CHI382" s="252"/>
      <c r="CHJ382" s="252"/>
      <c r="CHK382" s="252"/>
      <c r="CHL382" s="252"/>
      <c r="CHM382" s="252"/>
      <c r="CHN382" s="252"/>
      <c r="CHO382" s="252"/>
      <c r="CHP382" s="252"/>
      <c r="CHQ382" s="252"/>
      <c r="CHR382" s="252"/>
      <c r="CHS382" s="252"/>
      <c r="CHT382" s="252"/>
      <c r="CHU382" s="252"/>
      <c r="CHV382" s="252"/>
      <c r="CHW382" s="252"/>
      <c r="CHX382" s="252"/>
      <c r="CHY382" s="252"/>
      <c r="CHZ382" s="252"/>
      <c r="CIA382" s="252"/>
      <c r="CIB382" s="252"/>
      <c r="CIC382" s="252"/>
      <c r="CID382" s="252"/>
      <c r="CIE382" s="252"/>
      <c r="CIF382" s="252"/>
      <c r="CIG382" s="252"/>
      <c r="CIH382" s="252"/>
      <c r="CII382" s="252"/>
      <c r="CIJ382" s="252"/>
      <c r="CIK382" s="252"/>
      <c r="CIL382" s="252"/>
      <c r="CIM382" s="252"/>
      <c r="CIN382" s="252"/>
      <c r="CIO382" s="252"/>
      <c r="CIP382" s="252"/>
      <c r="CIQ382" s="252"/>
      <c r="CIR382" s="252"/>
      <c r="CIS382" s="252"/>
      <c r="CIT382" s="252"/>
      <c r="CIU382" s="252"/>
      <c r="CIV382" s="252"/>
      <c r="CIW382" s="252"/>
      <c r="CIX382" s="252"/>
      <c r="CIY382" s="252"/>
      <c r="CIZ382" s="252"/>
      <c r="CJA382" s="252"/>
      <c r="CJB382" s="252"/>
      <c r="CJC382" s="252"/>
      <c r="CJD382" s="252"/>
      <c r="CJE382" s="252"/>
      <c r="CJF382" s="252"/>
      <c r="CJG382" s="252"/>
      <c r="CJH382" s="252"/>
      <c r="CJI382" s="252"/>
      <c r="CJJ382" s="252"/>
      <c r="CJK382" s="252"/>
      <c r="CJL382" s="252"/>
      <c r="CJM382" s="252"/>
      <c r="CJN382" s="252"/>
      <c r="CJO382" s="252"/>
      <c r="CJP382" s="252"/>
      <c r="CJQ382" s="252"/>
      <c r="CJR382" s="252"/>
      <c r="CJS382" s="252"/>
      <c r="CJT382" s="252"/>
      <c r="CJU382" s="252"/>
      <c r="CJV382" s="252"/>
      <c r="CJW382" s="252"/>
      <c r="CJX382" s="252"/>
      <c r="CJY382" s="252"/>
      <c r="CJZ382" s="252"/>
      <c r="CKA382" s="252"/>
      <c r="CKB382" s="252"/>
      <c r="CKC382" s="252"/>
      <c r="CKD382" s="252"/>
      <c r="CKE382" s="252"/>
      <c r="CKF382" s="252"/>
      <c r="CKG382" s="252"/>
      <c r="CKH382" s="252"/>
      <c r="CKI382" s="252"/>
      <c r="CKJ382" s="252"/>
      <c r="CKK382" s="252"/>
      <c r="CKL382" s="252"/>
      <c r="CKM382" s="252"/>
      <c r="CKN382" s="252"/>
      <c r="CKO382" s="252"/>
      <c r="CKP382" s="252"/>
      <c r="CKQ382" s="252"/>
      <c r="CKR382" s="252"/>
      <c r="CKS382" s="252"/>
      <c r="CKT382" s="252"/>
      <c r="CKU382" s="252"/>
      <c r="CKV382" s="252"/>
      <c r="CKW382" s="252"/>
      <c r="CKX382" s="252"/>
      <c r="CKY382" s="252"/>
      <c r="CKZ382" s="252"/>
      <c r="CLA382" s="252"/>
      <c r="CLB382" s="252"/>
      <c r="CLC382" s="252"/>
      <c r="CLD382" s="252"/>
      <c r="CLE382" s="252"/>
      <c r="CLF382" s="252"/>
      <c r="CLG382" s="252"/>
      <c r="CLH382" s="252"/>
      <c r="CLI382" s="252"/>
      <c r="CLJ382" s="252"/>
      <c r="CLK382" s="252"/>
      <c r="CLL382" s="252"/>
      <c r="CLM382" s="252"/>
      <c r="CLN382" s="252"/>
      <c r="CLO382" s="252"/>
      <c r="CLP382" s="252"/>
      <c r="CLQ382" s="252"/>
      <c r="CLR382" s="252"/>
      <c r="CLS382" s="252"/>
      <c r="CLT382" s="252"/>
      <c r="CLU382" s="252"/>
      <c r="CLV382" s="252"/>
      <c r="CLW382" s="252"/>
      <c r="CLX382" s="252"/>
      <c r="CLY382" s="252"/>
      <c r="CLZ382" s="252"/>
      <c r="CMA382" s="252"/>
      <c r="CMB382" s="252"/>
      <c r="CMC382" s="252"/>
      <c r="CMD382" s="252"/>
      <c r="CME382" s="252"/>
      <c r="CMF382" s="252"/>
      <c r="CMG382" s="252"/>
      <c r="CMH382" s="252"/>
      <c r="CMI382" s="252"/>
      <c r="CMJ382" s="252"/>
      <c r="CMK382" s="252"/>
      <c r="CML382" s="252"/>
      <c r="CMM382" s="252"/>
      <c r="CMN382" s="252"/>
      <c r="CMO382" s="252"/>
      <c r="CMP382" s="252"/>
      <c r="CMQ382" s="252"/>
      <c r="CMR382" s="252"/>
      <c r="CMS382" s="252"/>
      <c r="CMT382" s="252"/>
      <c r="CMU382" s="252"/>
      <c r="CMV382" s="252"/>
      <c r="CMW382" s="252"/>
      <c r="CMX382" s="252"/>
      <c r="CMY382" s="252"/>
      <c r="CMZ382" s="252"/>
      <c r="CNA382" s="252"/>
      <c r="CNB382" s="252"/>
      <c r="CNC382" s="252"/>
      <c r="CND382" s="252"/>
      <c r="CNE382" s="252"/>
      <c r="CNF382" s="252"/>
      <c r="CNG382" s="252"/>
      <c r="CNH382" s="252"/>
      <c r="CNI382" s="252"/>
      <c r="CNJ382" s="252"/>
      <c r="CNK382" s="252"/>
      <c r="CNL382" s="252"/>
      <c r="CNM382" s="252"/>
      <c r="CNN382" s="252"/>
      <c r="CNO382" s="252"/>
      <c r="CNP382" s="252"/>
      <c r="CNQ382" s="252"/>
      <c r="CNR382" s="252"/>
      <c r="CNS382" s="252"/>
      <c r="CNT382" s="252"/>
      <c r="CNU382" s="252"/>
      <c r="CNV382" s="252"/>
      <c r="CNW382" s="252"/>
      <c r="CNX382" s="252"/>
      <c r="CNY382" s="252"/>
      <c r="CNZ382" s="252"/>
      <c r="COA382" s="252"/>
      <c r="COB382" s="252"/>
      <c r="COC382" s="252"/>
      <c r="COD382" s="252"/>
      <c r="COE382" s="252"/>
      <c r="COF382" s="252"/>
      <c r="COG382" s="252"/>
      <c r="COH382" s="252"/>
      <c r="COI382" s="252"/>
      <c r="COJ382" s="252"/>
      <c r="COK382" s="252"/>
      <c r="COL382" s="252"/>
      <c r="COM382" s="252"/>
      <c r="CON382" s="252"/>
      <c r="COO382" s="252"/>
      <c r="COP382" s="252"/>
      <c r="COQ382" s="252"/>
      <c r="COR382" s="252"/>
      <c r="COS382" s="252"/>
      <c r="COT382" s="252"/>
      <c r="COU382" s="252"/>
      <c r="COV382" s="252"/>
      <c r="COW382" s="252"/>
      <c r="COX382" s="252"/>
      <c r="COY382" s="252"/>
      <c r="COZ382" s="252"/>
      <c r="CPA382" s="252"/>
      <c r="CPB382" s="252"/>
      <c r="CPC382" s="252"/>
      <c r="CPD382" s="252"/>
      <c r="CPE382" s="252"/>
      <c r="CPF382" s="252"/>
      <c r="CPG382" s="252"/>
      <c r="CPH382" s="252"/>
      <c r="CPI382" s="252"/>
      <c r="CPJ382" s="252"/>
      <c r="CPK382" s="252"/>
      <c r="CPL382" s="252"/>
      <c r="CPM382" s="252"/>
      <c r="CPN382" s="252"/>
      <c r="CPO382" s="252"/>
      <c r="CPP382" s="252"/>
      <c r="CPQ382" s="252"/>
      <c r="CPR382" s="252"/>
      <c r="CPS382" s="252"/>
      <c r="CPT382" s="252"/>
      <c r="CPU382" s="252"/>
      <c r="CPV382" s="252"/>
      <c r="CPW382" s="252"/>
      <c r="CPX382" s="252"/>
      <c r="CPY382" s="252"/>
      <c r="CPZ382" s="252"/>
      <c r="CQA382" s="252"/>
      <c r="CQB382" s="252"/>
      <c r="CQC382" s="252"/>
      <c r="CQD382" s="252"/>
      <c r="CQE382" s="252"/>
      <c r="CQF382" s="252"/>
      <c r="CQG382" s="252"/>
      <c r="CQH382" s="252"/>
      <c r="CQI382" s="252"/>
      <c r="CQJ382" s="252"/>
      <c r="CQK382" s="252"/>
      <c r="CQL382" s="252"/>
      <c r="CQM382" s="252"/>
      <c r="CQN382" s="252"/>
      <c r="CQO382" s="252"/>
      <c r="CQP382" s="252"/>
      <c r="CQQ382" s="252"/>
      <c r="CQR382" s="252"/>
      <c r="CQS382" s="252"/>
      <c r="CQT382" s="252"/>
      <c r="CQU382" s="252"/>
      <c r="CQV382" s="252"/>
      <c r="CQW382" s="252"/>
      <c r="CQX382" s="252"/>
      <c r="CQY382" s="252"/>
      <c r="CQZ382" s="252"/>
      <c r="CRA382" s="252"/>
      <c r="CRB382" s="252"/>
      <c r="CRC382" s="252"/>
      <c r="CRD382" s="252"/>
      <c r="CRE382" s="252"/>
      <c r="CRF382" s="252"/>
      <c r="CRG382" s="252"/>
      <c r="CRH382" s="252"/>
      <c r="CRI382" s="252"/>
      <c r="CRJ382" s="252"/>
      <c r="CRK382" s="252"/>
      <c r="CRL382" s="252"/>
      <c r="CRM382" s="252"/>
      <c r="CRN382" s="252"/>
      <c r="CRO382" s="252"/>
      <c r="CRP382" s="252"/>
      <c r="CRQ382" s="252"/>
      <c r="CRR382" s="252"/>
      <c r="CRS382" s="252"/>
      <c r="CRT382" s="252"/>
      <c r="CRU382" s="252"/>
      <c r="CRV382" s="252"/>
      <c r="CRW382" s="252"/>
      <c r="CRX382" s="252"/>
      <c r="CRY382" s="252"/>
      <c r="CRZ382" s="252"/>
      <c r="CSA382" s="252"/>
      <c r="CSB382" s="252"/>
      <c r="CSC382" s="252"/>
      <c r="CSD382" s="252"/>
      <c r="CSE382" s="252"/>
      <c r="CSF382" s="252"/>
      <c r="CSG382" s="252"/>
      <c r="CSH382" s="252"/>
      <c r="CSI382" s="252"/>
      <c r="CSJ382" s="252"/>
      <c r="CSK382" s="252"/>
      <c r="CSL382" s="252"/>
      <c r="CSM382" s="252"/>
      <c r="CSN382" s="252"/>
      <c r="CSO382" s="252"/>
      <c r="CSP382" s="252"/>
      <c r="CSQ382" s="252"/>
      <c r="CSR382" s="252"/>
      <c r="CSS382" s="252"/>
      <c r="CST382" s="252"/>
      <c r="CSU382" s="252"/>
      <c r="CSV382" s="252"/>
      <c r="CSW382" s="252"/>
      <c r="CSX382" s="252"/>
      <c r="CSY382" s="252"/>
      <c r="CSZ382" s="252"/>
      <c r="CTA382" s="252"/>
      <c r="CTB382" s="252"/>
      <c r="CTC382" s="252"/>
      <c r="CTD382" s="252"/>
      <c r="CTE382" s="252"/>
      <c r="CTF382" s="252"/>
      <c r="CTG382" s="252"/>
      <c r="CTH382" s="252"/>
      <c r="CTI382" s="252"/>
      <c r="CTJ382" s="252"/>
      <c r="CTK382" s="252"/>
      <c r="CTL382" s="252"/>
      <c r="CTM382" s="252"/>
      <c r="CTN382" s="252"/>
      <c r="CTO382" s="252"/>
      <c r="CTP382" s="252"/>
      <c r="CTQ382" s="252"/>
      <c r="CTR382" s="252"/>
      <c r="CTS382" s="252"/>
      <c r="CTT382" s="252"/>
      <c r="CTU382" s="252"/>
      <c r="CTV382" s="252"/>
      <c r="CTW382" s="252"/>
      <c r="CTX382" s="252"/>
      <c r="CTY382" s="252"/>
      <c r="CTZ382" s="252"/>
      <c r="CUA382" s="252"/>
      <c r="CUB382" s="252"/>
      <c r="CUC382" s="252"/>
      <c r="CUD382" s="252"/>
      <c r="CUE382" s="252"/>
      <c r="CUF382" s="252"/>
      <c r="CUG382" s="252"/>
      <c r="CUH382" s="252"/>
      <c r="CUI382" s="252"/>
      <c r="CUJ382" s="252"/>
      <c r="CUK382" s="252"/>
      <c r="CUL382" s="252"/>
      <c r="CUM382" s="252"/>
      <c r="CUN382" s="252"/>
      <c r="CUO382" s="252"/>
      <c r="CUP382" s="252"/>
      <c r="CUQ382" s="252"/>
      <c r="CUR382" s="252"/>
      <c r="CUS382" s="252"/>
      <c r="CUT382" s="252"/>
      <c r="CUU382" s="252"/>
      <c r="CUV382" s="252"/>
      <c r="CUW382" s="252"/>
      <c r="CUX382" s="252"/>
      <c r="CUY382" s="252"/>
      <c r="CUZ382" s="252"/>
      <c r="CVA382" s="252"/>
      <c r="CVB382" s="252"/>
      <c r="CVC382" s="252"/>
      <c r="CVD382" s="252"/>
      <c r="CVE382" s="252"/>
      <c r="CVF382" s="252"/>
      <c r="CVG382" s="252"/>
      <c r="CVH382" s="252"/>
      <c r="CVI382" s="252"/>
      <c r="CVJ382" s="252"/>
      <c r="CVK382" s="252"/>
      <c r="CVL382" s="252"/>
      <c r="CVM382" s="252"/>
      <c r="CVN382" s="252"/>
      <c r="CVO382" s="252"/>
      <c r="CVP382" s="252"/>
      <c r="CVQ382" s="252"/>
      <c r="CVR382" s="252"/>
      <c r="CVS382" s="252"/>
      <c r="CVT382" s="252"/>
      <c r="CVU382" s="252"/>
      <c r="CVV382" s="252"/>
      <c r="CVW382" s="252"/>
      <c r="CVX382" s="252"/>
      <c r="CVY382" s="252"/>
      <c r="CVZ382" s="252"/>
      <c r="CWA382" s="252"/>
      <c r="CWB382" s="252"/>
      <c r="CWC382" s="252"/>
      <c r="CWD382" s="252"/>
      <c r="CWE382" s="252"/>
      <c r="CWF382" s="252"/>
      <c r="CWG382" s="252"/>
      <c r="CWH382" s="252"/>
      <c r="CWI382" s="252"/>
      <c r="CWJ382" s="252"/>
      <c r="CWK382" s="252"/>
      <c r="CWL382" s="252"/>
      <c r="CWM382" s="252"/>
      <c r="CWN382" s="252"/>
      <c r="CWO382" s="252"/>
      <c r="CWP382" s="252"/>
      <c r="CWQ382" s="252"/>
      <c r="CWR382" s="252"/>
      <c r="CWS382" s="252"/>
      <c r="CWT382" s="252"/>
      <c r="CWU382" s="252"/>
      <c r="CWV382" s="252"/>
      <c r="CWW382" s="252"/>
      <c r="CWX382" s="252"/>
      <c r="CWY382" s="252"/>
      <c r="CWZ382" s="252"/>
      <c r="CXA382" s="252"/>
      <c r="CXB382" s="252"/>
      <c r="CXC382" s="252"/>
      <c r="CXD382" s="252"/>
      <c r="CXE382" s="252"/>
      <c r="CXF382" s="252"/>
      <c r="CXG382" s="252"/>
      <c r="CXH382" s="252"/>
      <c r="CXI382" s="252"/>
      <c r="CXJ382" s="252"/>
      <c r="CXK382" s="252"/>
      <c r="CXL382" s="252"/>
      <c r="CXM382" s="252"/>
      <c r="CXN382" s="252"/>
      <c r="CXO382" s="252"/>
      <c r="CXP382" s="252"/>
      <c r="CXQ382" s="252"/>
      <c r="CXR382" s="252"/>
      <c r="CXS382" s="252"/>
      <c r="CXT382" s="252"/>
      <c r="CXU382" s="252"/>
      <c r="CXV382" s="252"/>
      <c r="CXW382" s="252"/>
      <c r="CXX382" s="252"/>
      <c r="CXY382" s="252"/>
      <c r="CXZ382" s="252"/>
      <c r="CYA382" s="252"/>
      <c r="CYB382" s="252"/>
      <c r="CYC382" s="252"/>
      <c r="CYD382" s="252"/>
      <c r="CYE382" s="252"/>
      <c r="CYF382" s="252"/>
      <c r="CYG382" s="252"/>
      <c r="CYH382" s="252"/>
      <c r="CYI382" s="252"/>
      <c r="CYJ382" s="252"/>
      <c r="CYK382" s="252"/>
      <c r="CYL382" s="252"/>
      <c r="CYM382" s="252"/>
      <c r="CYN382" s="252"/>
      <c r="CYO382" s="252"/>
      <c r="CYP382" s="252"/>
      <c r="CYQ382" s="252"/>
      <c r="CYR382" s="252"/>
      <c r="CYS382" s="252"/>
      <c r="CYT382" s="252"/>
      <c r="CYU382" s="252"/>
      <c r="CYV382" s="252"/>
      <c r="CYW382" s="252"/>
      <c r="CYX382" s="252"/>
      <c r="CYY382" s="252"/>
      <c r="CYZ382" s="252"/>
      <c r="CZA382" s="252"/>
      <c r="CZB382" s="252"/>
      <c r="CZC382" s="252"/>
      <c r="CZD382" s="252"/>
      <c r="CZE382" s="252"/>
      <c r="CZF382" s="252"/>
      <c r="CZG382" s="252"/>
      <c r="CZH382" s="252"/>
      <c r="CZI382" s="252"/>
      <c r="CZJ382" s="252"/>
      <c r="CZK382" s="252"/>
      <c r="CZL382" s="252"/>
      <c r="CZM382" s="252"/>
      <c r="CZN382" s="252"/>
      <c r="CZO382" s="252"/>
      <c r="CZP382" s="252"/>
      <c r="CZQ382" s="252"/>
      <c r="CZR382" s="252"/>
      <c r="CZS382" s="252"/>
      <c r="CZT382" s="252"/>
      <c r="CZU382" s="252"/>
      <c r="CZV382" s="252"/>
      <c r="CZW382" s="252"/>
      <c r="CZX382" s="252"/>
      <c r="CZY382" s="252"/>
      <c r="CZZ382" s="252"/>
      <c r="DAA382" s="252"/>
      <c r="DAB382" s="252"/>
      <c r="DAC382" s="252"/>
      <c r="DAD382" s="252"/>
      <c r="DAE382" s="252"/>
      <c r="DAF382" s="252"/>
      <c r="DAG382" s="252"/>
      <c r="DAH382" s="252"/>
      <c r="DAI382" s="252"/>
      <c r="DAJ382" s="252"/>
      <c r="DAK382" s="252"/>
      <c r="DAL382" s="252"/>
      <c r="DAM382" s="252"/>
      <c r="DAN382" s="252"/>
      <c r="DAO382" s="252"/>
      <c r="DAP382" s="252"/>
      <c r="DAQ382" s="252"/>
      <c r="DAR382" s="252"/>
      <c r="DAS382" s="252"/>
      <c r="DAT382" s="252"/>
      <c r="DAU382" s="252"/>
      <c r="DAV382" s="252"/>
      <c r="DAW382" s="252"/>
      <c r="DAX382" s="252"/>
      <c r="DAY382" s="252"/>
      <c r="DAZ382" s="252"/>
      <c r="DBA382" s="252"/>
      <c r="DBB382" s="252"/>
      <c r="DBC382" s="252"/>
      <c r="DBD382" s="252"/>
      <c r="DBE382" s="252"/>
      <c r="DBF382" s="252"/>
      <c r="DBG382" s="252"/>
      <c r="DBH382" s="252"/>
      <c r="DBI382" s="252"/>
      <c r="DBJ382" s="252"/>
      <c r="DBK382" s="252"/>
      <c r="DBL382" s="252"/>
      <c r="DBM382" s="252"/>
      <c r="DBN382" s="252"/>
      <c r="DBO382" s="252"/>
      <c r="DBP382" s="252"/>
      <c r="DBQ382" s="252"/>
      <c r="DBR382" s="252"/>
      <c r="DBS382" s="252"/>
      <c r="DBT382" s="252"/>
      <c r="DBU382" s="252"/>
      <c r="DBV382" s="252"/>
      <c r="DBW382" s="252"/>
      <c r="DBX382" s="252"/>
      <c r="DBY382" s="252"/>
      <c r="DBZ382" s="252"/>
      <c r="DCA382" s="252"/>
      <c r="DCB382" s="252"/>
      <c r="DCC382" s="252"/>
      <c r="DCD382" s="252"/>
      <c r="DCE382" s="252"/>
      <c r="DCF382" s="252"/>
      <c r="DCG382" s="252"/>
      <c r="DCH382" s="252"/>
      <c r="DCI382" s="252"/>
      <c r="DCJ382" s="252"/>
      <c r="DCK382" s="252"/>
      <c r="DCL382" s="252"/>
      <c r="DCM382" s="252"/>
      <c r="DCN382" s="252"/>
      <c r="DCO382" s="252"/>
      <c r="DCP382" s="252"/>
      <c r="DCQ382" s="252"/>
      <c r="DCR382" s="252"/>
      <c r="DCS382" s="252"/>
      <c r="DCT382" s="252"/>
      <c r="DCU382" s="252"/>
      <c r="DCV382" s="252"/>
      <c r="DCW382" s="252"/>
      <c r="DCX382" s="252"/>
      <c r="DCY382" s="252"/>
      <c r="DCZ382" s="252"/>
      <c r="DDA382" s="252"/>
      <c r="DDB382" s="252"/>
      <c r="DDC382" s="252"/>
      <c r="DDD382" s="252"/>
      <c r="DDE382" s="252"/>
      <c r="DDF382" s="252"/>
      <c r="DDG382" s="252"/>
      <c r="DDH382" s="252"/>
      <c r="DDI382" s="252"/>
      <c r="DDJ382" s="252"/>
      <c r="DDK382" s="252"/>
      <c r="DDL382" s="252"/>
      <c r="DDM382" s="252"/>
      <c r="DDN382" s="252"/>
      <c r="DDO382" s="252"/>
      <c r="DDP382" s="252"/>
      <c r="DDQ382" s="252"/>
      <c r="DDR382" s="252"/>
      <c r="DDS382" s="252"/>
      <c r="DDT382" s="252"/>
      <c r="DDU382" s="252"/>
      <c r="DDV382" s="252"/>
      <c r="DDW382" s="252"/>
      <c r="DDX382" s="252"/>
      <c r="DDY382" s="252"/>
      <c r="DDZ382" s="252"/>
      <c r="DEA382" s="252"/>
      <c r="DEB382" s="252"/>
      <c r="DEC382" s="252"/>
      <c r="DED382" s="252"/>
      <c r="DEE382" s="252"/>
      <c r="DEF382" s="252"/>
      <c r="DEG382" s="252"/>
      <c r="DEH382" s="252"/>
      <c r="DEI382" s="252"/>
      <c r="DEJ382" s="252"/>
      <c r="DEK382" s="252"/>
      <c r="DEL382" s="252"/>
      <c r="DEM382" s="252"/>
      <c r="DEN382" s="252"/>
      <c r="DEO382" s="252"/>
      <c r="DEP382" s="252"/>
      <c r="DEQ382" s="252"/>
      <c r="DER382" s="252"/>
      <c r="DES382" s="252"/>
      <c r="DET382" s="252"/>
      <c r="DEU382" s="252"/>
      <c r="DEV382" s="252"/>
      <c r="DEW382" s="252"/>
      <c r="DEX382" s="252"/>
      <c r="DEY382" s="252"/>
      <c r="DEZ382" s="252"/>
      <c r="DFA382" s="252"/>
      <c r="DFB382" s="252"/>
      <c r="DFC382" s="252"/>
      <c r="DFD382" s="252"/>
      <c r="DFE382" s="252"/>
      <c r="DFF382" s="252"/>
      <c r="DFG382" s="252"/>
      <c r="DFH382" s="252"/>
      <c r="DFI382" s="252"/>
      <c r="DFJ382" s="252"/>
      <c r="DFK382" s="252"/>
      <c r="DFL382" s="252"/>
      <c r="DFM382" s="252"/>
      <c r="DFN382" s="252"/>
      <c r="DFO382" s="252"/>
      <c r="DFP382" s="252"/>
      <c r="DFQ382" s="252"/>
      <c r="DFR382" s="252"/>
      <c r="DFS382" s="252"/>
      <c r="DFT382" s="252"/>
      <c r="DFU382" s="252"/>
      <c r="DFV382" s="252"/>
      <c r="DFW382" s="252"/>
      <c r="DFX382" s="252"/>
      <c r="DFY382" s="252"/>
      <c r="DFZ382" s="252"/>
      <c r="DGA382" s="252"/>
      <c r="DGB382" s="252"/>
      <c r="DGC382" s="252"/>
      <c r="DGD382" s="252"/>
      <c r="DGE382" s="252"/>
      <c r="DGF382" s="252"/>
      <c r="DGG382" s="252"/>
      <c r="DGH382" s="252"/>
      <c r="DGI382" s="252"/>
      <c r="DGJ382" s="252"/>
      <c r="DGK382" s="252"/>
      <c r="DGL382" s="252"/>
      <c r="DGM382" s="252"/>
      <c r="DGN382" s="252"/>
      <c r="DGO382" s="252"/>
      <c r="DGP382" s="252"/>
      <c r="DGQ382" s="252"/>
      <c r="DGR382" s="252"/>
      <c r="DGS382" s="252"/>
      <c r="DGT382" s="252"/>
      <c r="DGU382" s="252"/>
      <c r="DGV382" s="252"/>
      <c r="DGW382" s="252"/>
      <c r="DGX382" s="252"/>
      <c r="DGY382" s="252"/>
      <c r="DGZ382" s="252"/>
      <c r="DHA382" s="252"/>
      <c r="DHB382" s="252"/>
      <c r="DHC382" s="252"/>
      <c r="DHD382" s="252"/>
      <c r="DHE382" s="252"/>
      <c r="DHF382" s="252"/>
      <c r="DHG382" s="252"/>
      <c r="DHH382" s="252"/>
      <c r="DHI382" s="252"/>
      <c r="DHJ382" s="252"/>
      <c r="DHK382" s="252"/>
      <c r="DHL382" s="252"/>
      <c r="DHM382" s="252"/>
      <c r="DHN382" s="252"/>
      <c r="DHO382" s="252"/>
      <c r="DHP382" s="252"/>
      <c r="DHQ382" s="252"/>
      <c r="DHR382" s="252"/>
      <c r="DHS382" s="252"/>
      <c r="DHT382" s="252"/>
      <c r="DHU382" s="252"/>
      <c r="DHV382" s="252"/>
      <c r="DHW382" s="252"/>
      <c r="DHX382" s="252"/>
      <c r="DHY382" s="252"/>
      <c r="DHZ382" s="252"/>
      <c r="DIA382" s="252"/>
      <c r="DIB382" s="252"/>
      <c r="DIC382" s="252"/>
      <c r="DID382" s="252"/>
      <c r="DIE382" s="252"/>
      <c r="DIF382" s="252"/>
      <c r="DIG382" s="252"/>
      <c r="DIH382" s="252"/>
      <c r="DII382" s="252"/>
      <c r="DIJ382" s="252"/>
      <c r="DIK382" s="252"/>
      <c r="DIL382" s="252"/>
      <c r="DIM382" s="252"/>
      <c r="DIN382" s="252"/>
      <c r="DIO382" s="252"/>
      <c r="DIP382" s="252"/>
      <c r="DIQ382" s="252"/>
      <c r="DIR382" s="252"/>
      <c r="DIS382" s="252"/>
      <c r="DIT382" s="252"/>
      <c r="DIU382" s="252"/>
      <c r="DIV382" s="252"/>
      <c r="DIW382" s="252"/>
      <c r="DIX382" s="252"/>
      <c r="DIY382" s="252"/>
      <c r="DIZ382" s="252"/>
      <c r="DJA382" s="252"/>
      <c r="DJB382" s="252"/>
      <c r="DJC382" s="252"/>
      <c r="DJD382" s="252"/>
      <c r="DJE382" s="252"/>
      <c r="DJF382" s="252"/>
      <c r="DJG382" s="252"/>
      <c r="DJH382" s="252"/>
      <c r="DJI382" s="252"/>
      <c r="DJJ382" s="252"/>
      <c r="DJK382" s="252"/>
      <c r="DJL382" s="252"/>
      <c r="DJM382" s="252"/>
      <c r="DJN382" s="252"/>
      <c r="DJO382" s="252"/>
      <c r="DJP382" s="252"/>
      <c r="DJQ382" s="252"/>
      <c r="DJR382" s="252"/>
      <c r="DJS382" s="252"/>
      <c r="DJT382" s="252"/>
      <c r="DJU382" s="252"/>
      <c r="DJV382" s="252"/>
      <c r="DJW382" s="252"/>
      <c r="DJX382" s="252"/>
      <c r="DJY382" s="252"/>
      <c r="DJZ382" s="252"/>
      <c r="DKA382" s="252"/>
      <c r="DKB382" s="252"/>
      <c r="DKC382" s="252"/>
      <c r="DKD382" s="252"/>
      <c r="DKE382" s="252"/>
      <c r="DKF382" s="252"/>
      <c r="DKG382" s="252"/>
      <c r="DKH382" s="252"/>
      <c r="DKI382" s="252"/>
      <c r="DKJ382" s="252"/>
      <c r="DKK382" s="252"/>
      <c r="DKL382" s="252"/>
      <c r="DKM382" s="252"/>
      <c r="DKN382" s="252"/>
      <c r="DKO382" s="252"/>
      <c r="DKP382" s="252"/>
      <c r="DKQ382" s="252"/>
      <c r="DKR382" s="252"/>
      <c r="DKS382" s="252"/>
      <c r="DKT382" s="252"/>
      <c r="DKU382" s="252"/>
      <c r="DKV382" s="252"/>
      <c r="DKW382" s="252"/>
      <c r="DKX382" s="252"/>
      <c r="DKY382" s="252"/>
      <c r="DKZ382" s="252"/>
      <c r="DLA382" s="252"/>
      <c r="DLB382" s="252"/>
      <c r="DLC382" s="252"/>
      <c r="DLD382" s="252"/>
      <c r="DLE382" s="252"/>
      <c r="DLF382" s="252"/>
      <c r="DLG382" s="252"/>
      <c r="DLH382" s="252"/>
      <c r="DLI382" s="252"/>
      <c r="DLJ382" s="252"/>
      <c r="DLK382" s="252"/>
      <c r="DLL382" s="252"/>
      <c r="DLM382" s="252"/>
      <c r="DLN382" s="252"/>
      <c r="DLO382" s="252"/>
      <c r="DLP382" s="252"/>
      <c r="DLQ382" s="252"/>
      <c r="DLR382" s="252"/>
      <c r="DLS382" s="252"/>
      <c r="DLT382" s="252"/>
      <c r="DLU382" s="252"/>
      <c r="DLV382" s="252"/>
      <c r="DLW382" s="252"/>
      <c r="DLX382" s="252"/>
      <c r="DLY382" s="252"/>
      <c r="DLZ382" s="252"/>
      <c r="DMA382" s="252"/>
      <c r="DMB382" s="252"/>
      <c r="DMC382" s="252"/>
      <c r="DMD382" s="252"/>
      <c r="DME382" s="252"/>
      <c r="DMF382" s="252"/>
      <c r="DMG382" s="252"/>
      <c r="DMH382" s="252"/>
      <c r="DMI382" s="252"/>
      <c r="DMJ382" s="252"/>
      <c r="DMK382" s="252"/>
      <c r="DML382" s="252"/>
      <c r="DMM382" s="252"/>
      <c r="DMN382" s="252"/>
      <c r="DMO382" s="252"/>
      <c r="DMP382" s="252"/>
      <c r="DMQ382" s="252"/>
      <c r="DMR382" s="252"/>
      <c r="DMS382" s="252"/>
      <c r="DMT382" s="252"/>
      <c r="DMU382" s="252"/>
      <c r="DMV382" s="252"/>
      <c r="DMW382" s="252"/>
      <c r="DMX382" s="252"/>
      <c r="DMY382" s="252"/>
      <c r="DMZ382" s="252"/>
      <c r="DNA382" s="252"/>
      <c r="DNB382" s="252"/>
      <c r="DNC382" s="252"/>
      <c r="DND382" s="252"/>
      <c r="DNE382" s="252"/>
      <c r="DNF382" s="252"/>
      <c r="DNG382" s="252"/>
      <c r="DNH382" s="252"/>
      <c r="DNI382" s="252"/>
      <c r="DNJ382" s="252"/>
      <c r="DNK382" s="252"/>
      <c r="DNL382" s="252"/>
      <c r="DNM382" s="252"/>
      <c r="DNN382" s="252"/>
      <c r="DNO382" s="252"/>
      <c r="DNP382" s="252"/>
      <c r="DNQ382" s="252"/>
      <c r="DNR382" s="252"/>
      <c r="DNS382" s="252"/>
      <c r="DNT382" s="252"/>
      <c r="DNU382" s="252"/>
      <c r="DNV382" s="252"/>
      <c r="DNW382" s="252"/>
      <c r="DNX382" s="252"/>
      <c r="DNY382" s="252"/>
      <c r="DNZ382" s="252"/>
      <c r="DOA382" s="252"/>
      <c r="DOB382" s="252"/>
      <c r="DOC382" s="252"/>
      <c r="DOD382" s="252"/>
      <c r="DOE382" s="252"/>
      <c r="DOF382" s="252"/>
      <c r="DOG382" s="252"/>
      <c r="DOH382" s="252"/>
      <c r="DOI382" s="252"/>
      <c r="DOJ382" s="252"/>
      <c r="DOK382" s="252"/>
      <c r="DOL382" s="252"/>
      <c r="DOM382" s="252"/>
      <c r="DON382" s="252"/>
      <c r="DOO382" s="252"/>
      <c r="DOP382" s="252"/>
      <c r="DOQ382" s="252"/>
      <c r="DOR382" s="252"/>
      <c r="DOS382" s="252"/>
      <c r="DOT382" s="252"/>
      <c r="DOU382" s="252"/>
      <c r="DOV382" s="252"/>
      <c r="DOW382" s="252"/>
      <c r="DOX382" s="252"/>
      <c r="DOY382" s="252"/>
      <c r="DOZ382" s="252"/>
      <c r="DPA382" s="252"/>
      <c r="DPB382" s="252"/>
      <c r="DPC382" s="252"/>
      <c r="DPD382" s="252"/>
      <c r="DPE382" s="252"/>
      <c r="DPF382" s="252"/>
      <c r="DPG382" s="252"/>
      <c r="DPH382" s="252"/>
      <c r="DPI382" s="252"/>
      <c r="DPJ382" s="252"/>
      <c r="DPK382" s="252"/>
      <c r="DPL382" s="252"/>
      <c r="DPM382" s="252"/>
      <c r="DPN382" s="252"/>
      <c r="DPO382" s="252"/>
      <c r="DPP382" s="252"/>
      <c r="DPQ382" s="252"/>
      <c r="DPR382" s="252"/>
      <c r="DPS382" s="252"/>
      <c r="DPT382" s="252"/>
      <c r="DPU382" s="252"/>
      <c r="DPV382" s="252"/>
      <c r="DPW382" s="252"/>
      <c r="DPX382" s="252"/>
      <c r="DPY382" s="252"/>
      <c r="DPZ382" s="252"/>
      <c r="DQA382" s="252"/>
      <c r="DQB382" s="252"/>
      <c r="DQC382" s="252"/>
      <c r="DQD382" s="252"/>
      <c r="DQE382" s="252"/>
      <c r="DQF382" s="252"/>
      <c r="DQG382" s="252"/>
      <c r="DQH382" s="252"/>
      <c r="DQI382" s="252"/>
      <c r="DQJ382" s="252"/>
      <c r="DQK382" s="252"/>
      <c r="DQL382" s="252"/>
      <c r="DQM382" s="252"/>
      <c r="DQN382" s="252"/>
      <c r="DQO382" s="252"/>
      <c r="DQP382" s="252"/>
      <c r="DQQ382" s="252"/>
      <c r="DQR382" s="252"/>
      <c r="DQS382" s="252"/>
      <c r="DQT382" s="252"/>
      <c r="DQU382" s="252"/>
      <c r="DQV382" s="252"/>
      <c r="DQW382" s="252"/>
      <c r="DQX382" s="252"/>
      <c r="DQY382" s="252"/>
      <c r="DQZ382" s="252"/>
      <c r="DRA382" s="252"/>
      <c r="DRB382" s="252"/>
      <c r="DRC382" s="252"/>
      <c r="DRD382" s="252"/>
      <c r="DRE382" s="252"/>
      <c r="DRF382" s="252"/>
      <c r="DRG382" s="252"/>
      <c r="DRH382" s="252"/>
      <c r="DRI382" s="252"/>
      <c r="DRJ382" s="252"/>
      <c r="DRK382" s="252"/>
      <c r="DRL382" s="252"/>
      <c r="DRM382" s="252"/>
      <c r="DRN382" s="252"/>
      <c r="DRO382" s="252"/>
      <c r="DRP382" s="252"/>
      <c r="DRQ382" s="252"/>
      <c r="DRR382" s="252"/>
      <c r="DRS382" s="252"/>
      <c r="DRT382" s="252"/>
      <c r="DRU382" s="252"/>
      <c r="DRV382" s="252"/>
      <c r="DRW382" s="252"/>
      <c r="DRX382" s="252"/>
      <c r="DRY382" s="252"/>
      <c r="DRZ382" s="252"/>
      <c r="DSA382" s="252"/>
      <c r="DSB382" s="252"/>
      <c r="DSC382" s="252"/>
      <c r="DSD382" s="252"/>
      <c r="DSE382" s="252"/>
      <c r="DSF382" s="252"/>
      <c r="DSG382" s="252"/>
      <c r="DSH382" s="252"/>
      <c r="DSI382" s="252"/>
      <c r="DSJ382" s="252"/>
      <c r="DSK382" s="252"/>
      <c r="DSL382" s="252"/>
      <c r="DSM382" s="252"/>
      <c r="DSN382" s="252"/>
      <c r="DSO382" s="252"/>
      <c r="DSP382" s="252"/>
      <c r="DSQ382" s="252"/>
      <c r="DSR382" s="252"/>
      <c r="DSS382" s="252"/>
      <c r="DST382" s="252"/>
      <c r="DSU382" s="252"/>
      <c r="DSV382" s="252"/>
      <c r="DSW382" s="252"/>
      <c r="DSX382" s="252"/>
      <c r="DSY382" s="252"/>
      <c r="DSZ382" s="252"/>
      <c r="DTA382" s="252"/>
      <c r="DTB382" s="252"/>
      <c r="DTC382" s="252"/>
      <c r="DTD382" s="252"/>
      <c r="DTE382" s="252"/>
      <c r="DTF382" s="252"/>
      <c r="DTG382" s="252"/>
      <c r="DTH382" s="252"/>
      <c r="DTI382" s="252"/>
      <c r="DTJ382" s="252"/>
      <c r="DTK382" s="252"/>
      <c r="DTL382" s="252"/>
      <c r="DTM382" s="252"/>
      <c r="DTN382" s="252"/>
      <c r="DTO382" s="252"/>
      <c r="DTP382" s="252"/>
      <c r="DTQ382" s="252"/>
      <c r="DTR382" s="252"/>
      <c r="DTS382" s="252"/>
      <c r="DTT382" s="252"/>
      <c r="DTU382" s="252"/>
      <c r="DTV382" s="252"/>
      <c r="DTW382" s="252"/>
      <c r="DTX382" s="252"/>
      <c r="DTY382" s="252"/>
      <c r="DTZ382" s="252"/>
      <c r="DUA382" s="252"/>
      <c r="DUB382" s="252"/>
      <c r="DUC382" s="252"/>
      <c r="DUD382" s="252"/>
      <c r="DUE382" s="252"/>
      <c r="DUF382" s="252"/>
      <c r="DUG382" s="252"/>
      <c r="DUH382" s="252"/>
      <c r="DUI382" s="252"/>
      <c r="DUJ382" s="252"/>
      <c r="DUK382" s="252"/>
      <c r="DUL382" s="252"/>
      <c r="DUM382" s="252"/>
      <c r="DUN382" s="252"/>
      <c r="DUO382" s="252"/>
      <c r="DUP382" s="252"/>
      <c r="DUQ382" s="252"/>
      <c r="DUR382" s="252"/>
      <c r="DUS382" s="252"/>
      <c r="DUT382" s="252"/>
      <c r="DUU382" s="252"/>
      <c r="DUV382" s="252"/>
      <c r="DUW382" s="252"/>
      <c r="DUX382" s="252"/>
      <c r="DUY382" s="252"/>
      <c r="DUZ382" s="252"/>
      <c r="DVA382" s="252"/>
      <c r="DVB382" s="252"/>
      <c r="DVC382" s="252"/>
      <c r="DVD382" s="252"/>
      <c r="DVE382" s="252"/>
      <c r="DVF382" s="252"/>
      <c r="DVG382" s="252"/>
      <c r="DVH382" s="252"/>
      <c r="DVI382" s="252"/>
      <c r="DVJ382" s="252"/>
      <c r="DVK382" s="252"/>
      <c r="DVL382" s="252"/>
      <c r="DVM382" s="252"/>
      <c r="DVN382" s="252"/>
      <c r="DVO382" s="252"/>
      <c r="DVP382" s="252"/>
      <c r="DVQ382" s="252"/>
      <c r="DVR382" s="252"/>
      <c r="DVS382" s="252"/>
      <c r="DVT382" s="252"/>
      <c r="DVU382" s="252"/>
      <c r="DVV382" s="252"/>
      <c r="DVW382" s="252"/>
      <c r="DVX382" s="252"/>
      <c r="DVY382" s="252"/>
      <c r="DVZ382" s="252"/>
      <c r="DWA382" s="252"/>
      <c r="DWB382" s="252"/>
      <c r="DWC382" s="252"/>
      <c r="DWD382" s="252"/>
      <c r="DWE382" s="252"/>
      <c r="DWF382" s="252"/>
      <c r="DWG382" s="252"/>
      <c r="DWH382" s="252"/>
      <c r="DWI382" s="252"/>
      <c r="DWJ382" s="252"/>
      <c r="DWK382" s="252"/>
      <c r="DWL382" s="252"/>
      <c r="DWM382" s="252"/>
      <c r="DWN382" s="252"/>
      <c r="DWO382" s="252"/>
      <c r="DWP382" s="252"/>
      <c r="DWQ382" s="252"/>
      <c r="DWR382" s="252"/>
      <c r="DWS382" s="252"/>
      <c r="DWT382" s="252"/>
      <c r="DWU382" s="252"/>
      <c r="DWV382" s="252"/>
      <c r="DWW382" s="252"/>
      <c r="DWX382" s="252"/>
      <c r="DWY382" s="252"/>
      <c r="DWZ382" s="252"/>
      <c r="DXA382" s="252"/>
      <c r="DXB382" s="252"/>
      <c r="DXC382" s="252"/>
      <c r="DXD382" s="252"/>
      <c r="DXE382" s="252"/>
      <c r="DXF382" s="252"/>
      <c r="DXG382" s="252"/>
      <c r="DXH382" s="252"/>
      <c r="DXI382" s="252"/>
      <c r="DXJ382" s="252"/>
      <c r="DXK382" s="252"/>
      <c r="DXL382" s="252"/>
      <c r="DXM382" s="252"/>
      <c r="DXN382" s="252"/>
      <c r="DXO382" s="252"/>
      <c r="DXP382" s="252"/>
      <c r="DXQ382" s="252"/>
      <c r="DXR382" s="252"/>
      <c r="DXS382" s="252"/>
      <c r="DXT382" s="252"/>
      <c r="DXU382" s="252"/>
      <c r="DXV382" s="252"/>
      <c r="DXW382" s="252"/>
      <c r="DXX382" s="252"/>
      <c r="DXY382" s="252"/>
      <c r="DXZ382" s="252"/>
      <c r="DYA382" s="252"/>
      <c r="DYB382" s="252"/>
      <c r="DYC382" s="252"/>
      <c r="DYD382" s="252"/>
      <c r="DYE382" s="252"/>
      <c r="DYF382" s="252"/>
      <c r="DYG382" s="252"/>
      <c r="DYH382" s="252"/>
      <c r="DYI382" s="252"/>
      <c r="DYJ382" s="252"/>
      <c r="DYK382" s="252"/>
      <c r="DYL382" s="252"/>
      <c r="DYM382" s="252"/>
      <c r="DYN382" s="252"/>
      <c r="DYO382" s="252"/>
      <c r="DYP382" s="252"/>
      <c r="DYQ382" s="252"/>
      <c r="DYR382" s="252"/>
      <c r="DYS382" s="252"/>
      <c r="DYT382" s="252"/>
      <c r="DYU382" s="252"/>
      <c r="DYV382" s="252"/>
      <c r="DYW382" s="252"/>
      <c r="DYX382" s="252"/>
      <c r="DYY382" s="252"/>
      <c r="DYZ382" s="252"/>
      <c r="DZA382" s="252"/>
      <c r="DZB382" s="252"/>
      <c r="DZC382" s="252"/>
      <c r="DZD382" s="252"/>
      <c r="DZE382" s="252"/>
      <c r="DZF382" s="252"/>
      <c r="DZG382" s="252"/>
      <c r="DZH382" s="252"/>
      <c r="DZI382" s="252"/>
      <c r="DZJ382" s="252"/>
      <c r="DZK382" s="252"/>
      <c r="DZL382" s="252"/>
      <c r="DZM382" s="252"/>
      <c r="DZN382" s="252"/>
      <c r="DZO382" s="252"/>
      <c r="DZP382" s="252"/>
      <c r="DZQ382" s="252"/>
      <c r="DZR382" s="252"/>
      <c r="DZS382" s="252"/>
      <c r="DZT382" s="252"/>
      <c r="DZU382" s="252"/>
      <c r="DZV382" s="252"/>
      <c r="DZW382" s="252"/>
      <c r="DZX382" s="252"/>
      <c r="DZY382" s="252"/>
      <c r="DZZ382" s="252"/>
      <c r="EAA382" s="252"/>
      <c r="EAB382" s="252"/>
      <c r="EAC382" s="252"/>
      <c r="EAD382" s="252"/>
      <c r="EAE382" s="252"/>
      <c r="EAF382" s="252"/>
      <c r="EAG382" s="252"/>
      <c r="EAH382" s="252"/>
      <c r="EAI382" s="252"/>
      <c r="EAJ382" s="252"/>
      <c r="EAK382" s="252"/>
      <c r="EAL382" s="252"/>
      <c r="EAM382" s="252"/>
      <c r="EAN382" s="252"/>
      <c r="EAO382" s="252"/>
      <c r="EAP382" s="252"/>
      <c r="EAQ382" s="252"/>
      <c r="EAR382" s="252"/>
      <c r="EAS382" s="252"/>
      <c r="EAT382" s="252"/>
      <c r="EAU382" s="252"/>
      <c r="EAV382" s="252"/>
      <c r="EAW382" s="252"/>
      <c r="EAX382" s="252"/>
      <c r="EAY382" s="252"/>
      <c r="EAZ382" s="252"/>
      <c r="EBA382" s="252"/>
      <c r="EBB382" s="252"/>
      <c r="EBC382" s="252"/>
      <c r="EBD382" s="252"/>
      <c r="EBE382" s="252"/>
      <c r="EBF382" s="252"/>
      <c r="EBG382" s="252"/>
      <c r="EBH382" s="252"/>
      <c r="EBI382" s="252"/>
      <c r="EBJ382" s="252"/>
      <c r="EBK382" s="252"/>
      <c r="EBL382" s="252"/>
      <c r="EBM382" s="252"/>
      <c r="EBN382" s="252"/>
      <c r="EBO382" s="252"/>
      <c r="EBP382" s="252"/>
      <c r="EBQ382" s="252"/>
      <c r="EBR382" s="252"/>
      <c r="EBS382" s="252"/>
      <c r="EBT382" s="252"/>
      <c r="EBU382" s="252"/>
      <c r="EBV382" s="252"/>
      <c r="EBW382" s="252"/>
      <c r="EBX382" s="252"/>
      <c r="EBY382" s="252"/>
      <c r="EBZ382" s="252"/>
      <c r="ECA382" s="252"/>
      <c r="ECB382" s="252"/>
      <c r="ECC382" s="252"/>
      <c r="ECD382" s="252"/>
      <c r="ECE382" s="252"/>
      <c r="ECF382" s="252"/>
      <c r="ECG382" s="252"/>
      <c r="ECH382" s="252"/>
      <c r="ECI382" s="252"/>
      <c r="ECJ382" s="252"/>
      <c r="ECK382" s="252"/>
      <c r="ECL382" s="252"/>
      <c r="ECM382" s="252"/>
      <c r="ECN382" s="252"/>
      <c r="ECO382" s="252"/>
      <c r="ECP382" s="252"/>
      <c r="ECQ382" s="252"/>
      <c r="ECR382" s="252"/>
      <c r="ECS382" s="252"/>
      <c r="ECT382" s="252"/>
      <c r="ECU382" s="252"/>
      <c r="ECV382" s="252"/>
      <c r="ECW382" s="252"/>
      <c r="ECX382" s="252"/>
      <c r="ECY382" s="252"/>
      <c r="ECZ382" s="252"/>
      <c r="EDA382" s="252"/>
      <c r="EDB382" s="252"/>
      <c r="EDC382" s="252"/>
      <c r="EDD382" s="252"/>
      <c r="EDE382" s="252"/>
      <c r="EDF382" s="252"/>
      <c r="EDG382" s="252"/>
      <c r="EDH382" s="252"/>
      <c r="EDI382" s="252"/>
      <c r="EDJ382" s="252"/>
      <c r="EDK382" s="252"/>
      <c r="EDL382" s="252"/>
      <c r="EDM382" s="252"/>
      <c r="EDN382" s="252"/>
      <c r="EDO382" s="252"/>
      <c r="EDP382" s="252"/>
      <c r="EDQ382" s="252"/>
      <c r="EDR382" s="252"/>
      <c r="EDS382" s="252"/>
      <c r="EDT382" s="252"/>
      <c r="EDU382" s="252"/>
      <c r="EDV382" s="252"/>
      <c r="EDW382" s="252"/>
      <c r="EDX382" s="252"/>
      <c r="EDY382" s="252"/>
      <c r="EDZ382" s="252"/>
      <c r="EEA382" s="252"/>
      <c r="EEB382" s="252"/>
      <c r="EEC382" s="252"/>
      <c r="EED382" s="252"/>
      <c r="EEE382" s="252"/>
      <c r="EEF382" s="252"/>
      <c r="EEG382" s="252"/>
      <c r="EEH382" s="252"/>
      <c r="EEI382" s="252"/>
      <c r="EEJ382" s="252"/>
      <c r="EEK382" s="252"/>
      <c r="EEL382" s="252"/>
      <c r="EEM382" s="252"/>
      <c r="EEN382" s="252"/>
      <c r="EEO382" s="252"/>
      <c r="EEP382" s="252"/>
      <c r="EEQ382" s="252"/>
      <c r="EER382" s="252"/>
      <c r="EES382" s="252"/>
      <c r="EET382" s="252"/>
      <c r="EEU382" s="252"/>
      <c r="EEV382" s="252"/>
      <c r="EEW382" s="252"/>
      <c r="EEX382" s="252"/>
      <c r="EEY382" s="252"/>
      <c r="EEZ382" s="252"/>
      <c r="EFA382" s="252"/>
      <c r="EFB382" s="252"/>
      <c r="EFC382" s="252"/>
      <c r="EFD382" s="252"/>
      <c r="EFE382" s="252"/>
      <c r="EFF382" s="252"/>
      <c r="EFG382" s="252"/>
      <c r="EFH382" s="252"/>
      <c r="EFI382" s="252"/>
      <c r="EFJ382" s="252"/>
      <c r="EFK382" s="252"/>
      <c r="EFL382" s="252"/>
      <c r="EFM382" s="252"/>
      <c r="EFN382" s="252"/>
      <c r="EFO382" s="252"/>
      <c r="EFP382" s="252"/>
      <c r="EFQ382" s="252"/>
      <c r="EFR382" s="252"/>
      <c r="EFS382" s="252"/>
      <c r="EFT382" s="252"/>
      <c r="EFU382" s="252"/>
      <c r="EFV382" s="252"/>
      <c r="EFW382" s="252"/>
      <c r="EFX382" s="252"/>
      <c r="EFY382" s="252"/>
      <c r="EFZ382" s="252"/>
      <c r="EGA382" s="252"/>
      <c r="EGB382" s="252"/>
      <c r="EGC382" s="252"/>
      <c r="EGD382" s="252"/>
      <c r="EGE382" s="252"/>
      <c r="EGF382" s="252"/>
      <c r="EGG382" s="252"/>
      <c r="EGH382" s="252"/>
      <c r="EGI382" s="252"/>
      <c r="EGJ382" s="252"/>
      <c r="EGK382" s="252"/>
      <c r="EGL382" s="252"/>
      <c r="EGM382" s="252"/>
      <c r="EGN382" s="252"/>
      <c r="EGO382" s="252"/>
      <c r="EGP382" s="252"/>
      <c r="EGQ382" s="252"/>
      <c r="EGR382" s="252"/>
      <c r="EGS382" s="252"/>
      <c r="EGT382" s="252"/>
      <c r="EGU382" s="252"/>
      <c r="EGV382" s="252"/>
      <c r="EGW382" s="252"/>
      <c r="EGX382" s="252"/>
      <c r="EGY382" s="252"/>
      <c r="EGZ382" s="252"/>
      <c r="EHA382" s="252"/>
      <c r="EHB382" s="252"/>
      <c r="EHC382" s="252"/>
      <c r="EHD382" s="252"/>
      <c r="EHE382" s="252"/>
      <c r="EHF382" s="252"/>
      <c r="EHG382" s="252"/>
      <c r="EHH382" s="252"/>
      <c r="EHI382" s="252"/>
      <c r="EHJ382" s="252"/>
      <c r="EHK382" s="252"/>
      <c r="EHL382" s="252"/>
      <c r="EHM382" s="252"/>
      <c r="EHN382" s="252"/>
      <c r="EHO382" s="252"/>
      <c r="EHP382" s="252"/>
      <c r="EHQ382" s="252"/>
      <c r="EHR382" s="252"/>
      <c r="EHS382" s="252"/>
      <c r="EHT382" s="252"/>
      <c r="EHU382" s="252"/>
      <c r="EHV382" s="252"/>
      <c r="EHW382" s="252"/>
      <c r="EHX382" s="252"/>
      <c r="EHY382" s="252"/>
      <c r="EHZ382" s="252"/>
      <c r="EIA382" s="252"/>
      <c r="EIB382" s="252"/>
      <c r="EIC382" s="252"/>
      <c r="EID382" s="252"/>
      <c r="EIE382" s="252"/>
      <c r="EIF382" s="252"/>
      <c r="EIG382" s="252"/>
      <c r="EIH382" s="252"/>
      <c r="EII382" s="252"/>
      <c r="EIJ382" s="252"/>
      <c r="EIK382" s="252"/>
      <c r="EIL382" s="252"/>
      <c r="EIM382" s="252"/>
      <c r="EIN382" s="252"/>
      <c r="EIO382" s="252"/>
      <c r="EIP382" s="252"/>
      <c r="EIQ382" s="252"/>
      <c r="EIR382" s="252"/>
      <c r="EIS382" s="252"/>
      <c r="EIT382" s="252"/>
      <c r="EIU382" s="252"/>
      <c r="EIV382" s="252"/>
      <c r="EIW382" s="252"/>
      <c r="EIX382" s="252"/>
      <c r="EIY382" s="252"/>
      <c r="EIZ382" s="252"/>
      <c r="EJA382" s="252"/>
      <c r="EJB382" s="252"/>
      <c r="EJC382" s="252"/>
      <c r="EJD382" s="252"/>
      <c r="EJE382" s="252"/>
      <c r="EJF382" s="252"/>
      <c r="EJG382" s="252"/>
      <c r="EJH382" s="252"/>
      <c r="EJI382" s="252"/>
      <c r="EJJ382" s="252"/>
      <c r="EJK382" s="252"/>
      <c r="EJL382" s="252"/>
      <c r="EJM382" s="252"/>
      <c r="EJN382" s="252"/>
      <c r="EJO382" s="252"/>
      <c r="EJP382" s="252"/>
      <c r="EJQ382" s="252"/>
      <c r="EJR382" s="252"/>
      <c r="EJS382" s="252"/>
      <c r="EJT382" s="252"/>
      <c r="EJU382" s="252"/>
      <c r="EJV382" s="252"/>
      <c r="EJW382" s="252"/>
      <c r="EJX382" s="252"/>
      <c r="EJY382" s="252"/>
      <c r="EJZ382" s="252"/>
      <c r="EKA382" s="252"/>
      <c r="EKB382" s="252"/>
      <c r="EKC382" s="252"/>
      <c r="EKD382" s="252"/>
      <c r="EKE382" s="252"/>
      <c r="EKF382" s="252"/>
      <c r="EKG382" s="252"/>
      <c r="EKH382" s="252"/>
      <c r="EKI382" s="252"/>
      <c r="EKJ382" s="252"/>
      <c r="EKK382" s="252"/>
      <c r="EKL382" s="252"/>
      <c r="EKM382" s="252"/>
      <c r="EKN382" s="252"/>
      <c r="EKO382" s="252"/>
      <c r="EKP382" s="252"/>
      <c r="EKQ382" s="252"/>
      <c r="EKR382" s="252"/>
      <c r="EKS382" s="252"/>
      <c r="EKT382" s="252"/>
      <c r="EKU382" s="252"/>
      <c r="EKV382" s="252"/>
      <c r="EKW382" s="252"/>
      <c r="EKX382" s="252"/>
      <c r="EKY382" s="252"/>
      <c r="EKZ382" s="252"/>
      <c r="ELA382" s="252"/>
      <c r="ELB382" s="252"/>
      <c r="ELC382" s="252"/>
      <c r="ELD382" s="252"/>
      <c r="ELE382" s="252"/>
      <c r="ELF382" s="252"/>
      <c r="ELG382" s="252"/>
      <c r="ELH382" s="252"/>
      <c r="ELI382" s="252"/>
      <c r="ELJ382" s="252"/>
      <c r="ELK382" s="252"/>
      <c r="ELL382" s="252"/>
      <c r="ELM382" s="252"/>
      <c r="ELN382" s="252"/>
      <c r="ELO382" s="252"/>
      <c r="ELP382" s="252"/>
      <c r="ELQ382" s="252"/>
      <c r="ELR382" s="252"/>
      <c r="ELS382" s="252"/>
      <c r="ELT382" s="252"/>
      <c r="ELU382" s="252"/>
      <c r="ELV382" s="252"/>
      <c r="ELW382" s="252"/>
      <c r="ELX382" s="252"/>
      <c r="ELY382" s="252"/>
      <c r="ELZ382" s="252"/>
      <c r="EMA382" s="252"/>
      <c r="EMB382" s="252"/>
      <c r="EMC382" s="252"/>
      <c r="EMD382" s="252"/>
      <c r="EME382" s="252"/>
      <c r="EMF382" s="252"/>
      <c r="EMG382" s="252"/>
      <c r="EMH382" s="252"/>
      <c r="EMI382" s="252"/>
      <c r="EMJ382" s="252"/>
      <c r="EMK382" s="252"/>
      <c r="EML382" s="252"/>
      <c r="EMM382" s="252"/>
      <c r="EMN382" s="252"/>
      <c r="EMO382" s="252"/>
      <c r="EMP382" s="252"/>
      <c r="EMQ382" s="252"/>
      <c r="EMR382" s="252"/>
      <c r="EMS382" s="252"/>
      <c r="EMT382" s="252"/>
      <c r="EMU382" s="252"/>
      <c r="EMV382" s="252"/>
      <c r="EMW382" s="252"/>
      <c r="EMX382" s="252"/>
      <c r="EMY382" s="252"/>
      <c r="EMZ382" s="252"/>
      <c r="ENA382" s="252"/>
      <c r="ENB382" s="252"/>
      <c r="ENC382" s="252"/>
      <c r="END382" s="252"/>
      <c r="ENE382" s="252"/>
      <c r="ENF382" s="252"/>
      <c r="ENG382" s="252"/>
      <c r="ENH382" s="252"/>
      <c r="ENI382" s="252"/>
      <c r="ENJ382" s="252"/>
      <c r="ENK382" s="252"/>
      <c r="ENL382" s="252"/>
      <c r="ENM382" s="252"/>
      <c r="ENN382" s="252"/>
      <c r="ENO382" s="252"/>
      <c r="ENP382" s="252"/>
      <c r="ENQ382" s="252"/>
      <c r="ENR382" s="252"/>
      <c r="ENS382" s="252"/>
      <c r="ENT382" s="252"/>
      <c r="ENU382" s="252"/>
      <c r="ENV382" s="252"/>
      <c r="ENW382" s="252"/>
      <c r="ENX382" s="252"/>
      <c r="ENY382" s="252"/>
      <c r="ENZ382" s="252"/>
      <c r="EOA382" s="252"/>
      <c r="EOB382" s="252"/>
      <c r="EOC382" s="252"/>
      <c r="EOD382" s="252"/>
      <c r="EOE382" s="252"/>
      <c r="EOF382" s="252"/>
      <c r="EOG382" s="252"/>
      <c r="EOH382" s="252"/>
      <c r="EOI382" s="252"/>
      <c r="EOJ382" s="252"/>
      <c r="EOK382" s="252"/>
      <c r="EOL382" s="252"/>
      <c r="EOM382" s="252"/>
      <c r="EON382" s="252"/>
      <c r="EOO382" s="252"/>
      <c r="EOP382" s="252"/>
      <c r="EOQ382" s="252"/>
      <c r="EOR382" s="252"/>
      <c r="EOS382" s="252"/>
      <c r="EOT382" s="252"/>
      <c r="EOU382" s="252"/>
      <c r="EOV382" s="252"/>
      <c r="EOW382" s="252"/>
      <c r="EOX382" s="252"/>
      <c r="EOY382" s="252"/>
      <c r="EOZ382" s="252"/>
      <c r="EPA382" s="252"/>
      <c r="EPB382" s="252"/>
      <c r="EPC382" s="252"/>
      <c r="EPD382" s="252"/>
      <c r="EPE382" s="252"/>
      <c r="EPF382" s="252"/>
      <c r="EPG382" s="252"/>
      <c r="EPH382" s="252"/>
      <c r="EPI382" s="252"/>
      <c r="EPJ382" s="252"/>
      <c r="EPK382" s="252"/>
      <c r="EPL382" s="252"/>
      <c r="EPM382" s="252"/>
      <c r="EPN382" s="252"/>
      <c r="EPO382" s="252"/>
      <c r="EPP382" s="252"/>
      <c r="EPQ382" s="252"/>
      <c r="EPR382" s="252"/>
      <c r="EPS382" s="252"/>
      <c r="EPT382" s="252"/>
      <c r="EPU382" s="252"/>
      <c r="EPV382" s="252"/>
      <c r="EPW382" s="252"/>
      <c r="EPX382" s="252"/>
      <c r="EPY382" s="252"/>
      <c r="EPZ382" s="252"/>
      <c r="EQA382" s="252"/>
      <c r="EQB382" s="252"/>
      <c r="EQC382" s="252"/>
      <c r="EQD382" s="252"/>
      <c r="EQE382" s="252"/>
      <c r="EQF382" s="252"/>
      <c r="EQG382" s="252"/>
      <c r="EQH382" s="252"/>
      <c r="EQI382" s="252"/>
      <c r="EQJ382" s="252"/>
      <c r="EQK382" s="252"/>
      <c r="EQL382" s="252"/>
      <c r="EQM382" s="252"/>
      <c r="EQN382" s="252"/>
      <c r="EQO382" s="252"/>
      <c r="EQP382" s="252"/>
      <c r="EQQ382" s="252"/>
      <c r="EQR382" s="252"/>
      <c r="EQS382" s="252"/>
      <c r="EQT382" s="252"/>
      <c r="EQU382" s="252"/>
      <c r="EQV382" s="252"/>
      <c r="EQW382" s="252"/>
      <c r="EQX382" s="252"/>
      <c r="EQY382" s="252"/>
      <c r="EQZ382" s="252"/>
      <c r="ERA382" s="252"/>
      <c r="ERB382" s="252"/>
      <c r="ERC382" s="252"/>
      <c r="ERD382" s="252"/>
      <c r="ERE382" s="252"/>
      <c r="ERF382" s="252"/>
      <c r="ERG382" s="252"/>
      <c r="ERH382" s="252"/>
      <c r="ERI382" s="252"/>
      <c r="ERJ382" s="252"/>
      <c r="ERK382" s="252"/>
      <c r="ERL382" s="252"/>
      <c r="ERM382" s="252"/>
      <c r="ERN382" s="252"/>
      <c r="ERO382" s="252"/>
      <c r="ERP382" s="252"/>
      <c r="ERQ382" s="252"/>
      <c r="ERR382" s="252"/>
      <c r="ERS382" s="252"/>
      <c r="ERT382" s="252"/>
      <c r="ERU382" s="252"/>
      <c r="ERV382" s="252"/>
      <c r="ERW382" s="252"/>
      <c r="ERX382" s="252"/>
      <c r="ERY382" s="252"/>
      <c r="ERZ382" s="252"/>
      <c r="ESA382" s="252"/>
      <c r="ESB382" s="252"/>
      <c r="ESC382" s="252"/>
      <c r="ESD382" s="252"/>
      <c r="ESE382" s="252"/>
      <c r="ESF382" s="252"/>
      <c r="ESG382" s="252"/>
      <c r="ESH382" s="252"/>
      <c r="ESI382" s="252"/>
      <c r="ESJ382" s="252"/>
      <c r="ESK382" s="252"/>
      <c r="ESL382" s="252"/>
      <c r="ESM382" s="252"/>
      <c r="ESN382" s="252"/>
      <c r="ESO382" s="252"/>
      <c r="ESP382" s="252"/>
      <c r="ESQ382" s="252"/>
      <c r="ESR382" s="252"/>
      <c r="ESS382" s="252"/>
      <c r="EST382" s="252"/>
      <c r="ESU382" s="252"/>
      <c r="ESV382" s="252"/>
      <c r="ESW382" s="252"/>
      <c r="ESX382" s="252"/>
      <c r="ESY382" s="252"/>
      <c r="ESZ382" s="252"/>
      <c r="ETA382" s="252"/>
      <c r="ETB382" s="252"/>
      <c r="ETC382" s="252"/>
      <c r="ETD382" s="252"/>
      <c r="ETE382" s="252"/>
      <c r="ETF382" s="252"/>
      <c r="ETG382" s="252"/>
      <c r="ETH382" s="252"/>
      <c r="ETI382" s="252"/>
      <c r="ETJ382" s="252"/>
      <c r="ETK382" s="252"/>
      <c r="ETL382" s="252"/>
      <c r="ETM382" s="252"/>
      <c r="ETN382" s="252"/>
      <c r="ETO382" s="252"/>
      <c r="ETP382" s="252"/>
      <c r="ETQ382" s="252"/>
      <c r="ETR382" s="252"/>
      <c r="ETS382" s="252"/>
      <c r="ETT382" s="252"/>
      <c r="ETU382" s="252"/>
      <c r="ETV382" s="252"/>
      <c r="ETW382" s="252"/>
      <c r="ETX382" s="252"/>
      <c r="ETY382" s="252"/>
      <c r="ETZ382" s="252"/>
      <c r="EUA382" s="252"/>
      <c r="EUB382" s="252"/>
      <c r="EUC382" s="252"/>
      <c r="EUD382" s="252"/>
      <c r="EUE382" s="252"/>
      <c r="EUF382" s="252"/>
      <c r="EUG382" s="252"/>
      <c r="EUH382" s="252"/>
      <c r="EUI382" s="252"/>
      <c r="EUJ382" s="252"/>
      <c r="EUK382" s="252"/>
      <c r="EUL382" s="252"/>
      <c r="EUM382" s="252"/>
      <c r="EUN382" s="252"/>
      <c r="EUO382" s="252"/>
      <c r="EUP382" s="252"/>
      <c r="EUQ382" s="252"/>
      <c r="EUR382" s="252"/>
      <c r="EUS382" s="252"/>
      <c r="EUT382" s="252"/>
      <c r="EUU382" s="252"/>
      <c r="EUV382" s="252"/>
      <c r="EUW382" s="252"/>
      <c r="EUX382" s="252"/>
      <c r="EUY382" s="252"/>
      <c r="EUZ382" s="252"/>
      <c r="EVA382" s="252"/>
      <c r="EVB382" s="252"/>
      <c r="EVC382" s="252"/>
      <c r="EVD382" s="252"/>
      <c r="EVE382" s="252"/>
      <c r="EVF382" s="252"/>
      <c r="EVG382" s="252"/>
      <c r="EVH382" s="252"/>
      <c r="EVI382" s="252"/>
      <c r="EVJ382" s="252"/>
      <c r="EVK382" s="252"/>
      <c r="EVL382" s="252"/>
      <c r="EVM382" s="252"/>
      <c r="EVN382" s="252"/>
      <c r="EVO382" s="252"/>
      <c r="EVP382" s="252"/>
      <c r="EVQ382" s="252"/>
      <c r="EVR382" s="252"/>
      <c r="EVS382" s="252"/>
      <c r="EVT382" s="252"/>
      <c r="EVU382" s="252"/>
      <c r="EVV382" s="252"/>
      <c r="EVW382" s="252"/>
      <c r="EVX382" s="252"/>
      <c r="EVY382" s="252"/>
      <c r="EVZ382" s="252"/>
      <c r="EWA382" s="252"/>
      <c r="EWB382" s="252"/>
      <c r="EWC382" s="252"/>
      <c r="EWD382" s="252"/>
      <c r="EWE382" s="252"/>
      <c r="EWF382" s="252"/>
      <c r="EWG382" s="252"/>
      <c r="EWH382" s="252"/>
      <c r="EWI382" s="252"/>
      <c r="EWJ382" s="252"/>
      <c r="EWK382" s="252"/>
      <c r="EWL382" s="252"/>
      <c r="EWM382" s="252"/>
      <c r="EWN382" s="252"/>
      <c r="EWO382" s="252"/>
      <c r="EWP382" s="252"/>
      <c r="EWQ382" s="252"/>
      <c r="EWR382" s="252"/>
      <c r="EWS382" s="252"/>
      <c r="EWT382" s="252"/>
      <c r="EWU382" s="252"/>
      <c r="EWV382" s="252"/>
      <c r="EWW382" s="252"/>
      <c r="EWX382" s="252"/>
      <c r="EWY382" s="252"/>
      <c r="EWZ382" s="252"/>
      <c r="EXA382" s="252"/>
      <c r="EXB382" s="252"/>
      <c r="EXC382" s="252"/>
      <c r="EXD382" s="252"/>
      <c r="EXE382" s="252"/>
      <c r="EXF382" s="252"/>
      <c r="EXG382" s="252"/>
      <c r="EXH382" s="252"/>
      <c r="EXI382" s="252"/>
      <c r="EXJ382" s="252"/>
      <c r="EXK382" s="252"/>
      <c r="EXL382" s="252"/>
      <c r="EXM382" s="252"/>
      <c r="EXN382" s="252"/>
      <c r="EXO382" s="252"/>
      <c r="EXP382" s="252"/>
      <c r="EXQ382" s="252"/>
      <c r="EXR382" s="252"/>
      <c r="EXS382" s="252"/>
      <c r="EXT382" s="252"/>
      <c r="EXU382" s="252"/>
      <c r="EXV382" s="252"/>
      <c r="EXW382" s="252"/>
      <c r="EXX382" s="252"/>
      <c r="EXY382" s="252"/>
      <c r="EXZ382" s="252"/>
      <c r="EYA382" s="252"/>
      <c r="EYB382" s="252"/>
      <c r="EYC382" s="252"/>
      <c r="EYD382" s="252"/>
      <c r="EYE382" s="252"/>
      <c r="EYF382" s="252"/>
      <c r="EYG382" s="252"/>
      <c r="EYH382" s="252"/>
      <c r="EYI382" s="252"/>
      <c r="EYJ382" s="252"/>
      <c r="EYK382" s="252"/>
      <c r="EYL382" s="252"/>
      <c r="EYM382" s="252"/>
      <c r="EYN382" s="252"/>
      <c r="EYO382" s="252"/>
      <c r="EYP382" s="252"/>
      <c r="EYQ382" s="252"/>
      <c r="EYR382" s="252"/>
      <c r="EYS382" s="252"/>
      <c r="EYT382" s="252"/>
      <c r="EYU382" s="252"/>
      <c r="EYV382" s="252"/>
      <c r="EYW382" s="252"/>
      <c r="EYX382" s="252"/>
      <c r="EYY382" s="252"/>
      <c r="EYZ382" s="252"/>
      <c r="EZA382" s="252"/>
      <c r="EZB382" s="252"/>
      <c r="EZC382" s="252"/>
      <c r="EZD382" s="252"/>
      <c r="EZE382" s="252"/>
      <c r="EZF382" s="252"/>
      <c r="EZG382" s="252"/>
      <c r="EZH382" s="252"/>
      <c r="EZI382" s="252"/>
      <c r="EZJ382" s="252"/>
      <c r="EZK382" s="252"/>
      <c r="EZL382" s="252"/>
      <c r="EZM382" s="252"/>
      <c r="EZN382" s="252"/>
      <c r="EZO382" s="252"/>
      <c r="EZP382" s="252"/>
      <c r="EZQ382" s="252"/>
      <c r="EZR382" s="252"/>
      <c r="EZS382" s="252"/>
      <c r="EZT382" s="252"/>
      <c r="EZU382" s="252"/>
      <c r="EZV382" s="252"/>
      <c r="EZW382" s="252"/>
      <c r="EZX382" s="252"/>
      <c r="EZY382" s="252"/>
      <c r="EZZ382" s="252"/>
      <c r="FAA382" s="252"/>
      <c r="FAB382" s="252"/>
      <c r="FAC382" s="252"/>
      <c r="FAD382" s="252"/>
      <c r="FAE382" s="252"/>
      <c r="FAF382" s="252"/>
      <c r="FAG382" s="252"/>
      <c r="FAH382" s="252"/>
      <c r="FAI382" s="252"/>
      <c r="FAJ382" s="252"/>
      <c r="FAK382" s="252"/>
      <c r="FAL382" s="252"/>
      <c r="FAM382" s="252"/>
      <c r="FAN382" s="252"/>
      <c r="FAO382" s="252"/>
      <c r="FAP382" s="252"/>
      <c r="FAQ382" s="252"/>
      <c r="FAR382" s="252"/>
      <c r="FAS382" s="252"/>
      <c r="FAT382" s="252"/>
      <c r="FAU382" s="252"/>
      <c r="FAV382" s="252"/>
      <c r="FAW382" s="252"/>
      <c r="FAX382" s="252"/>
      <c r="FAY382" s="252"/>
      <c r="FAZ382" s="252"/>
      <c r="FBA382" s="252"/>
      <c r="FBB382" s="252"/>
      <c r="FBC382" s="252"/>
      <c r="FBD382" s="252"/>
      <c r="FBE382" s="252"/>
      <c r="FBF382" s="252"/>
      <c r="FBG382" s="252"/>
      <c r="FBH382" s="252"/>
      <c r="FBI382" s="252"/>
      <c r="FBJ382" s="252"/>
      <c r="FBK382" s="252"/>
      <c r="FBL382" s="252"/>
      <c r="FBM382" s="252"/>
      <c r="FBN382" s="252"/>
      <c r="FBO382" s="252"/>
      <c r="FBP382" s="252"/>
      <c r="FBQ382" s="252"/>
      <c r="FBR382" s="252"/>
      <c r="FBS382" s="252"/>
      <c r="FBT382" s="252"/>
      <c r="FBU382" s="252"/>
      <c r="FBV382" s="252"/>
      <c r="FBW382" s="252"/>
      <c r="FBX382" s="252"/>
      <c r="FBY382" s="252"/>
      <c r="FBZ382" s="252"/>
      <c r="FCA382" s="252"/>
      <c r="FCB382" s="252"/>
      <c r="FCC382" s="252"/>
      <c r="FCD382" s="252"/>
      <c r="FCE382" s="252"/>
      <c r="FCF382" s="252"/>
      <c r="FCG382" s="252"/>
      <c r="FCH382" s="252"/>
      <c r="FCI382" s="252"/>
      <c r="FCJ382" s="252"/>
      <c r="FCK382" s="252"/>
      <c r="FCL382" s="252"/>
      <c r="FCM382" s="252"/>
      <c r="FCN382" s="252"/>
      <c r="FCO382" s="252"/>
      <c r="FCP382" s="252"/>
      <c r="FCQ382" s="252"/>
      <c r="FCR382" s="252"/>
      <c r="FCS382" s="252"/>
      <c r="FCT382" s="252"/>
      <c r="FCU382" s="252"/>
      <c r="FCV382" s="252"/>
      <c r="FCW382" s="252"/>
      <c r="FCX382" s="252"/>
      <c r="FCY382" s="252"/>
      <c r="FCZ382" s="252"/>
      <c r="FDA382" s="252"/>
      <c r="FDB382" s="252"/>
      <c r="FDC382" s="252"/>
      <c r="FDD382" s="252"/>
      <c r="FDE382" s="252"/>
      <c r="FDF382" s="252"/>
      <c r="FDG382" s="252"/>
      <c r="FDH382" s="252"/>
      <c r="FDI382" s="252"/>
      <c r="FDJ382" s="252"/>
      <c r="FDK382" s="252"/>
      <c r="FDL382" s="252"/>
      <c r="FDM382" s="252"/>
      <c r="FDN382" s="252"/>
      <c r="FDO382" s="252"/>
      <c r="FDP382" s="252"/>
      <c r="FDQ382" s="252"/>
      <c r="FDR382" s="252"/>
      <c r="FDS382" s="252"/>
      <c r="FDT382" s="252"/>
      <c r="FDU382" s="252"/>
      <c r="FDV382" s="252"/>
      <c r="FDW382" s="252"/>
      <c r="FDX382" s="252"/>
      <c r="FDY382" s="252"/>
      <c r="FDZ382" s="252"/>
      <c r="FEA382" s="252"/>
      <c r="FEB382" s="252"/>
      <c r="FEC382" s="252"/>
      <c r="FED382" s="252"/>
      <c r="FEE382" s="252"/>
      <c r="FEF382" s="252"/>
      <c r="FEG382" s="252"/>
      <c r="FEH382" s="252"/>
      <c r="FEI382" s="252"/>
      <c r="FEJ382" s="252"/>
      <c r="FEK382" s="252"/>
      <c r="FEL382" s="252"/>
      <c r="FEM382" s="252"/>
      <c r="FEN382" s="252"/>
      <c r="FEO382" s="252"/>
      <c r="FEP382" s="252"/>
      <c r="FEQ382" s="252"/>
      <c r="FER382" s="252"/>
      <c r="FES382" s="252"/>
      <c r="FET382" s="252"/>
      <c r="FEU382" s="252"/>
      <c r="FEV382" s="252"/>
      <c r="FEW382" s="252"/>
      <c r="FEX382" s="252"/>
      <c r="FEY382" s="252"/>
      <c r="FEZ382" s="252"/>
      <c r="FFA382" s="252"/>
      <c r="FFB382" s="252"/>
      <c r="FFC382" s="252"/>
      <c r="FFD382" s="252"/>
      <c r="FFE382" s="252"/>
      <c r="FFF382" s="252"/>
      <c r="FFG382" s="252"/>
      <c r="FFH382" s="252"/>
      <c r="FFI382" s="252"/>
      <c r="FFJ382" s="252"/>
      <c r="FFK382" s="252"/>
      <c r="FFL382" s="252"/>
      <c r="FFM382" s="252"/>
      <c r="FFN382" s="252"/>
      <c r="FFO382" s="252"/>
      <c r="FFP382" s="252"/>
      <c r="FFQ382" s="252"/>
      <c r="FFR382" s="252"/>
      <c r="FFS382" s="252"/>
      <c r="FFT382" s="252"/>
      <c r="FFU382" s="252"/>
      <c r="FFV382" s="252"/>
      <c r="FFW382" s="252"/>
      <c r="FFX382" s="252"/>
      <c r="FFY382" s="252"/>
      <c r="FFZ382" s="252"/>
      <c r="FGA382" s="252"/>
      <c r="FGB382" s="252"/>
      <c r="FGC382" s="252"/>
      <c r="FGD382" s="252"/>
      <c r="FGE382" s="252"/>
      <c r="FGF382" s="252"/>
      <c r="FGG382" s="252"/>
      <c r="FGH382" s="252"/>
      <c r="FGI382" s="252"/>
      <c r="FGJ382" s="252"/>
      <c r="FGK382" s="252"/>
      <c r="FGL382" s="252"/>
      <c r="FGM382" s="252"/>
      <c r="FGN382" s="252"/>
      <c r="FGO382" s="252"/>
      <c r="FGP382" s="252"/>
      <c r="FGQ382" s="252"/>
      <c r="FGR382" s="252"/>
      <c r="FGS382" s="252"/>
      <c r="FGT382" s="252"/>
      <c r="FGU382" s="252"/>
      <c r="FGV382" s="252"/>
      <c r="FGW382" s="252"/>
      <c r="FGX382" s="252"/>
      <c r="FGY382" s="252"/>
      <c r="FGZ382" s="252"/>
      <c r="FHA382" s="252"/>
      <c r="FHB382" s="252"/>
      <c r="FHC382" s="252"/>
      <c r="FHD382" s="252"/>
      <c r="FHE382" s="252"/>
      <c r="FHF382" s="252"/>
      <c r="FHG382" s="252"/>
      <c r="FHH382" s="252"/>
      <c r="FHI382" s="252"/>
      <c r="FHJ382" s="252"/>
      <c r="FHK382" s="252"/>
      <c r="FHL382" s="252"/>
      <c r="FHM382" s="252"/>
      <c r="FHN382" s="252"/>
      <c r="FHO382" s="252"/>
      <c r="FHP382" s="252"/>
      <c r="FHQ382" s="252"/>
      <c r="FHR382" s="252"/>
      <c r="FHS382" s="252"/>
      <c r="FHT382" s="252"/>
      <c r="FHU382" s="252"/>
      <c r="FHV382" s="252"/>
      <c r="FHW382" s="252"/>
      <c r="FHX382" s="252"/>
      <c r="FHY382" s="252"/>
      <c r="FHZ382" s="252"/>
      <c r="FIA382" s="252"/>
      <c r="FIB382" s="252"/>
      <c r="FIC382" s="252"/>
      <c r="FID382" s="252"/>
      <c r="FIE382" s="252"/>
      <c r="FIF382" s="252"/>
      <c r="FIG382" s="252"/>
      <c r="FIH382" s="252"/>
      <c r="FII382" s="252"/>
      <c r="FIJ382" s="252"/>
      <c r="FIK382" s="252"/>
      <c r="FIL382" s="252"/>
      <c r="FIM382" s="252"/>
      <c r="FIN382" s="252"/>
      <c r="FIO382" s="252"/>
      <c r="FIP382" s="252"/>
      <c r="FIQ382" s="252"/>
      <c r="FIR382" s="252"/>
      <c r="FIS382" s="252"/>
      <c r="FIT382" s="252"/>
      <c r="FIU382" s="252"/>
      <c r="FIV382" s="252"/>
      <c r="FIW382" s="252"/>
      <c r="FIX382" s="252"/>
      <c r="FIY382" s="252"/>
      <c r="FIZ382" s="252"/>
      <c r="FJA382" s="252"/>
      <c r="FJB382" s="252"/>
      <c r="FJC382" s="252"/>
      <c r="FJD382" s="252"/>
      <c r="FJE382" s="252"/>
      <c r="FJF382" s="252"/>
      <c r="FJG382" s="252"/>
      <c r="FJH382" s="252"/>
      <c r="FJI382" s="252"/>
      <c r="FJJ382" s="252"/>
      <c r="FJK382" s="252"/>
      <c r="FJL382" s="252"/>
      <c r="FJM382" s="252"/>
      <c r="FJN382" s="252"/>
      <c r="FJO382" s="252"/>
      <c r="FJP382" s="252"/>
      <c r="FJQ382" s="252"/>
      <c r="FJR382" s="252"/>
      <c r="FJS382" s="252"/>
      <c r="FJT382" s="252"/>
      <c r="FJU382" s="252"/>
      <c r="FJV382" s="252"/>
      <c r="FJW382" s="252"/>
      <c r="FJX382" s="252"/>
      <c r="FJY382" s="252"/>
      <c r="FJZ382" s="252"/>
      <c r="FKA382" s="252"/>
      <c r="FKB382" s="252"/>
      <c r="FKC382" s="252"/>
      <c r="FKD382" s="252"/>
      <c r="FKE382" s="252"/>
      <c r="FKF382" s="252"/>
      <c r="FKG382" s="252"/>
      <c r="FKH382" s="252"/>
      <c r="FKI382" s="252"/>
      <c r="FKJ382" s="252"/>
      <c r="FKK382" s="252"/>
      <c r="FKL382" s="252"/>
      <c r="FKM382" s="252"/>
      <c r="FKN382" s="252"/>
      <c r="FKO382" s="252"/>
      <c r="FKP382" s="252"/>
      <c r="FKQ382" s="252"/>
      <c r="FKR382" s="252"/>
      <c r="FKS382" s="252"/>
      <c r="FKT382" s="252"/>
      <c r="FKU382" s="252"/>
      <c r="FKV382" s="252"/>
      <c r="FKW382" s="252"/>
      <c r="FKX382" s="252"/>
      <c r="FKY382" s="252"/>
      <c r="FKZ382" s="252"/>
      <c r="FLA382" s="252"/>
      <c r="FLB382" s="252"/>
      <c r="FLC382" s="252"/>
      <c r="FLD382" s="252"/>
      <c r="FLE382" s="252"/>
      <c r="FLF382" s="252"/>
      <c r="FLG382" s="252"/>
      <c r="FLH382" s="252"/>
      <c r="FLI382" s="252"/>
      <c r="FLJ382" s="252"/>
      <c r="FLK382" s="252"/>
      <c r="FLL382" s="252"/>
      <c r="FLM382" s="252"/>
      <c r="FLN382" s="252"/>
      <c r="FLO382" s="252"/>
      <c r="FLP382" s="252"/>
      <c r="FLQ382" s="252"/>
      <c r="FLR382" s="252"/>
      <c r="FLS382" s="252"/>
      <c r="FLT382" s="252"/>
      <c r="FLU382" s="252"/>
      <c r="FLV382" s="252"/>
      <c r="FLW382" s="252"/>
      <c r="FLX382" s="252"/>
      <c r="FLY382" s="252"/>
      <c r="FLZ382" s="252"/>
      <c r="FMA382" s="252"/>
      <c r="FMB382" s="252"/>
      <c r="FMC382" s="252"/>
      <c r="FMD382" s="252"/>
      <c r="FME382" s="252"/>
      <c r="FMF382" s="252"/>
      <c r="FMG382" s="252"/>
      <c r="FMH382" s="252"/>
      <c r="FMI382" s="252"/>
      <c r="FMJ382" s="252"/>
      <c r="FMK382" s="252"/>
      <c r="FML382" s="252"/>
      <c r="FMM382" s="252"/>
      <c r="FMN382" s="252"/>
      <c r="FMO382" s="252"/>
      <c r="FMP382" s="252"/>
      <c r="FMQ382" s="252"/>
      <c r="FMR382" s="252"/>
      <c r="FMS382" s="252"/>
      <c r="FMT382" s="252"/>
      <c r="FMU382" s="252"/>
      <c r="FMV382" s="252"/>
      <c r="FMW382" s="252"/>
      <c r="FMX382" s="252"/>
      <c r="FMY382" s="252"/>
      <c r="FMZ382" s="252"/>
      <c r="FNA382" s="252"/>
      <c r="FNB382" s="252"/>
      <c r="FNC382" s="252"/>
      <c r="FND382" s="252"/>
      <c r="FNE382" s="252"/>
      <c r="FNF382" s="252"/>
      <c r="FNG382" s="252"/>
      <c r="FNH382" s="252"/>
      <c r="FNI382" s="252"/>
      <c r="FNJ382" s="252"/>
      <c r="FNK382" s="252"/>
      <c r="FNL382" s="252"/>
      <c r="FNM382" s="252"/>
      <c r="FNN382" s="252"/>
      <c r="FNO382" s="252"/>
      <c r="FNP382" s="252"/>
      <c r="FNQ382" s="252"/>
      <c r="FNR382" s="252"/>
      <c r="FNS382" s="252"/>
      <c r="FNT382" s="252"/>
      <c r="FNU382" s="252"/>
      <c r="FNV382" s="252"/>
      <c r="FNW382" s="252"/>
      <c r="FNX382" s="252"/>
      <c r="FNY382" s="252"/>
      <c r="FNZ382" s="252"/>
      <c r="FOA382" s="252"/>
      <c r="FOB382" s="252"/>
      <c r="FOC382" s="252"/>
      <c r="FOD382" s="252"/>
      <c r="FOE382" s="252"/>
      <c r="FOF382" s="252"/>
      <c r="FOG382" s="252"/>
      <c r="FOH382" s="252"/>
      <c r="FOI382" s="252"/>
      <c r="FOJ382" s="252"/>
      <c r="FOK382" s="252"/>
      <c r="FOL382" s="252"/>
      <c r="FOM382" s="252"/>
      <c r="FON382" s="252"/>
      <c r="FOO382" s="252"/>
      <c r="FOP382" s="252"/>
      <c r="FOQ382" s="252"/>
      <c r="FOR382" s="252"/>
      <c r="FOS382" s="252"/>
      <c r="FOT382" s="252"/>
      <c r="FOU382" s="252"/>
      <c r="FOV382" s="252"/>
      <c r="FOW382" s="252"/>
      <c r="FOX382" s="252"/>
      <c r="FOY382" s="252"/>
      <c r="FOZ382" s="252"/>
      <c r="FPA382" s="252"/>
      <c r="FPB382" s="252"/>
      <c r="FPC382" s="252"/>
      <c r="FPD382" s="252"/>
      <c r="FPE382" s="252"/>
      <c r="FPF382" s="252"/>
      <c r="FPG382" s="252"/>
      <c r="FPH382" s="252"/>
      <c r="FPI382" s="252"/>
      <c r="FPJ382" s="252"/>
      <c r="FPK382" s="252"/>
      <c r="FPL382" s="252"/>
      <c r="FPM382" s="252"/>
      <c r="FPN382" s="252"/>
      <c r="FPO382" s="252"/>
      <c r="FPP382" s="252"/>
      <c r="FPQ382" s="252"/>
      <c r="FPR382" s="252"/>
      <c r="FPS382" s="252"/>
      <c r="FPT382" s="252"/>
      <c r="FPU382" s="252"/>
      <c r="FPV382" s="252"/>
      <c r="FPW382" s="252"/>
      <c r="FPX382" s="252"/>
      <c r="FPY382" s="252"/>
      <c r="FPZ382" s="252"/>
      <c r="FQA382" s="252"/>
      <c r="FQB382" s="252"/>
      <c r="FQC382" s="252"/>
      <c r="FQD382" s="252"/>
      <c r="FQE382" s="252"/>
      <c r="FQF382" s="252"/>
      <c r="FQG382" s="252"/>
      <c r="FQH382" s="252"/>
      <c r="FQI382" s="252"/>
      <c r="FQJ382" s="252"/>
      <c r="FQK382" s="252"/>
      <c r="FQL382" s="252"/>
      <c r="FQM382" s="252"/>
      <c r="FQN382" s="252"/>
      <c r="FQO382" s="252"/>
      <c r="FQP382" s="252"/>
      <c r="FQQ382" s="252"/>
      <c r="FQR382" s="252"/>
      <c r="FQS382" s="252"/>
      <c r="FQT382" s="252"/>
      <c r="FQU382" s="252"/>
      <c r="FQV382" s="252"/>
      <c r="FQW382" s="252"/>
      <c r="FQX382" s="252"/>
      <c r="FQY382" s="252"/>
      <c r="FQZ382" s="252"/>
      <c r="FRA382" s="252"/>
      <c r="FRB382" s="252"/>
      <c r="FRC382" s="252"/>
      <c r="FRD382" s="252"/>
      <c r="FRE382" s="252"/>
      <c r="FRF382" s="252"/>
      <c r="FRG382" s="252"/>
      <c r="FRH382" s="252"/>
      <c r="FRI382" s="252"/>
      <c r="FRJ382" s="252"/>
      <c r="FRK382" s="252"/>
      <c r="FRL382" s="252"/>
      <c r="FRM382" s="252"/>
      <c r="FRN382" s="252"/>
      <c r="FRO382" s="252"/>
      <c r="FRP382" s="252"/>
      <c r="FRQ382" s="252"/>
      <c r="FRR382" s="252"/>
      <c r="FRS382" s="252"/>
      <c r="FRT382" s="252"/>
      <c r="FRU382" s="252"/>
      <c r="FRV382" s="252"/>
      <c r="FRW382" s="252"/>
      <c r="FRX382" s="252"/>
      <c r="FRY382" s="252"/>
      <c r="FRZ382" s="252"/>
      <c r="FSA382" s="252"/>
      <c r="FSB382" s="252"/>
      <c r="FSC382" s="252"/>
      <c r="FSD382" s="252"/>
      <c r="FSE382" s="252"/>
      <c r="FSF382" s="252"/>
      <c r="FSG382" s="252"/>
      <c r="FSH382" s="252"/>
      <c r="FSI382" s="252"/>
      <c r="FSJ382" s="252"/>
      <c r="FSK382" s="252"/>
      <c r="FSL382" s="252"/>
      <c r="FSM382" s="252"/>
      <c r="FSN382" s="252"/>
      <c r="FSO382" s="252"/>
      <c r="FSP382" s="252"/>
      <c r="FSQ382" s="252"/>
      <c r="FSR382" s="252"/>
      <c r="FSS382" s="252"/>
      <c r="FST382" s="252"/>
      <c r="FSU382" s="252"/>
      <c r="FSV382" s="252"/>
      <c r="FSW382" s="252"/>
      <c r="FSX382" s="252"/>
      <c r="FSY382" s="252"/>
      <c r="FSZ382" s="252"/>
      <c r="FTA382" s="252"/>
      <c r="FTB382" s="252"/>
      <c r="FTC382" s="252"/>
      <c r="FTD382" s="252"/>
      <c r="FTE382" s="252"/>
      <c r="FTF382" s="252"/>
      <c r="FTG382" s="252"/>
      <c r="FTH382" s="252"/>
      <c r="FTI382" s="252"/>
      <c r="FTJ382" s="252"/>
      <c r="FTK382" s="252"/>
      <c r="FTL382" s="252"/>
      <c r="FTM382" s="252"/>
      <c r="FTN382" s="252"/>
      <c r="FTO382" s="252"/>
      <c r="FTP382" s="252"/>
      <c r="FTQ382" s="252"/>
      <c r="FTR382" s="252"/>
      <c r="FTS382" s="252"/>
      <c r="FTT382" s="252"/>
      <c r="FTU382" s="252"/>
      <c r="FTV382" s="252"/>
      <c r="FTW382" s="252"/>
      <c r="FTX382" s="252"/>
      <c r="FTY382" s="252"/>
      <c r="FTZ382" s="252"/>
      <c r="FUA382" s="252"/>
      <c r="FUB382" s="252"/>
      <c r="FUC382" s="252"/>
      <c r="FUD382" s="252"/>
      <c r="FUE382" s="252"/>
      <c r="FUF382" s="252"/>
      <c r="FUG382" s="252"/>
      <c r="FUH382" s="252"/>
      <c r="FUI382" s="252"/>
      <c r="FUJ382" s="252"/>
      <c r="FUK382" s="252"/>
      <c r="FUL382" s="252"/>
      <c r="FUM382" s="252"/>
      <c r="FUN382" s="252"/>
      <c r="FUO382" s="252"/>
      <c r="FUP382" s="252"/>
      <c r="FUQ382" s="252"/>
      <c r="FUR382" s="252"/>
      <c r="FUS382" s="252"/>
      <c r="FUT382" s="252"/>
      <c r="FUU382" s="252"/>
      <c r="FUV382" s="252"/>
      <c r="FUW382" s="252"/>
      <c r="FUX382" s="252"/>
      <c r="FUY382" s="252"/>
      <c r="FUZ382" s="252"/>
      <c r="FVA382" s="252"/>
      <c r="FVB382" s="252"/>
      <c r="FVC382" s="252"/>
      <c r="FVD382" s="252"/>
      <c r="FVE382" s="252"/>
      <c r="FVF382" s="252"/>
      <c r="FVG382" s="252"/>
      <c r="FVH382" s="252"/>
      <c r="FVI382" s="252"/>
      <c r="FVJ382" s="252"/>
      <c r="FVK382" s="252"/>
      <c r="FVL382" s="252"/>
      <c r="FVM382" s="252"/>
      <c r="FVN382" s="252"/>
      <c r="FVO382" s="252"/>
      <c r="FVP382" s="252"/>
      <c r="FVQ382" s="252"/>
      <c r="FVR382" s="252"/>
      <c r="FVS382" s="252"/>
      <c r="FVT382" s="252"/>
      <c r="FVU382" s="252"/>
      <c r="FVV382" s="252"/>
      <c r="FVW382" s="252"/>
      <c r="FVX382" s="252"/>
      <c r="FVY382" s="252"/>
      <c r="FVZ382" s="252"/>
      <c r="FWA382" s="252"/>
      <c r="FWB382" s="252"/>
      <c r="FWC382" s="252"/>
      <c r="FWD382" s="252"/>
      <c r="FWE382" s="252"/>
      <c r="FWF382" s="252"/>
      <c r="FWG382" s="252"/>
      <c r="FWH382" s="252"/>
      <c r="FWI382" s="252"/>
      <c r="FWJ382" s="252"/>
      <c r="FWK382" s="252"/>
      <c r="FWL382" s="252"/>
      <c r="FWM382" s="252"/>
      <c r="FWN382" s="252"/>
      <c r="FWO382" s="252"/>
      <c r="FWP382" s="252"/>
      <c r="FWQ382" s="252"/>
      <c r="FWR382" s="252"/>
      <c r="FWS382" s="252"/>
      <c r="FWT382" s="252"/>
      <c r="FWU382" s="252"/>
      <c r="FWV382" s="252"/>
      <c r="FWW382" s="252"/>
      <c r="FWX382" s="252"/>
      <c r="FWY382" s="252"/>
      <c r="FWZ382" s="252"/>
      <c r="FXA382" s="252"/>
      <c r="FXB382" s="252"/>
      <c r="FXC382" s="252"/>
      <c r="FXD382" s="252"/>
      <c r="FXE382" s="252"/>
      <c r="FXF382" s="252"/>
      <c r="FXG382" s="252"/>
      <c r="FXH382" s="252"/>
      <c r="FXI382" s="252"/>
      <c r="FXJ382" s="252"/>
      <c r="FXK382" s="252"/>
      <c r="FXL382" s="252"/>
      <c r="FXM382" s="252"/>
      <c r="FXN382" s="252"/>
      <c r="FXO382" s="252"/>
      <c r="FXP382" s="252"/>
      <c r="FXQ382" s="252"/>
      <c r="FXR382" s="252"/>
      <c r="FXS382" s="252"/>
      <c r="FXT382" s="252"/>
      <c r="FXU382" s="252"/>
      <c r="FXV382" s="252"/>
      <c r="FXW382" s="252"/>
      <c r="FXX382" s="252"/>
      <c r="FXY382" s="252"/>
      <c r="FXZ382" s="252"/>
      <c r="FYA382" s="252"/>
      <c r="FYB382" s="252"/>
      <c r="FYC382" s="252"/>
      <c r="FYD382" s="252"/>
      <c r="FYE382" s="252"/>
      <c r="FYF382" s="252"/>
      <c r="FYG382" s="252"/>
      <c r="FYH382" s="252"/>
      <c r="FYI382" s="252"/>
      <c r="FYJ382" s="252"/>
      <c r="FYK382" s="252"/>
      <c r="FYL382" s="252"/>
      <c r="FYM382" s="252"/>
      <c r="FYN382" s="252"/>
      <c r="FYO382" s="252"/>
      <c r="FYP382" s="252"/>
      <c r="FYQ382" s="252"/>
      <c r="FYR382" s="252"/>
      <c r="FYS382" s="252"/>
      <c r="FYT382" s="252"/>
      <c r="FYU382" s="252"/>
      <c r="FYV382" s="252"/>
      <c r="FYW382" s="252"/>
      <c r="FYX382" s="252"/>
      <c r="FYY382" s="252"/>
      <c r="FYZ382" s="252"/>
      <c r="FZA382" s="252"/>
      <c r="FZB382" s="252"/>
      <c r="FZC382" s="252"/>
      <c r="FZD382" s="252"/>
      <c r="FZE382" s="252"/>
      <c r="FZF382" s="252"/>
      <c r="FZG382" s="252"/>
      <c r="FZH382" s="252"/>
      <c r="FZI382" s="252"/>
      <c r="FZJ382" s="252"/>
      <c r="FZK382" s="252"/>
      <c r="FZL382" s="252"/>
      <c r="FZM382" s="252"/>
      <c r="FZN382" s="252"/>
      <c r="FZO382" s="252"/>
      <c r="FZP382" s="252"/>
      <c r="FZQ382" s="252"/>
      <c r="FZR382" s="252"/>
      <c r="FZS382" s="252"/>
      <c r="FZT382" s="252"/>
      <c r="FZU382" s="252"/>
      <c r="FZV382" s="252"/>
      <c r="FZW382" s="252"/>
      <c r="FZX382" s="252"/>
      <c r="FZY382" s="252"/>
      <c r="FZZ382" s="252"/>
      <c r="GAA382" s="252"/>
      <c r="GAB382" s="252"/>
      <c r="GAC382" s="252"/>
      <c r="GAD382" s="252"/>
      <c r="GAE382" s="252"/>
      <c r="GAF382" s="252"/>
      <c r="GAG382" s="252"/>
      <c r="GAH382" s="252"/>
      <c r="GAI382" s="252"/>
      <c r="GAJ382" s="252"/>
      <c r="GAK382" s="252"/>
      <c r="GAL382" s="252"/>
      <c r="GAM382" s="252"/>
      <c r="GAN382" s="252"/>
      <c r="GAO382" s="252"/>
      <c r="GAP382" s="252"/>
      <c r="GAQ382" s="252"/>
      <c r="GAR382" s="252"/>
      <c r="GAS382" s="252"/>
      <c r="GAT382" s="252"/>
      <c r="GAU382" s="252"/>
      <c r="GAV382" s="252"/>
      <c r="GAW382" s="252"/>
      <c r="GAX382" s="252"/>
      <c r="GAY382" s="252"/>
      <c r="GAZ382" s="252"/>
      <c r="GBA382" s="252"/>
      <c r="GBB382" s="252"/>
      <c r="GBC382" s="252"/>
      <c r="GBD382" s="252"/>
      <c r="GBE382" s="252"/>
      <c r="GBF382" s="252"/>
      <c r="GBG382" s="252"/>
      <c r="GBH382" s="252"/>
      <c r="GBI382" s="252"/>
      <c r="GBJ382" s="252"/>
      <c r="GBK382" s="252"/>
      <c r="GBL382" s="252"/>
      <c r="GBM382" s="252"/>
      <c r="GBN382" s="252"/>
      <c r="GBO382" s="252"/>
      <c r="GBP382" s="252"/>
      <c r="GBQ382" s="252"/>
      <c r="GBR382" s="252"/>
      <c r="GBS382" s="252"/>
      <c r="GBT382" s="252"/>
      <c r="GBU382" s="252"/>
      <c r="GBV382" s="252"/>
      <c r="GBW382" s="252"/>
      <c r="GBX382" s="252"/>
      <c r="GBY382" s="252"/>
      <c r="GBZ382" s="252"/>
      <c r="GCA382" s="252"/>
      <c r="GCB382" s="252"/>
      <c r="GCC382" s="252"/>
      <c r="GCD382" s="252"/>
      <c r="GCE382" s="252"/>
      <c r="GCF382" s="252"/>
      <c r="GCG382" s="252"/>
      <c r="GCH382" s="252"/>
      <c r="GCI382" s="252"/>
      <c r="GCJ382" s="252"/>
      <c r="GCK382" s="252"/>
      <c r="GCL382" s="252"/>
      <c r="GCM382" s="252"/>
      <c r="GCN382" s="252"/>
      <c r="GCO382" s="252"/>
      <c r="GCP382" s="252"/>
      <c r="GCQ382" s="252"/>
      <c r="GCR382" s="252"/>
      <c r="GCS382" s="252"/>
      <c r="GCT382" s="252"/>
      <c r="GCU382" s="252"/>
      <c r="GCV382" s="252"/>
      <c r="GCW382" s="252"/>
      <c r="GCX382" s="252"/>
      <c r="GCY382" s="252"/>
      <c r="GCZ382" s="252"/>
      <c r="GDA382" s="252"/>
      <c r="GDB382" s="252"/>
      <c r="GDC382" s="252"/>
      <c r="GDD382" s="252"/>
      <c r="GDE382" s="252"/>
      <c r="GDF382" s="252"/>
      <c r="GDG382" s="252"/>
      <c r="GDH382" s="252"/>
      <c r="GDI382" s="252"/>
      <c r="GDJ382" s="252"/>
      <c r="GDK382" s="252"/>
      <c r="GDL382" s="252"/>
      <c r="GDM382" s="252"/>
      <c r="GDN382" s="252"/>
      <c r="GDO382" s="252"/>
      <c r="GDP382" s="252"/>
      <c r="GDQ382" s="252"/>
      <c r="GDR382" s="252"/>
      <c r="GDS382" s="252"/>
      <c r="GDT382" s="252"/>
      <c r="GDU382" s="252"/>
      <c r="GDV382" s="252"/>
      <c r="GDW382" s="252"/>
      <c r="GDX382" s="252"/>
      <c r="GDY382" s="252"/>
      <c r="GDZ382" s="252"/>
      <c r="GEA382" s="252"/>
      <c r="GEB382" s="252"/>
      <c r="GEC382" s="252"/>
      <c r="GED382" s="252"/>
      <c r="GEE382" s="252"/>
      <c r="GEF382" s="252"/>
      <c r="GEG382" s="252"/>
      <c r="GEH382" s="252"/>
      <c r="GEI382" s="252"/>
      <c r="GEJ382" s="252"/>
      <c r="GEK382" s="252"/>
      <c r="GEL382" s="252"/>
      <c r="GEM382" s="252"/>
      <c r="GEN382" s="252"/>
      <c r="GEO382" s="252"/>
      <c r="GEP382" s="252"/>
      <c r="GEQ382" s="252"/>
      <c r="GER382" s="252"/>
      <c r="GES382" s="252"/>
      <c r="GET382" s="252"/>
      <c r="GEU382" s="252"/>
      <c r="GEV382" s="252"/>
      <c r="GEW382" s="252"/>
      <c r="GEX382" s="252"/>
      <c r="GEY382" s="252"/>
      <c r="GEZ382" s="252"/>
      <c r="GFA382" s="252"/>
      <c r="GFB382" s="252"/>
      <c r="GFC382" s="252"/>
      <c r="GFD382" s="252"/>
      <c r="GFE382" s="252"/>
      <c r="GFF382" s="252"/>
      <c r="GFG382" s="252"/>
      <c r="GFH382" s="252"/>
      <c r="GFI382" s="252"/>
      <c r="GFJ382" s="252"/>
      <c r="GFK382" s="252"/>
      <c r="GFL382" s="252"/>
      <c r="GFM382" s="252"/>
      <c r="GFN382" s="252"/>
      <c r="GFO382" s="252"/>
      <c r="GFP382" s="252"/>
      <c r="GFQ382" s="252"/>
      <c r="GFR382" s="252"/>
      <c r="GFS382" s="252"/>
      <c r="GFT382" s="252"/>
      <c r="GFU382" s="252"/>
      <c r="GFV382" s="252"/>
      <c r="GFW382" s="252"/>
      <c r="GFX382" s="252"/>
      <c r="GFY382" s="252"/>
      <c r="GFZ382" s="252"/>
      <c r="GGA382" s="252"/>
      <c r="GGB382" s="252"/>
      <c r="GGC382" s="252"/>
      <c r="GGD382" s="252"/>
      <c r="GGE382" s="252"/>
      <c r="GGF382" s="252"/>
      <c r="GGG382" s="252"/>
      <c r="GGH382" s="252"/>
      <c r="GGI382" s="252"/>
      <c r="GGJ382" s="252"/>
      <c r="GGK382" s="252"/>
      <c r="GGL382" s="252"/>
      <c r="GGM382" s="252"/>
      <c r="GGN382" s="252"/>
      <c r="GGO382" s="252"/>
      <c r="GGP382" s="252"/>
      <c r="GGQ382" s="252"/>
      <c r="GGR382" s="252"/>
      <c r="GGS382" s="252"/>
      <c r="GGT382" s="252"/>
      <c r="GGU382" s="252"/>
      <c r="GGV382" s="252"/>
      <c r="GGW382" s="252"/>
      <c r="GGX382" s="252"/>
      <c r="GGY382" s="252"/>
      <c r="GGZ382" s="252"/>
      <c r="GHA382" s="252"/>
      <c r="GHB382" s="252"/>
      <c r="GHC382" s="252"/>
      <c r="GHD382" s="252"/>
      <c r="GHE382" s="252"/>
      <c r="GHF382" s="252"/>
      <c r="GHG382" s="252"/>
      <c r="GHH382" s="252"/>
      <c r="GHI382" s="252"/>
      <c r="GHJ382" s="252"/>
      <c r="GHK382" s="252"/>
      <c r="GHL382" s="252"/>
      <c r="GHM382" s="252"/>
      <c r="GHN382" s="252"/>
      <c r="GHO382" s="252"/>
      <c r="GHP382" s="252"/>
      <c r="GHQ382" s="252"/>
      <c r="GHR382" s="252"/>
      <c r="GHS382" s="252"/>
      <c r="GHT382" s="252"/>
      <c r="GHU382" s="252"/>
      <c r="GHV382" s="252"/>
      <c r="GHW382" s="252"/>
      <c r="GHX382" s="252"/>
      <c r="GHY382" s="252"/>
      <c r="GHZ382" s="252"/>
      <c r="GIA382" s="252"/>
      <c r="GIB382" s="252"/>
      <c r="GIC382" s="252"/>
      <c r="GID382" s="252"/>
      <c r="GIE382" s="252"/>
      <c r="GIF382" s="252"/>
      <c r="GIG382" s="252"/>
      <c r="GIH382" s="252"/>
      <c r="GII382" s="252"/>
      <c r="GIJ382" s="252"/>
      <c r="GIK382" s="252"/>
      <c r="GIL382" s="252"/>
      <c r="GIM382" s="252"/>
      <c r="GIN382" s="252"/>
      <c r="GIO382" s="252"/>
      <c r="GIP382" s="252"/>
      <c r="GIQ382" s="252"/>
      <c r="GIR382" s="252"/>
      <c r="GIS382" s="252"/>
      <c r="GIT382" s="252"/>
      <c r="GIU382" s="252"/>
      <c r="GIV382" s="252"/>
      <c r="GIW382" s="252"/>
      <c r="GIX382" s="252"/>
      <c r="GIY382" s="252"/>
      <c r="GIZ382" s="252"/>
      <c r="GJA382" s="252"/>
      <c r="GJB382" s="252"/>
      <c r="GJC382" s="252"/>
      <c r="GJD382" s="252"/>
      <c r="GJE382" s="252"/>
      <c r="GJF382" s="252"/>
      <c r="GJG382" s="252"/>
      <c r="GJH382" s="252"/>
      <c r="GJI382" s="252"/>
      <c r="GJJ382" s="252"/>
      <c r="GJK382" s="252"/>
      <c r="GJL382" s="252"/>
      <c r="GJM382" s="252"/>
      <c r="GJN382" s="252"/>
      <c r="GJO382" s="252"/>
      <c r="GJP382" s="252"/>
      <c r="GJQ382" s="252"/>
      <c r="GJR382" s="252"/>
      <c r="GJS382" s="252"/>
      <c r="GJT382" s="252"/>
      <c r="GJU382" s="252"/>
      <c r="GJV382" s="252"/>
      <c r="GJW382" s="252"/>
      <c r="GJX382" s="252"/>
      <c r="GJY382" s="252"/>
      <c r="GJZ382" s="252"/>
      <c r="GKA382" s="252"/>
      <c r="GKB382" s="252"/>
      <c r="GKC382" s="252"/>
      <c r="GKD382" s="252"/>
      <c r="GKE382" s="252"/>
      <c r="GKF382" s="252"/>
      <c r="GKG382" s="252"/>
      <c r="GKH382" s="252"/>
      <c r="GKI382" s="252"/>
      <c r="GKJ382" s="252"/>
      <c r="GKK382" s="252"/>
      <c r="GKL382" s="252"/>
      <c r="GKM382" s="252"/>
      <c r="GKN382" s="252"/>
      <c r="GKO382" s="252"/>
      <c r="GKP382" s="252"/>
      <c r="GKQ382" s="252"/>
      <c r="GKR382" s="252"/>
      <c r="GKS382" s="252"/>
      <c r="GKT382" s="252"/>
      <c r="GKU382" s="252"/>
      <c r="GKV382" s="252"/>
      <c r="GKW382" s="252"/>
      <c r="GKX382" s="252"/>
      <c r="GKY382" s="252"/>
      <c r="GKZ382" s="252"/>
      <c r="GLA382" s="252"/>
      <c r="GLB382" s="252"/>
      <c r="GLC382" s="252"/>
      <c r="GLD382" s="252"/>
      <c r="GLE382" s="252"/>
      <c r="GLF382" s="252"/>
      <c r="GLG382" s="252"/>
      <c r="GLH382" s="252"/>
      <c r="GLI382" s="252"/>
      <c r="GLJ382" s="252"/>
      <c r="GLK382" s="252"/>
      <c r="GLL382" s="252"/>
      <c r="GLM382" s="252"/>
      <c r="GLN382" s="252"/>
      <c r="GLO382" s="252"/>
      <c r="GLP382" s="252"/>
      <c r="GLQ382" s="252"/>
      <c r="GLR382" s="252"/>
      <c r="GLS382" s="252"/>
      <c r="GLT382" s="252"/>
      <c r="GLU382" s="252"/>
      <c r="GLV382" s="252"/>
      <c r="GLW382" s="252"/>
      <c r="GLX382" s="252"/>
      <c r="GLY382" s="252"/>
      <c r="GLZ382" s="252"/>
      <c r="GMA382" s="252"/>
      <c r="GMB382" s="252"/>
      <c r="GMC382" s="252"/>
      <c r="GMD382" s="252"/>
      <c r="GME382" s="252"/>
      <c r="GMF382" s="252"/>
      <c r="GMG382" s="252"/>
      <c r="GMH382" s="252"/>
      <c r="GMI382" s="252"/>
      <c r="GMJ382" s="252"/>
      <c r="GMK382" s="252"/>
      <c r="GML382" s="252"/>
      <c r="GMM382" s="252"/>
      <c r="GMN382" s="252"/>
      <c r="GMO382" s="252"/>
      <c r="GMP382" s="252"/>
      <c r="GMQ382" s="252"/>
      <c r="GMR382" s="252"/>
      <c r="GMS382" s="252"/>
      <c r="GMT382" s="252"/>
      <c r="GMU382" s="252"/>
      <c r="GMV382" s="252"/>
      <c r="GMW382" s="252"/>
      <c r="GMX382" s="252"/>
      <c r="GMY382" s="252"/>
      <c r="GMZ382" s="252"/>
      <c r="GNA382" s="252"/>
      <c r="GNB382" s="252"/>
      <c r="GNC382" s="252"/>
      <c r="GND382" s="252"/>
      <c r="GNE382" s="252"/>
      <c r="GNF382" s="252"/>
      <c r="GNG382" s="252"/>
      <c r="GNH382" s="252"/>
      <c r="GNI382" s="252"/>
      <c r="GNJ382" s="252"/>
      <c r="GNK382" s="252"/>
      <c r="GNL382" s="252"/>
      <c r="GNM382" s="252"/>
      <c r="GNN382" s="252"/>
      <c r="GNO382" s="252"/>
      <c r="GNP382" s="252"/>
      <c r="GNQ382" s="252"/>
      <c r="GNR382" s="252"/>
      <c r="GNS382" s="252"/>
      <c r="GNT382" s="252"/>
      <c r="GNU382" s="252"/>
      <c r="GNV382" s="252"/>
      <c r="GNW382" s="252"/>
      <c r="GNX382" s="252"/>
      <c r="GNY382" s="252"/>
      <c r="GNZ382" s="252"/>
      <c r="GOA382" s="252"/>
      <c r="GOB382" s="252"/>
      <c r="GOC382" s="252"/>
      <c r="GOD382" s="252"/>
      <c r="GOE382" s="252"/>
      <c r="GOF382" s="252"/>
      <c r="GOG382" s="252"/>
      <c r="GOH382" s="252"/>
      <c r="GOI382" s="252"/>
      <c r="GOJ382" s="252"/>
      <c r="GOK382" s="252"/>
      <c r="GOL382" s="252"/>
      <c r="GOM382" s="252"/>
      <c r="GON382" s="252"/>
      <c r="GOO382" s="252"/>
      <c r="GOP382" s="252"/>
      <c r="GOQ382" s="252"/>
      <c r="GOR382" s="252"/>
      <c r="GOS382" s="252"/>
      <c r="GOT382" s="252"/>
      <c r="GOU382" s="252"/>
      <c r="GOV382" s="252"/>
      <c r="GOW382" s="252"/>
      <c r="GOX382" s="252"/>
      <c r="GOY382" s="252"/>
      <c r="GOZ382" s="252"/>
      <c r="GPA382" s="252"/>
      <c r="GPB382" s="252"/>
      <c r="GPC382" s="252"/>
      <c r="GPD382" s="252"/>
      <c r="GPE382" s="252"/>
      <c r="GPF382" s="252"/>
      <c r="GPG382" s="252"/>
      <c r="GPH382" s="252"/>
      <c r="GPI382" s="252"/>
      <c r="GPJ382" s="252"/>
      <c r="GPK382" s="252"/>
      <c r="GPL382" s="252"/>
      <c r="GPM382" s="252"/>
      <c r="GPN382" s="252"/>
      <c r="GPO382" s="252"/>
      <c r="GPP382" s="252"/>
      <c r="GPQ382" s="252"/>
      <c r="GPR382" s="252"/>
      <c r="GPS382" s="252"/>
      <c r="GPT382" s="252"/>
      <c r="GPU382" s="252"/>
      <c r="GPV382" s="252"/>
      <c r="GPW382" s="252"/>
      <c r="GPX382" s="252"/>
      <c r="GPY382" s="252"/>
      <c r="GPZ382" s="252"/>
      <c r="GQA382" s="252"/>
      <c r="GQB382" s="252"/>
      <c r="GQC382" s="252"/>
      <c r="GQD382" s="252"/>
      <c r="GQE382" s="252"/>
      <c r="GQF382" s="252"/>
      <c r="GQG382" s="252"/>
      <c r="GQH382" s="252"/>
      <c r="GQI382" s="252"/>
      <c r="GQJ382" s="252"/>
      <c r="GQK382" s="252"/>
      <c r="GQL382" s="252"/>
      <c r="GQM382" s="252"/>
      <c r="GQN382" s="252"/>
      <c r="GQO382" s="252"/>
      <c r="GQP382" s="252"/>
      <c r="GQQ382" s="252"/>
      <c r="GQR382" s="252"/>
      <c r="GQS382" s="252"/>
      <c r="GQT382" s="252"/>
      <c r="GQU382" s="252"/>
      <c r="GQV382" s="252"/>
      <c r="GQW382" s="252"/>
      <c r="GQX382" s="252"/>
      <c r="GQY382" s="252"/>
      <c r="GQZ382" s="252"/>
      <c r="GRA382" s="252"/>
      <c r="GRB382" s="252"/>
      <c r="GRC382" s="252"/>
      <c r="GRD382" s="252"/>
      <c r="GRE382" s="252"/>
      <c r="GRF382" s="252"/>
      <c r="GRG382" s="252"/>
      <c r="GRH382" s="252"/>
      <c r="GRI382" s="252"/>
      <c r="GRJ382" s="252"/>
      <c r="GRK382" s="252"/>
      <c r="GRL382" s="252"/>
      <c r="GRM382" s="252"/>
      <c r="GRN382" s="252"/>
      <c r="GRO382" s="252"/>
      <c r="GRP382" s="252"/>
      <c r="GRQ382" s="252"/>
      <c r="GRR382" s="252"/>
      <c r="GRS382" s="252"/>
      <c r="GRT382" s="252"/>
      <c r="GRU382" s="252"/>
      <c r="GRV382" s="252"/>
      <c r="GRW382" s="252"/>
      <c r="GRX382" s="252"/>
      <c r="GRY382" s="252"/>
      <c r="GRZ382" s="252"/>
      <c r="GSA382" s="252"/>
      <c r="GSB382" s="252"/>
      <c r="GSC382" s="252"/>
      <c r="GSD382" s="252"/>
      <c r="GSE382" s="252"/>
      <c r="GSF382" s="252"/>
      <c r="GSG382" s="252"/>
      <c r="GSH382" s="252"/>
      <c r="GSI382" s="252"/>
      <c r="GSJ382" s="252"/>
      <c r="GSK382" s="252"/>
      <c r="GSL382" s="252"/>
      <c r="GSM382" s="252"/>
      <c r="GSN382" s="252"/>
      <c r="GSO382" s="252"/>
      <c r="GSP382" s="252"/>
      <c r="GSQ382" s="252"/>
      <c r="GSR382" s="252"/>
      <c r="GSS382" s="252"/>
      <c r="GST382" s="252"/>
      <c r="GSU382" s="252"/>
      <c r="GSV382" s="252"/>
      <c r="GSW382" s="252"/>
      <c r="GSX382" s="252"/>
      <c r="GSY382" s="252"/>
      <c r="GSZ382" s="252"/>
      <c r="GTA382" s="252"/>
      <c r="GTB382" s="252"/>
      <c r="GTC382" s="252"/>
      <c r="GTD382" s="252"/>
      <c r="GTE382" s="252"/>
      <c r="GTF382" s="252"/>
      <c r="GTG382" s="252"/>
      <c r="GTH382" s="252"/>
      <c r="GTI382" s="252"/>
      <c r="GTJ382" s="252"/>
      <c r="GTK382" s="252"/>
      <c r="GTL382" s="252"/>
      <c r="GTM382" s="252"/>
      <c r="GTN382" s="252"/>
      <c r="GTO382" s="252"/>
      <c r="GTP382" s="252"/>
      <c r="GTQ382" s="252"/>
      <c r="GTR382" s="252"/>
      <c r="GTS382" s="252"/>
      <c r="GTT382" s="252"/>
      <c r="GTU382" s="252"/>
      <c r="GTV382" s="252"/>
      <c r="GTW382" s="252"/>
      <c r="GTX382" s="252"/>
      <c r="GTY382" s="252"/>
      <c r="GTZ382" s="252"/>
      <c r="GUA382" s="252"/>
      <c r="GUB382" s="252"/>
      <c r="GUC382" s="252"/>
      <c r="GUD382" s="252"/>
      <c r="GUE382" s="252"/>
      <c r="GUF382" s="252"/>
      <c r="GUG382" s="252"/>
      <c r="GUH382" s="252"/>
      <c r="GUI382" s="252"/>
      <c r="GUJ382" s="252"/>
      <c r="GUK382" s="252"/>
      <c r="GUL382" s="252"/>
      <c r="GUM382" s="252"/>
      <c r="GUN382" s="252"/>
      <c r="GUO382" s="252"/>
      <c r="GUP382" s="252"/>
      <c r="GUQ382" s="252"/>
      <c r="GUR382" s="252"/>
      <c r="GUS382" s="252"/>
      <c r="GUT382" s="252"/>
      <c r="GUU382" s="252"/>
      <c r="GUV382" s="252"/>
      <c r="GUW382" s="252"/>
      <c r="GUX382" s="252"/>
      <c r="GUY382" s="252"/>
      <c r="GUZ382" s="252"/>
      <c r="GVA382" s="252"/>
      <c r="GVB382" s="252"/>
      <c r="GVC382" s="252"/>
      <c r="GVD382" s="252"/>
      <c r="GVE382" s="252"/>
      <c r="GVF382" s="252"/>
      <c r="GVG382" s="252"/>
      <c r="GVH382" s="252"/>
      <c r="GVI382" s="252"/>
      <c r="GVJ382" s="252"/>
      <c r="GVK382" s="252"/>
      <c r="GVL382" s="252"/>
      <c r="GVM382" s="252"/>
      <c r="GVN382" s="252"/>
      <c r="GVO382" s="252"/>
      <c r="GVP382" s="252"/>
      <c r="GVQ382" s="252"/>
      <c r="GVR382" s="252"/>
      <c r="GVS382" s="252"/>
      <c r="GVT382" s="252"/>
      <c r="GVU382" s="252"/>
      <c r="GVV382" s="252"/>
      <c r="GVW382" s="252"/>
      <c r="GVX382" s="252"/>
      <c r="GVY382" s="252"/>
      <c r="GVZ382" s="252"/>
      <c r="GWA382" s="252"/>
      <c r="GWB382" s="252"/>
      <c r="GWC382" s="252"/>
      <c r="GWD382" s="252"/>
      <c r="GWE382" s="252"/>
      <c r="GWF382" s="252"/>
      <c r="GWG382" s="252"/>
      <c r="GWH382" s="252"/>
      <c r="GWI382" s="252"/>
      <c r="GWJ382" s="252"/>
      <c r="GWK382" s="252"/>
      <c r="GWL382" s="252"/>
      <c r="GWM382" s="252"/>
      <c r="GWN382" s="252"/>
      <c r="GWO382" s="252"/>
      <c r="GWP382" s="252"/>
      <c r="GWQ382" s="252"/>
      <c r="GWR382" s="252"/>
      <c r="GWS382" s="252"/>
      <c r="GWT382" s="252"/>
      <c r="GWU382" s="252"/>
      <c r="GWV382" s="252"/>
      <c r="GWW382" s="252"/>
      <c r="GWX382" s="252"/>
      <c r="GWY382" s="252"/>
      <c r="GWZ382" s="252"/>
      <c r="GXA382" s="252"/>
      <c r="GXB382" s="252"/>
      <c r="GXC382" s="252"/>
      <c r="GXD382" s="252"/>
      <c r="GXE382" s="252"/>
      <c r="GXF382" s="252"/>
      <c r="GXG382" s="252"/>
      <c r="GXH382" s="252"/>
      <c r="GXI382" s="252"/>
      <c r="GXJ382" s="252"/>
      <c r="GXK382" s="252"/>
      <c r="GXL382" s="252"/>
      <c r="GXM382" s="252"/>
      <c r="GXN382" s="252"/>
      <c r="GXO382" s="252"/>
      <c r="GXP382" s="252"/>
      <c r="GXQ382" s="252"/>
      <c r="GXR382" s="252"/>
      <c r="GXS382" s="252"/>
      <c r="GXT382" s="252"/>
      <c r="GXU382" s="252"/>
      <c r="GXV382" s="252"/>
      <c r="GXW382" s="252"/>
      <c r="GXX382" s="252"/>
      <c r="GXY382" s="252"/>
      <c r="GXZ382" s="252"/>
      <c r="GYA382" s="252"/>
      <c r="GYB382" s="252"/>
      <c r="GYC382" s="252"/>
      <c r="GYD382" s="252"/>
      <c r="GYE382" s="252"/>
      <c r="GYF382" s="252"/>
      <c r="GYG382" s="252"/>
      <c r="GYH382" s="252"/>
      <c r="GYI382" s="252"/>
      <c r="GYJ382" s="252"/>
      <c r="GYK382" s="252"/>
      <c r="GYL382" s="252"/>
      <c r="GYM382" s="252"/>
      <c r="GYN382" s="252"/>
      <c r="GYO382" s="252"/>
      <c r="GYP382" s="252"/>
      <c r="GYQ382" s="252"/>
      <c r="GYR382" s="252"/>
      <c r="GYS382" s="252"/>
      <c r="GYT382" s="252"/>
      <c r="GYU382" s="252"/>
      <c r="GYV382" s="252"/>
      <c r="GYW382" s="252"/>
      <c r="GYX382" s="252"/>
      <c r="GYY382" s="252"/>
      <c r="GYZ382" s="252"/>
      <c r="GZA382" s="252"/>
      <c r="GZB382" s="252"/>
      <c r="GZC382" s="252"/>
      <c r="GZD382" s="252"/>
      <c r="GZE382" s="252"/>
      <c r="GZF382" s="252"/>
      <c r="GZG382" s="252"/>
      <c r="GZH382" s="252"/>
      <c r="GZI382" s="252"/>
      <c r="GZJ382" s="252"/>
      <c r="GZK382" s="252"/>
      <c r="GZL382" s="252"/>
      <c r="GZM382" s="252"/>
      <c r="GZN382" s="252"/>
      <c r="GZO382" s="252"/>
      <c r="GZP382" s="252"/>
      <c r="GZQ382" s="252"/>
      <c r="GZR382" s="252"/>
      <c r="GZS382" s="252"/>
      <c r="GZT382" s="252"/>
      <c r="GZU382" s="252"/>
      <c r="GZV382" s="252"/>
      <c r="GZW382" s="252"/>
      <c r="GZX382" s="252"/>
      <c r="GZY382" s="252"/>
      <c r="GZZ382" s="252"/>
      <c r="HAA382" s="252"/>
      <c r="HAB382" s="252"/>
      <c r="HAC382" s="252"/>
      <c r="HAD382" s="252"/>
      <c r="HAE382" s="252"/>
      <c r="HAF382" s="252"/>
      <c r="HAG382" s="252"/>
      <c r="HAH382" s="252"/>
      <c r="HAI382" s="252"/>
      <c r="HAJ382" s="252"/>
      <c r="HAK382" s="252"/>
      <c r="HAL382" s="252"/>
      <c r="HAM382" s="252"/>
      <c r="HAN382" s="252"/>
      <c r="HAO382" s="252"/>
      <c r="HAP382" s="252"/>
      <c r="HAQ382" s="252"/>
      <c r="HAR382" s="252"/>
      <c r="HAS382" s="252"/>
      <c r="HAT382" s="252"/>
      <c r="HAU382" s="252"/>
      <c r="HAV382" s="252"/>
      <c r="HAW382" s="252"/>
      <c r="HAX382" s="252"/>
      <c r="HAY382" s="252"/>
      <c r="HAZ382" s="252"/>
      <c r="HBA382" s="252"/>
      <c r="HBB382" s="252"/>
      <c r="HBC382" s="252"/>
      <c r="HBD382" s="252"/>
      <c r="HBE382" s="252"/>
      <c r="HBF382" s="252"/>
      <c r="HBG382" s="252"/>
      <c r="HBH382" s="252"/>
      <c r="HBI382" s="252"/>
      <c r="HBJ382" s="252"/>
      <c r="HBK382" s="252"/>
      <c r="HBL382" s="252"/>
      <c r="HBM382" s="252"/>
      <c r="HBN382" s="252"/>
      <c r="HBO382" s="252"/>
      <c r="HBP382" s="252"/>
      <c r="HBQ382" s="252"/>
      <c r="HBR382" s="252"/>
      <c r="HBS382" s="252"/>
      <c r="HBT382" s="252"/>
      <c r="HBU382" s="252"/>
      <c r="HBV382" s="252"/>
      <c r="HBW382" s="252"/>
      <c r="HBX382" s="252"/>
      <c r="HBY382" s="252"/>
      <c r="HBZ382" s="252"/>
      <c r="HCA382" s="252"/>
      <c r="HCB382" s="252"/>
      <c r="HCC382" s="252"/>
      <c r="HCD382" s="252"/>
      <c r="HCE382" s="252"/>
      <c r="HCF382" s="252"/>
      <c r="HCG382" s="252"/>
      <c r="HCH382" s="252"/>
      <c r="HCI382" s="252"/>
      <c r="HCJ382" s="252"/>
      <c r="HCK382" s="252"/>
      <c r="HCL382" s="252"/>
      <c r="HCM382" s="252"/>
      <c r="HCN382" s="252"/>
      <c r="HCO382" s="252"/>
      <c r="HCP382" s="252"/>
      <c r="HCQ382" s="252"/>
      <c r="HCR382" s="252"/>
      <c r="HCS382" s="252"/>
      <c r="HCT382" s="252"/>
      <c r="HCU382" s="252"/>
      <c r="HCV382" s="252"/>
      <c r="HCW382" s="252"/>
      <c r="HCX382" s="252"/>
      <c r="HCY382" s="252"/>
      <c r="HCZ382" s="252"/>
      <c r="HDA382" s="252"/>
      <c r="HDB382" s="252"/>
      <c r="HDC382" s="252"/>
      <c r="HDD382" s="252"/>
      <c r="HDE382" s="252"/>
      <c r="HDF382" s="252"/>
      <c r="HDG382" s="252"/>
      <c r="HDH382" s="252"/>
      <c r="HDI382" s="252"/>
      <c r="HDJ382" s="252"/>
      <c r="HDK382" s="252"/>
      <c r="HDL382" s="252"/>
      <c r="HDM382" s="252"/>
      <c r="HDN382" s="252"/>
      <c r="HDO382" s="252"/>
      <c r="HDP382" s="252"/>
      <c r="HDQ382" s="252"/>
      <c r="HDR382" s="252"/>
      <c r="HDS382" s="252"/>
      <c r="HDT382" s="252"/>
      <c r="HDU382" s="252"/>
      <c r="HDV382" s="252"/>
      <c r="HDW382" s="252"/>
      <c r="HDX382" s="252"/>
      <c r="HDY382" s="252"/>
      <c r="HDZ382" s="252"/>
      <c r="HEA382" s="252"/>
      <c r="HEB382" s="252"/>
      <c r="HEC382" s="252"/>
      <c r="HED382" s="252"/>
      <c r="HEE382" s="252"/>
      <c r="HEF382" s="252"/>
      <c r="HEG382" s="252"/>
      <c r="HEH382" s="252"/>
      <c r="HEI382" s="252"/>
      <c r="HEJ382" s="252"/>
      <c r="HEK382" s="252"/>
      <c r="HEL382" s="252"/>
      <c r="HEM382" s="252"/>
      <c r="HEN382" s="252"/>
      <c r="HEO382" s="252"/>
      <c r="HEP382" s="252"/>
      <c r="HEQ382" s="252"/>
      <c r="HER382" s="252"/>
      <c r="HES382" s="252"/>
      <c r="HET382" s="252"/>
      <c r="HEU382" s="252"/>
      <c r="HEV382" s="252"/>
      <c r="HEW382" s="252"/>
      <c r="HEX382" s="252"/>
      <c r="HEY382" s="252"/>
      <c r="HEZ382" s="252"/>
      <c r="HFA382" s="252"/>
      <c r="HFB382" s="252"/>
      <c r="HFC382" s="252"/>
      <c r="HFD382" s="252"/>
      <c r="HFE382" s="252"/>
      <c r="HFF382" s="252"/>
      <c r="HFG382" s="252"/>
      <c r="HFH382" s="252"/>
      <c r="HFI382" s="252"/>
      <c r="HFJ382" s="252"/>
      <c r="HFK382" s="252"/>
      <c r="HFL382" s="252"/>
      <c r="HFM382" s="252"/>
      <c r="HFN382" s="252"/>
      <c r="HFO382" s="252"/>
      <c r="HFP382" s="252"/>
      <c r="HFQ382" s="252"/>
      <c r="HFR382" s="252"/>
      <c r="HFS382" s="252"/>
      <c r="HFT382" s="252"/>
      <c r="HFU382" s="252"/>
      <c r="HFV382" s="252"/>
      <c r="HFW382" s="252"/>
      <c r="HFX382" s="252"/>
      <c r="HFY382" s="252"/>
      <c r="HFZ382" s="252"/>
      <c r="HGA382" s="252"/>
      <c r="HGB382" s="252"/>
      <c r="HGC382" s="252"/>
      <c r="HGD382" s="252"/>
      <c r="HGE382" s="252"/>
      <c r="HGF382" s="252"/>
      <c r="HGG382" s="252"/>
      <c r="HGH382" s="252"/>
      <c r="HGI382" s="252"/>
      <c r="HGJ382" s="252"/>
      <c r="HGK382" s="252"/>
      <c r="HGL382" s="252"/>
      <c r="HGM382" s="252"/>
      <c r="HGN382" s="252"/>
      <c r="HGO382" s="252"/>
      <c r="HGP382" s="252"/>
      <c r="HGQ382" s="252"/>
      <c r="HGR382" s="252"/>
      <c r="HGS382" s="252"/>
      <c r="HGT382" s="252"/>
      <c r="HGU382" s="252"/>
      <c r="HGV382" s="252"/>
      <c r="HGW382" s="252"/>
      <c r="HGX382" s="252"/>
      <c r="HGY382" s="252"/>
      <c r="HGZ382" s="252"/>
      <c r="HHA382" s="252"/>
      <c r="HHB382" s="252"/>
      <c r="HHC382" s="252"/>
      <c r="HHD382" s="252"/>
      <c r="HHE382" s="252"/>
      <c r="HHF382" s="252"/>
      <c r="HHG382" s="252"/>
      <c r="HHH382" s="252"/>
      <c r="HHI382" s="252"/>
      <c r="HHJ382" s="252"/>
      <c r="HHK382" s="252"/>
      <c r="HHL382" s="252"/>
      <c r="HHM382" s="252"/>
      <c r="HHN382" s="252"/>
      <c r="HHO382" s="252"/>
      <c r="HHP382" s="252"/>
      <c r="HHQ382" s="252"/>
      <c r="HHR382" s="252"/>
      <c r="HHS382" s="252"/>
      <c r="HHT382" s="252"/>
      <c r="HHU382" s="252"/>
      <c r="HHV382" s="252"/>
      <c r="HHW382" s="252"/>
      <c r="HHX382" s="252"/>
      <c r="HHY382" s="252"/>
      <c r="HHZ382" s="252"/>
      <c r="HIA382" s="252"/>
      <c r="HIB382" s="252"/>
      <c r="HIC382" s="252"/>
      <c r="HID382" s="252"/>
      <c r="HIE382" s="252"/>
      <c r="HIF382" s="252"/>
      <c r="HIG382" s="252"/>
      <c r="HIH382" s="252"/>
      <c r="HII382" s="252"/>
      <c r="HIJ382" s="252"/>
      <c r="HIK382" s="252"/>
      <c r="HIL382" s="252"/>
      <c r="HIM382" s="252"/>
      <c r="HIN382" s="252"/>
      <c r="HIO382" s="252"/>
      <c r="HIP382" s="252"/>
      <c r="HIQ382" s="252"/>
      <c r="HIR382" s="252"/>
      <c r="HIS382" s="252"/>
      <c r="HIT382" s="252"/>
      <c r="HIU382" s="252"/>
      <c r="HIV382" s="252"/>
      <c r="HIW382" s="252"/>
      <c r="HIX382" s="252"/>
      <c r="HIY382" s="252"/>
      <c r="HIZ382" s="252"/>
      <c r="HJA382" s="252"/>
      <c r="HJB382" s="252"/>
      <c r="HJC382" s="252"/>
      <c r="HJD382" s="252"/>
      <c r="HJE382" s="252"/>
      <c r="HJF382" s="252"/>
      <c r="HJG382" s="252"/>
      <c r="HJH382" s="252"/>
      <c r="HJI382" s="252"/>
      <c r="HJJ382" s="252"/>
      <c r="HJK382" s="252"/>
      <c r="HJL382" s="252"/>
      <c r="HJM382" s="252"/>
      <c r="HJN382" s="252"/>
      <c r="HJO382" s="252"/>
      <c r="HJP382" s="252"/>
      <c r="HJQ382" s="252"/>
      <c r="HJR382" s="252"/>
      <c r="HJS382" s="252"/>
      <c r="HJT382" s="252"/>
      <c r="HJU382" s="252"/>
      <c r="HJV382" s="252"/>
      <c r="HJW382" s="252"/>
      <c r="HJX382" s="252"/>
      <c r="HJY382" s="252"/>
      <c r="HJZ382" s="252"/>
      <c r="HKA382" s="252"/>
      <c r="HKB382" s="252"/>
      <c r="HKC382" s="252"/>
      <c r="HKD382" s="252"/>
      <c r="HKE382" s="252"/>
      <c r="HKF382" s="252"/>
      <c r="HKG382" s="252"/>
      <c r="HKH382" s="252"/>
      <c r="HKI382" s="252"/>
      <c r="HKJ382" s="252"/>
      <c r="HKK382" s="252"/>
      <c r="HKL382" s="252"/>
      <c r="HKM382" s="252"/>
      <c r="HKN382" s="252"/>
      <c r="HKO382" s="252"/>
      <c r="HKP382" s="252"/>
      <c r="HKQ382" s="252"/>
      <c r="HKR382" s="252"/>
      <c r="HKS382" s="252"/>
      <c r="HKT382" s="252"/>
      <c r="HKU382" s="252"/>
      <c r="HKV382" s="252"/>
      <c r="HKW382" s="252"/>
      <c r="HKX382" s="252"/>
      <c r="HKY382" s="252"/>
      <c r="HKZ382" s="252"/>
      <c r="HLA382" s="252"/>
      <c r="HLB382" s="252"/>
      <c r="HLC382" s="252"/>
      <c r="HLD382" s="252"/>
      <c r="HLE382" s="252"/>
      <c r="HLF382" s="252"/>
      <c r="HLG382" s="252"/>
      <c r="HLH382" s="252"/>
      <c r="HLI382" s="252"/>
      <c r="HLJ382" s="252"/>
      <c r="HLK382" s="252"/>
      <c r="HLL382" s="252"/>
      <c r="HLM382" s="252"/>
      <c r="HLN382" s="252"/>
      <c r="HLO382" s="252"/>
      <c r="HLP382" s="252"/>
      <c r="HLQ382" s="252"/>
      <c r="HLR382" s="252"/>
      <c r="HLS382" s="252"/>
      <c r="HLT382" s="252"/>
      <c r="HLU382" s="252"/>
      <c r="HLV382" s="252"/>
      <c r="HLW382" s="252"/>
      <c r="HLX382" s="252"/>
      <c r="HLY382" s="252"/>
      <c r="HLZ382" s="252"/>
      <c r="HMA382" s="252"/>
      <c r="HMB382" s="252"/>
      <c r="HMC382" s="252"/>
      <c r="HMD382" s="252"/>
      <c r="HME382" s="252"/>
      <c r="HMF382" s="252"/>
      <c r="HMG382" s="252"/>
      <c r="HMH382" s="252"/>
      <c r="HMI382" s="252"/>
      <c r="HMJ382" s="252"/>
      <c r="HMK382" s="252"/>
      <c r="HML382" s="252"/>
      <c r="HMM382" s="252"/>
      <c r="HMN382" s="252"/>
      <c r="HMO382" s="252"/>
      <c r="HMP382" s="252"/>
      <c r="HMQ382" s="252"/>
      <c r="HMR382" s="252"/>
      <c r="HMS382" s="252"/>
      <c r="HMT382" s="252"/>
      <c r="HMU382" s="252"/>
      <c r="HMV382" s="252"/>
      <c r="HMW382" s="252"/>
      <c r="HMX382" s="252"/>
      <c r="HMY382" s="252"/>
      <c r="HMZ382" s="252"/>
      <c r="HNA382" s="252"/>
      <c r="HNB382" s="252"/>
      <c r="HNC382" s="252"/>
      <c r="HND382" s="252"/>
      <c r="HNE382" s="252"/>
      <c r="HNF382" s="252"/>
      <c r="HNG382" s="252"/>
      <c r="HNH382" s="252"/>
      <c r="HNI382" s="252"/>
      <c r="HNJ382" s="252"/>
      <c r="HNK382" s="252"/>
      <c r="HNL382" s="252"/>
      <c r="HNM382" s="252"/>
      <c r="HNN382" s="252"/>
      <c r="HNO382" s="252"/>
      <c r="HNP382" s="252"/>
      <c r="HNQ382" s="252"/>
      <c r="HNR382" s="252"/>
      <c r="HNS382" s="252"/>
      <c r="HNT382" s="252"/>
      <c r="HNU382" s="252"/>
      <c r="HNV382" s="252"/>
      <c r="HNW382" s="252"/>
      <c r="HNX382" s="252"/>
      <c r="HNY382" s="252"/>
      <c r="HNZ382" s="252"/>
      <c r="HOA382" s="252"/>
      <c r="HOB382" s="252"/>
      <c r="HOC382" s="252"/>
      <c r="HOD382" s="252"/>
      <c r="HOE382" s="252"/>
      <c r="HOF382" s="252"/>
      <c r="HOG382" s="252"/>
      <c r="HOH382" s="252"/>
      <c r="HOI382" s="252"/>
      <c r="HOJ382" s="252"/>
      <c r="HOK382" s="252"/>
      <c r="HOL382" s="252"/>
      <c r="HOM382" s="252"/>
      <c r="HON382" s="252"/>
      <c r="HOO382" s="252"/>
      <c r="HOP382" s="252"/>
      <c r="HOQ382" s="252"/>
      <c r="HOR382" s="252"/>
      <c r="HOS382" s="252"/>
      <c r="HOT382" s="252"/>
      <c r="HOU382" s="252"/>
      <c r="HOV382" s="252"/>
      <c r="HOW382" s="252"/>
      <c r="HOX382" s="252"/>
      <c r="HOY382" s="252"/>
      <c r="HOZ382" s="252"/>
      <c r="HPA382" s="252"/>
      <c r="HPB382" s="252"/>
      <c r="HPC382" s="252"/>
      <c r="HPD382" s="252"/>
      <c r="HPE382" s="252"/>
      <c r="HPF382" s="252"/>
      <c r="HPG382" s="252"/>
      <c r="HPH382" s="252"/>
      <c r="HPI382" s="252"/>
      <c r="HPJ382" s="252"/>
      <c r="HPK382" s="252"/>
      <c r="HPL382" s="252"/>
      <c r="HPM382" s="252"/>
      <c r="HPN382" s="252"/>
      <c r="HPO382" s="252"/>
      <c r="HPP382" s="252"/>
      <c r="HPQ382" s="252"/>
      <c r="HPR382" s="252"/>
      <c r="HPS382" s="252"/>
      <c r="HPT382" s="252"/>
      <c r="HPU382" s="252"/>
      <c r="HPV382" s="252"/>
      <c r="HPW382" s="252"/>
      <c r="HPX382" s="252"/>
      <c r="HPY382" s="252"/>
      <c r="HPZ382" s="252"/>
      <c r="HQA382" s="252"/>
      <c r="HQB382" s="252"/>
      <c r="HQC382" s="252"/>
      <c r="HQD382" s="252"/>
      <c r="HQE382" s="252"/>
      <c r="HQF382" s="252"/>
      <c r="HQG382" s="252"/>
      <c r="HQH382" s="252"/>
      <c r="HQI382" s="252"/>
      <c r="HQJ382" s="252"/>
      <c r="HQK382" s="252"/>
      <c r="HQL382" s="252"/>
      <c r="HQM382" s="252"/>
      <c r="HQN382" s="252"/>
      <c r="HQO382" s="252"/>
      <c r="HQP382" s="252"/>
      <c r="HQQ382" s="252"/>
      <c r="HQR382" s="252"/>
      <c r="HQS382" s="252"/>
      <c r="HQT382" s="252"/>
      <c r="HQU382" s="252"/>
      <c r="HQV382" s="252"/>
      <c r="HQW382" s="252"/>
      <c r="HQX382" s="252"/>
      <c r="HQY382" s="252"/>
      <c r="HQZ382" s="252"/>
      <c r="HRA382" s="252"/>
      <c r="HRB382" s="252"/>
      <c r="HRC382" s="252"/>
      <c r="HRD382" s="252"/>
      <c r="HRE382" s="252"/>
      <c r="HRF382" s="252"/>
      <c r="HRG382" s="252"/>
      <c r="HRH382" s="252"/>
      <c r="HRI382" s="252"/>
      <c r="HRJ382" s="252"/>
      <c r="HRK382" s="252"/>
      <c r="HRL382" s="252"/>
      <c r="HRM382" s="252"/>
      <c r="HRN382" s="252"/>
      <c r="HRO382" s="252"/>
      <c r="HRP382" s="252"/>
      <c r="HRQ382" s="252"/>
      <c r="HRR382" s="252"/>
      <c r="HRS382" s="252"/>
      <c r="HRT382" s="252"/>
      <c r="HRU382" s="252"/>
      <c r="HRV382" s="252"/>
      <c r="HRW382" s="252"/>
      <c r="HRX382" s="252"/>
      <c r="HRY382" s="252"/>
      <c r="HRZ382" s="252"/>
      <c r="HSA382" s="252"/>
      <c r="HSB382" s="252"/>
      <c r="HSC382" s="252"/>
      <c r="HSD382" s="252"/>
      <c r="HSE382" s="252"/>
      <c r="HSF382" s="252"/>
      <c r="HSG382" s="252"/>
      <c r="HSH382" s="252"/>
      <c r="HSI382" s="252"/>
      <c r="HSJ382" s="252"/>
      <c r="HSK382" s="252"/>
      <c r="HSL382" s="252"/>
      <c r="HSM382" s="252"/>
      <c r="HSN382" s="252"/>
      <c r="HSO382" s="252"/>
      <c r="HSP382" s="252"/>
      <c r="HSQ382" s="252"/>
      <c r="HSR382" s="252"/>
      <c r="HSS382" s="252"/>
      <c r="HST382" s="252"/>
      <c r="HSU382" s="252"/>
      <c r="HSV382" s="252"/>
      <c r="HSW382" s="252"/>
      <c r="HSX382" s="252"/>
      <c r="HSY382" s="252"/>
      <c r="HSZ382" s="252"/>
      <c r="HTA382" s="252"/>
      <c r="HTB382" s="252"/>
      <c r="HTC382" s="252"/>
      <c r="HTD382" s="252"/>
      <c r="HTE382" s="252"/>
      <c r="HTF382" s="252"/>
      <c r="HTG382" s="252"/>
      <c r="HTH382" s="252"/>
      <c r="HTI382" s="252"/>
      <c r="HTJ382" s="252"/>
      <c r="HTK382" s="252"/>
      <c r="HTL382" s="252"/>
      <c r="HTM382" s="252"/>
      <c r="HTN382" s="252"/>
      <c r="HTO382" s="252"/>
      <c r="HTP382" s="252"/>
      <c r="HTQ382" s="252"/>
      <c r="HTR382" s="252"/>
      <c r="HTS382" s="252"/>
      <c r="HTT382" s="252"/>
      <c r="HTU382" s="252"/>
      <c r="HTV382" s="252"/>
      <c r="HTW382" s="252"/>
      <c r="HTX382" s="252"/>
      <c r="HTY382" s="252"/>
      <c r="HTZ382" s="252"/>
      <c r="HUA382" s="252"/>
      <c r="HUB382" s="252"/>
      <c r="HUC382" s="252"/>
      <c r="HUD382" s="252"/>
      <c r="HUE382" s="252"/>
      <c r="HUF382" s="252"/>
      <c r="HUG382" s="252"/>
      <c r="HUH382" s="252"/>
      <c r="HUI382" s="252"/>
      <c r="HUJ382" s="252"/>
      <c r="HUK382" s="252"/>
      <c r="HUL382" s="252"/>
      <c r="HUM382" s="252"/>
      <c r="HUN382" s="252"/>
      <c r="HUO382" s="252"/>
      <c r="HUP382" s="252"/>
      <c r="HUQ382" s="252"/>
      <c r="HUR382" s="252"/>
      <c r="HUS382" s="252"/>
      <c r="HUT382" s="252"/>
      <c r="HUU382" s="252"/>
      <c r="HUV382" s="252"/>
      <c r="HUW382" s="252"/>
      <c r="HUX382" s="252"/>
      <c r="HUY382" s="252"/>
      <c r="HUZ382" s="252"/>
      <c r="HVA382" s="252"/>
      <c r="HVB382" s="252"/>
      <c r="HVC382" s="252"/>
      <c r="HVD382" s="252"/>
      <c r="HVE382" s="252"/>
      <c r="HVF382" s="252"/>
      <c r="HVG382" s="252"/>
      <c r="HVH382" s="252"/>
      <c r="HVI382" s="252"/>
      <c r="HVJ382" s="252"/>
      <c r="HVK382" s="252"/>
      <c r="HVL382" s="252"/>
      <c r="HVM382" s="252"/>
      <c r="HVN382" s="252"/>
      <c r="HVO382" s="252"/>
      <c r="HVP382" s="252"/>
      <c r="HVQ382" s="252"/>
      <c r="HVR382" s="252"/>
      <c r="HVS382" s="252"/>
      <c r="HVT382" s="252"/>
      <c r="HVU382" s="252"/>
      <c r="HVV382" s="252"/>
      <c r="HVW382" s="252"/>
      <c r="HVX382" s="252"/>
      <c r="HVY382" s="252"/>
      <c r="HVZ382" s="252"/>
      <c r="HWA382" s="252"/>
      <c r="HWB382" s="252"/>
      <c r="HWC382" s="252"/>
      <c r="HWD382" s="252"/>
      <c r="HWE382" s="252"/>
      <c r="HWF382" s="252"/>
      <c r="HWG382" s="252"/>
      <c r="HWH382" s="252"/>
      <c r="HWI382" s="252"/>
      <c r="HWJ382" s="252"/>
      <c r="HWK382" s="252"/>
      <c r="HWL382" s="252"/>
      <c r="HWM382" s="252"/>
      <c r="HWN382" s="252"/>
      <c r="HWO382" s="252"/>
      <c r="HWP382" s="252"/>
      <c r="HWQ382" s="252"/>
      <c r="HWR382" s="252"/>
      <c r="HWS382" s="252"/>
      <c r="HWT382" s="252"/>
      <c r="HWU382" s="252"/>
      <c r="HWV382" s="252"/>
      <c r="HWW382" s="252"/>
      <c r="HWX382" s="252"/>
      <c r="HWY382" s="252"/>
      <c r="HWZ382" s="252"/>
      <c r="HXA382" s="252"/>
      <c r="HXB382" s="252"/>
      <c r="HXC382" s="252"/>
      <c r="HXD382" s="252"/>
      <c r="HXE382" s="252"/>
      <c r="HXF382" s="252"/>
      <c r="HXG382" s="252"/>
      <c r="HXH382" s="252"/>
      <c r="HXI382" s="252"/>
      <c r="HXJ382" s="252"/>
      <c r="HXK382" s="252"/>
      <c r="HXL382" s="252"/>
      <c r="HXM382" s="252"/>
      <c r="HXN382" s="252"/>
      <c r="HXO382" s="252"/>
      <c r="HXP382" s="252"/>
      <c r="HXQ382" s="252"/>
      <c r="HXR382" s="252"/>
      <c r="HXS382" s="252"/>
      <c r="HXT382" s="252"/>
      <c r="HXU382" s="252"/>
      <c r="HXV382" s="252"/>
      <c r="HXW382" s="252"/>
      <c r="HXX382" s="252"/>
      <c r="HXY382" s="252"/>
      <c r="HXZ382" s="252"/>
      <c r="HYA382" s="252"/>
      <c r="HYB382" s="252"/>
      <c r="HYC382" s="252"/>
      <c r="HYD382" s="252"/>
      <c r="HYE382" s="252"/>
      <c r="HYF382" s="252"/>
      <c r="HYG382" s="252"/>
      <c r="HYH382" s="252"/>
      <c r="HYI382" s="252"/>
      <c r="HYJ382" s="252"/>
      <c r="HYK382" s="252"/>
      <c r="HYL382" s="252"/>
      <c r="HYM382" s="252"/>
      <c r="HYN382" s="252"/>
      <c r="HYO382" s="252"/>
      <c r="HYP382" s="252"/>
      <c r="HYQ382" s="252"/>
      <c r="HYR382" s="252"/>
      <c r="HYS382" s="252"/>
      <c r="HYT382" s="252"/>
      <c r="HYU382" s="252"/>
      <c r="HYV382" s="252"/>
      <c r="HYW382" s="252"/>
      <c r="HYX382" s="252"/>
      <c r="HYY382" s="252"/>
      <c r="HYZ382" s="252"/>
      <c r="HZA382" s="252"/>
      <c r="HZB382" s="252"/>
      <c r="HZC382" s="252"/>
      <c r="HZD382" s="252"/>
      <c r="HZE382" s="252"/>
      <c r="HZF382" s="252"/>
      <c r="HZG382" s="252"/>
      <c r="HZH382" s="252"/>
      <c r="HZI382" s="252"/>
      <c r="HZJ382" s="252"/>
      <c r="HZK382" s="252"/>
      <c r="HZL382" s="252"/>
      <c r="HZM382" s="252"/>
      <c r="HZN382" s="252"/>
      <c r="HZO382" s="252"/>
      <c r="HZP382" s="252"/>
      <c r="HZQ382" s="252"/>
      <c r="HZR382" s="252"/>
      <c r="HZS382" s="252"/>
      <c r="HZT382" s="252"/>
      <c r="HZU382" s="252"/>
      <c r="HZV382" s="252"/>
      <c r="HZW382" s="252"/>
      <c r="HZX382" s="252"/>
      <c r="HZY382" s="252"/>
      <c r="HZZ382" s="252"/>
      <c r="IAA382" s="252"/>
      <c r="IAB382" s="252"/>
      <c r="IAC382" s="252"/>
      <c r="IAD382" s="252"/>
      <c r="IAE382" s="252"/>
      <c r="IAF382" s="252"/>
      <c r="IAG382" s="252"/>
      <c r="IAH382" s="252"/>
      <c r="IAI382" s="252"/>
      <c r="IAJ382" s="252"/>
      <c r="IAK382" s="252"/>
      <c r="IAL382" s="252"/>
      <c r="IAM382" s="252"/>
      <c r="IAN382" s="252"/>
      <c r="IAO382" s="252"/>
      <c r="IAP382" s="252"/>
      <c r="IAQ382" s="252"/>
      <c r="IAR382" s="252"/>
      <c r="IAS382" s="252"/>
      <c r="IAT382" s="252"/>
      <c r="IAU382" s="252"/>
      <c r="IAV382" s="252"/>
      <c r="IAW382" s="252"/>
      <c r="IAX382" s="252"/>
      <c r="IAY382" s="252"/>
      <c r="IAZ382" s="252"/>
      <c r="IBA382" s="252"/>
      <c r="IBB382" s="252"/>
      <c r="IBC382" s="252"/>
      <c r="IBD382" s="252"/>
      <c r="IBE382" s="252"/>
      <c r="IBF382" s="252"/>
      <c r="IBG382" s="252"/>
      <c r="IBH382" s="252"/>
      <c r="IBI382" s="252"/>
      <c r="IBJ382" s="252"/>
      <c r="IBK382" s="252"/>
      <c r="IBL382" s="252"/>
      <c r="IBM382" s="252"/>
      <c r="IBN382" s="252"/>
      <c r="IBO382" s="252"/>
      <c r="IBP382" s="252"/>
      <c r="IBQ382" s="252"/>
      <c r="IBR382" s="252"/>
      <c r="IBS382" s="252"/>
      <c r="IBT382" s="252"/>
      <c r="IBU382" s="252"/>
      <c r="IBV382" s="252"/>
      <c r="IBW382" s="252"/>
      <c r="IBX382" s="252"/>
      <c r="IBY382" s="252"/>
      <c r="IBZ382" s="252"/>
      <c r="ICA382" s="252"/>
      <c r="ICB382" s="252"/>
      <c r="ICC382" s="252"/>
      <c r="ICD382" s="252"/>
      <c r="ICE382" s="252"/>
      <c r="ICF382" s="252"/>
      <c r="ICG382" s="252"/>
      <c r="ICH382" s="252"/>
      <c r="ICI382" s="252"/>
      <c r="ICJ382" s="252"/>
      <c r="ICK382" s="252"/>
      <c r="ICL382" s="252"/>
      <c r="ICM382" s="252"/>
      <c r="ICN382" s="252"/>
      <c r="ICO382" s="252"/>
      <c r="ICP382" s="252"/>
      <c r="ICQ382" s="252"/>
      <c r="ICR382" s="252"/>
      <c r="ICS382" s="252"/>
      <c r="ICT382" s="252"/>
      <c r="ICU382" s="252"/>
      <c r="ICV382" s="252"/>
      <c r="ICW382" s="252"/>
      <c r="ICX382" s="252"/>
      <c r="ICY382" s="252"/>
      <c r="ICZ382" s="252"/>
      <c r="IDA382" s="252"/>
      <c r="IDB382" s="252"/>
      <c r="IDC382" s="252"/>
      <c r="IDD382" s="252"/>
      <c r="IDE382" s="252"/>
      <c r="IDF382" s="252"/>
      <c r="IDG382" s="252"/>
      <c r="IDH382" s="252"/>
      <c r="IDI382" s="252"/>
      <c r="IDJ382" s="252"/>
      <c r="IDK382" s="252"/>
      <c r="IDL382" s="252"/>
      <c r="IDM382" s="252"/>
      <c r="IDN382" s="252"/>
      <c r="IDO382" s="252"/>
      <c r="IDP382" s="252"/>
      <c r="IDQ382" s="252"/>
      <c r="IDR382" s="252"/>
      <c r="IDS382" s="252"/>
      <c r="IDT382" s="252"/>
      <c r="IDU382" s="252"/>
      <c r="IDV382" s="252"/>
      <c r="IDW382" s="252"/>
      <c r="IDX382" s="252"/>
      <c r="IDY382" s="252"/>
      <c r="IDZ382" s="252"/>
      <c r="IEA382" s="252"/>
      <c r="IEB382" s="252"/>
      <c r="IEC382" s="252"/>
      <c r="IED382" s="252"/>
      <c r="IEE382" s="252"/>
      <c r="IEF382" s="252"/>
      <c r="IEG382" s="252"/>
      <c r="IEH382" s="252"/>
      <c r="IEI382" s="252"/>
      <c r="IEJ382" s="252"/>
      <c r="IEK382" s="252"/>
      <c r="IEL382" s="252"/>
      <c r="IEM382" s="252"/>
      <c r="IEN382" s="252"/>
      <c r="IEO382" s="252"/>
      <c r="IEP382" s="252"/>
      <c r="IEQ382" s="252"/>
      <c r="IER382" s="252"/>
      <c r="IES382" s="252"/>
      <c r="IET382" s="252"/>
      <c r="IEU382" s="252"/>
      <c r="IEV382" s="252"/>
      <c r="IEW382" s="252"/>
      <c r="IEX382" s="252"/>
      <c r="IEY382" s="252"/>
      <c r="IEZ382" s="252"/>
      <c r="IFA382" s="252"/>
      <c r="IFB382" s="252"/>
      <c r="IFC382" s="252"/>
      <c r="IFD382" s="252"/>
      <c r="IFE382" s="252"/>
      <c r="IFF382" s="252"/>
      <c r="IFG382" s="252"/>
      <c r="IFH382" s="252"/>
      <c r="IFI382" s="252"/>
      <c r="IFJ382" s="252"/>
      <c r="IFK382" s="252"/>
      <c r="IFL382" s="252"/>
      <c r="IFM382" s="252"/>
      <c r="IFN382" s="252"/>
      <c r="IFO382" s="252"/>
      <c r="IFP382" s="252"/>
      <c r="IFQ382" s="252"/>
      <c r="IFR382" s="252"/>
      <c r="IFS382" s="252"/>
      <c r="IFT382" s="252"/>
      <c r="IFU382" s="252"/>
      <c r="IFV382" s="252"/>
      <c r="IFW382" s="252"/>
      <c r="IFX382" s="252"/>
      <c r="IFY382" s="252"/>
      <c r="IFZ382" s="252"/>
      <c r="IGA382" s="252"/>
      <c r="IGB382" s="252"/>
      <c r="IGC382" s="252"/>
      <c r="IGD382" s="252"/>
      <c r="IGE382" s="252"/>
      <c r="IGF382" s="252"/>
      <c r="IGG382" s="252"/>
      <c r="IGH382" s="252"/>
      <c r="IGI382" s="252"/>
      <c r="IGJ382" s="252"/>
      <c r="IGK382" s="252"/>
      <c r="IGL382" s="252"/>
      <c r="IGM382" s="252"/>
      <c r="IGN382" s="252"/>
      <c r="IGO382" s="252"/>
      <c r="IGP382" s="252"/>
      <c r="IGQ382" s="252"/>
      <c r="IGR382" s="252"/>
      <c r="IGS382" s="252"/>
      <c r="IGT382" s="252"/>
      <c r="IGU382" s="252"/>
      <c r="IGV382" s="252"/>
      <c r="IGW382" s="252"/>
      <c r="IGX382" s="252"/>
      <c r="IGY382" s="252"/>
      <c r="IGZ382" s="252"/>
      <c r="IHA382" s="252"/>
      <c r="IHB382" s="252"/>
      <c r="IHC382" s="252"/>
      <c r="IHD382" s="252"/>
      <c r="IHE382" s="252"/>
      <c r="IHF382" s="252"/>
      <c r="IHG382" s="252"/>
      <c r="IHH382" s="252"/>
      <c r="IHI382" s="252"/>
      <c r="IHJ382" s="252"/>
      <c r="IHK382" s="252"/>
      <c r="IHL382" s="252"/>
      <c r="IHM382" s="252"/>
      <c r="IHN382" s="252"/>
      <c r="IHO382" s="252"/>
      <c r="IHP382" s="252"/>
      <c r="IHQ382" s="252"/>
      <c r="IHR382" s="252"/>
      <c r="IHS382" s="252"/>
      <c r="IHT382" s="252"/>
      <c r="IHU382" s="252"/>
      <c r="IHV382" s="252"/>
      <c r="IHW382" s="252"/>
      <c r="IHX382" s="252"/>
      <c r="IHY382" s="252"/>
      <c r="IHZ382" s="252"/>
      <c r="IIA382" s="252"/>
      <c r="IIB382" s="252"/>
      <c r="IIC382" s="252"/>
      <c r="IID382" s="252"/>
      <c r="IIE382" s="252"/>
      <c r="IIF382" s="252"/>
      <c r="IIG382" s="252"/>
      <c r="IIH382" s="252"/>
      <c r="III382" s="252"/>
      <c r="IIJ382" s="252"/>
      <c r="IIK382" s="252"/>
      <c r="IIL382" s="252"/>
      <c r="IIM382" s="252"/>
      <c r="IIN382" s="252"/>
      <c r="IIO382" s="252"/>
      <c r="IIP382" s="252"/>
      <c r="IIQ382" s="252"/>
      <c r="IIR382" s="252"/>
      <c r="IIS382" s="252"/>
      <c r="IIT382" s="252"/>
      <c r="IIU382" s="252"/>
      <c r="IIV382" s="252"/>
      <c r="IIW382" s="252"/>
      <c r="IIX382" s="252"/>
      <c r="IIY382" s="252"/>
      <c r="IIZ382" s="252"/>
      <c r="IJA382" s="252"/>
      <c r="IJB382" s="252"/>
      <c r="IJC382" s="252"/>
      <c r="IJD382" s="252"/>
      <c r="IJE382" s="252"/>
      <c r="IJF382" s="252"/>
      <c r="IJG382" s="252"/>
      <c r="IJH382" s="252"/>
      <c r="IJI382" s="252"/>
      <c r="IJJ382" s="252"/>
      <c r="IJK382" s="252"/>
      <c r="IJL382" s="252"/>
      <c r="IJM382" s="252"/>
      <c r="IJN382" s="252"/>
      <c r="IJO382" s="252"/>
      <c r="IJP382" s="252"/>
      <c r="IJQ382" s="252"/>
      <c r="IJR382" s="252"/>
      <c r="IJS382" s="252"/>
      <c r="IJT382" s="252"/>
      <c r="IJU382" s="252"/>
      <c r="IJV382" s="252"/>
      <c r="IJW382" s="252"/>
      <c r="IJX382" s="252"/>
      <c r="IJY382" s="252"/>
      <c r="IJZ382" s="252"/>
      <c r="IKA382" s="252"/>
      <c r="IKB382" s="252"/>
      <c r="IKC382" s="252"/>
      <c r="IKD382" s="252"/>
      <c r="IKE382" s="252"/>
      <c r="IKF382" s="252"/>
      <c r="IKG382" s="252"/>
      <c r="IKH382" s="252"/>
      <c r="IKI382" s="252"/>
      <c r="IKJ382" s="252"/>
      <c r="IKK382" s="252"/>
      <c r="IKL382" s="252"/>
      <c r="IKM382" s="252"/>
      <c r="IKN382" s="252"/>
      <c r="IKO382" s="252"/>
      <c r="IKP382" s="252"/>
      <c r="IKQ382" s="252"/>
      <c r="IKR382" s="252"/>
      <c r="IKS382" s="252"/>
      <c r="IKT382" s="252"/>
      <c r="IKU382" s="252"/>
      <c r="IKV382" s="252"/>
      <c r="IKW382" s="252"/>
      <c r="IKX382" s="252"/>
      <c r="IKY382" s="252"/>
      <c r="IKZ382" s="252"/>
      <c r="ILA382" s="252"/>
      <c r="ILB382" s="252"/>
      <c r="ILC382" s="252"/>
      <c r="ILD382" s="252"/>
      <c r="ILE382" s="252"/>
      <c r="ILF382" s="252"/>
      <c r="ILG382" s="252"/>
      <c r="ILH382" s="252"/>
      <c r="ILI382" s="252"/>
      <c r="ILJ382" s="252"/>
      <c r="ILK382" s="252"/>
      <c r="ILL382" s="252"/>
      <c r="ILM382" s="252"/>
      <c r="ILN382" s="252"/>
      <c r="ILO382" s="252"/>
      <c r="ILP382" s="252"/>
      <c r="ILQ382" s="252"/>
      <c r="ILR382" s="252"/>
      <c r="ILS382" s="252"/>
      <c r="ILT382" s="252"/>
      <c r="ILU382" s="252"/>
      <c r="ILV382" s="252"/>
      <c r="ILW382" s="252"/>
      <c r="ILX382" s="252"/>
      <c r="ILY382" s="252"/>
      <c r="ILZ382" s="252"/>
      <c r="IMA382" s="252"/>
      <c r="IMB382" s="252"/>
      <c r="IMC382" s="252"/>
      <c r="IMD382" s="252"/>
      <c r="IME382" s="252"/>
      <c r="IMF382" s="252"/>
      <c r="IMG382" s="252"/>
      <c r="IMH382" s="252"/>
      <c r="IMI382" s="252"/>
      <c r="IMJ382" s="252"/>
      <c r="IMK382" s="252"/>
      <c r="IML382" s="252"/>
      <c r="IMM382" s="252"/>
      <c r="IMN382" s="252"/>
      <c r="IMO382" s="252"/>
      <c r="IMP382" s="252"/>
      <c r="IMQ382" s="252"/>
      <c r="IMR382" s="252"/>
      <c r="IMS382" s="252"/>
      <c r="IMT382" s="252"/>
      <c r="IMU382" s="252"/>
      <c r="IMV382" s="252"/>
      <c r="IMW382" s="252"/>
      <c r="IMX382" s="252"/>
      <c r="IMY382" s="252"/>
      <c r="IMZ382" s="252"/>
      <c r="INA382" s="252"/>
      <c r="INB382" s="252"/>
      <c r="INC382" s="252"/>
      <c r="IND382" s="252"/>
      <c r="INE382" s="252"/>
      <c r="INF382" s="252"/>
      <c r="ING382" s="252"/>
      <c r="INH382" s="252"/>
      <c r="INI382" s="252"/>
      <c r="INJ382" s="252"/>
      <c r="INK382" s="252"/>
      <c r="INL382" s="252"/>
      <c r="INM382" s="252"/>
      <c r="INN382" s="252"/>
      <c r="INO382" s="252"/>
      <c r="INP382" s="252"/>
      <c r="INQ382" s="252"/>
      <c r="INR382" s="252"/>
      <c r="INS382" s="252"/>
      <c r="INT382" s="252"/>
      <c r="INU382" s="252"/>
      <c r="INV382" s="252"/>
      <c r="INW382" s="252"/>
      <c r="INX382" s="252"/>
      <c r="INY382" s="252"/>
      <c r="INZ382" s="252"/>
      <c r="IOA382" s="252"/>
      <c r="IOB382" s="252"/>
      <c r="IOC382" s="252"/>
      <c r="IOD382" s="252"/>
      <c r="IOE382" s="252"/>
      <c r="IOF382" s="252"/>
      <c r="IOG382" s="252"/>
      <c r="IOH382" s="252"/>
      <c r="IOI382" s="252"/>
      <c r="IOJ382" s="252"/>
      <c r="IOK382" s="252"/>
      <c r="IOL382" s="252"/>
      <c r="IOM382" s="252"/>
      <c r="ION382" s="252"/>
      <c r="IOO382" s="252"/>
      <c r="IOP382" s="252"/>
      <c r="IOQ382" s="252"/>
      <c r="IOR382" s="252"/>
      <c r="IOS382" s="252"/>
      <c r="IOT382" s="252"/>
      <c r="IOU382" s="252"/>
      <c r="IOV382" s="252"/>
      <c r="IOW382" s="252"/>
      <c r="IOX382" s="252"/>
      <c r="IOY382" s="252"/>
      <c r="IOZ382" s="252"/>
      <c r="IPA382" s="252"/>
      <c r="IPB382" s="252"/>
      <c r="IPC382" s="252"/>
      <c r="IPD382" s="252"/>
      <c r="IPE382" s="252"/>
      <c r="IPF382" s="252"/>
      <c r="IPG382" s="252"/>
      <c r="IPH382" s="252"/>
      <c r="IPI382" s="252"/>
      <c r="IPJ382" s="252"/>
      <c r="IPK382" s="252"/>
      <c r="IPL382" s="252"/>
      <c r="IPM382" s="252"/>
      <c r="IPN382" s="252"/>
      <c r="IPO382" s="252"/>
      <c r="IPP382" s="252"/>
      <c r="IPQ382" s="252"/>
      <c r="IPR382" s="252"/>
      <c r="IPS382" s="252"/>
      <c r="IPT382" s="252"/>
      <c r="IPU382" s="252"/>
      <c r="IPV382" s="252"/>
      <c r="IPW382" s="252"/>
      <c r="IPX382" s="252"/>
      <c r="IPY382" s="252"/>
      <c r="IPZ382" s="252"/>
      <c r="IQA382" s="252"/>
      <c r="IQB382" s="252"/>
      <c r="IQC382" s="252"/>
      <c r="IQD382" s="252"/>
      <c r="IQE382" s="252"/>
      <c r="IQF382" s="252"/>
      <c r="IQG382" s="252"/>
      <c r="IQH382" s="252"/>
      <c r="IQI382" s="252"/>
      <c r="IQJ382" s="252"/>
      <c r="IQK382" s="252"/>
      <c r="IQL382" s="252"/>
      <c r="IQM382" s="252"/>
      <c r="IQN382" s="252"/>
      <c r="IQO382" s="252"/>
      <c r="IQP382" s="252"/>
      <c r="IQQ382" s="252"/>
      <c r="IQR382" s="252"/>
      <c r="IQS382" s="252"/>
      <c r="IQT382" s="252"/>
      <c r="IQU382" s="252"/>
      <c r="IQV382" s="252"/>
      <c r="IQW382" s="252"/>
      <c r="IQX382" s="252"/>
      <c r="IQY382" s="252"/>
      <c r="IQZ382" s="252"/>
      <c r="IRA382" s="252"/>
      <c r="IRB382" s="252"/>
      <c r="IRC382" s="252"/>
      <c r="IRD382" s="252"/>
      <c r="IRE382" s="252"/>
      <c r="IRF382" s="252"/>
      <c r="IRG382" s="252"/>
      <c r="IRH382" s="252"/>
      <c r="IRI382" s="252"/>
      <c r="IRJ382" s="252"/>
      <c r="IRK382" s="252"/>
      <c r="IRL382" s="252"/>
      <c r="IRM382" s="252"/>
      <c r="IRN382" s="252"/>
      <c r="IRO382" s="252"/>
      <c r="IRP382" s="252"/>
      <c r="IRQ382" s="252"/>
      <c r="IRR382" s="252"/>
      <c r="IRS382" s="252"/>
      <c r="IRT382" s="252"/>
      <c r="IRU382" s="252"/>
      <c r="IRV382" s="252"/>
      <c r="IRW382" s="252"/>
      <c r="IRX382" s="252"/>
      <c r="IRY382" s="252"/>
      <c r="IRZ382" s="252"/>
      <c r="ISA382" s="252"/>
      <c r="ISB382" s="252"/>
      <c r="ISC382" s="252"/>
      <c r="ISD382" s="252"/>
      <c r="ISE382" s="252"/>
      <c r="ISF382" s="252"/>
      <c r="ISG382" s="252"/>
      <c r="ISH382" s="252"/>
      <c r="ISI382" s="252"/>
      <c r="ISJ382" s="252"/>
      <c r="ISK382" s="252"/>
      <c r="ISL382" s="252"/>
      <c r="ISM382" s="252"/>
      <c r="ISN382" s="252"/>
      <c r="ISO382" s="252"/>
      <c r="ISP382" s="252"/>
      <c r="ISQ382" s="252"/>
      <c r="ISR382" s="252"/>
      <c r="ISS382" s="252"/>
      <c r="IST382" s="252"/>
      <c r="ISU382" s="252"/>
      <c r="ISV382" s="252"/>
      <c r="ISW382" s="252"/>
      <c r="ISX382" s="252"/>
      <c r="ISY382" s="252"/>
      <c r="ISZ382" s="252"/>
      <c r="ITA382" s="252"/>
      <c r="ITB382" s="252"/>
      <c r="ITC382" s="252"/>
      <c r="ITD382" s="252"/>
      <c r="ITE382" s="252"/>
      <c r="ITF382" s="252"/>
      <c r="ITG382" s="252"/>
      <c r="ITH382" s="252"/>
      <c r="ITI382" s="252"/>
      <c r="ITJ382" s="252"/>
      <c r="ITK382" s="252"/>
      <c r="ITL382" s="252"/>
      <c r="ITM382" s="252"/>
      <c r="ITN382" s="252"/>
      <c r="ITO382" s="252"/>
      <c r="ITP382" s="252"/>
      <c r="ITQ382" s="252"/>
      <c r="ITR382" s="252"/>
      <c r="ITS382" s="252"/>
      <c r="ITT382" s="252"/>
      <c r="ITU382" s="252"/>
      <c r="ITV382" s="252"/>
      <c r="ITW382" s="252"/>
      <c r="ITX382" s="252"/>
      <c r="ITY382" s="252"/>
      <c r="ITZ382" s="252"/>
      <c r="IUA382" s="252"/>
      <c r="IUB382" s="252"/>
      <c r="IUC382" s="252"/>
      <c r="IUD382" s="252"/>
      <c r="IUE382" s="252"/>
      <c r="IUF382" s="252"/>
      <c r="IUG382" s="252"/>
      <c r="IUH382" s="252"/>
      <c r="IUI382" s="252"/>
      <c r="IUJ382" s="252"/>
      <c r="IUK382" s="252"/>
      <c r="IUL382" s="252"/>
      <c r="IUM382" s="252"/>
      <c r="IUN382" s="252"/>
      <c r="IUO382" s="252"/>
      <c r="IUP382" s="252"/>
      <c r="IUQ382" s="252"/>
      <c r="IUR382" s="252"/>
      <c r="IUS382" s="252"/>
      <c r="IUT382" s="252"/>
      <c r="IUU382" s="252"/>
      <c r="IUV382" s="252"/>
      <c r="IUW382" s="252"/>
      <c r="IUX382" s="252"/>
      <c r="IUY382" s="252"/>
      <c r="IUZ382" s="252"/>
      <c r="IVA382" s="252"/>
      <c r="IVB382" s="252"/>
      <c r="IVC382" s="252"/>
      <c r="IVD382" s="252"/>
      <c r="IVE382" s="252"/>
      <c r="IVF382" s="252"/>
      <c r="IVG382" s="252"/>
      <c r="IVH382" s="252"/>
      <c r="IVI382" s="252"/>
      <c r="IVJ382" s="252"/>
      <c r="IVK382" s="252"/>
      <c r="IVL382" s="252"/>
      <c r="IVM382" s="252"/>
      <c r="IVN382" s="252"/>
      <c r="IVO382" s="252"/>
      <c r="IVP382" s="252"/>
      <c r="IVQ382" s="252"/>
      <c r="IVR382" s="252"/>
      <c r="IVS382" s="252"/>
      <c r="IVT382" s="252"/>
      <c r="IVU382" s="252"/>
      <c r="IVV382" s="252"/>
      <c r="IVW382" s="252"/>
      <c r="IVX382" s="252"/>
      <c r="IVY382" s="252"/>
      <c r="IVZ382" s="252"/>
      <c r="IWA382" s="252"/>
      <c r="IWB382" s="252"/>
      <c r="IWC382" s="252"/>
      <c r="IWD382" s="252"/>
      <c r="IWE382" s="252"/>
      <c r="IWF382" s="252"/>
      <c r="IWG382" s="252"/>
      <c r="IWH382" s="252"/>
      <c r="IWI382" s="252"/>
      <c r="IWJ382" s="252"/>
      <c r="IWK382" s="252"/>
      <c r="IWL382" s="252"/>
      <c r="IWM382" s="252"/>
      <c r="IWN382" s="252"/>
      <c r="IWO382" s="252"/>
      <c r="IWP382" s="252"/>
      <c r="IWQ382" s="252"/>
      <c r="IWR382" s="252"/>
      <c r="IWS382" s="252"/>
      <c r="IWT382" s="252"/>
      <c r="IWU382" s="252"/>
      <c r="IWV382" s="252"/>
      <c r="IWW382" s="252"/>
      <c r="IWX382" s="252"/>
      <c r="IWY382" s="252"/>
      <c r="IWZ382" s="252"/>
      <c r="IXA382" s="252"/>
      <c r="IXB382" s="252"/>
      <c r="IXC382" s="252"/>
      <c r="IXD382" s="252"/>
      <c r="IXE382" s="252"/>
      <c r="IXF382" s="252"/>
      <c r="IXG382" s="252"/>
      <c r="IXH382" s="252"/>
      <c r="IXI382" s="252"/>
      <c r="IXJ382" s="252"/>
      <c r="IXK382" s="252"/>
      <c r="IXL382" s="252"/>
      <c r="IXM382" s="252"/>
      <c r="IXN382" s="252"/>
      <c r="IXO382" s="252"/>
      <c r="IXP382" s="252"/>
      <c r="IXQ382" s="252"/>
      <c r="IXR382" s="252"/>
      <c r="IXS382" s="252"/>
      <c r="IXT382" s="252"/>
      <c r="IXU382" s="252"/>
      <c r="IXV382" s="252"/>
      <c r="IXW382" s="252"/>
      <c r="IXX382" s="252"/>
      <c r="IXY382" s="252"/>
      <c r="IXZ382" s="252"/>
      <c r="IYA382" s="252"/>
      <c r="IYB382" s="252"/>
      <c r="IYC382" s="252"/>
      <c r="IYD382" s="252"/>
      <c r="IYE382" s="252"/>
      <c r="IYF382" s="252"/>
      <c r="IYG382" s="252"/>
      <c r="IYH382" s="252"/>
      <c r="IYI382" s="252"/>
      <c r="IYJ382" s="252"/>
      <c r="IYK382" s="252"/>
      <c r="IYL382" s="252"/>
      <c r="IYM382" s="252"/>
      <c r="IYN382" s="252"/>
      <c r="IYO382" s="252"/>
      <c r="IYP382" s="252"/>
      <c r="IYQ382" s="252"/>
      <c r="IYR382" s="252"/>
      <c r="IYS382" s="252"/>
      <c r="IYT382" s="252"/>
      <c r="IYU382" s="252"/>
      <c r="IYV382" s="252"/>
      <c r="IYW382" s="252"/>
      <c r="IYX382" s="252"/>
      <c r="IYY382" s="252"/>
      <c r="IYZ382" s="252"/>
      <c r="IZA382" s="252"/>
      <c r="IZB382" s="252"/>
      <c r="IZC382" s="252"/>
      <c r="IZD382" s="252"/>
      <c r="IZE382" s="252"/>
      <c r="IZF382" s="252"/>
      <c r="IZG382" s="252"/>
      <c r="IZH382" s="252"/>
      <c r="IZI382" s="252"/>
      <c r="IZJ382" s="252"/>
      <c r="IZK382" s="252"/>
      <c r="IZL382" s="252"/>
      <c r="IZM382" s="252"/>
      <c r="IZN382" s="252"/>
      <c r="IZO382" s="252"/>
      <c r="IZP382" s="252"/>
      <c r="IZQ382" s="252"/>
      <c r="IZR382" s="252"/>
      <c r="IZS382" s="252"/>
      <c r="IZT382" s="252"/>
      <c r="IZU382" s="252"/>
      <c r="IZV382" s="252"/>
      <c r="IZW382" s="252"/>
      <c r="IZX382" s="252"/>
      <c r="IZY382" s="252"/>
      <c r="IZZ382" s="252"/>
      <c r="JAA382" s="252"/>
      <c r="JAB382" s="252"/>
      <c r="JAC382" s="252"/>
      <c r="JAD382" s="252"/>
      <c r="JAE382" s="252"/>
      <c r="JAF382" s="252"/>
      <c r="JAG382" s="252"/>
      <c r="JAH382" s="252"/>
      <c r="JAI382" s="252"/>
      <c r="JAJ382" s="252"/>
      <c r="JAK382" s="252"/>
      <c r="JAL382" s="252"/>
      <c r="JAM382" s="252"/>
      <c r="JAN382" s="252"/>
      <c r="JAO382" s="252"/>
      <c r="JAP382" s="252"/>
      <c r="JAQ382" s="252"/>
      <c r="JAR382" s="252"/>
      <c r="JAS382" s="252"/>
      <c r="JAT382" s="252"/>
      <c r="JAU382" s="252"/>
      <c r="JAV382" s="252"/>
      <c r="JAW382" s="252"/>
      <c r="JAX382" s="252"/>
      <c r="JAY382" s="252"/>
      <c r="JAZ382" s="252"/>
      <c r="JBA382" s="252"/>
      <c r="JBB382" s="252"/>
      <c r="JBC382" s="252"/>
      <c r="JBD382" s="252"/>
      <c r="JBE382" s="252"/>
      <c r="JBF382" s="252"/>
      <c r="JBG382" s="252"/>
      <c r="JBH382" s="252"/>
      <c r="JBI382" s="252"/>
      <c r="JBJ382" s="252"/>
      <c r="JBK382" s="252"/>
      <c r="JBL382" s="252"/>
      <c r="JBM382" s="252"/>
      <c r="JBN382" s="252"/>
      <c r="JBO382" s="252"/>
      <c r="JBP382" s="252"/>
      <c r="JBQ382" s="252"/>
      <c r="JBR382" s="252"/>
      <c r="JBS382" s="252"/>
      <c r="JBT382" s="252"/>
      <c r="JBU382" s="252"/>
      <c r="JBV382" s="252"/>
      <c r="JBW382" s="252"/>
      <c r="JBX382" s="252"/>
      <c r="JBY382" s="252"/>
      <c r="JBZ382" s="252"/>
      <c r="JCA382" s="252"/>
      <c r="JCB382" s="252"/>
      <c r="JCC382" s="252"/>
      <c r="JCD382" s="252"/>
      <c r="JCE382" s="252"/>
      <c r="JCF382" s="252"/>
      <c r="JCG382" s="252"/>
      <c r="JCH382" s="252"/>
      <c r="JCI382" s="252"/>
      <c r="JCJ382" s="252"/>
      <c r="JCK382" s="252"/>
      <c r="JCL382" s="252"/>
      <c r="JCM382" s="252"/>
      <c r="JCN382" s="252"/>
      <c r="JCO382" s="252"/>
      <c r="JCP382" s="252"/>
      <c r="JCQ382" s="252"/>
      <c r="JCR382" s="252"/>
      <c r="JCS382" s="252"/>
      <c r="JCT382" s="252"/>
      <c r="JCU382" s="252"/>
      <c r="JCV382" s="252"/>
      <c r="JCW382" s="252"/>
      <c r="JCX382" s="252"/>
      <c r="JCY382" s="252"/>
      <c r="JCZ382" s="252"/>
      <c r="JDA382" s="252"/>
      <c r="JDB382" s="252"/>
      <c r="JDC382" s="252"/>
      <c r="JDD382" s="252"/>
      <c r="JDE382" s="252"/>
      <c r="JDF382" s="252"/>
      <c r="JDG382" s="252"/>
      <c r="JDH382" s="252"/>
      <c r="JDI382" s="252"/>
      <c r="JDJ382" s="252"/>
      <c r="JDK382" s="252"/>
      <c r="JDL382" s="252"/>
      <c r="JDM382" s="252"/>
      <c r="JDN382" s="252"/>
      <c r="JDO382" s="252"/>
      <c r="JDP382" s="252"/>
      <c r="JDQ382" s="252"/>
      <c r="JDR382" s="252"/>
      <c r="JDS382" s="252"/>
      <c r="JDT382" s="252"/>
      <c r="JDU382" s="252"/>
      <c r="JDV382" s="252"/>
      <c r="JDW382" s="252"/>
      <c r="JDX382" s="252"/>
      <c r="JDY382" s="252"/>
      <c r="JDZ382" s="252"/>
      <c r="JEA382" s="252"/>
      <c r="JEB382" s="252"/>
      <c r="JEC382" s="252"/>
      <c r="JED382" s="252"/>
      <c r="JEE382" s="252"/>
      <c r="JEF382" s="252"/>
      <c r="JEG382" s="252"/>
      <c r="JEH382" s="252"/>
      <c r="JEI382" s="252"/>
      <c r="JEJ382" s="252"/>
      <c r="JEK382" s="252"/>
      <c r="JEL382" s="252"/>
      <c r="JEM382" s="252"/>
      <c r="JEN382" s="252"/>
      <c r="JEO382" s="252"/>
      <c r="JEP382" s="252"/>
      <c r="JEQ382" s="252"/>
      <c r="JER382" s="252"/>
      <c r="JES382" s="252"/>
      <c r="JET382" s="252"/>
      <c r="JEU382" s="252"/>
      <c r="JEV382" s="252"/>
      <c r="JEW382" s="252"/>
      <c r="JEX382" s="252"/>
      <c r="JEY382" s="252"/>
      <c r="JEZ382" s="252"/>
      <c r="JFA382" s="252"/>
      <c r="JFB382" s="252"/>
      <c r="JFC382" s="252"/>
      <c r="JFD382" s="252"/>
      <c r="JFE382" s="252"/>
      <c r="JFF382" s="252"/>
      <c r="JFG382" s="252"/>
      <c r="JFH382" s="252"/>
      <c r="JFI382" s="252"/>
      <c r="JFJ382" s="252"/>
      <c r="JFK382" s="252"/>
      <c r="JFL382" s="252"/>
      <c r="JFM382" s="252"/>
      <c r="JFN382" s="252"/>
      <c r="JFO382" s="252"/>
      <c r="JFP382" s="252"/>
      <c r="JFQ382" s="252"/>
      <c r="JFR382" s="252"/>
      <c r="JFS382" s="252"/>
      <c r="JFT382" s="252"/>
      <c r="JFU382" s="252"/>
      <c r="JFV382" s="252"/>
      <c r="JFW382" s="252"/>
      <c r="JFX382" s="252"/>
      <c r="JFY382" s="252"/>
      <c r="JFZ382" s="252"/>
      <c r="JGA382" s="252"/>
      <c r="JGB382" s="252"/>
      <c r="JGC382" s="252"/>
      <c r="JGD382" s="252"/>
      <c r="JGE382" s="252"/>
      <c r="JGF382" s="252"/>
      <c r="JGG382" s="252"/>
      <c r="JGH382" s="252"/>
      <c r="JGI382" s="252"/>
      <c r="JGJ382" s="252"/>
      <c r="JGK382" s="252"/>
      <c r="JGL382" s="252"/>
      <c r="JGM382" s="252"/>
      <c r="JGN382" s="252"/>
      <c r="JGO382" s="252"/>
      <c r="JGP382" s="252"/>
      <c r="JGQ382" s="252"/>
      <c r="JGR382" s="252"/>
      <c r="JGS382" s="252"/>
      <c r="JGT382" s="252"/>
      <c r="JGU382" s="252"/>
      <c r="JGV382" s="252"/>
      <c r="JGW382" s="252"/>
      <c r="JGX382" s="252"/>
      <c r="JGY382" s="252"/>
      <c r="JGZ382" s="252"/>
      <c r="JHA382" s="252"/>
      <c r="JHB382" s="252"/>
      <c r="JHC382" s="252"/>
      <c r="JHD382" s="252"/>
      <c r="JHE382" s="252"/>
      <c r="JHF382" s="252"/>
      <c r="JHG382" s="252"/>
      <c r="JHH382" s="252"/>
      <c r="JHI382" s="252"/>
      <c r="JHJ382" s="252"/>
      <c r="JHK382" s="252"/>
      <c r="JHL382" s="252"/>
      <c r="JHM382" s="252"/>
      <c r="JHN382" s="252"/>
      <c r="JHO382" s="252"/>
      <c r="JHP382" s="252"/>
      <c r="JHQ382" s="252"/>
      <c r="JHR382" s="252"/>
      <c r="JHS382" s="252"/>
      <c r="JHT382" s="252"/>
      <c r="JHU382" s="252"/>
      <c r="JHV382" s="252"/>
      <c r="JHW382" s="252"/>
      <c r="JHX382" s="252"/>
      <c r="JHY382" s="252"/>
      <c r="JHZ382" s="252"/>
      <c r="JIA382" s="252"/>
      <c r="JIB382" s="252"/>
      <c r="JIC382" s="252"/>
      <c r="JID382" s="252"/>
      <c r="JIE382" s="252"/>
      <c r="JIF382" s="252"/>
      <c r="JIG382" s="252"/>
      <c r="JIH382" s="252"/>
      <c r="JII382" s="252"/>
      <c r="JIJ382" s="252"/>
      <c r="JIK382" s="252"/>
      <c r="JIL382" s="252"/>
      <c r="JIM382" s="252"/>
      <c r="JIN382" s="252"/>
      <c r="JIO382" s="252"/>
      <c r="JIP382" s="252"/>
      <c r="JIQ382" s="252"/>
      <c r="JIR382" s="252"/>
      <c r="JIS382" s="252"/>
      <c r="JIT382" s="252"/>
      <c r="JIU382" s="252"/>
      <c r="JIV382" s="252"/>
      <c r="JIW382" s="252"/>
      <c r="JIX382" s="252"/>
      <c r="JIY382" s="252"/>
      <c r="JIZ382" s="252"/>
      <c r="JJA382" s="252"/>
      <c r="JJB382" s="252"/>
      <c r="JJC382" s="252"/>
      <c r="JJD382" s="252"/>
      <c r="JJE382" s="252"/>
      <c r="JJF382" s="252"/>
      <c r="JJG382" s="252"/>
      <c r="JJH382" s="252"/>
      <c r="JJI382" s="252"/>
      <c r="JJJ382" s="252"/>
      <c r="JJK382" s="252"/>
      <c r="JJL382" s="252"/>
      <c r="JJM382" s="252"/>
      <c r="JJN382" s="252"/>
      <c r="JJO382" s="252"/>
      <c r="JJP382" s="252"/>
      <c r="JJQ382" s="252"/>
      <c r="JJR382" s="252"/>
      <c r="JJS382" s="252"/>
      <c r="JJT382" s="252"/>
      <c r="JJU382" s="252"/>
      <c r="JJV382" s="252"/>
      <c r="JJW382" s="252"/>
      <c r="JJX382" s="252"/>
      <c r="JJY382" s="252"/>
      <c r="JJZ382" s="252"/>
      <c r="JKA382" s="252"/>
      <c r="JKB382" s="252"/>
      <c r="JKC382" s="252"/>
      <c r="JKD382" s="252"/>
      <c r="JKE382" s="252"/>
      <c r="JKF382" s="252"/>
      <c r="JKG382" s="252"/>
      <c r="JKH382" s="252"/>
      <c r="JKI382" s="252"/>
      <c r="JKJ382" s="252"/>
      <c r="JKK382" s="252"/>
      <c r="JKL382" s="252"/>
      <c r="JKM382" s="252"/>
      <c r="JKN382" s="252"/>
      <c r="JKO382" s="252"/>
      <c r="JKP382" s="252"/>
      <c r="JKQ382" s="252"/>
      <c r="JKR382" s="252"/>
      <c r="JKS382" s="252"/>
      <c r="JKT382" s="252"/>
      <c r="JKU382" s="252"/>
      <c r="JKV382" s="252"/>
      <c r="JKW382" s="252"/>
      <c r="JKX382" s="252"/>
      <c r="JKY382" s="252"/>
      <c r="JKZ382" s="252"/>
      <c r="JLA382" s="252"/>
      <c r="JLB382" s="252"/>
      <c r="JLC382" s="252"/>
      <c r="JLD382" s="252"/>
      <c r="JLE382" s="252"/>
      <c r="JLF382" s="252"/>
      <c r="JLG382" s="252"/>
      <c r="JLH382" s="252"/>
      <c r="JLI382" s="252"/>
      <c r="JLJ382" s="252"/>
      <c r="JLK382" s="252"/>
      <c r="JLL382" s="252"/>
      <c r="JLM382" s="252"/>
      <c r="JLN382" s="252"/>
      <c r="JLO382" s="252"/>
      <c r="JLP382" s="252"/>
      <c r="JLQ382" s="252"/>
      <c r="JLR382" s="252"/>
      <c r="JLS382" s="252"/>
      <c r="JLT382" s="252"/>
      <c r="JLU382" s="252"/>
      <c r="JLV382" s="252"/>
      <c r="JLW382" s="252"/>
      <c r="JLX382" s="252"/>
      <c r="JLY382" s="252"/>
      <c r="JLZ382" s="252"/>
      <c r="JMA382" s="252"/>
      <c r="JMB382" s="252"/>
      <c r="JMC382" s="252"/>
      <c r="JMD382" s="252"/>
      <c r="JME382" s="252"/>
      <c r="JMF382" s="252"/>
      <c r="JMG382" s="252"/>
      <c r="JMH382" s="252"/>
      <c r="JMI382" s="252"/>
      <c r="JMJ382" s="252"/>
      <c r="JMK382" s="252"/>
      <c r="JML382" s="252"/>
      <c r="JMM382" s="252"/>
      <c r="JMN382" s="252"/>
      <c r="JMO382" s="252"/>
      <c r="JMP382" s="252"/>
      <c r="JMQ382" s="252"/>
      <c r="JMR382" s="252"/>
      <c r="JMS382" s="252"/>
      <c r="JMT382" s="252"/>
      <c r="JMU382" s="252"/>
      <c r="JMV382" s="252"/>
      <c r="JMW382" s="252"/>
      <c r="JMX382" s="252"/>
      <c r="JMY382" s="252"/>
      <c r="JMZ382" s="252"/>
      <c r="JNA382" s="252"/>
      <c r="JNB382" s="252"/>
      <c r="JNC382" s="252"/>
      <c r="JND382" s="252"/>
      <c r="JNE382" s="252"/>
      <c r="JNF382" s="252"/>
      <c r="JNG382" s="252"/>
      <c r="JNH382" s="252"/>
      <c r="JNI382" s="252"/>
      <c r="JNJ382" s="252"/>
      <c r="JNK382" s="252"/>
      <c r="JNL382" s="252"/>
      <c r="JNM382" s="252"/>
      <c r="JNN382" s="252"/>
      <c r="JNO382" s="252"/>
      <c r="JNP382" s="252"/>
      <c r="JNQ382" s="252"/>
      <c r="JNR382" s="252"/>
      <c r="JNS382" s="252"/>
      <c r="JNT382" s="252"/>
      <c r="JNU382" s="252"/>
      <c r="JNV382" s="252"/>
      <c r="JNW382" s="252"/>
      <c r="JNX382" s="252"/>
      <c r="JNY382" s="252"/>
      <c r="JNZ382" s="252"/>
      <c r="JOA382" s="252"/>
      <c r="JOB382" s="252"/>
      <c r="JOC382" s="252"/>
      <c r="JOD382" s="252"/>
      <c r="JOE382" s="252"/>
      <c r="JOF382" s="252"/>
      <c r="JOG382" s="252"/>
      <c r="JOH382" s="252"/>
      <c r="JOI382" s="252"/>
      <c r="JOJ382" s="252"/>
      <c r="JOK382" s="252"/>
      <c r="JOL382" s="252"/>
      <c r="JOM382" s="252"/>
      <c r="JON382" s="252"/>
      <c r="JOO382" s="252"/>
      <c r="JOP382" s="252"/>
      <c r="JOQ382" s="252"/>
      <c r="JOR382" s="252"/>
      <c r="JOS382" s="252"/>
      <c r="JOT382" s="252"/>
      <c r="JOU382" s="252"/>
      <c r="JOV382" s="252"/>
      <c r="JOW382" s="252"/>
      <c r="JOX382" s="252"/>
      <c r="JOY382" s="252"/>
      <c r="JOZ382" s="252"/>
      <c r="JPA382" s="252"/>
      <c r="JPB382" s="252"/>
      <c r="JPC382" s="252"/>
      <c r="JPD382" s="252"/>
      <c r="JPE382" s="252"/>
      <c r="JPF382" s="252"/>
      <c r="JPG382" s="252"/>
      <c r="JPH382" s="252"/>
      <c r="JPI382" s="252"/>
      <c r="JPJ382" s="252"/>
      <c r="JPK382" s="252"/>
      <c r="JPL382" s="252"/>
      <c r="JPM382" s="252"/>
      <c r="JPN382" s="252"/>
      <c r="JPO382" s="252"/>
      <c r="JPP382" s="252"/>
      <c r="JPQ382" s="252"/>
      <c r="JPR382" s="252"/>
      <c r="JPS382" s="252"/>
      <c r="JPT382" s="252"/>
      <c r="JPU382" s="252"/>
      <c r="JPV382" s="252"/>
      <c r="JPW382" s="252"/>
      <c r="JPX382" s="252"/>
      <c r="JPY382" s="252"/>
      <c r="JPZ382" s="252"/>
      <c r="JQA382" s="252"/>
      <c r="JQB382" s="252"/>
      <c r="JQC382" s="252"/>
      <c r="JQD382" s="252"/>
      <c r="JQE382" s="252"/>
      <c r="JQF382" s="252"/>
      <c r="JQG382" s="252"/>
      <c r="JQH382" s="252"/>
      <c r="JQI382" s="252"/>
      <c r="JQJ382" s="252"/>
      <c r="JQK382" s="252"/>
      <c r="JQL382" s="252"/>
      <c r="JQM382" s="252"/>
      <c r="JQN382" s="252"/>
      <c r="JQO382" s="252"/>
      <c r="JQP382" s="252"/>
      <c r="JQQ382" s="252"/>
      <c r="JQR382" s="252"/>
      <c r="JQS382" s="252"/>
      <c r="JQT382" s="252"/>
      <c r="JQU382" s="252"/>
      <c r="JQV382" s="252"/>
      <c r="JQW382" s="252"/>
      <c r="JQX382" s="252"/>
      <c r="JQY382" s="252"/>
      <c r="JQZ382" s="252"/>
      <c r="JRA382" s="252"/>
      <c r="JRB382" s="252"/>
      <c r="JRC382" s="252"/>
      <c r="JRD382" s="252"/>
      <c r="JRE382" s="252"/>
      <c r="JRF382" s="252"/>
      <c r="JRG382" s="252"/>
      <c r="JRH382" s="252"/>
      <c r="JRI382" s="252"/>
      <c r="JRJ382" s="252"/>
      <c r="JRK382" s="252"/>
      <c r="JRL382" s="252"/>
      <c r="JRM382" s="252"/>
      <c r="JRN382" s="252"/>
      <c r="JRO382" s="252"/>
      <c r="JRP382" s="252"/>
      <c r="JRQ382" s="252"/>
      <c r="JRR382" s="252"/>
      <c r="JRS382" s="252"/>
      <c r="JRT382" s="252"/>
      <c r="JRU382" s="252"/>
      <c r="JRV382" s="252"/>
      <c r="JRW382" s="252"/>
      <c r="JRX382" s="252"/>
      <c r="JRY382" s="252"/>
      <c r="JRZ382" s="252"/>
      <c r="JSA382" s="252"/>
      <c r="JSB382" s="252"/>
      <c r="JSC382" s="252"/>
      <c r="JSD382" s="252"/>
      <c r="JSE382" s="252"/>
      <c r="JSF382" s="252"/>
      <c r="JSG382" s="252"/>
      <c r="JSH382" s="252"/>
      <c r="JSI382" s="252"/>
      <c r="JSJ382" s="252"/>
      <c r="JSK382" s="252"/>
      <c r="JSL382" s="252"/>
      <c r="JSM382" s="252"/>
      <c r="JSN382" s="252"/>
      <c r="JSO382" s="252"/>
      <c r="JSP382" s="252"/>
      <c r="JSQ382" s="252"/>
      <c r="JSR382" s="252"/>
      <c r="JSS382" s="252"/>
      <c r="JST382" s="252"/>
      <c r="JSU382" s="252"/>
      <c r="JSV382" s="252"/>
      <c r="JSW382" s="252"/>
      <c r="JSX382" s="252"/>
      <c r="JSY382" s="252"/>
      <c r="JSZ382" s="252"/>
      <c r="JTA382" s="252"/>
      <c r="JTB382" s="252"/>
      <c r="JTC382" s="252"/>
      <c r="JTD382" s="252"/>
      <c r="JTE382" s="252"/>
      <c r="JTF382" s="252"/>
      <c r="JTG382" s="252"/>
      <c r="JTH382" s="252"/>
      <c r="JTI382" s="252"/>
      <c r="JTJ382" s="252"/>
      <c r="JTK382" s="252"/>
      <c r="JTL382" s="252"/>
      <c r="JTM382" s="252"/>
      <c r="JTN382" s="252"/>
      <c r="JTO382" s="252"/>
      <c r="JTP382" s="252"/>
      <c r="JTQ382" s="252"/>
      <c r="JTR382" s="252"/>
      <c r="JTS382" s="252"/>
      <c r="JTT382" s="252"/>
      <c r="JTU382" s="252"/>
      <c r="JTV382" s="252"/>
      <c r="JTW382" s="252"/>
      <c r="JTX382" s="252"/>
      <c r="JTY382" s="252"/>
      <c r="JTZ382" s="252"/>
      <c r="JUA382" s="252"/>
      <c r="JUB382" s="252"/>
      <c r="JUC382" s="252"/>
      <c r="JUD382" s="252"/>
      <c r="JUE382" s="252"/>
      <c r="JUF382" s="252"/>
      <c r="JUG382" s="252"/>
      <c r="JUH382" s="252"/>
      <c r="JUI382" s="252"/>
      <c r="JUJ382" s="252"/>
      <c r="JUK382" s="252"/>
      <c r="JUL382" s="252"/>
      <c r="JUM382" s="252"/>
      <c r="JUN382" s="252"/>
      <c r="JUO382" s="252"/>
      <c r="JUP382" s="252"/>
      <c r="JUQ382" s="252"/>
      <c r="JUR382" s="252"/>
      <c r="JUS382" s="252"/>
      <c r="JUT382" s="252"/>
      <c r="JUU382" s="252"/>
      <c r="JUV382" s="252"/>
      <c r="JUW382" s="252"/>
      <c r="JUX382" s="252"/>
      <c r="JUY382" s="252"/>
      <c r="JUZ382" s="252"/>
      <c r="JVA382" s="252"/>
      <c r="JVB382" s="252"/>
      <c r="JVC382" s="252"/>
      <c r="JVD382" s="252"/>
      <c r="JVE382" s="252"/>
      <c r="JVF382" s="252"/>
      <c r="JVG382" s="252"/>
      <c r="JVH382" s="252"/>
      <c r="JVI382" s="252"/>
      <c r="JVJ382" s="252"/>
      <c r="JVK382" s="252"/>
      <c r="JVL382" s="252"/>
      <c r="JVM382" s="252"/>
      <c r="JVN382" s="252"/>
      <c r="JVO382" s="252"/>
      <c r="JVP382" s="252"/>
      <c r="JVQ382" s="252"/>
      <c r="JVR382" s="252"/>
      <c r="JVS382" s="252"/>
      <c r="JVT382" s="252"/>
      <c r="JVU382" s="252"/>
      <c r="JVV382" s="252"/>
      <c r="JVW382" s="252"/>
      <c r="JVX382" s="252"/>
      <c r="JVY382" s="252"/>
      <c r="JVZ382" s="252"/>
      <c r="JWA382" s="252"/>
      <c r="JWB382" s="252"/>
      <c r="JWC382" s="252"/>
      <c r="JWD382" s="252"/>
      <c r="JWE382" s="252"/>
      <c r="JWF382" s="252"/>
      <c r="JWG382" s="252"/>
      <c r="JWH382" s="252"/>
      <c r="JWI382" s="252"/>
      <c r="JWJ382" s="252"/>
      <c r="JWK382" s="252"/>
      <c r="JWL382" s="252"/>
      <c r="JWM382" s="252"/>
      <c r="JWN382" s="252"/>
      <c r="JWO382" s="252"/>
      <c r="JWP382" s="252"/>
      <c r="JWQ382" s="252"/>
      <c r="JWR382" s="252"/>
      <c r="JWS382" s="252"/>
      <c r="JWT382" s="252"/>
      <c r="JWU382" s="252"/>
      <c r="JWV382" s="252"/>
      <c r="JWW382" s="252"/>
      <c r="JWX382" s="252"/>
      <c r="JWY382" s="252"/>
      <c r="JWZ382" s="252"/>
      <c r="JXA382" s="252"/>
      <c r="JXB382" s="252"/>
      <c r="JXC382" s="252"/>
      <c r="JXD382" s="252"/>
      <c r="JXE382" s="252"/>
      <c r="JXF382" s="252"/>
      <c r="JXG382" s="252"/>
      <c r="JXH382" s="252"/>
      <c r="JXI382" s="252"/>
      <c r="JXJ382" s="252"/>
      <c r="JXK382" s="252"/>
      <c r="JXL382" s="252"/>
      <c r="JXM382" s="252"/>
      <c r="JXN382" s="252"/>
      <c r="JXO382" s="252"/>
      <c r="JXP382" s="252"/>
      <c r="JXQ382" s="252"/>
      <c r="JXR382" s="252"/>
      <c r="JXS382" s="252"/>
      <c r="JXT382" s="252"/>
      <c r="JXU382" s="252"/>
      <c r="JXV382" s="252"/>
      <c r="JXW382" s="252"/>
      <c r="JXX382" s="252"/>
      <c r="JXY382" s="252"/>
      <c r="JXZ382" s="252"/>
      <c r="JYA382" s="252"/>
      <c r="JYB382" s="252"/>
      <c r="JYC382" s="252"/>
      <c r="JYD382" s="252"/>
      <c r="JYE382" s="252"/>
      <c r="JYF382" s="252"/>
      <c r="JYG382" s="252"/>
      <c r="JYH382" s="252"/>
      <c r="JYI382" s="252"/>
      <c r="JYJ382" s="252"/>
      <c r="JYK382" s="252"/>
      <c r="JYL382" s="252"/>
      <c r="JYM382" s="252"/>
      <c r="JYN382" s="252"/>
      <c r="JYO382" s="252"/>
      <c r="JYP382" s="252"/>
      <c r="JYQ382" s="252"/>
      <c r="JYR382" s="252"/>
      <c r="JYS382" s="252"/>
      <c r="JYT382" s="252"/>
      <c r="JYU382" s="252"/>
      <c r="JYV382" s="252"/>
      <c r="JYW382" s="252"/>
      <c r="JYX382" s="252"/>
      <c r="JYY382" s="252"/>
      <c r="JYZ382" s="252"/>
      <c r="JZA382" s="252"/>
      <c r="JZB382" s="252"/>
      <c r="JZC382" s="252"/>
      <c r="JZD382" s="252"/>
      <c r="JZE382" s="252"/>
      <c r="JZF382" s="252"/>
      <c r="JZG382" s="252"/>
      <c r="JZH382" s="252"/>
      <c r="JZI382" s="252"/>
      <c r="JZJ382" s="252"/>
      <c r="JZK382" s="252"/>
      <c r="JZL382" s="252"/>
      <c r="JZM382" s="252"/>
      <c r="JZN382" s="252"/>
      <c r="JZO382" s="252"/>
      <c r="JZP382" s="252"/>
      <c r="JZQ382" s="252"/>
      <c r="JZR382" s="252"/>
      <c r="JZS382" s="252"/>
      <c r="JZT382" s="252"/>
      <c r="JZU382" s="252"/>
      <c r="JZV382" s="252"/>
      <c r="JZW382" s="252"/>
      <c r="JZX382" s="252"/>
      <c r="JZY382" s="252"/>
      <c r="JZZ382" s="252"/>
      <c r="KAA382" s="252"/>
      <c r="KAB382" s="252"/>
      <c r="KAC382" s="252"/>
      <c r="KAD382" s="252"/>
      <c r="KAE382" s="252"/>
      <c r="KAF382" s="252"/>
      <c r="KAG382" s="252"/>
      <c r="KAH382" s="252"/>
      <c r="KAI382" s="252"/>
      <c r="KAJ382" s="252"/>
      <c r="KAK382" s="252"/>
      <c r="KAL382" s="252"/>
      <c r="KAM382" s="252"/>
      <c r="KAN382" s="252"/>
      <c r="KAO382" s="252"/>
      <c r="KAP382" s="252"/>
      <c r="KAQ382" s="252"/>
      <c r="KAR382" s="252"/>
      <c r="KAS382" s="252"/>
      <c r="KAT382" s="252"/>
      <c r="KAU382" s="252"/>
      <c r="KAV382" s="252"/>
      <c r="KAW382" s="252"/>
      <c r="KAX382" s="252"/>
      <c r="KAY382" s="252"/>
      <c r="KAZ382" s="252"/>
      <c r="KBA382" s="252"/>
      <c r="KBB382" s="252"/>
      <c r="KBC382" s="252"/>
      <c r="KBD382" s="252"/>
      <c r="KBE382" s="252"/>
      <c r="KBF382" s="252"/>
      <c r="KBG382" s="252"/>
      <c r="KBH382" s="252"/>
      <c r="KBI382" s="252"/>
      <c r="KBJ382" s="252"/>
      <c r="KBK382" s="252"/>
      <c r="KBL382" s="252"/>
      <c r="KBM382" s="252"/>
      <c r="KBN382" s="252"/>
      <c r="KBO382" s="252"/>
      <c r="KBP382" s="252"/>
      <c r="KBQ382" s="252"/>
      <c r="KBR382" s="252"/>
      <c r="KBS382" s="252"/>
      <c r="KBT382" s="252"/>
      <c r="KBU382" s="252"/>
      <c r="KBV382" s="252"/>
      <c r="KBW382" s="252"/>
      <c r="KBX382" s="252"/>
      <c r="KBY382" s="252"/>
      <c r="KBZ382" s="252"/>
      <c r="KCA382" s="252"/>
      <c r="KCB382" s="252"/>
      <c r="KCC382" s="252"/>
      <c r="KCD382" s="252"/>
      <c r="KCE382" s="252"/>
      <c r="KCF382" s="252"/>
      <c r="KCG382" s="252"/>
      <c r="KCH382" s="252"/>
      <c r="KCI382" s="252"/>
      <c r="KCJ382" s="252"/>
      <c r="KCK382" s="252"/>
      <c r="KCL382" s="252"/>
      <c r="KCM382" s="252"/>
      <c r="KCN382" s="252"/>
      <c r="KCO382" s="252"/>
      <c r="KCP382" s="252"/>
      <c r="KCQ382" s="252"/>
      <c r="KCR382" s="252"/>
      <c r="KCS382" s="252"/>
      <c r="KCT382" s="252"/>
      <c r="KCU382" s="252"/>
      <c r="KCV382" s="252"/>
      <c r="KCW382" s="252"/>
      <c r="KCX382" s="252"/>
      <c r="KCY382" s="252"/>
      <c r="KCZ382" s="252"/>
      <c r="KDA382" s="252"/>
      <c r="KDB382" s="252"/>
      <c r="KDC382" s="252"/>
      <c r="KDD382" s="252"/>
      <c r="KDE382" s="252"/>
      <c r="KDF382" s="252"/>
      <c r="KDG382" s="252"/>
      <c r="KDH382" s="252"/>
      <c r="KDI382" s="252"/>
      <c r="KDJ382" s="252"/>
      <c r="KDK382" s="252"/>
      <c r="KDL382" s="252"/>
      <c r="KDM382" s="252"/>
      <c r="KDN382" s="252"/>
      <c r="KDO382" s="252"/>
      <c r="KDP382" s="252"/>
      <c r="KDQ382" s="252"/>
      <c r="KDR382" s="252"/>
      <c r="KDS382" s="252"/>
      <c r="KDT382" s="252"/>
      <c r="KDU382" s="252"/>
      <c r="KDV382" s="252"/>
      <c r="KDW382" s="252"/>
      <c r="KDX382" s="252"/>
      <c r="KDY382" s="252"/>
      <c r="KDZ382" s="252"/>
      <c r="KEA382" s="252"/>
      <c r="KEB382" s="252"/>
      <c r="KEC382" s="252"/>
      <c r="KED382" s="252"/>
      <c r="KEE382" s="252"/>
      <c r="KEF382" s="252"/>
      <c r="KEG382" s="252"/>
      <c r="KEH382" s="252"/>
      <c r="KEI382" s="252"/>
      <c r="KEJ382" s="252"/>
      <c r="KEK382" s="252"/>
      <c r="KEL382" s="252"/>
      <c r="KEM382" s="252"/>
      <c r="KEN382" s="252"/>
      <c r="KEO382" s="252"/>
      <c r="KEP382" s="252"/>
      <c r="KEQ382" s="252"/>
      <c r="KER382" s="252"/>
      <c r="KES382" s="252"/>
      <c r="KET382" s="252"/>
      <c r="KEU382" s="252"/>
      <c r="KEV382" s="252"/>
      <c r="KEW382" s="252"/>
      <c r="KEX382" s="252"/>
      <c r="KEY382" s="252"/>
      <c r="KEZ382" s="252"/>
      <c r="KFA382" s="252"/>
      <c r="KFB382" s="252"/>
      <c r="KFC382" s="252"/>
      <c r="KFD382" s="252"/>
      <c r="KFE382" s="252"/>
      <c r="KFF382" s="252"/>
      <c r="KFG382" s="252"/>
      <c r="KFH382" s="252"/>
      <c r="KFI382" s="252"/>
      <c r="KFJ382" s="252"/>
      <c r="KFK382" s="252"/>
      <c r="KFL382" s="252"/>
      <c r="KFM382" s="252"/>
      <c r="KFN382" s="252"/>
      <c r="KFO382" s="252"/>
      <c r="KFP382" s="252"/>
      <c r="KFQ382" s="252"/>
      <c r="KFR382" s="252"/>
      <c r="KFS382" s="252"/>
      <c r="KFT382" s="252"/>
      <c r="KFU382" s="252"/>
      <c r="KFV382" s="252"/>
      <c r="KFW382" s="252"/>
      <c r="KFX382" s="252"/>
      <c r="KFY382" s="252"/>
      <c r="KFZ382" s="252"/>
      <c r="KGA382" s="252"/>
      <c r="KGB382" s="252"/>
      <c r="KGC382" s="252"/>
      <c r="KGD382" s="252"/>
      <c r="KGE382" s="252"/>
      <c r="KGF382" s="252"/>
      <c r="KGG382" s="252"/>
      <c r="KGH382" s="252"/>
      <c r="KGI382" s="252"/>
      <c r="KGJ382" s="252"/>
      <c r="KGK382" s="252"/>
      <c r="KGL382" s="252"/>
      <c r="KGM382" s="252"/>
      <c r="KGN382" s="252"/>
      <c r="KGO382" s="252"/>
      <c r="KGP382" s="252"/>
      <c r="KGQ382" s="252"/>
      <c r="KGR382" s="252"/>
      <c r="KGS382" s="252"/>
      <c r="KGT382" s="252"/>
      <c r="KGU382" s="252"/>
      <c r="KGV382" s="252"/>
      <c r="KGW382" s="252"/>
      <c r="KGX382" s="252"/>
      <c r="KGY382" s="252"/>
      <c r="KGZ382" s="252"/>
      <c r="KHA382" s="252"/>
      <c r="KHB382" s="252"/>
      <c r="KHC382" s="252"/>
      <c r="KHD382" s="252"/>
      <c r="KHE382" s="252"/>
      <c r="KHF382" s="252"/>
      <c r="KHG382" s="252"/>
      <c r="KHH382" s="252"/>
      <c r="KHI382" s="252"/>
      <c r="KHJ382" s="252"/>
      <c r="KHK382" s="252"/>
      <c r="KHL382" s="252"/>
      <c r="KHM382" s="252"/>
      <c r="KHN382" s="252"/>
      <c r="KHO382" s="252"/>
      <c r="KHP382" s="252"/>
      <c r="KHQ382" s="252"/>
      <c r="KHR382" s="252"/>
      <c r="KHS382" s="252"/>
      <c r="KHT382" s="252"/>
      <c r="KHU382" s="252"/>
      <c r="KHV382" s="252"/>
      <c r="KHW382" s="252"/>
      <c r="KHX382" s="252"/>
      <c r="KHY382" s="252"/>
      <c r="KHZ382" s="252"/>
      <c r="KIA382" s="252"/>
      <c r="KIB382" s="252"/>
      <c r="KIC382" s="252"/>
      <c r="KID382" s="252"/>
      <c r="KIE382" s="252"/>
      <c r="KIF382" s="252"/>
      <c r="KIG382" s="252"/>
      <c r="KIH382" s="252"/>
      <c r="KII382" s="252"/>
      <c r="KIJ382" s="252"/>
      <c r="KIK382" s="252"/>
      <c r="KIL382" s="252"/>
      <c r="KIM382" s="252"/>
      <c r="KIN382" s="252"/>
      <c r="KIO382" s="252"/>
      <c r="KIP382" s="252"/>
      <c r="KIQ382" s="252"/>
      <c r="KIR382" s="252"/>
      <c r="KIS382" s="252"/>
      <c r="KIT382" s="252"/>
      <c r="KIU382" s="252"/>
      <c r="KIV382" s="252"/>
      <c r="KIW382" s="252"/>
      <c r="KIX382" s="252"/>
      <c r="KIY382" s="252"/>
      <c r="KIZ382" s="252"/>
      <c r="KJA382" s="252"/>
      <c r="KJB382" s="252"/>
      <c r="KJC382" s="252"/>
      <c r="KJD382" s="252"/>
      <c r="KJE382" s="252"/>
      <c r="KJF382" s="252"/>
      <c r="KJG382" s="252"/>
      <c r="KJH382" s="252"/>
      <c r="KJI382" s="252"/>
      <c r="KJJ382" s="252"/>
      <c r="KJK382" s="252"/>
      <c r="KJL382" s="252"/>
      <c r="KJM382" s="252"/>
      <c r="KJN382" s="252"/>
      <c r="KJO382" s="252"/>
      <c r="KJP382" s="252"/>
      <c r="KJQ382" s="252"/>
      <c r="KJR382" s="252"/>
      <c r="KJS382" s="252"/>
      <c r="KJT382" s="252"/>
      <c r="KJU382" s="252"/>
      <c r="KJV382" s="252"/>
      <c r="KJW382" s="252"/>
      <c r="KJX382" s="252"/>
      <c r="KJY382" s="252"/>
      <c r="KJZ382" s="252"/>
      <c r="KKA382" s="252"/>
      <c r="KKB382" s="252"/>
      <c r="KKC382" s="252"/>
      <c r="KKD382" s="252"/>
      <c r="KKE382" s="252"/>
      <c r="KKF382" s="252"/>
      <c r="KKG382" s="252"/>
      <c r="KKH382" s="252"/>
      <c r="KKI382" s="252"/>
      <c r="KKJ382" s="252"/>
      <c r="KKK382" s="252"/>
      <c r="KKL382" s="252"/>
      <c r="KKM382" s="252"/>
      <c r="KKN382" s="252"/>
      <c r="KKO382" s="252"/>
      <c r="KKP382" s="252"/>
      <c r="KKQ382" s="252"/>
      <c r="KKR382" s="252"/>
      <c r="KKS382" s="252"/>
      <c r="KKT382" s="252"/>
      <c r="KKU382" s="252"/>
      <c r="KKV382" s="252"/>
      <c r="KKW382" s="252"/>
      <c r="KKX382" s="252"/>
      <c r="KKY382" s="252"/>
      <c r="KKZ382" s="252"/>
      <c r="KLA382" s="252"/>
      <c r="KLB382" s="252"/>
      <c r="KLC382" s="252"/>
      <c r="KLD382" s="252"/>
      <c r="KLE382" s="252"/>
      <c r="KLF382" s="252"/>
      <c r="KLG382" s="252"/>
      <c r="KLH382" s="252"/>
      <c r="KLI382" s="252"/>
      <c r="KLJ382" s="252"/>
      <c r="KLK382" s="252"/>
      <c r="KLL382" s="252"/>
      <c r="KLM382" s="252"/>
      <c r="KLN382" s="252"/>
      <c r="KLO382" s="252"/>
      <c r="KLP382" s="252"/>
      <c r="KLQ382" s="252"/>
      <c r="KLR382" s="252"/>
      <c r="KLS382" s="252"/>
      <c r="KLT382" s="252"/>
      <c r="KLU382" s="252"/>
      <c r="KLV382" s="252"/>
      <c r="KLW382" s="252"/>
      <c r="KLX382" s="252"/>
      <c r="KLY382" s="252"/>
      <c r="KLZ382" s="252"/>
      <c r="KMA382" s="252"/>
      <c r="KMB382" s="252"/>
      <c r="KMC382" s="252"/>
      <c r="KMD382" s="252"/>
      <c r="KME382" s="252"/>
      <c r="KMF382" s="252"/>
      <c r="KMG382" s="252"/>
      <c r="KMH382" s="252"/>
      <c r="KMI382" s="252"/>
      <c r="KMJ382" s="252"/>
      <c r="KMK382" s="252"/>
      <c r="KML382" s="252"/>
      <c r="KMM382" s="252"/>
      <c r="KMN382" s="252"/>
      <c r="KMO382" s="252"/>
      <c r="KMP382" s="252"/>
      <c r="KMQ382" s="252"/>
      <c r="KMR382" s="252"/>
      <c r="KMS382" s="252"/>
      <c r="KMT382" s="252"/>
      <c r="KMU382" s="252"/>
      <c r="KMV382" s="252"/>
      <c r="KMW382" s="252"/>
      <c r="KMX382" s="252"/>
      <c r="KMY382" s="252"/>
      <c r="KMZ382" s="252"/>
      <c r="KNA382" s="252"/>
      <c r="KNB382" s="252"/>
      <c r="KNC382" s="252"/>
      <c r="KND382" s="252"/>
      <c r="KNE382" s="252"/>
      <c r="KNF382" s="252"/>
      <c r="KNG382" s="252"/>
      <c r="KNH382" s="252"/>
      <c r="KNI382" s="252"/>
      <c r="KNJ382" s="252"/>
      <c r="KNK382" s="252"/>
      <c r="KNL382" s="252"/>
      <c r="KNM382" s="252"/>
      <c r="KNN382" s="252"/>
      <c r="KNO382" s="252"/>
      <c r="KNP382" s="252"/>
      <c r="KNQ382" s="252"/>
      <c r="KNR382" s="252"/>
      <c r="KNS382" s="252"/>
      <c r="KNT382" s="252"/>
      <c r="KNU382" s="252"/>
      <c r="KNV382" s="252"/>
      <c r="KNW382" s="252"/>
      <c r="KNX382" s="252"/>
      <c r="KNY382" s="252"/>
      <c r="KNZ382" s="252"/>
      <c r="KOA382" s="252"/>
      <c r="KOB382" s="252"/>
      <c r="KOC382" s="252"/>
      <c r="KOD382" s="252"/>
      <c r="KOE382" s="252"/>
      <c r="KOF382" s="252"/>
      <c r="KOG382" s="252"/>
      <c r="KOH382" s="252"/>
      <c r="KOI382" s="252"/>
      <c r="KOJ382" s="252"/>
      <c r="KOK382" s="252"/>
      <c r="KOL382" s="252"/>
      <c r="KOM382" s="252"/>
      <c r="KON382" s="252"/>
      <c r="KOO382" s="252"/>
      <c r="KOP382" s="252"/>
      <c r="KOQ382" s="252"/>
      <c r="KOR382" s="252"/>
      <c r="KOS382" s="252"/>
      <c r="KOT382" s="252"/>
      <c r="KOU382" s="252"/>
      <c r="KOV382" s="252"/>
      <c r="KOW382" s="252"/>
      <c r="KOX382" s="252"/>
      <c r="KOY382" s="252"/>
      <c r="KOZ382" s="252"/>
      <c r="KPA382" s="252"/>
      <c r="KPB382" s="252"/>
      <c r="KPC382" s="252"/>
      <c r="KPD382" s="252"/>
      <c r="KPE382" s="252"/>
      <c r="KPF382" s="252"/>
      <c r="KPG382" s="252"/>
      <c r="KPH382" s="252"/>
      <c r="KPI382" s="252"/>
      <c r="KPJ382" s="252"/>
      <c r="KPK382" s="252"/>
      <c r="KPL382" s="252"/>
      <c r="KPM382" s="252"/>
      <c r="KPN382" s="252"/>
      <c r="KPO382" s="252"/>
      <c r="KPP382" s="252"/>
      <c r="KPQ382" s="252"/>
      <c r="KPR382" s="252"/>
      <c r="KPS382" s="252"/>
      <c r="KPT382" s="252"/>
      <c r="KPU382" s="252"/>
      <c r="KPV382" s="252"/>
      <c r="KPW382" s="252"/>
      <c r="KPX382" s="252"/>
      <c r="KPY382" s="252"/>
      <c r="KPZ382" s="252"/>
      <c r="KQA382" s="252"/>
      <c r="KQB382" s="252"/>
      <c r="KQC382" s="252"/>
      <c r="KQD382" s="252"/>
      <c r="KQE382" s="252"/>
      <c r="KQF382" s="252"/>
      <c r="KQG382" s="252"/>
      <c r="KQH382" s="252"/>
      <c r="KQI382" s="252"/>
      <c r="KQJ382" s="252"/>
      <c r="KQK382" s="252"/>
      <c r="KQL382" s="252"/>
      <c r="KQM382" s="252"/>
      <c r="KQN382" s="252"/>
      <c r="KQO382" s="252"/>
      <c r="KQP382" s="252"/>
      <c r="KQQ382" s="252"/>
      <c r="KQR382" s="252"/>
      <c r="KQS382" s="252"/>
      <c r="KQT382" s="252"/>
      <c r="KQU382" s="252"/>
      <c r="KQV382" s="252"/>
      <c r="KQW382" s="252"/>
      <c r="KQX382" s="252"/>
      <c r="KQY382" s="252"/>
      <c r="KQZ382" s="252"/>
      <c r="KRA382" s="252"/>
      <c r="KRB382" s="252"/>
      <c r="KRC382" s="252"/>
      <c r="KRD382" s="252"/>
      <c r="KRE382" s="252"/>
      <c r="KRF382" s="252"/>
      <c r="KRG382" s="252"/>
      <c r="KRH382" s="252"/>
      <c r="KRI382" s="252"/>
      <c r="KRJ382" s="252"/>
      <c r="KRK382" s="252"/>
      <c r="KRL382" s="252"/>
      <c r="KRM382" s="252"/>
      <c r="KRN382" s="252"/>
      <c r="KRO382" s="252"/>
      <c r="KRP382" s="252"/>
      <c r="KRQ382" s="252"/>
      <c r="KRR382" s="252"/>
      <c r="KRS382" s="252"/>
      <c r="KRT382" s="252"/>
      <c r="KRU382" s="252"/>
      <c r="KRV382" s="252"/>
      <c r="KRW382" s="252"/>
      <c r="KRX382" s="252"/>
      <c r="KRY382" s="252"/>
      <c r="KRZ382" s="252"/>
      <c r="KSA382" s="252"/>
      <c r="KSB382" s="252"/>
      <c r="KSC382" s="252"/>
      <c r="KSD382" s="252"/>
      <c r="KSE382" s="252"/>
      <c r="KSF382" s="252"/>
      <c r="KSG382" s="252"/>
      <c r="KSH382" s="252"/>
      <c r="KSI382" s="252"/>
      <c r="KSJ382" s="252"/>
      <c r="KSK382" s="252"/>
      <c r="KSL382" s="252"/>
      <c r="KSM382" s="252"/>
      <c r="KSN382" s="252"/>
      <c r="KSO382" s="252"/>
      <c r="KSP382" s="252"/>
      <c r="KSQ382" s="252"/>
      <c r="KSR382" s="252"/>
      <c r="KSS382" s="252"/>
      <c r="KST382" s="252"/>
      <c r="KSU382" s="252"/>
      <c r="KSV382" s="252"/>
      <c r="KSW382" s="252"/>
      <c r="KSX382" s="252"/>
      <c r="KSY382" s="252"/>
      <c r="KSZ382" s="252"/>
      <c r="KTA382" s="252"/>
      <c r="KTB382" s="252"/>
      <c r="KTC382" s="252"/>
      <c r="KTD382" s="252"/>
      <c r="KTE382" s="252"/>
      <c r="KTF382" s="252"/>
      <c r="KTG382" s="252"/>
      <c r="KTH382" s="252"/>
      <c r="KTI382" s="252"/>
      <c r="KTJ382" s="252"/>
      <c r="KTK382" s="252"/>
      <c r="KTL382" s="252"/>
      <c r="KTM382" s="252"/>
      <c r="KTN382" s="252"/>
      <c r="KTO382" s="252"/>
      <c r="KTP382" s="252"/>
      <c r="KTQ382" s="252"/>
      <c r="KTR382" s="252"/>
      <c r="KTS382" s="252"/>
      <c r="KTT382" s="252"/>
      <c r="KTU382" s="252"/>
      <c r="KTV382" s="252"/>
      <c r="KTW382" s="252"/>
      <c r="KTX382" s="252"/>
      <c r="KTY382" s="252"/>
      <c r="KTZ382" s="252"/>
      <c r="KUA382" s="252"/>
      <c r="KUB382" s="252"/>
      <c r="KUC382" s="252"/>
      <c r="KUD382" s="252"/>
      <c r="KUE382" s="252"/>
      <c r="KUF382" s="252"/>
      <c r="KUG382" s="252"/>
      <c r="KUH382" s="252"/>
      <c r="KUI382" s="252"/>
      <c r="KUJ382" s="252"/>
      <c r="KUK382" s="252"/>
      <c r="KUL382" s="252"/>
      <c r="KUM382" s="252"/>
      <c r="KUN382" s="252"/>
      <c r="KUO382" s="252"/>
      <c r="KUP382" s="252"/>
      <c r="KUQ382" s="252"/>
      <c r="KUR382" s="252"/>
      <c r="KUS382" s="252"/>
      <c r="KUT382" s="252"/>
      <c r="KUU382" s="252"/>
      <c r="KUV382" s="252"/>
      <c r="KUW382" s="252"/>
      <c r="KUX382" s="252"/>
      <c r="KUY382" s="252"/>
      <c r="KUZ382" s="252"/>
      <c r="KVA382" s="252"/>
      <c r="KVB382" s="252"/>
      <c r="KVC382" s="252"/>
      <c r="KVD382" s="252"/>
      <c r="KVE382" s="252"/>
      <c r="KVF382" s="252"/>
      <c r="KVG382" s="252"/>
      <c r="KVH382" s="252"/>
      <c r="KVI382" s="252"/>
      <c r="KVJ382" s="252"/>
      <c r="KVK382" s="252"/>
      <c r="KVL382" s="252"/>
      <c r="KVM382" s="252"/>
      <c r="KVN382" s="252"/>
      <c r="KVO382" s="252"/>
      <c r="KVP382" s="252"/>
      <c r="KVQ382" s="252"/>
      <c r="KVR382" s="252"/>
      <c r="KVS382" s="252"/>
      <c r="KVT382" s="252"/>
      <c r="KVU382" s="252"/>
      <c r="KVV382" s="252"/>
      <c r="KVW382" s="252"/>
      <c r="KVX382" s="252"/>
      <c r="KVY382" s="252"/>
      <c r="KVZ382" s="252"/>
      <c r="KWA382" s="252"/>
      <c r="KWB382" s="252"/>
      <c r="KWC382" s="252"/>
      <c r="KWD382" s="252"/>
      <c r="KWE382" s="252"/>
      <c r="KWF382" s="252"/>
      <c r="KWG382" s="252"/>
      <c r="KWH382" s="252"/>
      <c r="KWI382" s="252"/>
      <c r="KWJ382" s="252"/>
      <c r="KWK382" s="252"/>
      <c r="KWL382" s="252"/>
      <c r="KWM382" s="252"/>
      <c r="KWN382" s="252"/>
      <c r="KWO382" s="252"/>
      <c r="KWP382" s="252"/>
      <c r="KWQ382" s="252"/>
      <c r="KWR382" s="252"/>
      <c r="KWS382" s="252"/>
      <c r="KWT382" s="252"/>
      <c r="KWU382" s="252"/>
      <c r="KWV382" s="252"/>
      <c r="KWW382" s="252"/>
      <c r="KWX382" s="252"/>
      <c r="KWY382" s="252"/>
      <c r="KWZ382" s="252"/>
      <c r="KXA382" s="252"/>
      <c r="KXB382" s="252"/>
      <c r="KXC382" s="252"/>
      <c r="KXD382" s="252"/>
      <c r="KXE382" s="252"/>
      <c r="KXF382" s="252"/>
      <c r="KXG382" s="252"/>
      <c r="KXH382" s="252"/>
      <c r="KXI382" s="252"/>
      <c r="KXJ382" s="252"/>
      <c r="KXK382" s="252"/>
      <c r="KXL382" s="252"/>
      <c r="KXM382" s="252"/>
      <c r="KXN382" s="252"/>
      <c r="KXO382" s="252"/>
      <c r="KXP382" s="252"/>
      <c r="KXQ382" s="252"/>
      <c r="KXR382" s="252"/>
      <c r="KXS382" s="252"/>
      <c r="KXT382" s="252"/>
      <c r="KXU382" s="252"/>
      <c r="KXV382" s="252"/>
      <c r="KXW382" s="252"/>
      <c r="KXX382" s="252"/>
      <c r="KXY382" s="252"/>
      <c r="KXZ382" s="252"/>
      <c r="KYA382" s="252"/>
      <c r="KYB382" s="252"/>
      <c r="KYC382" s="252"/>
      <c r="KYD382" s="252"/>
      <c r="KYE382" s="252"/>
      <c r="KYF382" s="252"/>
      <c r="KYG382" s="252"/>
      <c r="KYH382" s="252"/>
      <c r="KYI382" s="252"/>
      <c r="KYJ382" s="252"/>
      <c r="KYK382" s="252"/>
      <c r="KYL382" s="252"/>
      <c r="KYM382" s="252"/>
      <c r="KYN382" s="252"/>
      <c r="KYO382" s="252"/>
      <c r="KYP382" s="252"/>
      <c r="KYQ382" s="252"/>
      <c r="KYR382" s="252"/>
      <c r="KYS382" s="252"/>
      <c r="KYT382" s="252"/>
      <c r="KYU382" s="252"/>
      <c r="KYV382" s="252"/>
      <c r="KYW382" s="252"/>
      <c r="KYX382" s="252"/>
      <c r="KYY382" s="252"/>
      <c r="KYZ382" s="252"/>
      <c r="KZA382" s="252"/>
      <c r="KZB382" s="252"/>
      <c r="KZC382" s="252"/>
      <c r="KZD382" s="252"/>
      <c r="KZE382" s="252"/>
      <c r="KZF382" s="252"/>
      <c r="KZG382" s="252"/>
      <c r="KZH382" s="252"/>
      <c r="KZI382" s="252"/>
      <c r="KZJ382" s="252"/>
      <c r="KZK382" s="252"/>
      <c r="KZL382" s="252"/>
      <c r="KZM382" s="252"/>
      <c r="KZN382" s="252"/>
      <c r="KZO382" s="252"/>
      <c r="KZP382" s="252"/>
      <c r="KZQ382" s="252"/>
      <c r="KZR382" s="252"/>
      <c r="KZS382" s="252"/>
      <c r="KZT382" s="252"/>
      <c r="KZU382" s="252"/>
      <c r="KZV382" s="252"/>
      <c r="KZW382" s="252"/>
      <c r="KZX382" s="252"/>
      <c r="KZY382" s="252"/>
      <c r="KZZ382" s="252"/>
      <c r="LAA382" s="252"/>
      <c r="LAB382" s="252"/>
      <c r="LAC382" s="252"/>
      <c r="LAD382" s="252"/>
      <c r="LAE382" s="252"/>
      <c r="LAF382" s="252"/>
      <c r="LAG382" s="252"/>
      <c r="LAH382" s="252"/>
      <c r="LAI382" s="252"/>
      <c r="LAJ382" s="252"/>
      <c r="LAK382" s="252"/>
      <c r="LAL382" s="252"/>
      <c r="LAM382" s="252"/>
      <c r="LAN382" s="252"/>
      <c r="LAO382" s="252"/>
      <c r="LAP382" s="252"/>
      <c r="LAQ382" s="252"/>
      <c r="LAR382" s="252"/>
      <c r="LAS382" s="252"/>
      <c r="LAT382" s="252"/>
      <c r="LAU382" s="252"/>
      <c r="LAV382" s="252"/>
      <c r="LAW382" s="252"/>
      <c r="LAX382" s="252"/>
      <c r="LAY382" s="252"/>
      <c r="LAZ382" s="252"/>
      <c r="LBA382" s="252"/>
      <c r="LBB382" s="252"/>
      <c r="LBC382" s="252"/>
      <c r="LBD382" s="252"/>
      <c r="LBE382" s="252"/>
      <c r="LBF382" s="252"/>
      <c r="LBG382" s="252"/>
      <c r="LBH382" s="252"/>
      <c r="LBI382" s="252"/>
      <c r="LBJ382" s="252"/>
      <c r="LBK382" s="252"/>
      <c r="LBL382" s="252"/>
      <c r="LBM382" s="252"/>
      <c r="LBN382" s="252"/>
      <c r="LBO382" s="252"/>
      <c r="LBP382" s="252"/>
      <c r="LBQ382" s="252"/>
      <c r="LBR382" s="252"/>
      <c r="LBS382" s="252"/>
      <c r="LBT382" s="252"/>
      <c r="LBU382" s="252"/>
      <c r="LBV382" s="252"/>
      <c r="LBW382" s="252"/>
      <c r="LBX382" s="252"/>
      <c r="LBY382" s="252"/>
      <c r="LBZ382" s="252"/>
      <c r="LCA382" s="252"/>
      <c r="LCB382" s="252"/>
      <c r="LCC382" s="252"/>
      <c r="LCD382" s="252"/>
      <c r="LCE382" s="252"/>
      <c r="LCF382" s="252"/>
      <c r="LCG382" s="252"/>
      <c r="LCH382" s="252"/>
      <c r="LCI382" s="252"/>
      <c r="LCJ382" s="252"/>
      <c r="LCK382" s="252"/>
      <c r="LCL382" s="252"/>
      <c r="LCM382" s="252"/>
      <c r="LCN382" s="252"/>
      <c r="LCO382" s="252"/>
      <c r="LCP382" s="252"/>
      <c r="LCQ382" s="252"/>
      <c r="LCR382" s="252"/>
      <c r="LCS382" s="252"/>
      <c r="LCT382" s="252"/>
      <c r="LCU382" s="252"/>
      <c r="LCV382" s="252"/>
      <c r="LCW382" s="252"/>
      <c r="LCX382" s="252"/>
      <c r="LCY382" s="252"/>
      <c r="LCZ382" s="252"/>
      <c r="LDA382" s="252"/>
      <c r="LDB382" s="252"/>
      <c r="LDC382" s="252"/>
      <c r="LDD382" s="252"/>
      <c r="LDE382" s="252"/>
      <c r="LDF382" s="252"/>
      <c r="LDG382" s="252"/>
      <c r="LDH382" s="252"/>
      <c r="LDI382" s="252"/>
      <c r="LDJ382" s="252"/>
      <c r="LDK382" s="252"/>
      <c r="LDL382" s="252"/>
      <c r="LDM382" s="252"/>
      <c r="LDN382" s="252"/>
      <c r="LDO382" s="252"/>
      <c r="LDP382" s="252"/>
      <c r="LDQ382" s="252"/>
      <c r="LDR382" s="252"/>
      <c r="LDS382" s="252"/>
      <c r="LDT382" s="252"/>
      <c r="LDU382" s="252"/>
      <c r="LDV382" s="252"/>
      <c r="LDW382" s="252"/>
      <c r="LDX382" s="252"/>
      <c r="LDY382" s="252"/>
      <c r="LDZ382" s="252"/>
      <c r="LEA382" s="252"/>
      <c r="LEB382" s="252"/>
      <c r="LEC382" s="252"/>
      <c r="LED382" s="252"/>
      <c r="LEE382" s="252"/>
      <c r="LEF382" s="252"/>
      <c r="LEG382" s="252"/>
      <c r="LEH382" s="252"/>
      <c r="LEI382" s="252"/>
      <c r="LEJ382" s="252"/>
      <c r="LEK382" s="252"/>
      <c r="LEL382" s="252"/>
      <c r="LEM382" s="252"/>
      <c r="LEN382" s="252"/>
      <c r="LEO382" s="252"/>
      <c r="LEP382" s="252"/>
      <c r="LEQ382" s="252"/>
      <c r="LER382" s="252"/>
      <c r="LES382" s="252"/>
      <c r="LET382" s="252"/>
      <c r="LEU382" s="252"/>
      <c r="LEV382" s="252"/>
      <c r="LEW382" s="252"/>
      <c r="LEX382" s="252"/>
      <c r="LEY382" s="252"/>
      <c r="LEZ382" s="252"/>
      <c r="LFA382" s="252"/>
      <c r="LFB382" s="252"/>
      <c r="LFC382" s="252"/>
      <c r="LFD382" s="252"/>
      <c r="LFE382" s="252"/>
      <c r="LFF382" s="252"/>
      <c r="LFG382" s="252"/>
      <c r="LFH382" s="252"/>
      <c r="LFI382" s="252"/>
      <c r="LFJ382" s="252"/>
      <c r="LFK382" s="252"/>
      <c r="LFL382" s="252"/>
      <c r="LFM382" s="252"/>
      <c r="LFN382" s="252"/>
      <c r="LFO382" s="252"/>
      <c r="LFP382" s="252"/>
      <c r="LFQ382" s="252"/>
      <c r="LFR382" s="252"/>
      <c r="LFS382" s="252"/>
      <c r="LFT382" s="252"/>
      <c r="LFU382" s="252"/>
      <c r="LFV382" s="252"/>
      <c r="LFW382" s="252"/>
      <c r="LFX382" s="252"/>
      <c r="LFY382" s="252"/>
      <c r="LFZ382" s="252"/>
      <c r="LGA382" s="252"/>
      <c r="LGB382" s="252"/>
      <c r="LGC382" s="252"/>
      <c r="LGD382" s="252"/>
      <c r="LGE382" s="252"/>
      <c r="LGF382" s="252"/>
      <c r="LGG382" s="252"/>
      <c r="LGH382" s="252"/>
      <c r="LGI382" s="252"/>
      <c r="LGJ382" s="252"/>
      <c r="LGK382" s="252"/>
      <c r="LGL382" s="252"/>
      <c r="LGM382" s="252"/>
      <c r="LGN382" s="252"/>
      <c r="LGO382" s="252"/>
      <c r="LGP382" s="252"/>
      <c r="LGQ382" s="252"/>
      <c r="LGR382" s="252"/>
      <c r="LGS382" s="252"/>
      <c r="LGT382" s="252"/>
      <c r="LGU382" s="252"/>
      <c r="LGV382" s="252"/>
      <c r="LGW382" s="252"/>
      <c r="LGX382" s="252"/>
      <c r="LGY382" s="252"/>
      <c r="LGZ382" s="252"/>
      <c r="LHA382" s="252"/>
      <c r="LHB382" s="252"/>
      <c r="LHC382" s="252"/>
      <c r="LHD382" s="252"/>
      <c r="LHE382" s="252"/>
      <c r="LHF382" s="252"/>
      <c r="LHG382" s="252"/>
      <c r="LHH382" s="252"/>
      <c r="LHI382" s="252"/>
      <c r="LHJ382" s="252"/>
      <c r="LHK382" s="252"/>
      <c r="LHL382" s="252"/>
      <c r="LHM382" s="252"/>
      <c r="LHN382" s="252"/>
      <c r="LHO382" s="252"/>
      <c r="LHP382" s="252"/>
      <c r="LHQ382" s="252"/>
      <c r="LHR382" s="252"/>
      <c r="LHS382" s="252"/>
      <c r="LHT382" s="252"/>
      <c r="LHU382" s="252"/>
      <c r="LHV382" s="252"/>
      <c r="LHW382" s="252"/>
      <c r="LHX382" s="252"/>
      <c r="LHY382" s="252"/>
      <c r="LHZ382" s="252"/>
      <c r="LIA382" s="252"/>
      <c r="LIB382" s="252"/>
      <c r="LIC382" s="252"/>
      <c r="LID382" s="252"/>
      <c r="LIE382" s="252"/>
      <c r="LIF382" s="252"/>
      <c r="LIG382" s="252"/>
      <c r="LIH382" s="252"/>
      <c r="LII382" s="252"/>
      <c r="LIJ382" s="252"/>
      <c r="LIK382" s="252"/>
      <c r="LIL382" s="252"/>
      <c r="LIM382" s="252"/>
      <c r="LIN382" s="252"/>
      <c r="LIO382" s="252"/>
      <c r="LIP382" s="252"/>
      <c r="LIQ382" s="252"/>
      <c r="LIR382" s="252"/>
      <c r="LIS382" s="252"/>
      <c r="LIT382" s="252"/>
      <c r="LIU382" s="252"/>
      <c r="LIV382" s="252"/>
      <c r="LIW382" s="252"/>
      <c r="LIX382" s="252"/>
      <c r="LIY382" s="252"/>
      <c r="LIZ382" s="252"/>
      <c r="LJA382" s="252"/>
      <c r="LJB382" s="252"/>
      <c r="LJC382" s="252"/>
      <c r="LJD382" s="252"/>
      <c r="LJE382" s="252"/>
      <c r="LJF382" s="252"/>
      <c r="LJG382" s="252"/>
      <c r="LJH382" s="252"/>
      <c r="LJI382" s="252"/>
      <c r="LJJ382" s="252"/>
      <c r="LJK382" s="252"/>
      <c r="LJL382" s="252"/>
      <c r="LJM382" s="252"/>
      <c r="LJN382" s="252"/>
      <c r="LJO382" s="252"/>
      <c r="LJP382" s="252"/>
      <c r="LJQ382" s="252"/>
      <c r="LJR382" s="252"/>
      <c r="LJS382" s="252"/>
      <c r="LJT382" s="252"/>
      <c r="LJU382" s="252"/>
      <c r="LJV382" s="252"/>
      <c r="LJW382" s="252"/>
      <c r="LJX382" s="252"/>
      <c r="LJY382" s="252"/>
      <c r="LJZ382" s="252"/>
      <c r="LKA382" s="252"/>
      <c r="LKB382" s="252"/>
      <c r="LKC382" s="252"/>
      <c r="LKD382" s="252"/>
      <c r="LKE382" s="252"/>
      <c r="LKF382" s="252"/>
      <c r="LKG382" s="252"/>
      <c r="LKH382" s="252"/>
      <c r="LKI382" s="252"/>
      <c r="LKJ382" s="252"/>
      <c r="LKK382" s="252"/>
      <c r="LKL382" s="252"/>
      <c r="LKM382" s="252"/>
      <c r="LKN382" s="252"/>
      <c r="LKO382" s="252"/>
      <c r="LKP382" s="252"/>
      <c r="LKQ382" s="252"/>
      <c r="LKR382" s="252"/>
      <c r="LKS382" s="252"/>
      <c r="LKT382" s="252"/>
      <c r="LKU382" s="252"/>
      <c r="LKV382" s="252"/>
      <c r="LKW382" s="252"/>
      <c r="LKX382" s="252"/>
      <c r="LKY382" s="252"/>
      <c r="LKZ382" s="252"/>
      <c r="LLA382" s="252"/>
      <c r="LLB382" s="252"/>
      <c r="LLC382" s="252"/>
      <c r="LLD382" s="252"/>
      <c r="LLE382" s="252"/>
      <c r="LLF382" s="252"/>
      <c r="LLG382" s="252"/>
      <c r="LLH382" s="252"/>
      <c r="LLI382" s="252"/>
      <c r="LLJ382" s="252"/>
      <c r="LLK382" s="252"/>
      <c r="LLL382" s="252"/>
      <c r="LLM382" s="252"/>
      <c r="LLN382" s="252"/>
      <c r="LLO382" s="252"/>
      <c r="LLP382" s="252"/>
      <c r="LLQ382" s="252"/>
      <c r="LLR382" s="252"/>
      <c r="LLS382" s="252"/>
      <c r="LLT382" s="252"/>
      <c r="LLU382" s="252"/>
      <c r="LLV382" s="252"/>
      <c r="LLW382" s="252"/>
      <c r="LLX382" s="252"/>
      <c r="LLY382" s="252"/>
      <c r="LLZ382" s="252"/>
      <c r="LMA382" s="252"/>
      <c r="LMB382" s="252"/>
      <c r="LMC382" s="252"/>
      <c r="LMD382" s="252"/>
      <c r="LME382" s="252"/>
      <c r="LMF382" s="252"/>
      <c r="LMG382" s="252"/>
      <c r="LMH382" s="252"/>
      <c r="LMI382" s="252"/>
      <c r="LMJ382" s="252"/>
      <c r="LMK382" s="252"/>
      <c r="LML382" s="252"/>
      <c r="LMM382" s="252"/>
      <c r="LMN382" s="252"/>
      <c r="LMO382" s="252"/>
      <c r="LMP382" s="252"/>
      <c r="LMQ382" s="252"/>
      <c r="LMR382" s="252"/>
      <c r="LMS382" s="252"/>
      <c r="LMT382" s="252"/>
      <c r="LMU382" s="252"/>
      <c r="LMV382" s="252"/>
      <c r="LMW382" s="252"/>
      <c r="LMX382" s="252"/>
      <c r="LMY382" s="252"/>
      <c r="LMZ382" s="252"/>
      <c r="LNA382" s="252"/>
      <c r="LNB382" s="252"/>
      <c r="LNC382" s="252"/>
      <c r="LND382" s="252"/>
      <c r="LNE382" s="252"/>
      <c r="LNF382" s="252"/>
      <c r="LNG382" s="252"/>
      <c r="LNH382" s="252"/>
      <c r="LNI382" s="252"/>
      <c r="LNJ382" s="252"/>
      <c r="LNK382" s="252"/>
      <c r="LNL382" s="252"/>
      <c r="LNM382" s="252"/>
      <c r="LNN382" s="252"/>
      <c r="LNO382" s="252"/>
      <c r="LNP382" s="252"/>
      <c r="LNQ382" s="252"/>
      <c r="LNR382" s="252"/>
      <c r="LNS382" s="252"/>
      <c r="LNT382" s="252"/>
      <c r="LNU382" s="252"/>
      <c r="LNV382" s="252"/>
      <c r="LNW382" s="252"/>
      <c r="LNX382" s="252"/>
      <c r="LNY382" s="252"/>
      <c r="LNZ382" s="252"/>
      <c r="LOA382" s="252"/>
      <c r="LOB382" s="252"/>
      <c r="LOC382" s="252"/>
      <c r="LOD382" s="252"/>
      <c r="LOE382" s="252"/>
      <c r="LOF382" s="252"/>
      <c r="LOG382" s="252"/>
      <c r="LOH382" s="252"/>
      <c r="LOI382" s="252"/>
      <c r="LOJ382" s="252"/>
      <c r="LOK382" s="252"/>
      <c r="LOL382" s="252"/>
      <c r="LOM382" s="252"/>
      <c r="LON382" s="252"/>
      <c r="LOO382" s="252"/>
      <c r="LOP382" s="252"/>
      <c r="LOQ382" s="252"/>
      <c r="LOR382" s="252"/>
      <c r="LOS382" s="252"/>
      <c r="LOT382" s="252"/>
      <c r="LOU382" s="252"/>
      <c r="LOV382" s="252"/>
      <c r="LOW382" s="252"/>
      <c r="LOX382" s="252"/>
      <c r="LOY382" s="252"/>
      <c r="LOZ382" s="252"/>
      <c r="LPA382" s="252"/>
      <c r="LPB382" s="252"/>
      <c r="LPC382" s="252"/>
      <c r="LPD382" s="252"/>
      <c r="LPE382" s="252"/>
      <c r="LPF382" s="252"/>
      <c r="LPG382" s="252"/>
      <c r="LPH382" s="252"/>
      <c r="LPI382" s="252"/>
      <c r="LPJ382" s="252"/>
      <c r="LPK382" s="252"/>
      <c r="LPL382" s="252"/>
      <c r="LPM382" s="252"/>
      <c r="LPN382" s="252"/>
      <c r="LPO382" s="252"/>
      <c r="LPP382" s="252"/>
      <c r="LPQ382" s="252"/>
      <c r="LPR382" s="252"/>
      <c r="LPS382" s="252"/>
      <c r="LPT382" s="252"/>
      <c r="LPU382" s="252"/>
      <c r="LPV382" s="252"/>
      <c r="LPW382" s="252"/>
      <c r="LPX382" s="252"/>
      <c r="LPY382" s="252"/>
      <c r="LPZ382" s="252"/>
      <c r="LQA382" s="252"/>
      <c r="LQB382" s="252"/>
      <c r="LQC382" s="252"/>
      <c r="LQD382" s="252"/>
      <c r="LQE382" s="252"/>
      <c r="LQF382" s="252"/>
      <c r="LQG382" s="252"/>
      <c r="LQH382" s="252"/>
      <c r="LQI382" s="252"/>
      <c r="LQJ382" s="252"/>
      <c r="LQK382" s="252"/>
      <c r="LQL382" s="252"/>
      <c r="LQM382" s="252"/>
      <c r="LQN382" s="252"/>
      <c r="LQO382" s="252"/>
      <c r="LQP382" s="252"/>
      <c r="LQQ382" s="252"/>
      <c r="LQR382" s="252"/>
      <c r="LQS382" s="252"/>
      <c r="LQT382" s="252"/>
      <c r="LQU382" s="252"/>
      <c r="LQV382" s="252"/>
      <c r="LQW382" s="252"/>
      <c r="LQX382" s="252"/>
      <c r="LQY382" s="252"/>
      <c r="LQZ382" s="252"/>
      <c r="LRA382" s="252"/>
      <c r="LRB382" s="252"/>
      <c r="LRC382" s="252"/>
      <c r="LRD382" s="252"/>
      <c r="LRE382" s="252"/>
      <c r="LRF382" s="252"/>
      <c r="LRG382" s="252"/>
      <c r="LRH382" s="252"/>
      <c r="LRI382" s="252"/>
      <c r="LRJ382" s="252"/>
      <c r="LRK382" s="252"/>
      <c r="LRL382" s="252"/>
      <c r="LRM382" s="252"/>
      <c r="LRN382" s="252"/>
      <c r="LRO382" s="252"/>
      <c r="LRP382" s="252"/>
      <c r="LRQ382" s="252"/>
      <c r="LRR382" s="252"/>
      <c r="LRS382" s="252"/>
      <c r="LRT382" s="252"/>
      <c r="LRU382" s="252"/>
      <c r="LRV382" s="252"/>
      <c r="LRW382" s="252"/>
      <c r="LRX382" s="252"/>
      <c r="LRY382" s="252"/>
      <c r="LRZ382" s="252"/>
      <c r="LSA382" s="252"/>
      <c r="LSB382" s="252"/>
      <c r="LSC382" s="252"/>
      <c r="LSD382" s="252"/>
      <c r="LSE382" s="252"/>
      <c r="LSF382" s="252"/>
      <c r="LSG382" s="252"/>
      <c r="LSH382" s="252"/>
      <c r="LSI382" s="252"/>
      <c r="LSJ382" s="252"/>
      <c r="LSK382" s="252"/>
      <c r="LSL382" s="252"/>
      <c r="LSM382" s="252"/>
      <c r="LSN382" s="252"/>
      <c r="LSO382" s="252"/>
      <c r="LSP382" s="252"/>
      <c r="LSQ382" s="252"/>
      <c r="LSR382" s="252"/>
      <c r="LSS382" s="252"/>
      <c r="LST382" s="252"/>
      <c r="LSU382" s="252"/>
      <c r="LSV382" s="252"/>
      <c r="LSW382" s="252"/>
      <c r="LSX382" s="252"/>
      <c r="LSY382" s="252"/>
      <c r="LSZ382" s="252"/>
      <c r="LTA382" s="252"/>
      <c r="LTB382" s="252"/>
      <c r="LTC382" s="252"/>
      <c r="LTD382" s="252"/>
      <c r="LTE382" s="252"/>
      <c r="LTF382" s="252"/>
      <c r="LTG382" s="252"/>
      <c r="LTH382" s="252"/>
      <c r="LTI382" s="252"/>
      <c r="LTJ382" s="252"/>
      <c r="LTK382" s="252"/>
      <c r="LTL382" s="252"/>
      <c r="LTM382" s="252"/>
      <c r="LTN382" s="252"/>
      <c r="LTO382" s="252"/>
      <c r="LTP382" s="252"/>
      <c r="LTQ382" s="252"/>
      <c r="LTR382" s="252"/>
      <c r="LTS382" s="252"/>
      <c r="LTT382" s="252"/>
      <c r="LTU382" s="252"/>
      <c r="LTV382" s="252"/>
      <c r="LTW382" s="252"/>
      <c r="LTX382" s="252"/>
      <c r="LTY382" s="252"/>
      <c r="LTZ382" s="252"/>
      <c r="LUA382" s="252"/>
      <c r="LUB382" s="252"/>
      <c r="LUC382" s="252"/>
      <c r="LUD382" s="252"/>
      <c r="LUE382" s="252"/>
      <c r="LUF382" s="252"/>
      <c r="LUG382" s="252"/>
      <c r="LUH382" s="252"/>
      <c r="LUI382" s="252"/>
      <c r="LUJ382" s="252"/>
      <c r="LUK382" s="252"/>
      <c r="LUL382" s="252"/>
      <c r="LUM382" s="252"/>
      <c r="LUN382" s="252"/>
      <c r="LUO382" s="252"/>
      <c r="LUP382" s="252"/>
      <c r="LUQ382" s="252"/>
      <c r="LUR382" s="252"/>
      <c r="LUS382" s="252"/>
      <c r="LUT382" s="252"/>
      <c r="LUU382" s="252"/>
      <c r="LUV382" s="252"/>
      <c r="LUW382" s="252"/>
      <c r="LUX382" s="252"/>
      <c r="LUY382" s="252"/>
      <c r="LUZ382" s="252"/>
      <c r="LVA382" s="252"/>
      <c r="LVB382" s="252"/>
      <c r="LVC382" s="252"/>
      <c r="LVD382" s="252"/>
      <c r="LVE382" s="252"/>
      <c r="LVF382" s="252"/>
      <c r="LVG382" s="252"/>
      <c r="LVH382" s="252"/>
      <c r="LVI382" s="252"/>
      <c r="LVJ382" s="252"/>
      <c r="LVK382" s="252"/>
      <c r="LVL382" s="252"/>
      <c r="LVM382" s="252"/>
      <c r="LVN382" s="252"/>
      <c r="LVO382" s="252"/>
      <c r="LVP382" s="252"/>
      <c r="LVQ382" s="252"/>
      <c r="LVR382" s="252"/>
      <c r="LVS382" s="252"/>
      <c r="LVT382" s="252"/>
      <c r="LVU382" s="252"/>
      <c r="LVV382" s="252"/>
      <c r="LVW382" s="252"/>
      <c r="LVX382" s="252"/>
      <c r="LVY382" s="252"/>
      <c r="LVZ382" s="252"/>
      <c r="LWA382" s="252"/>
      <c r="LWB382" s="252"/>
      <c r="LWC382" s="252"/>
      <c r="LWD382" s="252"/>
      <c r="LWE382" s="252"/>
      <c r="LWF382" s="252"/>
      <c r="LWG382" s="252"/>
      <c r="LWH382" s="252"/>
      <c r="LWI382" s="252"/>
      <c r="LWJ382" s="252"/>
      <c r="LWK382" s="252"/>
      <c r="LWL382" s="252"/>
      <c r="LWM382" s="252"/>
      <c r="LWN382" s="252"/>
      <c r="LWO382" s="252"/>
      <c r="LWP382" s="252"/>
      <c r="LWQ382" s="252"/>
      <c r="LWR382" s="252"/>
      <c r="LWS382" s="252"/>
      <c r="LWT382" s="252"/>
      <c r="LWU382" s="252"/>
      <c r="LWV382" s="252"/>
      <c r="LWW382" s="252"/>
      <c r="LWX382" s="252"/>
      <c r="LWY382" s="252"/>
      <c r="LWZ382" s="252"/>
      <c r="LXA382" s="252"/>
      <c r="LXB382" s="252"/>
      <c r="LXC382" s="252"/>
      <c r="LXD382" s="252"/>
      <c r="LXE382" s="252"/>
      <c r="LXF382" s="252"/>
      <c r="LXG382" s="252"/>
      <c r="LXH382" s="252"/>
      <c r="LXI382" s="252"/>
      <c r="LXJ382" s="252"/>
      <c r="LXK382" s="252"/>
      <c r="LXL382" s="252"/>
      <c r="LXM382" s="252"/>
      <c r="LXN382" s="252"/>
      <c r="LXO382" s="252"/>
      <c r="LXP382" s="252"/>
      <c r="LXQ382" s="252"/>
      <c r="LXR382" s="252"/>
      <c r="LXS382" s="252"/>
      <c r="LXT382" s="252"/>
      <c r="LXU382" s="252"/>
      <c r="LXV382" s="252"/>
      <c r="LXW382" s="252"/>
      <c r="LXX382" s="252"/>
      <c r="LXY382" s="252"/>
      <c r="LXZ382" s="252"/>
      <c r="LYA382" s="252"/>
      <c r="LYB382" s="252"/>
      <c r="LYC382" s="252"/>
      <c r="LYD382" s="252"/>
      <c r="LYE382" s="252"/>
      <c r="LYF382" s="252"/>
      <c r="LYG382" s="252"/>
      <c r="LYH382" s="252"/>
      <c r="LYI382" s="252"/>
      <c r="LYJ382" s="252"/>
      <c r="LYK382" s="252"/>
      <c r="LYL382" s="252"/>
      <c r="LYM382" s="252"/>
      <c r="LYN382" s="252"/>
      <c r="LYO382" s="252"/>
      <c r="LYP382" s="252"/>
      <c r="LYQ382" s="252"/>
      <c r="LYR382" s="252"/>
      <c r="LYS382" s="252"/>
      <c r="LYT382" s="252"/>
      <c r="LYU382" s="252"/>
      <c r="LYV382" s="252"/>
      <c r="LYW382" s="252"/>
      <c r="LYX382" s="252"/>
      <c r="LYY382" s="252"/>
      <c r="LYZ382" s="252"/>
      <c r="LZA382" s="252"/>
      <c r="LZB382" s="252"/>
      <c r="LZC382" s="252"/>
      <c r="LZD382" s="252"/>
      <c r="LZE382" s="252"/>
      <c r="LZF382" s="252"/>
      <c r="LZG382" s="252"/>
      <c r="LZH382" s="252"/>
      <c r="LZI382" s="252"/>
      <c r="LZJ382" s="252"/>
      <c r="LZK382" s="252"/>
      <c r="LZL382" s="252"/>
      <c r="LZM382" s="252"/>
      <c r="LZN382" s="252"/>
      <c r="LZO382" s="252"/>
      <c r="LZP382" s="252"/>
      <c r="LZQ382" s="252"/>
      <c r="LZR382" s="252"/>
      <c r="LZS382" s="252"/>
      <c r="LZT382" s="252"/>
      <c r="LZU382" s="252"/>
      <c r="LZV382" s="252"/>
      <c r="LZW382" s="252"/>
      <c r="LZX382" s="252"/>
      <c r="LZY382" s="252"/>
      <c r="LZZ382" s="252"/>
      <c r="MAA382" s="252"/>
      <c r="MAB382" s="252"/>
      <c r="MAC382" s="252"/>
      <c r="MAD382" s="252"/>
      <c r="MAE382" s="252"/>
      <c r="MAF382" s="252"/>
      <c r="MAG382" s="252"/>
      <c r="MAH382" s="252"/>
      <c r="MAI382" s="252"/>
      <c r="MAJ382" s="252"/>
      <c r="MAK382" s="252"/>
      <c r="MAL382" s="252"/>
      <c r="MAM382" s="252"/>
      <c r="MAN382" s="252"/>
      <c r="MAO382" s="252"/>
      <c r="MAP382" s="252"/>
      <c r="MAQ382" s="252"/>
      <c r="MAR382" s="252"/>
      <c r="MAS382" s="252"/>
      <c r="MAT382" s="252"/>
      <c r="MAU382" s="252"/>
      <c r="MAV382" s="252"/>
      <c r="MAW382" s="252"/>
      <c r="MAX382" s="252"/>
      <c r="MAY382" s="252"/>
      <c r="MAZ382" s="252"/>
      <c r="MBA382" s="252"/>
      <c r="MBB382" s="252"/>
      <c r="MBC382" s="252"/>
      <c r="MBD382" s="252"/>
      <c r="MBE382" s="252"/>
      <c r="MBF382" s="252"/>
      <c r="MBG382" s="252"/>
      <c r="MBH382" s="252"/>
      <c r="MBI382" s="252"/>
      <c r="MBJ382" s="252"/>
      <c r="MBK382" s="252"/>
      <c r="MBL382" s="252"/>
      <c r="MBM382" s="252"/>
      <c r="MBN382" s="252"/>
      <c r="MBO382" s="252"/>
      <c r="MBP382" s="252"/>
      <c r="MBQ382" s="252"/>
      <c r="MBR382" s="252"/>
      <c r="MBS382" s="252"/>
      <c r="MBT382" s="252"/>
      <c r="MBU382" s="252"/>
      <c r="MBV382" s="252"/>
      <c r="MBW382" s="252"/>
      <c r="MBX382" s="252"/>
      <c r="MBY382" s="252"/>
      <c r="MBZ382" s="252"/>
      <c r="MCA382" s="252"/>
      <c r="MCB382" s="252"/>
      <c r="MCC382" s="252"/>
      <c r="MCD382" s="252"/>
      <c r="MCE382" s="252"/>
      <c r="MCF382" s="252"/>
      <c r="MCG382" s="252"/>
      <c r="MCH382" s="252"/>
      <c r="MCI382" s="252"/>
      <c r="MCJ382" s="252"/>
      <c r="MCK382" s="252"/>
      <c r="MCL382" s="252"/>
      <c r="MCM382" s="252"/>
      <c r="MCN382" s="252"/>
      <c r="MCO382" s="252"/>
      <c r="MCP382" s="252"/>
      <c r="MCQ382" s="252"/>
      <c r="MCR382" s="252"/>
      <c r="MCS382" s="252"/>
      <c r="MCT382" s="252"/>
      <c r="MCU382" s="252"/>
      <c r="MCV382" s="252"/>
      <c r="MCW382" s="252"/>
      <c r="MCX382" s="252"/>
      <c r="MCY382" s="252"/>
      <c r="MCZ382" s="252"/>
      <c r="MDA382" s="252"/>
      <c r="MDB382" s="252"/>
      <c r="MDC382" s="252"/>
      <c r="MDD382" s="252"/>
      <c r="MDE382" s="252"/>
      <c r="MDF382" s="252"/>
      <c r="MDG382" s="252"/>
      <c r="MDH382" s="252"/>
      <c r="MDI382" s="252"/>
      <c r="MDJ382" s="252"/>
      <c r="MDK382" s="252"/>
      <c r="MDL382" s="252"/>
      <c r="MDM382" s="252"/>
      <c r="MDN382" s="252"/>
      <c r="MDO382" s="252"/>
      <c r="MDP382" s="252"/>
      <c r="MDQ382" s="252"/>
      <c r="MDR382" s="252"/>
      <c r="MDS382" s="252"/>
      <c r="MDT382" s="252"/>
      <c r="MDU382" s="252"/>
      <c r="MDV382" s="252"/>
      <c r="MDW382" s="252"/>
      <c r="MDX382" s="252"/>
      <c r="MDY382" s="252"/>
      <c r="MDZ382" s="252"/>
      <c r="MEA382" s="252"/>
      <c r="MEB382" s="252"/>
      <c r="MEC382" s="252"/>
      <c r="MED382" s="252"/>
      <c r="MEE382" s="252"/>
      <c r="MEF382" s="252"/>
      <c r="MEG382" s="252"/>
      <c r="MEH382" s="252"/>
      <c r="MEI382" s="252"/>
      <c r="MEJ382" s="252"/>
      <c r="MEK382" s="252"/>
      <c r="MEL382" s="252"/>
      <c r="MEM382" s="252"/>
      <c r="MEN382" s="252"/>
      <c r="MEO382" s="252"/>
      <c r="MEP382" s="252"/>
      <c r="MEQ382" s="252"/>
      <c r="MER382" s="252"/>
      <c r="MES382" s="252"/>
      <c r="MET382" s="252"/>
      <c r="MEU382" s="252"/>
      <c r="MEV382" s="252"/>
      <c r="MEW382" s="252"/>
      <c r="MEX382" s="252"/>
      <c r="MEY382" s="252"/>
      <c r="MEZ382" s="252"/>
      <c r="MFA382" s="252"/>
      <c r="MFB382" s="252"/>
      <c r="MFC382" s="252"/>
      <c r="MFD382" s="252"/>
      <c r="MFE382" s="252"/>
      <c r="MFF382" s="252"/>
      <c r="MFG382" s="252"/>
      <c r="MFH382" s="252"/>
      <c r="MFI382" s="252"/>
      <c r="MFJ382" s="252"/>
      <c r="MFK382" s="252"/>
      <c r="MFL382" s="252"/>
      <c r="MFM382" s="252"/>
      <c r="MFN382" s="252"/>
      <c r="MFO382" s="252"/>
      <c r="MFP382" s="252"/>
      <c r="MFQ382" s="252"/>
      <c r="MFR382" s="252"/>
      <c r="MFS382" s="252"/>
      <c r="MFT382" s="252"/>
      <c r="MFU382" s="252"/>
      <c r="MFV382" s="252"/>
      <c r="MFW382" s="252"/>
      <c r="MFX382" s="252"/>
      <c r="MFY382" s="252"/>
      <c r="MFZ382" s="252"/>
      <c r="MGA382" s="252"/>
      <c r="MGB382" s="252"/>
      <c r="MGC382" s="252"/>
      <c r="MGD382" s="252"/>
      <c r="MGE382" s="252"/>
      <c r="MGF382" s="252"/>
      <c r="MGG382" s="252"/>
      <c r="MGH382" s="252"/>
      <c r="MGI382" s="252"/>
      <c r="MGJ382" s="252"/>
      <c r="MGK382" s="252"/>
      <c r="MGL382" s="252"/>
      <c r="MGM382" s="252"/>
      <c r="MGN382" s="252"/>
      <c r="MGO382" s="252"/>
      <c r="MGP382" s="252"/>
      <c r="MGQ382" s="252"/>
      <c r="MGR382" s="252"/>
      <c r="MGS382" s="252"/>
      <c r="MGT382" s="252"/>
      <c r="MGU382" s="252"/>
      <c r="MGV382" s="252"/>
      <c r="MGW382" s="252"/>
      <c r="MGX382" s="252"/>
      <c r="MGY382" s="252"/>
      <c r="MGZ382" s="252"/>
      <c r="MHA382" s="252"/>
      <c r="MHB382" s="252"/>
      <c r="MHC382" s="252"/>
      <c r="MHD382" s="252"/>
      <c r="MHE382" s="252"/>
      <c r="MHF382" s="252"/>
      <c r="MHG382" s="252"/>
      <c r="MHH382" s="252"/>
      <c r="MHI382" s="252"/>
      <c r="MHJ382" s="252"/>
      <c r="MHK382" s="252"/>
      <c r="MHL382" s="252"/>
      <c r="MHM382" s="252"/>
      <c r="MHN382" s="252"/>
      <c r="MHO382" s="252"/>
      <c r="MHP382" s="252"/>
      <c r="MHQ382" s="252"/>
      <c r="MHR382" s="252"/>
      <c r="MHS382" s="252"/>
      <c r="MHT382" s="252"/>
      <c r="MHU382" s="252"/>
      <c r="MHV382" s="252"/>
      <c r="MHW382" s="252"/>
      <c r="MHX382" s="252"/>
      <c r="MHY382" s="252"/>
      <c r="MHZ382" s="252"/>
      <c r="MIA382" s="252"/>
      <c r="MIB382" s="252"/>
      <c r="MIC382" s="252"/>
      <c r="MID382" s="252"/>
      <c r="MIE382" s="252"/>
      <c r="MIF382" s="252"/>
      <c r="MIG382" s="252"/>
      <c r="MIH382" s="252"/>
      <c r="MII382" s="252"/>
      <c r="MIJ382" s="252"/>
      <c r="MIK382" s="252"/>
      <c r="MIL382" s="252"/>
      <c r="MIM382" s="252"/>
      <c r="MIN382" s="252"/>
      <c r="MIO382" s="252"/>
      <c r="MIP382" s="252"/>
      <c r="MIQ382" s="252"/>
      <c r="MIR382" s="252"/>
      <c r="MIS382" s="252"/>
      <c r="MIT382" s="252"/>
      <c r="MIU382" s="252"/>
      <c r="MIV382" s="252"/>
      <c r="MIW382" s="252"/>
      <c r="MIX382" s="252"/>
      <c r="MIY382" s="252"/>
      <c r="MIZ382" s="252"/>
      <c r="MJA382" s="252"/>
      <c r="MJB382" s="252"/>
      <c r="MJC382" s="252"/>
      <c r="MJD382" s="252"/>
      <c r="MJE382" s="252"/>
      <c r="MJF382" s="252"/>
      <c r="MJG382" s="252"/>
      <c r="MJH382" s="252"/>
      <c r="MJI382" s="252"/>
      <c r="MJJ382" s="252"/>
      <c r="MJK382" s="252"/>
      <c r="MJL382" s="252"/>
      <c r="MJM382" s="252"/>
      <c r="MJN382" s="252"/>
      <c r="MJO382" s="252"/>
      <c r="MJP382" s="252"/>
      <c r="MJQ382" s="252"/>
      <c r="MJR382" s="252"/>
      <c r="MJS382" s="252"/>
      <c r="MJT382" s="252"/>
      <c r="MJU382" s="252"/>
      <c r="MJV382" s="252"/>
      <c r="MJW382" s="252"/>
      <c r="MJX382" s="252"/>
      <c r="MJY382" s="252"/>
      <c r="MJZ382" s="252"/>
      <c r="MKA382" s="252"/>
      <c r="MKB382" s="252"/>
      <c r="MKC382" s="252"/>
      <c r="MKD382" s="252"/>
      <c r="MKE382" s="252"/>
      <c r="MKF382" s="252"/>
      <c r="MKG382" s="252"/>
      <c r="MKH382" s="252"/>
      <c r="MKI382" s="252"/>
      <c r="MKJ382" s="252"/>
      <c r="MKK382" s="252"/>
      <c r="MKL382" s="252"/>
      <c r="MKM382" s="252"/>
      <c r="MKN382" s="252"/>
      <c r="MKO382" s="252"/>
      <c r="MKP382" s="252"/>
      <c r="MKQ382" s="252"/>
      <c r="MKR382" s="252"/>
      <c r="MKS382" s="252"/>
      <c r="MKT382" s="252"/>
      <c r="MKU382" s="252"/>
      <c r="MKV382" s="252"/>
      <c r="MKW382" s="252"/>
      <c r="MKX382" s="252"/>
      <c r="MKY382" s="252"/>
      <c r="MKZ382" s="252"/>
      <c r="MLA382" s="252"/>
      <c r="MLB382" s="252"/>
      <c r="MLC382" s="252"/>
      <c r="MLD382" s="252"/>
      <c r="MLE382" s="252"/>
      <c r="MLF382" s="252"/>
      <c r="MLG382" s="252"/>
      <c r="MLH382" s="252"/>
      <c r="MLI382" s="252"/>
      <c r="MLJ382" s="252"/>
      <c r="MLK382" s="252"/>
      <c r="MLL382" s="252"/>
      <c r="MLM382" s="252"/>
      <c r="MLN382" s="252"/>
      <c r="MLO382" s="252"/>
      <c r="MLP382" s="252"/>
      <c r="MLQ382" s="252"/>
      <c r="MLR382" s="252"/>
      <c r="MLS382" s="252"/>
      <c r="MLT382" s="252"/>
      <c r="MLU382" s="252"/>
      <c r="MLV382" s="252"/>
      <c r="MLW382" s="252"/>
      <c r="MLX382" s="252"/>
      <c r="MLY382" s="252"/>
      <c r="MLZ382" s="252"/>
      <c r="MMA382" s="252"/>
      <c r="MMB382" s="252"/>
      <c r="MMC382" s="252"/>
      <c r="MMD382" s="252"/>
      <c r="MME382" s="252"/>
      <c r="MMF382" s="252"/>
      <c r="MMG382" s="252"/>
      <c r="MMH382" s="252"/>
      <c r="MMI382" s="252"/>
      <c r="MMJ382" s="252"/>
      <c r="MMK382" s="252"/>
      <c r="MML382" s="252"/>
      <c r="MMM382" s="252"/>
      <c r="MMN382" s="252"/>
      <c r="MMO382" s="252"/>
      <c r="MMP382" s="252"/>
      <c r="MMQ382" s="252"/>
      <c r="MMR382" s="252"/>
      <c r="MMS382" s="252"/>
      <c r="MMT382" s="252"/>
      <c r="MMU382" s="252"/>
      <c r="MMV382" s="252"/>
      <c r="MMW382" s="252"/>
      <c r="MMX382" s="252"/>
      <c r="MMY382" s="252"/>
      <c r="MMZ382" s="252"/>
      <c r="MNA382" s="252"/>
      <c r="MNB382" s="252"/>
      <c r="MNC382" s="252"/>
      <c r="MND382" s="252"/>
      <c r="MNE382" s="252"/>
      <c r="MNF382" s="252"/>
      <c r="MNG382" s="252"/>
      <c r="MNH382" s="252"/>
      <c r="MNI382" s="252"/>
      <c r="MNJ382" s="252"/>
      <c r="MNK382" s="252"/>
      <c r="MNL382" s="252"/>
      <c r="MNM382" s="252"/>
      <c r="MNN382" s="252"/>
      <c r="MNO382" s="252"/>
      <c r="MNP382" s="252"/>
      <c r="MNQ382" s="252"/>
      <c r="MNR382" s="252"/>
      <c r="MNS382" s="252"/>
      <c r="MNT382" s="252"/>
      <c r="MNU382" s="252"/>
      <c r="MNV382" s="252"/>
      <c r="MNW382" s="252"/>
      <c r="MNX382" s="252"/>
      <c r="MNY382" s="252"/>
      <c r="MNZ382" s="252"/>
      <c r="MOA382" s="252"/>
      <c r="MOB382" s="252"/>
      <c r="MOC382" s="252"/>
      <c r="MOD382" s="252"/>
      <c r="MOE382" s="252"/>
      <c r="MOF382" s="252"/>
      <c r="MOG382" s="252"/>
      <c r="MOH382" s="252"/>
      <c r="MOI382" s="252"/>
      <c r="MOJ382" s="252"/>
      <c r="MOK382" s="252"/>
      <c r="MOL382" s="252"/>
      <c r="MOM382" s="252"/>
      <c r="MON382" s="252"/>
      <c r="MOO382" s="252"/>
      <c r="MOP382" s="252"/>
      <c r="MOQ382" s="252"/>
      <c r="MOR382" s="252"/>
      <c r="MOS382" s="252"/>
      <c r="MOT382" s="252"/>
      <c r="MOU382" s="252"/>
      <c r="MOV382" s="252"/>
      <c r="MOW382" s="252"/>
      <c r="MOX382" s="252"/>
      <c r="MOY382" s="252"/>
      <c r="MOZ382" s="252"/>
      <c r="MPA382" s="252"/>
      <c r="MPB382" s="252"/>
      <c r="MPC382" s="252"/>
      <c r="MPD382" s="252"/>
      <c r="MPE382" s="252"/>
      <c r="MPF382" s="252"/>
      <c r="MPG382" s="252"/>
      <c r="MPH382" s="252"/>
      <c r="MPI382" s="252"/>
      <c r="MPJ382" s="252"/>
      <c r="MPK382" s="252"/>
      <c r="MPL382" s="252"/>
      <c r="MPM382" s="252"/>
      <c r="MPN382" s="252"/>
      <c r="MPO382" s="252"/>
      <c r="MPP382" s="252"/>
      <c r="MPQ382" s="252"/>
      <c r="MPR382" s="252"/>
      <c r="MPS382" s="252"/>
      <c r="MPT382" s="252"/>
      <c r="MPU382" s="252"/>
      <c r="MPV382" s="252"/>
      <c r="MPW382" s="252"/>
      <c r="MPX382" s="252"/>
      <c r="MPY382" s="252"/>
      <c r="MPZ382" s="252"/>
      <c r="MQA382" s="252"/>
      <c r="MQB382" s="252"/>
      <c r="MQC382" s="252"/>
      <c r="MQD382" s="252"/>
      <c r="MQE382" s="252"/>
      <c r="MQF382" s="252"/>
      <c r="MQG382" s="252"/>
      <c r="MQH382" s="252"/>
      <c r="MQI382" s="252"/>
      <c r="MQJ382" s="252"/>
      <c r="MQK382" s="252"/>
      <c r="MQL382" s="252"/>
      <c r="MQM382" s="252"/>
      <c r="MQN382" s="252"/>
      <c r="MQO382" s="252"/>
      <c r="MQP382" s="252"/>
      <c r="MQQ382" s="252"/>
      <c r="MQR382" s="252"/>
      <c r="MQS382" s="252"/>
      <c r="MQT382" s="252"/>
      <c r="MQU382" s="252"/>
      <c r="MQV382" s="252"/>
      <c r="MQW382" s="252"/>
      <c r="MQX382" s="252"/>
      <c r="MQY382" s="252"/>
      <c r="MQZ382" s="252"/>
      <c r="MRA382" s="252"/>
      <c r="MRB382" s="252"/>
      <c r="MRC382" s="252"/>
      <c r="MRD382" s="252"/>
      <c r="MRE382" s="252"/>
      <c r="MRF382" s="252"/>
      <c r="MRG382" s="252"/>
      <c r="MRH382" s="252"/>
      <c r="MRI382" s="252"/>
      <c r="MRJ382" s="252"/>
      <c r="MRK382" s="252"/>
      <c r="MRL382" s="252"/>
      <c r="MRM382" s="252"/>
      <c r="MRN382" s="252"/>
      <c r="MRO382" s="252"/>
      <c r="MRP382" s="252"/>
      <c r="MRQ382" s="252"/>
      <c r="MRR382" s="252"/>
      <c r="MRS382" s="252"/>
      <c r="MRT382" s="252"/>
      <c r="MRU382" s="252"/>
      <c r="MRV382" s="252"/>
      <c r="MRW382" s="252"/>
      <c r="MRX382" s="252"/>
      <c r="MRY382" s="252"/>
      <c r="MRZ382" s="252"/>
      <c r="MSA382" s="252"/>
      <c r="MSB382" s="252"/>
      <c r="MSC382" s="252"/>
      <c r="MSD382" s="252"/>
      <c r="MSE382" s="252"/>
      <c r="MSF382" s="252"/>
      <c r="MSG382" s="252"/>
      <c r="MSH382" s="252"/>
      <c r="MSI382" s="252"/>
      <c r="MSJ382" s="252"/>
      <c r="MSK382" s="252"/>
      <c r="MSL382" s="252"/>
      <c r="MSM382" s="252"/>
      <c r="MSN382" s="252"/>
      <c r="MSO382" s="252"/>
      <c r="MSP382" s="252"/>
      <c r="MSQ382" s="252"/>
      <c r="MSR382" s="252"/>
      <c r="MSS382" s="252"/>
      <c r="MST382" s="252"/>
      <c r="MSU382" s="252"/>
      <c r="MSV382" s="252"/>
      <c r="MSW382" s="252"/>
      <c r="MSX382" s="252"/>
      <c r="MSY382" s="252"/>
      <c r="MSZ382" s="252"/>
      <c r="MTA382" s="252"/>
      <c r="MTB382" s="252"/>
      <c r="MTC382" s="252"/>
      <c r="MTD382" s="252"/>
      <c r="MTE382" s="252"/>
      <c r="MTF382" s="252"/>
      <c r="MTG382" s="252"/>
      <c r="MTH382" s="252"/>
      <c r="MTI382" s="252"/>
      <c r="MTJ382" s="252"/>
      <c r="MTK382" s="252"/>
      <c r="MTL382" s="252"/>
      <c r="MTM382" s="252"/>
      <c r="MTN382" s="252"/>
      <c r="MTO382" s="252"/>
      <c r="MTP382" s="252"/>
      <c r="MTQ382" s="252"/>
      <c r="MTR382" s="252"/>
      <c r="MTS382" s="252"/>
      <c r="MTT382" s="252"/>
      <c r="MTU382" s="252"/>
      <c r="MTV382" s="252"/>
      <c r="MTW382" s="252"/>
      <c r="MTX382" s="252"/>
      <c r="MTY382" s="252"/>
      <c r="MTZ382" s="252"/>
      <c r="MUA382" s="252"/>
      <c r="MUB382" s="252"/>
      <c r="MUC382" s="252"/>
      <c r="MUD382" s="252"/>
      <c r="MUE382" s="252"/>
      <c r="MUF382" s="252"/>
      <c r="MUG382" s="252"/>
      <c r="MUH382" s="252"/>
      <c r="MUI382" s="252"/>
      <c r="MUJ382" s="252"/>
      <c r="MUK382" s="252"/>
      <c r="MUL382" s="252"/>
      <c r="MUM382" s="252"/>
      <c r="MUN382" s="252"/>
      <c r="MUO382" s="252"/>
      <c r="MUP382" s="252"/>
      <c r="MUQ382" s="252"/>
      <c r="MUR382" s="252"/>
      <c r="MUS382" s="252"/>
      <c r="MUT382" s="252"/>
      <c r="MUU382" s="252"/>
      <c r="MUV382" s="252"/>
      <c r="MUW382" s="252"/>
      <c r="MUX382" s="252"/>
      <c r="MUY382" s="252"/>
      <c r="MUZ382" s="252"/>
      <c r="MVA382" s="252"/>
      <c r="MVB382" s="252"/>
      <c r="MVC382" s="252"/>
      <c r="MVD382" s="252"/>
      <c r="MVE382" s="252"/>
      <c r="MVF382" s="252"/>
      <c r="MVG382" s="252"/>
      <c r="MVH382" s="252"/>
      <c r="MVI382" s="252"/>
      <c r="MVJ382" s="252"/>
      <c r="MVK382" s="252"/>
      <c r="MVL382" s="252"/>
      <c r="MVM382" s="252"/>
      <c r="MVN382" s="252"/>
      <c r="MVO382" s="252"/>
      <c r="MVP382" s="252"/>
      <c r="MVQ382" s="252"/>
      <c r="MVR382" s="252"/>
      <c r="MVS382" s="252"/>
      <c r="MVT382" s="252"/>
      <c r="MVU382" s="252"/>
      <c r="MVV382" s="252"/>
      <c r="MVW382" s="252"/>
      <c r="MVX382" s="252"/>
      <c r="MVY382" s="252"/>
      <c r="MVZ382" s="252"/>
      <c r="MWA382" s="252"/>
      <c r="MWB382" s="252"/>
      <c r="MWC382" s="252"/>
      <c r="MWD382" s="252"/>
      <c r="MWE382" s="252"/>
      <c r="MWF382" s="252"/>
      <c r="MWG382" s="252"/>
      <c r="MWH382" s="252"/>
      <c r="MWI382" s="252"/>
      <c r="MWJ382" s="252"/>
      <c r="MWK382" s="252"/>
      <c r="MWL382" s="252"/>
      <c r="MWM382" s="252"/>
      <c r="MWN382" s="252"/>
      <c r="MWO382" s="252"/>
      <c r="MWP382" s="252"/>
      <c r="MWQ382" s="252"/>
      <c r="MWR382" s="252"/>
      <c r="MWS382" s="252"/>
      <c r="MWT382" s="252"/>
      <c r="MWU382" s="252"/>
      <c r="MWV382" s="252"/>
      <c r="MWW382" s="252"/>
      <c r="MWX382" s="252"/>
      <c r="MWY382" s="252"/>
      <c r="MWZ382" s="252"/>
      <c r="MXA382" s="252"/>
      <c r="MXB382" s="252"/>
      <c r="MXC382" s="252"/>
      <c r="MXD382" s="252"/>
      <c r="MXE382" s="252"/>
      <c r="MXF382" s="252"/>
      <c r="MXG382" s="252"/>
      <c r="MXH382" s="252"/>
      <c r="MXI382" s="252"/>
      <c r="MXJ382" s="252"/>
      <c r="MXK382" s="252"/>
      <c r="MXL382" s="252"/>
      <c r="MXM382" s="252"/>
      <c r="MXN382" s="252"/>
      <c r="MXO382" s="252"/>
      <c r="MXP382" s="252"/>
      <c r="MXQ382" s="252"/>
      <c r="MXR382" s="252"/>
      <c r="MXS382" s="252"/>
      <c r="MXT382" s="252"/>
      <c r="MXU382" s="252"/>
      <c r="MXV382" s="252"/>
      <c r="MXW382" s="252"/>
      <c r="MXX382" s="252"/>
      <c r="MXY382" s="252"/>
      <c r="MXZ382" s="252"/>
      <c r="MYA382" s="252"/>
      <c r="MYB382" s="252"/>
      <c r="MYC382" s="252"/>
      <c r="MYD382" s="252"/>
      <c r="MYE382" s="252"/>
      <c r="MYF382" s="252"/>
      <c r="MYG382" s="252"/>
      <c r="MYH382" s="252"/>
      <c r="MYI382" s="252"/>
      <c r="MYJ382" s="252"/>
      <c r="MYK382" s="252"/>
      <c r="MYL382" s="252"/>
      <c r="MYM382" s="252"/>
      <c r="MYN382" s="252"/>
      <c r="MYO382" s="252"/>
      <c r="MYP382" s="252"/>
      <c r="MYQ382" s="252"/>
      <c r="MYR382" s="252"/>
      <c r="MYS382" s="252"/>
      <c r="MYT382" s="252"/>
      <c r="MYU382" s="252"/>
      <c r="MYV382" s="252"/>
      <c r="MYW382" s="252"/>
      <c r="MYX382" s="252"/>
      <c r="MYY382" s="252"/>
      <c r="MYZ382" s="252"/>
      <c r="MZA382" s="252"/>
      <c r="MZB382" s="252"/>
      <c r="MZC382" s="252"/>
      <c r="MZD382" s="252"/>
      <c r="MZE382" s="252"/>
      <c r="MZF382" s="252"/>
      <c r="MZG382" s="252"/>
      <c r="MZH382" s="252"/>
      <c r="MZI382" s="252"/>
      <c r="MZJ382" s="252"/>
      <c r="MZK382" s="252"/>
      <c r="MZL382" s="252"/>
      <c r="MZM382" s="252"/>
      <c r="MZN382" s="252"/>
      <c r="MZO382" s="252"/>
      <c r="MZP382" s="252"/>
      <c r="MZQ382" s="252"/>
      <c r="MZR382" s="252"/>
      <c r="MZS382" s="252"/>
      <c r="MZT382" s="252"/>
      <c r="MZU382" s="252"/>
      <c r="MZV382" s="252"/>
      <c r="MZW382" s="252"/>
      <c r="MZX382" s="252"/>
      <c r="MZY382" s="252"/>
      <c r="MZZ382" s="252"/>
      <c r="NAA382" s="252"/>
      <c r="NAB382" s="252"/>
      <c r="NAC382" s="252"/>
      <c r="NAD382" s="252"/>
      <c r="NAE382" s="252"/>
      <c r="NAF382" s="252"/>
      <c r="NAG382" s="252"/>
      <c r="NAH382" s="252"/>
      <c r="NAI382" s="252"/>
      <c r="NAJ382" s="252"/>
      <c r="NAK382" s="252"/>
      <c r="NAL382" s="252"/>
      <c r="NAM382" s="252"/>
      <c r="NAN382" s="252"/>
      <c r="NAO382" s="252"/>
      <c r="NAP382" s="252"/>
      <c r="NAQ382" s="252"/>
      <c r="NAR382" s="252"/>
      <c r="NAS382" s="252"/>
      <c r="NAT382" s="252"/>
      <c r="NAU382" s="252"/>
      <c r="NAV382" s="252"/>
      <c r="NAW382" s="252"/>
      <c r="NAX382" s="252"/>
      <c r="NAY382" s="252"/>
      <c r="NAZ382" s="252"/>
      <c r="NBA382" s="252"/>
      <c r="NBB382" s="252"/>
      <c r="NBC382" s="252"/>
      <c r="NBD382" s="252"/>
      <c r="NBE382" s="252"/>
      <c r="NBF382" s="252"/>
      <c r="NBG382" s="252"/>
      <c r="NBH382" s="252"/>
      <c r="NBI382" s="252"/>
      <c r="NBJ382" s="252"/>
      <c r="NBK382" s="252"/>
      <c r="NBL382" s="252"/>
      <c r="NBM382" s="252"/>
      <c r="NBN382" s="252"/>
      <c r="NBO382" s="252"/>
      <c r="NBP382" s="252"/>
      <c r="NBQ382" s="252"/>
      <c r="NBR382" s="252"/>
      <c r="NBS382" s="252"/>
      <c r="NBT382" s="252"/>
      <c r="NBU382" s="252"/>
      <c r="NBV382" s="252"/>
      <c r="NBW382" s="252"/>
      <c r="NBX382" s="252"/>
      <c r="NBY382" s="252"/>
      <c r="NBZ382" s="252"/>
      <c r="NCA382" s="252"/>
      <c r="NCB382" s="252"/>
      <c r="NCC382" s="252"/>
      <c r="NCD382" s="252"/>
      <c r="NCE382" s="252"/>
      <c r="NCF382" s="252"/>
      <c r="NCG382" s="252"/>
      <c r="NCH382" s="252"/>
      <c r="NCI382" s="252"/>
      <c r="NCJ382" s="252"/>
      <c r="NCK382" s="252"/>
      <c r="NCL382" s="252"/>
      <c r="NCM382" s="252"/>
      <c r="NCN382" s="252"/>
      <c r="NCO382" s="252"/>
      <c r="NCP382" s="252"/>
      <c r="NCQ382" s="252"/>
      <c r="NCR382" s="252"/>
      <c r="NCS382" s="252"/>
      <c r="NCT382" s="252"/>
      <c r="NCU382" s="252"/>
      <c r="NCV382" s="252"/>
      <c r="NCW382" s="252"/>
      <c r="NCX382" s="252"/>
      <c r="NCY382" s="252"/>
      <c r="NCZ382" s="252"/>
      <c r="NDA382" s="252"/>
      <c r="NDB382" s="252"/>
      <c r="NDC382" s="252"/>
      <c r="NDD382" s="252"/>
      <c r="NDE382" s="252"/>
      <c r="NDF382" s="252"/>
      <c r="NDG382" s="252"/>
      <c r="NDH382" s="252"/>
      <c r="NDI382" s="252"/>
      <c r="NDJ382" s="252"/>
      <c r="NDK382" s="252"/>
      <c r="NDL382" s="252"/>
      <c r="NDM382" s="252"/>
      <c r="NDN382" s="252"/>
      <c r="NDO382" s="252"/>
      <c r="NDP382" s="252"/>
      <c r="NDQ382" s="252"/>
      <c r="NDR382" s="252"/>
      <c r="NDS382" s="252"/>
      <c r="NDT382" s="252"/>
      <c r="NDU382" s="252"/>
      <c r="NDV382" s="252"/>
      <c r="NDW382" s="252"/>
      <c r="NDX382" s="252"/>
      <c r="NDY382" s="252"/>
      <c r="NDZ382" s="252"/>
      <c r="NEA382" s="252"/>
      <c r="NEB382" s="252"/>
      <c r="NEC382" s="252"/>
      <c r="NED382" s="252"/>
      <c r="NEE382" s="252"/>
      <c r="NEF382" s="252"/>
      <c r="NEG382" s="252"/>
      <c r="NEH382" s="252"/>
      <c r="NEI382" s="252"/>
      <c r="NEJ382" s="252"/>
      <c r="NEK382" s="252"/>
      <c r="NEL382" s="252"/>
      <c r="NEM382" s="252"/>
      <c r="NEN382" s="252"/>
      <c r="NEO382" s="252"/>
      <c r="NEP382" s="252"/>
      <c r="NEQ382" s="252"/>
      <c r="NER382" s="252"/>
      <c r="NES382" s="252"/>
      <c r="NET382" s="252"/>
      <c r="NEU382" s="252"/>
      <c r="NEV382" s="252"/>
      <c r="NEW382" s="252"/>
      <c r="NEX382" s="252"/>
      <c r="NEY382" s="252"/>
      <c r="NEZ382" s="252"/>
      <c r="NFA382" s="252"/>
      <c r="NFB382" s="252"/>
      <c r="NFC382" s="252"/>
      <c r="NFD382" s="252"/>
      <c r="NFE382" s="252"/>
      <c r="NFF382" s="252"/>
      <c r="NFG382" s="252"/>
      <c r="NFH382" s="252"/>
      <c r="NFI382" s="252"/>
      <c r="NFJ382" s="252"/>
      <c r="NFK382" s="252"/>
      <c r="NFL382" s="252"/>
      <c r="NFM382" s="252"/>
      <c r="NFN382" s="252"/>
      <c r="NFO382" s="252"/>
      <c r="NFP382" s="252"/>
      <c r="NFQ382" s="252"/>
      <c r="NFR382" s="252"/>
      <c r="NFS382" s="252"/>
      <c r="NFT382" s="252"/>
      <c r="NFU382" s="252"/>
      <c r="NFV382" s="252"/>
      <c r="NFW382" s="252"/>
      <c r="NFX382" s="252"/>
      <c r="NFY382" s="252"/>
      <c r="NFZ382" s="252"/>
      <c r="NGA382" s="252"/>
      <c r="NGB382" s="252"/>
      <c r="NGC382" s="252"/>
      <c r="NGD382" s="252"/>
      <c r="NGE382" s="252"/>
      <c r="NGF382" s="252"/>
      <c r="NGG382" s="252"/>
      <c r="NGH382" s="252"/>
      <c r="NGI382" s="252"/>
      <c r="NGJ382" s="252"/>
      <c r="NGK382" s="252"/>
      <c r="NGL382" s="252"/>
      <c r="NGM382" s="252"/>
      <c r="NGN382" s="252"/>
      <c r="NGO382" s="252"/>
      <c r="NGP382" s="252"/>
      <c r="NGQ382" s="252"/>
      <c r="NGR382" s="252"/>
      <c r="NGS382" s="252"/>
      <c r="NGT382" s="252"/>
      <c r="NGU382" s="252"/>
      <c r="NGV382" s="252"/>
      <c r="NGW382" s="252"/>
      <c r="NGX382" s="252"/>
      <c r="NGY382" s="252"/>
      <c r="NGZ382" s="252"/>
      <c r="NHA382" s="252"/>
      <c r="NHB382" s="252"/>
      <c r="NHC382" s="252"/>
      <c r="NHD382" s="252"/>
      <c r="NHE382" s="252"/>
      <c r="NHF382" s="252"/>
      <c r="NHG382" s="252"/>
      <c r="NHH382" s="252"/>
      <c r="NHI382" s="252"/>
      <c r="NHJ382" s="252"/>
      <c r="NHK382" s="252"/>
      <c r="NHL382" s="252"/>
      <c r="NHM382" s="252"/>
      <c r="NHN382" s="252"/>
      <c r="NHO382" s="252"/>
      <c r="NHP382" s="252"/>
      <c r="NHQ382" s="252"/>
      <c r="NHR382" s="252"/>
      <c r="NHS382" s="252"/>
      <c r="NHT382" s="252"/>
      <c r="NHU382" s="252"/>
      <c r="NHV382" s="252"/>
      <c r="NHW382" s="252"/>
      <c r="NHX382" s="252"/>
      <c r="NHY382" s="252"/>
      <c r="NHZ382" s="252"/>
      <c r="NIA382" s="252"/>
      <c r="NIB382" s="252"/>
      <c r="NIC382" s="252"/>
      <c r="NID382" s="252"/>
      <c r="NIE382" s="252"/>
      <c r="NIF382" s="252"/>
      <c r="NIG382" s="252"/>
      <c r="NIH382" s="252"/>
      <c r="NII382" s="252"/>
      <c r="NIJ382" s="252"/>
      <c r="NIK382" s="252"/>
      <c r="NIL382" s="252"/>
      <c r="NIM382" s="252"/>
      <c r="NIN382" s="252"/>
      <c r="NIO382" s="252"/>
      <c r="NIP382" s="252"/>
      <c r="NIQ382" s="252"/>
      <c r="NIR382" s="252"/>
      <c r="NIS382" s="252"/>
      <c r="NIT382" s="252"/>
      <c r="NIU382" s="252"/>
      <c r="NIV382" s="252"/>
      <c r="NIW382" s="252"/>
      <c r="NIX382" s="252"/>
      <c r="NIY382" s="252"/>
      <c r="NIZ382" s="252"/>
      <c r="NJA382" s="252"/>
      <c r="NJB382" s="252"/>
      <c r="NJC382" s="252"/>
      <c r="NJD382" s="252"/>
      <c r="NJE382" s="252"/>
      <c r="NJF382" s="252"/>
      <c r="NJG382" s="252"/>
      <c r="NJH382" s="252"/>
      <c r="NJI382" s="252"/>
      <c r="NJJ382" s="252"/>
      <c r="NJK382" s="252"/>
      <c r="NJL382" s="252"/>
      <c r="NJM382" s="252"/>
      <c r="NJN382" s="252"/>
      <c r="NJO382" s="252"/>
      <c r="NJP382" s="252"/>
      <c r="NJQ382" s="252"/>
      <c r="NJR382" s="252"/>
      <c r="NJS382" s="252"/>
      <c r="NJT382" s="252"/>
      <c r="NJU382" s="252"/>
      <c r="NJV382" s="252"/>
      <c r="NJW382" s="252"/>
      <c r="NJX382" s="252"/>
      <c r="NJY382" s="252"/>
      <c r="NJZ382" s="252"/>
      <c r="NKA382" s="252"/>
      <c r="NKB382" s="252"/>
      <c r="NKC382" s="252"/>
      <c r="NKD382" s="252"/>
      <c r="NKE382" s="252"/>
      <c r="NKF382" s="252"/>
      <c r="NKG382" s="252"/>
      <c r="NKH382" s="252"/>
      <c r="NKI382" s="252"/>
      <c r="NKJ382" s="252"/>
      <c r="NKK382" s="252"/>
      <c r="NKL382" s="252"/>
      <c r="NKM382" s="252"/>
      <c r="NKN382" s="252"/>
      <c r="NKO382" s="252"/>
      <c r="NKP382" s="252"/>
      <c r="NKQ382" s="252"/>
      <c r="NKR382" s="252"/>
      <c r="NKS382" s="252"/>
      <c r="NKT382" s="252"/>
      <c r="NKU382" s="252"/>
      <c r="NKV382" s="252"/>
      <c r="NKW382" s="252"/>
      <c r="NKX382" s="252"/>
      <c r="NKY382" s="252"/>
      <c r="NKZ382" s="252"/>
      <c r="NLA382" s="252"/>
      <c r="NLB382" s="252"/>
      <c r="NLC382" s="252"/>
      <c r="NLD382" s="252"/>
      <c r="NLE382" s="252"/>
      <c r="NLF382" s="252"/>
      <c r="NLG382" s="252"/>
      <c r="NLH382" s="252"/>
      <c r="NLI382" s="252"/>
      <c r="NLJ382" s="252"/>
      <c r="NLK382" s="252"/>
      <c r="NLL382" s="252"/>
      <c r="NLM382" s="252"/>
      <c r="NLN382" s="252"/>
      <c r="NLO382" s="252"/>
      <c r="NLP382" s="252"/>
      <c r="NLQ382" s="252"/>
      <c r="NLR382" s="252"/>
      <c r="NLS382" s="252"/>
      <c r="NLT382" s="252"/>
      <c r="NLU382" s="252"/>
      <c r="NLV382" s="252"/>
      <c r="NLW382" s="252"/>
      <c r="NLX382" s="252"/>
      <c r="NLY382" s="252"/>
      <c r="NLZ382" s="252"/>
      <c r="NMA382" s="252"/>
      <c r="NMB382" s="252"/>
      <c r="NMC382" s="252"/>
      <c r="NMD382" s="252"/>
      <c r="NME382" s="252"/>
      <c r="NMF382" s="252"/>
      <c r="NMG382" s="252"/>
      <c r="NMH382" s="252"/>
      <c r="NMI382" s="252"/>
      <c r="NMJ382" s="252"/>
      <c r="NMK382" s="252"/>
      <c r="NML382" s="252"/>
      <c r="NMM382" s="252"/>
      <c r="NMN382" s="252"/>
      <c r="NMO382" s="252"/>
      <c r="NMP382" s="252"/>
      <c r="NMQ382" s="252"/>
      <c r="NMR382" s="252"/>
      <c r="NMS382" s="252"/>
      <c r="NMT382" s="252"/>
      <c r="NMU382" s="252"/>
      <c r="NMV382" s="252"/>
      <c r="NMW382" s="252"/>
      <c r="NMX382" s="252"/>
      <c r="NMY382" s="252"/>
      <c r="NMZ382" s="252"/>
      <c r="NNA382" s="252"/>
      <c r="NNB382" s="252"/>
      <c r="NNC382" s="252"/>
      <c r="NND382" s="252"/>
      <c r="NNE382" s="252"/>
      <c r="NNF382" s="252"/>
      <c r="NNG382" s="252"/>
      <c r="NNH382" s="252"/>
      <c r="NNI382" s="252"/>
      <c r="NNJ382" s="252"/>
      <c r="NNK382" s="252"/>
      <c r="NNL382" s="252"/>
      <c r="NNM382" s="252"/>
      <c r="NNN382" s="252"/>
      <c r="NNO382" s="252"/>
      <c r="NNP382" s="252"/>
      <c r="NNQ382" s="252"/>
      <c r="NNR382" s="252"/>
      <c r="NNS382" s="252"/>
      <c r="NNT382" s="252"/>
      <c r="NNU382" s="252"/>
      <c r="NNV382" s="252"/>
      <c r="NNW382" s="252"/>
      <c r="NNX382" s="252"/>
      <c r="NNY382" s="252"/>
      <c r="NNZ382" s="252"/>
      <c r="NOA382" s="252"/>
      <c r="NOB382" s="252"/>
      <c r="NOC382" s="252"/>
      <c r="NOD382" s="252"/>
      <c r="NOE382" s="252"/>
      <c r="NOF382" s="252"/>
      <c r="NOG382" s="252"/>
      <c r="NOH382" s="252"/>
      <c r="NOI382" s="252"/>
      <c r="NOJ382" s="252"/>
      <c r="NOK382" s="252"/>
      <c r="NOL382" s="252"/>
      <c r="NOM382" s="252"/>
      <c r="NON382" s="252"/>
      <c r="NOO382" s="252"/>
      <c r="NOP382" s="252"/>
      <c r="NOQ382" s="252"/>
      <c r="NOR382" s="252"/>
      <c r="NOS382" s="252"/>
      <c r="NOT382" s="252"/>
      <c r="NOU382" s="252"/>
      <c r="NOV382" s="252"/>
      <c r="NOW382" s="252"/>
      <c r="NOX382" s="252"/>
      <c r="NOY382" s="252"/>
      <c r="NOZ382" s="252"/>
      <c r="NPA382" s="252"/>
      <c r="NPB382" s="252"/>
      <c r="NPC382" s="252"/>
      <c r="NPD382" s="252"/>
      <c r="NPE382" s="252"/>
      <c r="NPF382" s="252"/>
      <c r="NPG382" s="252"/>
      <c r="NPH382" s="252"/>
      <c r="NPI382" s="252"/>
      <c r="NPJ382" s="252"/>
      <c r="NPK382" s="252"/>
      <c r="NPL382" s="252"/>
      <c r="NPM382" s="252"/>
      <c r="NPN382" s="252"/>
      <c r="NPO382" s="252"/>
      <c r="NPP382" s="252"/>
      <c r="NPQ382" s="252"/>
      <c r="NPR382" s="252"/>
      <c r="NPS382" s="252"/>
      <c r="NPT382" s="252"/>
      <c r="NPU382" s="252"/>
      <c r="NPV382" s="252"/>
      <c r="NPW382" s="252"/>
      <c r="NPX382" s="252"/>
      <c r="NPY382" s="252"/>
      <c r="NPZ382" s="252"/>
      <c r="NQA382" s="252"/>
      <c r="NQB382" s="252"/>
      <c r="NQC382" s="252"/>
      <c r="NQD382" s="252"/>
      <c r="NQE382" s="252"/>
      <c r="NQF382" s="252"/>
      <c r="NQG382" s="252"/>
      <c r="NQH382" s="252"/>
      <c r="NQI382" s="252"/>
      <c r="NQJ382" s="252"/>
      <c r="NQK382" s="252"/>
      <c r="NQL382" s="252"/>
      <c r="NQM382" s="252"/>
      <c r="NQN382" s="252"/>
      <c r="NQO382" s="252"/>
      <c r="NQP382" s="252"/>
      <c r="NQQ382" s="252"/>
      <c r="NQR382" s="252"/>
      <c r="NQS382" s="252"/>
      <c r="NQT382" s="252"/>
      <c r="NQU382" s="252"/>
      <c r="NQV382" s="252"/>
      <c r="NQW382" s="252"/>
      <c r="NQX382" s="252"/>
      <c r="NQY382" s="252"/>
      <c r="NQZ382" s="252"/>
      <c r="NRA382" s="252"/>
      <c r="NRB382" s="252"/>
      <c r="NRC382" s="252"/>
      <c r="NRD382" s="252"/>
      <c r="NRE382" s="252"/>
      <c r="NRF382" s="252"/>
      <c r="NRG382" s="252"/>
      <c r="NRH382" s="252"/>
      <c r="NRI382" s="252"/>
      <c r="NRJ382" s="252"/>
      <c r="NRK382" s="252"/>
      <c r="NRL382" s="252"/>
      <c r="NRM382" s="252"/>
      <c r="NRN382" s="252"/>
      <c r="NRO382" s="252"/>
      <c r="NRP382" s="252"/>
      <c r="NRQ382" s="252"/>
      <c r="NRR382" s="252"/>
      <c r="NRS382" s="252"/>
      <c r="NRT382" s="252"/>
      <c r="NRU382" s="252"/>
      <c r="NRV382" s="252"/>
      <c r="NRW382" s="252"/>
      <c r="NRX382" s="252"/>
      <c r="NRY382" s="252"/>
      <c r="NRZ382" s="252"/>
      <c r="NSA382" s="252"/>
      <c r="NSB382" s="252"/>
      <c r="NSC382" s="252"/>
      <c r="NSD382" s="252"/>
      <c r="NSE382" s="252"/>
      <c r="NSF382" s="252"/>
      <c r="NSG382" s="252"/>
      <c r="NSH382" s="252"/>
      <c r="NSI382" s="252"/>
      <c r="NSJ382" s="252"/>
      <c r="NSK382" s="252"/>
      <c r="NSL382" s="252"/>
      <c r="NSM382" s="252"/>
      <c r="NSN382" s="252"/>
      <c r="NSO382" s="252"/>
      <c r="NSP382" s="252"/>
      <c r="NSQ382" s="252"/>
      <c r="NSR382" s="252"/>
      <c r="NSS382" s="252"/>
      <c r="NST382" s="252"/>
      <c r="NSU382" s="252"/>
      <c r="NSV382" s="252"/>
      <c r="NSW382" s="252"/>
      <c r="NSX382" s="252"/>
      <c r="NSY382" s="252"/>
      <c r="NSZ382" s="252"/>
      <c r="NTA382" s="252"/>
      <c r="NTB382" s="252"/>
      <c r="NTC382" s="252"/>
      <c r="NTD382" s="252"/>
      <c r="NTE382" s="252"/>
      <c r="NTF382" s="252"/>
      <c r="NTG382" s="252"/>
      <c r="NTH382" s="252"/>
      <c r="NTI382" s="252"/>
      <c r="NTJ382" s="252"/>
      <c r="NTK382" s="252"/>
      <c r="NTL382" s="252"/>
      <c r="NTM382" s="252"/>
      <c r="NTN382" s="252"/>
      <c r="NTO382" s="252"/>
      <c r="NTP382" s="252"/>
      <c r="NTQ382" s="252"/>
      <c r="NTR382" s="252"/>
      <c r="NTS382" s="252"/>
      <c r="NTT382" s="252"/>
      <c r="NTU382" s="252"/>
      <c r="NTV382" s="252"/>
      <c r="NTW382" s="252"/>
      <c r="NTX382" s="252"/>
      <c r="NTY382" s="252"/>
      <c r="NTZ382" s="252"/>
      <c r="NUA382" s="252"/>
      <c r="NUB382" s="252"/>
      <c r="NUC382" s="252"/>
      <c r="NUD382" s="252"/>
      <c r="NUE382" s="252"/>
      <c r="NUF382" s="252"/>
      <c r="NUG382" s="252"/>
      <c r="NUH382" s="252"/>
      <c r="NUI382" s="252"/>
      <c r="NUJ382" s="252"/>
      <c r="NUK382" s="252"/>
      <c r="NUL382" s="252"/>
      <c r="NUM382" s="252"/>
      <c r="NUN382" s="252"/>
      <c r="NUO382" s="252"/>
      <c r="NUP382" s="252"/>
      <c r="NUQ382" s="252"/>
      <c r="NUR382" s="252"/>
      <c r="NUS382" s="252"/>
      <c r="NUT382" s="252"/>
      <c r="NUU382" s="252"/>
      <c r="NUV382" s="252"/>
      <c r="NUW382" s="252"/>
      <c r="NUX382" s="252"/>
      <c r="NUY382" s="252"/>
      <c r="NUZ382" s="252"/>
      <c r="NVA382" s="252"/>
      <c r="NVB382" s="252"/>
      <c r="NVC382" s="252"/>
      <c r="NVD382" s="252"/>
      <c r="NVE382" s="252"/>
      <c r="NVF382" s="252"/>
      <c r="NVG382" s="252"/>
      <c r="NVH382" s="252"/>
      <c r="NVI382" s="252"/>
      <c r="NVJ382" s="252"/>
      <c r="NVK382" s="252"/>
      <c r="NVL382" s="252"/>
      <c r="NVM382" s="252"/>
      <c r="NVN382" s="252"/>
      <c r="NVO382" s="252"/>
      <c r="NVP382" s="252"/>
      <c r="NVQ382" s="252"/>
      <c r="NVR382" s="252"/>
      <c r="NVS382" s="252"/>
      <c r="NVT382" s="252"/>
      <c r="NVU382" s="252"/>
      <c r="NVV382" s="252"/>
      <c r="NVW382" s="252"/>
      <c r="NVX382" s="252"/>
      <c r="NVY382" s="252"/>
      <c r="NVZ382" s="252"/>
      <c r="NWA382" s="252"/>
      <c r="NWB382" s="252"/>
      <c r="NWC382" s="252"/>
      <c r="NWD382" s="252"/>
      <c r="NWE382" s="252"/>
      <c r="NWF382" s="252"/>
      <c r="NWG382" s="252"/>
      <c r="NWH382" s="252"/>
      <c r="NWI382" s="252"/>
      <c r="NWJ382" s="252"/>
      <c r="NWK382" s="252"/>
      <c r="NWL382" s="252"/>
      <c r="NWM382" s="252"/>
      <c r="NWN382" s="252"/>
      <c r="NWO382" s="252"/>
      <c r="NWP382" s="252"/>
      <c r="NWQ382" s="252"/>
      <c r="NWR382" s="252"/>
      <c r="NWS382" s="252"/>
      <c r="NWT382" s="252"/>
      <c r="NWU382" s="252"/>
      <c r="NWV382" s="252"/>
      <c r="NWW382" s="252"/>
      <c r="NWX382" s="252"/>
      <c r="NWY382" s="252"/>
      <c r="NWZ382" s="252"/>
      <c r="NXA382" s="252"/>
      <c r="NXB382" s="252"/>
      <c r="NXC382" s="252"/>
      <c r="NXD382" s="252"/>
      <c r="NXE382" s="252"/>
      <c r="NXF382" s="252"/>
      <c r="NXG382" s="252"/>
      <c r="NXH382" s="252"/>
      <c r="NXI382" s="252"/>
      <c r="NXJ382" s="252"/>
      <c r="NXK382" s="252"/>
      <c r="NXL382" s="252"/>
      <c r="NXM382" s="252"/>
      <c r="NXN382" s="252"/>
      <c r="NXO382" s="252"/>
      <c r="NXP382" s="252"/>
      <c r="NXQ382" s="252"/>
      <c r="NXR382" s="252"/>
      <c r="NXS382" s="252"/>
      <c r="NXT382" s="252"/>
      <c r="NXU382" s="252"/>
      <c r="NXV382" s="252"/>
      <c r="NXW382" s="252"/>
      <c r="NXX382" s="252"/>
      <c r="NXY382" s="252"/>
      <c r="NXZ382" s="252"/>
      <c r="NYA382" s="252"/>
      <c r="NYB382" s="252"/>
      <c r="NYC382" s="252"/>
      <c r="NYD382" s="252"/>
      <c r="NYE382" s="252"/>
      <c r="NYF382" s="252"/>
      <c r="NYG382" s="252"/>
      <c r="NYH382" s="252"/>
      <c r="NYI382" s="252"/>
      <c r="NYJ382" s="252"/>
      <c r="NYK382" s="252"/>
      <c r="NYL382" s="252"/>
      <c r="NYM382" s="252"/>
      <c r="NYN382" s="252"/>
      <c r="NYO382" s="252"/>
      <c r="NYP382" s="252"/>
      <c r="NYQ382" s="252"/>
      <c r="NYR382" s="252"/>
      <c r="NYS382" s="252"/>
      <c r="NYT382" s="252"/>
      <c r="NYU382" s="252"/>
      <c r="NYV382" s="252"/>
      <c r="NYW382" s="252"/>
      <c r="NYX382" s="252"/>
      <c r="NYY382" s="252"/>
      <c r="NYZ382" s="252"/>
      <c r="NZA382" s="252"/>
      <c r="NZB382" s="252"/>
      <c r="NZC382" s="252"/>
      <c r="NZD382" s="252"/>
      <c r="NZE382" s="252"/>
      <c r="NZF382" s="252"/>
      <c r="NZG382" s="252"/>
      <c r="NZH382" s="252"/>
      <c r="NZI382" s="252"/>
      <c r="NZJ382" s="252"/>
      <c r="NZK382" s="252"/>
      <c r="NZL382" s="252"/>
      <c r="NZM382" s="252"/>
      <c r="NZN382" s="252"/>
      <c r="NZO382" s="252"/>
      <c r="NZP382" s="252"/>
      <c r="NZQ382" s="252"/>
      <c r="NZR382" s="252"/>
      <c r="NZS382" s="252"/>
      <c r="NZT382" s="252"/>
      <c r="NZU382" s="252"/>
      <c r="NZV382" s="252"/>
      <c r="NZW382" s="252"/>
      <c r="NZX382" s="252"/>
      <c r="NZY382" s="252"/>
      <c r="NZZ382" s="252"/>
      <c r="OAA382" s="252"/>
      <c r="OAB382" s="252"/>
      <c r="OAC382" s="252"/>
      <c r="OAD382" s="252"/>
      <c r="OAE382" s="252"/>
      <c r="OAF382" s="252"/>
      <c r="OAG382" s="252"/>
      <c r="OAH382" s="252"/>
      <c r="OAI382" s="252"/>
      <c r="OAJ382" s="252"/>
      <c r="OAK382" s="252"/>
      <c r="OAL382" s="252"/>
      <c r="OAM382" s="252"/>
      <c r="OAN382" s="252"/>
      <c r="OAO382" s="252"/>
      <c r="OAP382" s="252"/>
      <c r="OAQ382" s="252"/>
      <c r="OAR382" s="252"/>
      <c r="OAS382" s="252"/>
      <c r="OAT382" s="252"/>
      <c r="OAU382" s="252"/>
      <c r="OAV382" s="252"/>
      <c r="OAW382" s="252"/>
      <c r="OAX382" s="252"/>
      <c r="OAY382" s="252"/>
      <c r="OAZ382" s="252"/>
      <c r="OBA382" s="252"/>
      <c r="OBB382" s="252"/>
      <c r="OBC382" s="252"/>
      <c r="OBD382" s="252"/>
      <c r="OBE382" s="252"/>
      <c r="OBF382" s="252"/>
      <c r="OBG382" s="252"/>
      <c r="OBH382" s="252"/>
      <c r="OBI382" s="252"/>
      <c r="OBJ382" s="252"/>
      <c r="OBK382" s="252"/>
      <c r="OBL382" s="252"/>
      <c r="OBM382" s="252"/>
      <c r="OBN382" s="252"/>
      <c r="OBO382" s="252"/>
      <c r="OBP382" s="252"/>
      <c r="OBQ382" s="252"/>
      <c r="OBR382" s="252"/>
      <c r="OBS382" s="252"/>
      <c r="OBT382" s="252"/>
      <c r="OBU382" s="252"/>
      <c r="OBV382" s="252"/>
      <c r="OBW382" s="252"/>
      <c r="OBX382" s="252"/>
      <c r="OBY382" s="252"/>
      <c r="OBZ382" s="252"/>
      <c r="OCA382" s="252"/>
      <c r="OCB382" s="252"/>
      <c r="OCC382" s="252"/>
      <c r="OCD382" s="252"/>
      <c r="OCE382" s="252"/>
      <c r="OCF382" s="252"/>
      <c r="OCG382" s="252"/>
      <c r="OCH382" s="252"/>
      <c r="OCI382" s="252"/>
      <c r="OCJ382" s="252"/>
      <c r="OCK382" s="252"/>
      <c r="OCL382" s="252"/>
      <c r="OCM382" s="252"/>
      <c r="OCN382" s="252"/>
      <c r="OCO382" s="252"/>
      <c r="OCP382" s="252"/>
      <c r="OCQ382" s="252"/>
      <c r="OCR382" s="252"/>
      <c r="OCS382" s="252"/>
      <c r="OCT382" s="252"/>
      <c r="OCU382" s="252"/>
      <c r="OCV382" s="252"/>
      <c r="OCW382" s="252"/>
      <c r="OCX382" s="252"/>
      <c r="OCY382" s="252"/>
      <c r="OCZ382" s="252"/>
      <c r="ODA382" s="252"/>
      <c r="ODB382" s="252"/>
      <c r="ODC382" s="252"/>
      <c r="ODD382" s="252"/>
      <c r="ODE382" s="252"/>
      <c r="ODF382" s="252"/>
      <c r="ODG382" s="252"/>
      <c r="ODH382" s="252"/>
      <c r="ODI382" s="252"/>
      <c r="ODJ382" s="252"/>
      <c r="ODK382" s="252"/>
      <c r="ODL382" s="252"/>
      <c r="ODM382" s="252"/>
      <c r="ODN382" s="252"/>
      <c r="ODO382" s="252"/>
      <c r="ODP382" s="252"/>
      <c r="ODQ382" s="252"/>
      <c r="ODR382" s="252"/>
      <c r="ODS382" s="252"/>
      <c r="ODT382" s="252"/>
      <c r="ODU382" s="252"/>
      <c r="ODV382" s="252"/>
      <c r="ODW382" s="252"/>
      <c r="ODX382" s="252"/>
      <c r="ODY382" s="252"/>
      <c r="ODZ382" s="252"/>
      <c r="OEA382" s="252"/>
      <c r="OEB382" s="252"/>
      <c r="OEC382" s="252"/>
      <c r="OED382" s="252"/>
      <c r="OEE382" s="252"/>
      <c r="OEF382" s="252"/>
      <c r="OEG382" s="252"/>
      <c r="OEH382" s="252"/>
      <c r="OEI382" s="252"/>
      <c r="OEJ382" s="252"/>
      <c r="OEK382" s="252"/>
      <c r="OEL382" s="252"/>
      <c r="OEM382" s="252"/>
      <c r="OEN382" s="252"/>
      <c r="OEO382" s="252"/>
      <c r="OEP382" s="252"/>
      <c r="OEQ382" s="252"/>
      <c r="OER382" s="252"/>
      <c r="OES382" s="252"/>
      <c r="OET382" s="252"/>
      <c r="OEU382" s="252"/>
      <c r="OEV382" s="252"/>
      <c r="OEW382" s="252"/>
      <c r="OEX382" s="252"/>
      <c r="OEY382" s="252"/>
      <c r="OEZ382" s="252"/>
      <c r="OFA382" s="252"/>
      <c r="OFB382" s="252"/>
      <c r="OFC382" s="252"/>
      <c r="OFD382" s="252"/>
      <c r="OFE382" s="252"/>
      <c r="OFF382" s="252"/>
      <c r="OFG382" s="252"/>
      <c r="OFH382" s="252"/>
      <c r="OFI382" s="252"/>
      <c r="OFJ382" s="252"/>
      <c r="OFK382" s="252"/>
      <c r="OFL382" s="252"/>
      <c r="OFM382" s="252"/>
      <c r="OFN382" s="252"/>
      <c r="OFO382" s="252"/>
      <c r="OFP382" s="252"/>
      <c r="OFQ382" s="252"/>
      <c r="OFR382" s="252"/>
      <c r="OFS382" s="252"/>
      <c r="OFT382" s="252"/>
      <c r="OFU382" s="252"/>
      <c r="OFV382" s="252"/>
      <c r="OFW382" s="252"/>
      <c r="OFX382" s="252"/>
      <c r="OFY382" s="252"/>
      <c r="OFZ382" s="252"/>
      <c r="OGA382" s="252"/>
      <c r="OGB382" s="252"/>
      <c r="OGC382" s="252"/>
      <c r="OGD382" s="252"/>
      <c r="OGE382" s="252"/>
      <c r="OGF382" s="252"/>
      <c r="OGG382" s="252"/>
      <c r="OGH382" s="252"/>
      <c r="OGI382" s="252"/>
      <c r="OGJ382" s="252"/>
      <c r="OGK382" s="252"/>
      <c r="OGL382" s="252"/>
      <c r="OGM382" s="252"/>
      <c r="OGN382" s="252"/>
      <c r="OGO382" s="252"/>
      <c r="OGP382" s="252"/>
      <c r="OGQ382" s="252"/>
      <c r="OGR382" s="252"/>
      <c r="OGS382" s="252"/>
      <c r="OGT382" s="252"/>
      <c r="OGU382" s="252"/>
      <c r="OGV382" s="252"/>
      <c r="OGW382" s="252"/>
      <c r="OGX382" s="252"/>
      <c r="OGY382" s="252"/>
      <c r="OGZ382" s="252"/>
      <c r="OHA382" s="252"/>
      <c r="OHB382" s="252"/>
      <c r="OHC382" s="252"/>
      <c r="OHD382" s="252"/>
      <c r="OHE382" s="252"/>
      <c r="OHF382" s="252"/>
      <c r="OHG382" s="252"/>
      <c r="OHH382" s="252"/>
      <c r="OHI382" s="252"/>
      <c r="OHJ382" s="252"/>
      <c r="OHK382" s="252"/>
      <c r="OHL382" s="252"/>
      <c r="OHM382" s="252"/>
      <c r="OHN382" s="252"/>
      <c r="OHO382" s="252"/>
      <c r="OHP382" s="252"/>
      <c r="OHQ382" s="252"/>
      <c r="OHR382" s="252"/>
      <c r="OHS382" s="252"/>
      <c r="OHT382" s="252"/>
      <c r="OHU382" s="252"/>
      <c r="OHV382" s="252"/>
      <c r="OHW382" s="252"/>
      <c r="OHX382" s="252"/>
      <c r="OHY382" s="252"/>
      <c r="OHZ382" s="252"/>
      <c r="OIA382" s="252"/>
      <c r="OIB382" s="252"/>
      <c r="OIC382" s="252"/>
      <c r="OID382" s="252"/>
      <c r="OIE382" s="252"/>
      <c r="OIF382" s="252"/>
      <c r="OIG382" s="252"/>
      <c r="OIH382" s="252"/>
      <c r="OII382" s="252"/>
      <c r="OIJ382" s="252"/>
      <c r="OIK382" s="252"/>
      <c r="OIL382" s="252"/>
      <c r="OIM382" s="252"/>
      <c r="OIN382" s="252"/>
      <c r="OIO382" s="252"/>
      <c r="OIP382" s="252"/>
      <c r="OIQ382" s="252"/>
      <c r="OIR382" s="252"/>
      <c r="OIS382" s="252"/>
      <c r="OIT382" s="252"/>
      <c r="OIU382" s="252"/>
      <c r="OIV382" s="252"/>
      <c r="OIW382" s="252"/>
      <c r="OIX382" s="252"/>
      <c r="OIY382" s="252"/>
      <c r="OIZ382" s="252"/>
      <c r="OJA382" s="252"/>
      <c r="OJB382" s="252"/>
      <c r="OJC382" s="252"/>
      <c r="OJD382" s="252"/>
      <c r="OJE382" s="252"/>
      <c r="OJF382" s="252"/>
      <c r="OJG382" s="252"/>
      <c r="OJH382" s="252"/>
      <c r="OJI382" s="252"/>
      <c r="OJJ382" s="252"/>
      <c r="OJK382" s="252"/>
      <c r="OJL382" s="252"/>
      <c r="OJM382" s="252"/>
      <c r="OJN382" s="252"/>
      <c r="OJO382" s="252"/>
      <c r="OJP382" s="252"/>
      <c r="OJQ382" s="252"/>
      <c r="OJR382" s="252"/>
      <c r="OJS382" s="252"/>
      <c r="OJT382" s="252"/>
      <c r="OJU382" s="252"/>
      <c r="OJV382" s="252"/>
      <c r="OJW382" s="252"/>
      <c r="OJX382" s="252"/>
      <c r="OJY382" s="252"/>
      <c r="OJZ382" s="252"/>
      <c r="OKA382" s="252"/>
      <c r="OKB382" s="252"/>
      <c r="OKC382" s="252"/>
      <c r="OKD382" s="252"/>
      <c r="OKE382" s="252"/>
      <c r="OKF382" s="252"/>
      <c r="OKG382" s="252"/>
      <c r="OKH382" s="252"/>
      <c r="OKI382" s="252"/>
      <c r="OKJ382" s="252"/>
      <c r="OKK382" s="252"/>
      <c r="OKL382" s="252"/>
      <c r="OKM382" s="252"/>
      <c r="OKN382" s="252"/>
      <c r="OKO382" s="252"/>
      <c r="OKP382" s="252"/>
      <c r="OKQ382" s="252"/>
      <c r="OKR382" s="252"/>
      <c r="OKS382" s="252"/>
      <c r="OKT382" s="252"/>
      <c r="OKU382" s="252"/>
      <c r="OKV382" s="252"/>
      <c r="OKW382" s="252"/>
      <c r="OKX382" s="252"/>
      <c r="OKY382" s="252"/>
      <c r="OKZ382" s="252"/>
      <c r="OLA382" s="252"/>
      <c r="OLB382" s="252"/>
      <c r="OLC382" s="252"/>
      <c r="OLD382" s="252"/>
      <c r="OLE382" s="252"/>
      <c r="OLF382" s="252"/>
      <c r="OLG382" s="252"/>
      <c r="OLH382" s="252"/>
      <c r="OLI382" s="252"/>
      <c r="OLJ382" s="252"/>
      <c r="OLK382" s="252"/>
      <c r="OLL382" s="252"/>
      <c r="OLM382" s="252"/>
      <c r="OLN382" s="252"/>
      <c r="OLO382" s="252"/>
      <c r="OLP382" s="252"/>
      <c r="OLQ382" s="252"/>
      <c r="OLR382" s="252"/>
      <c r="OLS382" s="252"/>
      <c r="OLT382" s="252"/>
      <c r="OLU382" s="252"/>
      <c r="OLV382" s="252"/>
      <c r="OLW382" s="252"/>
      <c r="OLX382" s="252"/>
      <c r="OLY382" s="252"/>
      <c r="OLZ382" s="252"/>
      <c r="OMA382" s="252"/>
      <c r="OMB382" s="252"/>
      <c r="OMC382" s="252"/>
      <c r="OMD382" s="252"/>
      <c r="OME382" s="252"/>
      <c r="OMF382" s="252"/>
      <c r="OMG382" s="252"/>
      <c r="OMH382" s="252"/>
      <c r="OMI382" s="252"/>
      <c r="OMJ382" s="252"/>
      <c r="OMK382" s="252"/>
      <c r="OML382" s="252"/>
      <c r="OMM382" s="252"/>
      <c r="OMN382" s="252"/>
      <c r="OMO382" s="252"/>
      <c r="OMP382" s="252"/>
      <c r="OMQ382" s="252"/>
      <c r="OMR382" s="252"/>
      <c r="OMS382" s="252"/>
      <c r="OMT382" s="252"/>
      <c r="OMU382" s="252"/>
      <c r="OMV382" s="252"/>
      <c r="OMW382" s="252"/>
      <c r="OMX382" s="252"/>
      <c r="OMY382" s="252"/>
      <c r="OMZ382" s="252"/>
      <c r="ONA382" s="252"/>
      <c r="ONB382" s="252"/>
      <c r="ONC382" s="252"/>
      <c r="OND382" s="252"/>
      <c r="ONE382" s="252"/>
      <c r="ONF382" s="252"/>
      <c r="ONG382" s="252"/>
      <c r="ONH382" s="252"/>
      <c r="ONI382" s="252"/>
      <c r="ONJ382" s="252"/>
      <c r="ONK382" s="252"/>
      <c r="ONL382" s="252"/>
      <c r="ONM382" s="252"/>
      <c r="ONN382" s="252"/>
      <c r="ONO382" s="252"/>
      <c r="ONP382" s="252"/>
      <c r="ONQ382" s="252"/>
      <c r="ONR382" s="252"/>
      <c r="ONS382" s="252"/>
      <c r="ONT382" s="252"/>
      <c r="ONU382" s="252"/>
      <c r="ONV382" s="252"/>
      <c r="ONW382" s="252"/>
      <c r="ONX382" s="252"/>
      <c r="ONY382" s="252"/>
      <c r="ONZ382" s="252"/>
      <c r="OOA382" s="252"/>
      <c r="OOB382" s="252"/>
      <c r="OOC382" s="252"/>
      <c r="OOD382" s="252"/>
      <c r="OOE382" s="252"/>
      <c r="OOF382" s="252"/>
      <c r="OOG382" s="252"/>
      <c r="OOH382" s="252"/>
      <c r="OOI382" s="252"/>
      <c r="OOJ382" s="252"/>
      <c r="OOK382" s="252"/>
      <c r="OOL382" s="252"/>
      <c r="OOM382" s="252"/>
      <c r="OON382" s="252"/>
      <c r="OOO382" s="252"/>
      <c r="OOP382" s="252"/>
      <c r="OOQ382" s="252"/>
      <c r="OOR382" s="252"/>
      <c r="OOS382" s="252"/>
      <c r="OOT382" s="252"/>
      <c r="OOU382" s="252"/>
      <c r="OOV382" s="252"/>
      <c r="OOW382" s="252"/>
      <c r="OOX382" s="252"/>
      <c r="OOY382" s="252"/>
      <c r="OOZ382" s="252"/>
      <c r="OPA382" s="252"/>
      <c r="OPB382" s="252"/>
      <c r="OPC382" s="252"/>
      <c r="OPD382" s="252"/>
      <c r="OPE382" s="252"/>
      <c r="OPF382" s="252"/>
      <c r="OPG382" s="252"/>
      <c r="OPH382" s="252"/>
      <c r="OPI382" s="252"/>
      <c r="OPJ382" s="252"/>
      <c r="OPK382" s="252"/>
      <c r="OPL382" s="252"/>
      <c r="OPM382" s="252"/>
      <c r="OPN382" s="252"/>
      <c r="OPO382" s="252"/>
      <c r="OPP382" s="252"/>
      <c r="OPQ382" s="252"/>
      <c r="OPR382" s="252"/>
      <c r="OPS382" s="252"/>
      <c r="OPT382" s="252"/>
      <c r="OPU382" s="252"/>
      <c r="OPV382" s="252"/>
      <c r="OPW382" s="252"/>
      <c r="OPX382" s="252"/>
      <c r="OPY382" s="252"/>
      <c r="OPZ382" s="252"/>
      <c r="OQA382" s="252"/>
      <c r="OQB382" s="252"/>
      <c r="OQC382" s="252"/>
      <c r="OQD382" s="252"/>
      <c r="OQE382" s="252"/>
      <c r="OQF382" s="252"/>
      <c r="OQG382" s="252"/>
      <c r="OQH382" s="252"/>
      <c r="OQI382" s="252"/>
      <c r="OQJ382" s="252"/>
      <c r="OQK382" s="252"/>
      <c r="OQL382" s="252"/>
      <c r="OQM382" s="252"/>
      <c r="OQN382" s="252"/>
      <c r="OQO382" s="252"/>
      <c r="OQP382" s="252"/>
      <c r="OQQ382" s="252"/>
      <c r="OQR382" s="252"/>
      <c r="OQS382" s="252"/>
      <c r="OQT382" s="252"/>
      <c r="OQU382" s="252"/>
      <c r="OQV382" s="252"/>
      <c r="OQW382" s="252"/>
      <c r="OQX382" s="252"/>
      <c r="OQY382" s="252"/>
      <c r="OQZ382" s="252"/>
      <c r="ORA382" s="252"/>
      <c r="ORB382" s="252"/>
      <c r="ORC382" s="252"/>
      <c r="ORD382" s="252"/>
      <c r="ORE382" s="252"/>
      <c r="ORF382" s="252"/>
      <c r="ORG382" s="252"/>
      <c r="ORH382" s="252"/>
      <c r="ORI382" s="252"/>
      <c r="ORJ382" s="252"/>
      <c r="ORK382" s="252"/>
      <c r="ORL382" s="252"/>
      <c r="ORM382" s="252"/>
      <c r="ORN382" s="252"/>
      <c r="ORO382" s="252"/>
      <c r="ORP382" s="252"/>
      <c r="ORQ382" s="252"/>
      <c r="ORR382" s="252"/>
      <c r="ORS382" s="252"/>
      <c r="ORT382" s="252"/>
      <c r="ORU382" s="252"/>
      <c r="ORV382" s="252"/>
      <c r="ORW382" s="252"/>
      <c r="ORX382" s="252"/>
      <c r="ORY382" s="252"/>
      <c r="ORZ382" s="252"/>
      <c r="OSA382" s="252"/>
      <c r="OSB382" s="252"/>
      <c r="OSC382" s="252"/>
      <c r="OSD382" s="252"/>
      <c r="OSE382" s="252"/>
      <c r="OSF382" s="252"/>
      <c r="OSG382" s="252"/>
      <c r="OSH382" s="252"/>
      <c r="OSI382" s="252"/>
      <c r="OSJ382" s="252"/>
      <c r="OSK382" s="252"/>
      <c r="OSL382" s="252"/>
      <c r="OSM382" s="252"/>
      <c r="OSN382" s="252"/>
      <c r="OSO382" s="252"/>
      <c r="OSP382" s="252"/>
      <c r="OSQ382" s="252"/>
      <c r="OSR382" s="252"/>
      <c r="OSS382" s="252"/>
      <c r="OST382" s="252"/>
      <c r="OSU382" s="252"/>
      <c r="OSV382" s="252"/>
      <c r="OSW382" s="252"/>
      <c r="OSX382" s="252"/>
      <c r="OSY382" s="252"/>
      <c r="OSZ382" s="252"/>
      <c r="OTA382" s="252"/>
      <c r="OTB382" s="252"/>
      <c r="OTC382" s="252"/>
      <c r="OTD382" s="252"/>
      <c r="OTE382" s="252"/>
      <c r="OTF382" s="252"/>
      <c r="OTG382" s="252"/>
      <c r="OTH382" s="252"/>
      <c r="OTI382" s="252"/>
      <c r="OTJ382" s="252"/>
      <c r="OTK382" s="252"/>
      <c r="OTL382" s="252"/>
      <c r="OTM382" s="252"/>
      <c r="OTN382" s="252"/>
      <c r="OTO382" s="252"/>
      <c r="OTP382" s="252"/>
      <c r="OTQ382" s="252"/>
      <c r="OTR382" s="252"/>
      <c r="OTS382" s="252"/>
      <c r="OTT382" s="252"/>
      <c r="OTU382" s="252"/>
      <c r="OTV382" s="252"/>
      <c r="OTW382" s="252"/>
      <c r="OTX382" s="252"/>
      <c r="OTY382" s="252"/>
      <c r="OTZ382" s="252"/>
      <c r="OUA382" s="252"/>
      <c r="OUB382" s="252"/>
      <c r="OUC382" s="252"/>
      <c r="OUD382" s="252"/>
      <c r="OUE382" s="252"/>
      <c r="OUF382" s="252"/>
      <c r="OUG382" s="252"/>
      <c r="OUH382" s="252"/>
      <c r="OUI382" s="252"/>
      <c r="OUJ382" s="252"/>
      <c r="OUK382" s="252"/>
      <c r="OUL382" s="252"/>
      <c r="OUM382" s="252"/>
      <c r="OUN382" s="252"/>
      <c r="OUO382" s="252"/>
      <c r="OUP382" s="252"/>
      <c r="OUQ382" s="252"/>
      <c r="OUR382" s="252"/>
      <c r="OUS382" s="252"/>
      <c r="OUT382" s="252"/>
      <c r="OUU382" s="252"/>
      <c r="OUV382" s="252"/>
      <c r="OUW382" s="252"/>
      <c r="OUX382" s="252"/>
      <c r="OUY382" s="252"/>
      <c r="OUZ382" s="252"/>
      <c r="OVA382" s="252"/>
      <c r="OVB382" s="252"/>
      <c r="OVC382" s="252"/>
      <c r="OVD382" s="252"/>
      <c r="OVE382" s="252"/>
      <c r="OVF382" s="252"/>
      <c r="OVG382" s="252"/>
      <c r="OVH382" s="252"/>
      <c r="OVI382" s="252"/>
      <c r="OVJ382" s="252"/>
      <c r="OVK382" s="252"/>
      <c r="OVL382" s="252"/>
      <c r="OVM382" s="252"/>
      <c r="OVN382" s="252"/>
      <c r="OVO382" s="252"/>
      <c r="OVP382" s="252"/>
      <c r="OVQ382" s="252"/>
      <c r="OVR382" s="252"/>
      <c r="OVS382" s="252"/>
      <c r="OVT382" s="252"/>
      <c r="OVU382" s="252"/>
      <c r="OVV382" s="252"/>
      <c r="OVW382" s="252"/>
      <c r="OVX382" s="252"/>
      <c r="OVY382" s="252"/>
      <c r="OVZ382" s="252"/>
      <c r="OWA382" s="252"/>
      <c r="OWB382" s="252"/>
      <c r="OWC382" s="252"/>
      <c r="OWD382" s="252"/>
      <c r="OWE382" s="252"/>
      <c r="OWF382" s="252"/>
      <c r="OWG382" s="252"/>
      <c r="OWH382" s="252"/>
      <c r="OWI382" s="252"/>
      <c r="OWJ382" s="252"/>
      <c r="OWK382" s="252"/>
      <c r="OWL382" s="252"/>
      <c r="OWM382" s="252"/>
      <c r="OWN382" s="252"/>
      <c r="OWO382" s="252"/>
      <c r="OWP382" s="252"/>
      <c r="OWQ382" s="252"/>
      <c r="OWR382" s="252"/>
      <c r="OWS382" s="252"/>
      <c r="OWT382" s="252"/>
      <c r="OWU382" s="252"/>
      <c r="OWV382" s="252"/>
      <c r="OWW382" s="252"/>
      <c r="OWX382" s="252"/>
      <c r="OWY382" s="252"/>
      <c r="OWZ382" s="252"/>
      <c r="OXA382" s="252"/>
      <c r="OXB382" s="252"/>
      <c r="OXC382" s="252"/>
      <c r="OXD382" s="252"/>
      <c r="OXE382" s="252"/>
      <c r="OXF382" s="252"/>
      <c r="OXG382" s="252"/>
      <c r="OXH382" s="252"/>
      <c r="OXI382" s="252"/>
      <c r="OXJ382" s="252"/>
      <c r="OXK382" s="252"/>
      <c r="OXL382" s="252"/>
      <c r="OXM382" s="252"/>
      <c r="OXN382" s="252"/>
      <c r="OXO382" s="252"/>
      <c r="OXP382" s="252"/>
      <c r="OXQ382" s="252"/>
      <c r="OXR382" s="252"/>
      <c r="OXS382" s="252"/>
      <c r="OXT382" s="252"/>
      <c r="OXU382" s="252"/>
      <c r="OXV382" s="252"/>
      <c r="OXW382" s="252"/>
      <c r="OXX382" s="252"/>
      <c r="OXY382" s="252"/>
      <c r="OXZ382" s="252"/>
      <c r="OYA382" s="252"/>
      <c r="OYB382" s="252"/>
      <c r="OYC382" s="252"/>
      <c r="OYD382" s="252"/>
      <c r="OYE382" s="252"/>
      <c r="OYF382" s="252"/>
      <c r="OYG382" s="252"/>
      <c r="OYH382" s="252"/>
      <c r="OYI382" s="252"/>
      <c r="OYJ382" s="252"/>
      <c r="OYK382" s="252"/>
      <c r="OYL382" s="252"/>
      <c r="OYM382" s="252"/>
      <c r="OYN382" s="252"/>
      <c r="OYO382" s="252"/>
      <c r="OYP382" s="252"/>
      <c r="OYQ382" s="252"/>
      <c r="OYR382" s="252"/>
      <c r="OYS382" s="252"/>
      <c r="OYT382" s="252"/>
      <c r="OYU382" s="252"/>
      <c r="OYV382" s="252"/>
      <c r="OYW382" s="252"/>
      <c r="OYX382" s="252"/>
      <c r="OYY382" s="252"/>
      <c r="OYZ382" s="252"/>
      <c r="OZA382" s="252"/>
      <c r="OZB382" s="252"/>
      <c r="OZC382" s="252"/>
      <c r="OZD382" s="252"/>
      <c r="OZE382" s="252"/>
      <c r="OZF382" s="252"/>
      <c r="OZG382" s="252"/>
      <c r="OZH382" s="252"/>
      <c r="OZI382" s="252"/>
      <c r="OZJ382" s="252"/>
      <c r="OZK382" s="252"/>
      <c r="OZL382" s="252"/>
      <c r="OZM382" s="252"/>
      <c r="OZN382" s="252"/>
      <c r="OZO382" s="252"/>
      <c r="OZP382" s="252"/>
      <c r="OZQ382" s="252"/>
      <c r="OZR382" s="252"/>
      <c r="OZS382" s="252"/>
      <c r="OZT382" s="252"/>
      <c r="OZU382" s="252"/>
      <c r="OZV382" s="252"/>
      <c r="OZW382" s="252"/>
      <c r="OZX382" s="252"/>
      <c r="OZY382" s="252"/>
      <c r="OZZ382" s="252"/>
      <c r="PAA382" s="252"/>
      <c r="PAB382" s="252"/>
      <c r="PAC382" s="252"/>
      <c r="PAD382" s="252"/>
      <c r="PAE382" s="252"/>
      <c r="PAF382" s="252"/>
      <c r="PAG382" s="252"/>
      <c r="PAH382" s="252"/>
      <c r="PAI382" s="252"/>
      <c r="PAJ382" s="252"/>
      <c r="PAK382" s="252"/>
      <c r="PAL382" s="252"/>
      <c r="PAM382" s="252"/>
      <c r="PAN382" s="252"/>
      <c r="PAO382" s="252"/>
      <c r="PAP382" s="252"/>
      <c r="PAQ382" s="252"/>
      <c r="PAR382" s="252"/>
      <c r="PAS382" s="252"/>
      <c r="PAT382" s="252"/>
      <c r="PAU382" s="252"/>
      <c r="PAV382" s="252"/>
      <c r="PAW382" s="252"/>
      <c r="PAX382" s="252"/>
      <c r="PAY382" s="252"/>
      <c r="PAZ382" s="252"/>
      <c r="PBA382" s="252"/>
      <c r="PBB382" s="252"/>
      <c r="PBC382" s="252"/>
      <c r="PBD382" s="252"/>
      <c r="PBE382" s="252"/>
      <c r="PBF382" s="252"/>
      <c r="PBG382" s="252"/>
      <c r="PBH382" s="252"/>
      <c r="PBI382" s="252"/>
      <c r="PBJ382" s="252"/>
      <c r="PBK382" s="252"/>
      <c r="PBL382" s="252"/>
      <c r="PBM382" s="252"/>
      <c r="PBN382" s="252"/>
      <c r="PBO382" s="252"/>
      <c r="PBP382" s="252"/>
      <c r="PBQ382" s="252"/>
      <c r="PBR382" s="252"/>
      <c r="PBS382" s="252"/>
      <c r="PBT382" s="252"/>
      <c r="PBU382" s="252"/>
      <c r="PBV382" s="252"/>
      <c r="PBW382" s="252"/>
      <c r="PBX382" s="252"/>
      <c r="PBY382" s="252"/>
      <c r="PBZ382" s="252"/>
      <c r="PCA382" s="252"/>
      <c r="PCB382" s="252"/>
      <c r="PCC382" s="252"/>
      <c r="PCD382" s="252"/>
      <c r="PCE382" s="252"/>
      <c r="PCF382" s="252"/>
      <c r="PCG382" s="252"/>
      <c r="PCH382" s="252"/>
      <c r="PCI382" s="252"/>
      <c r="PCJ382" s="252"/>
      <c r="PCK382" s="252"/>
      <c r="PCL382" s="252"/>
      <c r="PCM382" s="252"/>
      <c r="PCN382" s="252"/>
      <c r="PCO382" s="252"/>
      <c r="PCP382" s="252"/>
      <c r="PCQ382" s="252"/>
      <c r="PCR382" s="252"/>
      <c r="PCS382" s="252"/>
      <c r="PCT382" s="252"/>
      <c r="PCU382" s="252"/>
      <c r="PCV382" s="252"/>
      <c r="PCW382" s="252"/>
      <c r="PCX382" s="252"/>
      <c r="PCY382" s="252"/>
      <c r="PCZ382" s="252"/>
      <c r="PDA382" s="252"/>
      <c r="PDB382" s="252"/>
      <c r="PDC382" s="252"/>
      <c r="PDD382" s="252"/>
      <c r="PDE382" s="252"/>
      <c r="PDF382" s="252"/>
      <c r="PDG382" s="252"/>
      <c r="PDH382" s="252"/>
      <c r="PDI382" s="252"/>
      <c r="PDJ382" s="252"/>
      <c r="PDK382" s="252"/>
      <c r="PDL382" s="252"/>
      <c r="PDM382" s="252"/>
      <c r="PDN382" s="252"/>
      <c r="PDO382" s="252"/>
      <c r="PDP382" s="252"/>
      <c r="PDQ382" s="252"/>
      <c r="PDR382" s="252"/>
      <c r="PDS382" s="252"/>
      <c r="PDT382" s="252"/>
      <c r="PDU382" s="252"/>
      <c r="PDV382" s="252"/>
      <c r="PDW382" s="252"/>
      <c r="PDX382" s="252"/>
      <c r="PDY382" s="252"/>
      <c r="PDZ382" s="252"/>
      <c r="PEA382" s="252"/>
      <c r="PEB382" s="252"/>
      <c r="PEC382" s="252"/>
      <c r="PED382" s="252"/>
      <c r="PEE382" s="252"/>
      <c r="PEF382" s="252"/>
      <c r="PEG382" s="252"/>
      <c r="PEH382" s="252"/>
      <c r="PEI382" s="252"/>
      <c r="PEJ382" s="252"/>
      <c r="PEK382" s="252"/>
      <c r="PEL382" s="252"/>
      <c r="PEM382" s="252"/>
      <c r="PEN382" s="252"/>
      <c r="PEO382" s="252"/>
      <c r="PEP382" s="252"/>
      <c r="PEQ382" s="252"/>
      <c r="PER382" s="252"/>
      <c r="PES382" s="252"/>
      <c r="PET382" s="252"/>
      <c r="PEU382" s="252"/>
      <c r="PEV382" s="252"/>
      <c r="PEW382" s="252"/>
      <c r="PEX382" s="252"/>
      <c r="PEY382" s="252"/>
      <c r="PEZ382" s="252"/>
      <c r="PFA382" s="252"/>
      <c r="PFB382" s="252"/>
      <c r="PFC382" s="252"/>
      <c r="PFD382" s="252"/>
      <c r="PFE382" s="252"/>
      <c r="PFF382" s="252"/>
      <c r="PFG382" s="252"/>
      <c r="PFH382" s="252"/>
      <c r="PFI382" s="252"/>
      <c r="PFJ382" s="252"/>
      <c r="PFK382" s="252"/>
      <c r="PFL382" s="252"/>
      <c r="PFM382" s="252"/>
      <c r="PFN382" s="252"/>
      <c r="PFO382" s="252"/>
      <c r="PFP382" s="252"/>
      <c r="PFQ382" s="252"/>
      <c r="PFR382" s="252"/>
      <c r="PFS382" s="252"/>
      <c r="PFT382" s="252"/>
      <c r="PFU382" s="252"/>
      <c r="PFV382" s="252"/>
      <c r="PFW382" s="252"/>
      <c r="PFX382" s="252"/>
      <c r="PFY382" s="252"/>
      <c r="PFZ382" s="252"/>
      <c r="PGA382" s="252"/>
      <c r="PGB382" s="252"/>
      <c r="PGC382" s="252"/>
      <c r="PGD382" s="252"/>
      <c r="PGE382" s="252"/>
      <c r="PGF382" s="252"/>
      <c r="PGG382" s="252"/>
      <c r="PGH382" s="252"/>
      <c r="PGI382" s="252"/>
      <c r="PGJ382" s="252"/>
      <c r="PGK382" s="252"/>
      <c r="PGL382" s="252"/>
      <c r="PGM382" s="252"/>
      <c r="PGN382" s="252"/>
      <c r="PGO382" s="252"/>
      <c r="PGP382" s="252"/>
      <c r="PGQ382" s="252"/>
      <c r="PGR382" s="252"/>
      <c r="PGS382" s="252"/>
      <c r="PGT382" s="252"/>
      <c r="PGU382" s="252"/>
      <c r="PGV382" s="252"/>
      <c r="PGW382" s="252"/>
      <c r="PGX382" s="252"/>
      <c r="PGY382" s="252"/>
      <c r="PGZ382" s="252"/>
      <c r="PHA382" s="252"/>
      <c r="PHB382" s="252"/>
      <c r="PHC382" s="252"/>
      <c r="PHD382" s="252"/>
      <c r="PHE382" s="252"/>
      <c r="PHF382" s="252"/>
      <c r="PHG382" s="252"/>
      <c r="PHH382" s="252"/>
      <c r="PHI382" s="252"/>
      <c r="PHJ382" s="252"/>
      <c r="PHK382" s="252"/>
      <c r="PHL382" s="252"/>
      <c r="PHM382" s="252"/>
      <c r="PHN382" s="252"/>
      <c r="PHO382" s="252"/>
      <c r="PHP382" s="252"/>
      <c r="PHQ382" s="252"/>
      <c r="PHR382" s="252"/>
      <c r="PHS382" s="252"/>
      <c r="PHT382" s="252"/>
      <c r="PHU382" s="252"/>
      <c r="PHV382" s="252"/>
      <c r="PHW382" s="252"/>
      <c r="PHX382" s="252"/>
      <c r="PHY382" s="252"/>
      <c r="PHZ382" s="252"/>
      <c r="PIA382" s="252"/>
      <c r="PIB382" s="252"/>
      <c r="PIC382" s="252"/>
      <c r="PID382" s="252"/>
      <c r="PIE382" s="252"/>
      <c r="PIF382" s="252"/>
      <c r="PIG382" s="252"/>
      <c r="PIH382" s="252"/>
      <c r="PII382" s="252"/>
      <c r="PIJ382" s="252"/>
      <c r="PIK382" s="252"/>
      <c r="PIL382" s="252"/>
      <c r="PIM382" s="252"/>
      <c r="PIN382" s="252"/>
      <c r="PIO382" s="252"/>
      <c r="PIP382" s="252"/>
      <c r="PIQ382" s="252"/>
      <c r="PIR382" s="252"/>
      <c r="PIS382" s="252"/>
      <c r="PIT382" s="252"/>
      <c r="PIU382" s="252"/>
      <c r="PIV382" s="252"/>
      <c r="PIW382" s="252"/>
      <c r="PIX382" s="252"/>
      <c r="PIY382" s="252"/>
      <c r="PIZ382" s="252"/>
      <c r="PJA382" s="252"/>
      <c r="PJB382" s="252"/>
      <c r="PJC382" s="252"/>
      <c r="PJD382" s="252"/>
      <c r="PJE382" s="252"/>
      <c r="PJF382" s="252"/>
      <c r="PJG382" s="252"/>
      <c r="PJH382" s="252"/>
      <c r="PJI382" s="252"/>
      <c r="PJJ382" s="252"/>
      <c r="PJK382" s="252"/>
      <c r="PJL382" s="252"/>
      <c r="PJM382" s="252"/>
      <c r="PJN382" s="252"/>
      <c r="PJO382" s="252"/>
      <c r="PJP382" s="252"/>
      <c r="PJQ382" s="252"/>
      <c r="PJR382" s="252"/>
      <c r="PJS382" s="252"/>
      <c r="PJT382" s="252"/>
      <c r="PJU382" s="252"/>
      <c r="PJV382" s="252"/>
      <c r="PJW382" s="252"/>
      <c r="PJX382" s="252"/>
      <c r="PJY382" s="252"/>
      <c r="PJZ382" s="252"/>
      <c r="PKA382" s="252"/>
      <c r="PKB382" s="252"/>
      <c r="PKC382" s="252"/>
      <c r="PKD382" s="252"/>
      <c r="PKE382" s="252"/>
      <c r="PKF382" s="252"/>
      <c r="PKG382" s="252"/>
      <c r="PKH382" s="252"/>
      <c r="PKI382" s="252"/>
      <c r="PKJ382" s="252"/>
      <c r="PKK382" s="252"/>
      <c r="PKL382" s="252"/>
      <c r="PKM382" s="252"/>
      <c r="PKN382" s="252"/>
      <c r="PKO382" s="252"/>
      <c r="PKP382" s="252"/>
      <c r="PKQ382" s="252"/>
      <c r="PKR382" s="252"/>
      <c r="PKS382" s="252"/>
      <c r="PKT382" s="252"/>
      <c r="PKU382" s="252"/>
      <c r="PKV382" s="252"/>
      <c r="PKW382" s="252"/>
      <c r="PKX382" s="252"/>
      <c r="PKY382" s="252"/>
      <c r="PKZ382" s="252"/>
      <c r="PLA382" s="252"/>
      <c r="PLB382" s="252"/>
      <c r="PLC382" s="252"/>
      <c r="PLD382" s="252"/>
      <c r="PLE382" s="252"/>
      <c r="PLF382" s="252"/>
      <c r="PLG382" s="252"/>
      <c r="PLH382" s="252"/>
      <c r="PLI382" s="252"/>
      <c r="PLJ382" s="252"/>
      <c r="PLK382" s="252"/>
      <c r="PLL382" s="252"/>
      <c r="PLM382" s="252"/>
      <c r="PLN382" s="252"/>
      <c r="PLO382" s="252"/>
      <c r="PLP382" s="252"/>
      <c r="PLQ382" s="252"/>
      <c r="PLR382" s="252"/>
      <c r="PLS382" s="252"/>
      <c r="PLT382" s="252"/>
      <c r="PLU382" s="252"/>
      <c r="PLV382" s="252"/>
      <c r="PLW382" s="252"/>
      <c r="PLX382" s="252"/>
      <c r="PLY382" s="252"/>
      <c r="PLZ382" s="252"/>
      <c r="PMA382" s="252"/>
      <c r="PMB382" s="252"/>
      <c r="PMC382" s="252"/>
      <c r="PMD382" s="252"/>
      <c r="PME382" s="252"/>
      <c r="PMF382" s="252"/>
      <c r="PMG382" s="252"/>
      <c r="PMH382" s="252"/>
      <c r="PMI382" s="252"/>
      <c r="PMJ382" s="252"/>
      <c r="PMK382" s="252"/>
      <c r="PML382" s="252"/>
      <c r="PMM382" s="252"/>
      <c r="PMN382" s="252"/>
      <c r="PMO382" s="252"/>
      <c r="PMP382" s="252"/>
      <c r="PMQ382" s="252"/>
      <c r="PMR382" s="252"/>
      <c r="PMS382" s="252"/>
      <c r="PMT382" s="252"/>
      <c r="PMU382" s="252"/>
      <c r="PMV382" s="252"/>
      <c r="PMW382" s="252"/>
      <c r="PMX382" s="252"/>
      <c r="PMY382" s="252"/>
      <c r="PMZ382" s="252"/>
      <c r="PNA382" s="252"/>
      <c r="PNB382" s="252"/>
      <c r="PNC382" s="252"/>
      <c r="PND382" s="252"/>
      <c r="PNE382" s="252"/>
      <c r="PNF382" s="252"/>
      <c r="PNG382" s="252"/>
      <c r="PNH382" s="252"/>
      <c r="PNI382" s="252"/>
      <c r="PNJ382" s="252"/>
      <c r="PNK382" s="252"/>
      <c r="PNL382" s="252"/>
      <c r="PNM382" s="252"/>
      <c r="PNN382" s="252"/>
      <c r="PNO382" s="252"/>
      <c r="PNP382" s="252"/>
      <c r="PNQ382" s="252"/>
      <c r="PNR382" s="252"/>
      <c r="PNS382" s="252"/>
      <c r="PNT382" s="252"/>
      <c r="PNU382" s="252"/>
      <c r="PNV382" s="252"/>
      <c r="PNW382" s="252"/>
      <c r="PNX382" s="252"/>
      <c r="PNY382" s="252"/>
      <c r="PNZ382" s="252"/>
      <c r="POA382" s="252"/>
      <c r="POB382" s="252"/>
      <c r="POC382" s="252"/>
      <c r="POD382" s="252"/>
      <c r="POE382" s="252"/>
      <c r="POF382" s="252"/>
      <c r="POG382" s="252"/>
      <c r="POH382" s="252"/>
      <c r="POI382" s="252"/>
      <c r="POJ382" s="252"/>
      <c r="POK382" s="252"/>
      <c r="POL382" s="252"/>
      <c r="POM382" s="252"/>
      <c r="PON382" s="252"/>
      <c r="POO382" s="252"/>
      <c r="POP382" s="252"/>
      <c r="POQ382" s="252"/>
      <c r="POR382" s="252"/>
      <c r="POS382" s="252"/>
      <c r="POT382" s="252"/>
      <c r="POU382" s="252"/>
      <c r="POV382" s="252"/>
      <c r="POW382" s="252"/>
      <c r="POX382" s="252"/>
      <c r="POY382" s="252"/>
      <c r="POZ382" s="252"/>
      <c r="PPA382" s="252"/>
      <c r="PPB382" s="252"/>
      <c r="PPC382" s="252"/>
      <c r="PPD382" s="252"/>
      <c r="PPE382" s="252"/>
      <c r="PPF382" s="252"/>
      <c r="PPG382" s="252"/>
      <c r="PPH382" s="252"/>
      <c r="PPI382" s="252"/>
      <c r="PPJ382" s="252"/>
      <c r="PPK382" s="252"/>
      <c r="PPL382" s="252"/>
      <c r="PPM382" s="252"/>
      <c r="PPN382" s="252"/>
      <c r="PPO382" s="252"/>
      <c r="PPP382" s="252"/>
      <c r="PPQ382" s="252"/>
      <c r="PPR382" s="252"/>
      <c r="PPS382" s="252"/>
      <c r="PPT382" s="252"/>
      <c r="PPU382" s="252"/>
      <c r="PPV382" s="252"/>
      <c r="PPW382" s="252"/>
      <c r="PPX382" s="252"/>
      <c r="PPY382" s="252"/>
      <c r="PPZ382" s="252"/>
      <c r="PQA382" s="252"/>
      <c r="PQB382" s="252"/>
      <c r="PQC382" s="252"/>
      <c r="PQD382" s="252"/>
      <c r="PQE382" s="252"/>
      <c r="PQF382" s="252"/>
      <c r="PQG382" s="252"/>
      <c r="PQH382" s="252"/>
      <c r="PQI382" s="252"/>
      <c r="PQJ382" s="252"/>
      <c r="PQK382" s="252"/>
      <c r="PQL382" s="252"/>
      <c r="PQM382" s="252"/>
      <c r="PQN382" s="252"/>
      <c r="PQO382" s="252"/>
      <c r="PQP382" s="252"/>
      <c r="PQQ382" s="252"/>
      <c r="PQR382" s="252"/>
      <c r="PQS382" s="252"/>
      <c r="PQT382" s="252"/>
      <c r="PQU382" s="252"/>
      <c r="PQV382" s="252"/>
      <c r="PQW382" s="252"/>
      <c r="PQX382" s="252"/>
      <c r="PQY382" s="252"/>
      <c r="PQZ382" s="252"/>
      <c r="PRA382" s="252"/>
      <c r="PRB382" s="252"/>
      <c r="PRC382" s="252"/>
      <c r="PRD382" s="252"/>
      <c r="PRE382" s="252"/>
      <c r="PRF382" s="252"/>
      <c r="PRG382" s="252"/>
      <c r="PRH382" s="252"/>
      <c r="PRI382" s="252"/>
      <c r="PRJ382" s="252"/>
      <c r="PRK382" s="252"/>
      <c r="PRL382" s="252"/>
      <c r="PRM382" s="252"/>
      <c r="PRN382" s="252"/>
      <c r="PRO382" s="252"/>
      <c r="PRP382" s="252"/>
      <c r="PRQ382" s="252"/>
      <c r="PRR382" s="252"/>
      <c r="PRS382" s="252"/>
      <c r="PRT382" s="252"/>
      <c r="PRU382" s="252"/>
      <c r="PRV382" s="252"/>
      <c r="PRW382" s="252"/>
      <c r="PRX382" s="252"/>
      <c r="PRY382" s="252"/>
      <c r="PRZ382" s="252"/>
      <c r="PSA382" s="252"/>
      <c r="PSB382" s="252"/>
      <c r="PSC382" s="252"/>
      <c r="PSD382" s="252"/>
      <c r="PSE382" s="252"/>
      <c r="PSF382" s="252"/>
      <c r="PSG382" s="252"/>
      <c r="PSH382" s="252"/>
      <c r="PSI382" s="252"/>
      <c r="PSJ382" s="252"/>
      <c r="PSK382" s="252"/>
      <c r="PSL382" s="252"/>
      <c r="PSM382" s="252"/>
      <c r="PSN382" s="252"/>
      <c r="PSO382" s="252"/>
      <c r="PSP382" s="252"/>
      <c r="PSQ382" s="252"/>
      <c r="PSR382" s="252"/>
      <c r="PSS382" s="252"/>
      <c r="PST382" s="252"/>
      <c r="PSU382" s="252"/>
      <c r="PSV382" s="252"/>
      <c r="PSW382" s="252"/>
      <c r="PSX382" s="252"/>
      <c r="PSY382" s="252"/>
      <c r="PSZ382" s="252"/>
      <c r="PTA382" s="252"/>
      <c r="PTB382" s="252"/>
      <c r="PTC382" s="252"/>
      <c r="PTD382" s="252"/>
      <c r="PTE382" s="252"/>
      <c r="PTF382" s="252"/>
      <c r="PTG382" s="252"/>
      <c r="PTH382" s="252"/>
      <c r="PTI382" s="252"/>
      <c r="PTJ382" s="252"/>
      <c r="PTK382" s="252"/>
      <c r="PTL382" s="252"/>
      <c r="PTM382" s="252"/>
      <c r="PTN382" s="252"/>
      <c r="PTO382" s="252"/>
      <c r="PTP382" s="252"/>
      <c r="PTQ382" s="252"/>
      <c r="PTR382" s="252"/>
      <c r="PTS382" s="252"/>
      <c r="PTT382" s="252"/>
      <c r="PTU382" s="252"/>
      <c r="PTV382" s="252"/>
      <c r="PTW382" s="252"/>
      <c r="PTX382" s="252"/>
      <c r="PTY382" s="252"/>
      <c r="PTZ382" s="252"/>
      <c r="PUA382" s="252"/>
      <c r="PUB382" s="252"/>
      <c r="PUC382" s="252"/>
      <c r="PUD382" s="252"/>
      <c r="PUE382" s="252"/>
      <c r="PUF382" s="252"/>
      <c r="PUG382" s="252"/>
      <c r="PUH382" s="252"/>
      <c r="PUI382" s="252"/>
      <c r="PUJ382" s="252"/>
      <c r="PUK382" s="252"/>
      <c r="PUL382" s="252"/>
      <c r="PUM382" s="252"/>
      <c r="PUN382" s="252"/>
      <c r="PUO382" s="252"/>
      <c r="PUP382" s="252"/>
      <c r="PUQ382" s="252"/>
      <c r="PUR382" s="252"/>
      <c r="PUS382" s="252"/>
      <c r="PUT382" s="252"/>
      <c r="PUU382" s="252"/>
      <c r="PUV382" s="252"/>
      <c r="PUW382" s="252"/>
      <c r="PUX382" s="252"/>
      <c r="PUY382" s="252"/>
      <c r="PUZ382" s="252"/>
      <c r="PVA382" s="252"/>
      <c r="PVB382" s="252"/>
      <c r="PVC382" s="252"/>
      <c r="PVD382" s="252"/>
      <c r="PVE382" s="252"/>
      <c r="PVF382" s="252"/>
      <c r="PVG382" s="252"/>
      <c r="PVH382" s="252"/>
      <c r="PVI382" s="252"/>
      <c r="PVJ382" s="252"/>
      <c r="PVK382" s="252"/>
      <c r="PVL382" s="252"/>
      <c r="PVM382" s="252"/>
      <c r="PVN382" s="252"/>
      <c r="PVO382" s="252"/>
      <c r="PVP382" s="252"/>
      <c r="PVQ382" s="252"/>
      <c r="PVR382" s="252"/>
      <c r="PVS382" s="252"/>
      <c r="PVT382" s="252"/>
      <c r="PVU382" s="252"/>
      <c r="PVV382" s="252"/>
      <c r="PVW382" s="252"/>
      <c r="PVX382" s="252"/>
      <c r="PVY382" s="252"/>
      <c r="PVZ382" s="252"/>
      <c r="PWA382" s="252"/>
      <c r="PWB382" s="252"/>
      <c r="PWC382" s="252"/>
      <c r="PWD382" s="252"/>
      <c r="PWE382" s="252"/>
      <c r="PWF382" s="252"/>
      <c r="PWG382" s="252"/>
      <c r="PWH382" s="252"/>
      <c r="PWI382" s="252"/>
      <c r="PWJ382" s="252"/>
      <c r="PWK382" s="252"/>
      <c r="PWL382" s="252"/>
      <c r="PWM382" s="252"/>
      <c r="PWN382" s="252"/>
      <c r="PWO382" s="252"/>
      <c r="PWP382" s="252"/>
      <c r="PWQ382" s="252"/>
      <c r="PWR382" s="252"/>
      <c r="PWS382" s="252"/>
      <c r="PWT382" s="252"/>
      <c r="PWU382" s="252"/>
      <c r="PWV382" s="252"/>
      <c r="PWW382" s="252"/>
      <c r="PWX382" s="252"/>
      <c r="PWY382" s="252"/>
      <c r="PWZ382" s="252"/>
      <c r="PXA382" s="252"/>
      <c r="PXB382" s="252"/>
      <c r="PXC382" s="252"/>
      <c r="PXD382" s="252"/>
      <c r="PXE382" s="252"/>
      <c r="PXF382" s="252"/>
      <c r="PXG382" s="252"/>
      <c r="PXH382" s="252"/>
      <c r="PXI382" s="252"/>
      <c r="PXJ382" s="252"/>
      <c r="PXK382" s="252"/>
      <c r="PXL382" s="252"/>
      <c r="PXM382" s="252"/>
      <c r="PXN382" s="252"/>
      <c r="PXO382" s="252"/>
      <c r="PXP382" s="252"/>
      <c r="PXQ382" s="252"/>
      <c r="PXR382" s="252"/>
      <c r="PXS382" s="252"/>
      <c r="PXT382" s="252"/>
      <c r="PXU382" s="252"/>
      <c r="PXV382" s="252"/>
      <c r="PXW382" s="252"/>
      <c r="PXX382" s="252"/>
      <c r="PXY382" s="252"/>
      <c r="PXZ382" s="252"/>
      <c r="PYA382" s="252"/>
      <c r="PYB382" s="252"/>
      <c r="PYC382" s="252"/>
      <c r="PYD382" s="252"/>
      <c r="PYE382" s="252"/>
      <c r="PYF382" s="252"/>
      <c r="PYG382" s="252"/>
      <c r="PYH382" s="252"/>
      <c r="PYI382" s="252"/>
      <c r="PYJ382" s="252"/>
      <c r="PYK382" s="252"/>
      <c r="PYL382" s="252"/>
      <c r="PYM382" s="252"/>
      <c r="PYN382" s="252"/>
      <c r="PYO382" s="252"/>
      <c r="PYP382" s="252"/>
      <c r="PYQ382" s="252"/>
      <c r="PYR382" s="252"/>
      <c r="PYS382" s="252"/>
      <c r="PYT382" s="252"/>
      <c r="PYU382" s="252"/>
      <c r="PYV382" s="252"/>
      <c r="PYW382" s="252"/>
      <c r="PYX382" s="252"/>
      <c r="PYY382" s="252"/>
      <c r="PYZ382" s="252"/>
      <c r="PZA382" s="252"/>
      <c r="PZB382" s="252"/>
      <c r="PZC382" s="252"/>
      <c r="PZD382" s="252"/>
      <c r="PZE382" s="252"/>
      <c r="PZF382" s="252"/>
      <c r="PZG382" s="252"/>
      <c r="PZH382" s="252"/>
      <c r="PZI382" s="252"/>
      <c r="PZJ382" s="252"/>
      <c r="PZK382" s="252"/>
      <c r="PZL382" s="252"/>
      <c r="PZM382" s="252"/>
      <c r="PZN382" s="252"/>
      <c r="PZO382" s="252"/>
      <c r="PZP382" s="252"/>
      <c r="PZQ382" s="252"/>
      <c r="PZR382" s="252"/>
      <c r="PZS382" s="252"/>
      <c r="PZT382" s="252"/>
      <c r="PZU382" s="252"/>
      <c r="PZV382" s="252"/>
      <c r="PZW382" s="252"/>
      <c r="PZX382" s="252"/>
      <c r="PZY382" s="252"/>
      <c r="PZZ382" s="252"/>
      <c r="QAA382" s="252"/>
      <c r="QAB382" s="252"/>
      <c r="QAC382" s="252"/>
      <c r="QAD382" s="252"/>
      <c r="QAE382" s="252"/>
      <c r="QAF382" s="252"/>
      <c r="QAG382" s="252"/>
      <c r="QAH382" s="252"/>
      <c r="QAI382" s="252"/>
      <c r="QAJ382" s="252"/>
      <c r="QAK382" s="252"/>
      <c r="QAL382" s="252"/>
      <c r="QAM382" s="252"/>
      <c r="QAN382" s="252"/>
      <c r="QAO382" s="252"/>
      <c r="QAP382" s="252"/>
      <c r="QAQ382" s="252"/>
      <c r="QAR382" s="252"/>
      <c r="QAS382" s="252"/>
      <c r="QAT382" s="252"/>
      <c r="QAU382" s="252"/>
      <c r="QAV382" s="252"/>
      <c r="QAW382" s="252"/>
      <c r="QAX382" s="252"/>
      <c r="QAY382" s="252"/>
      <c r="QAZ382" s="252"/>
      <c r="QBA382" s="252"/>
      <c r="QBB382" s="252"/>
      <c r="QBC382" s="252"/>
      <c r="QBD382" s="252"/>
      <c r="QBE382" s="252"/>
      <c r="QBF382" s="252"/>
      <c r="QBG382" s="252"/>
      <c r="QBH382" s="252"/>
      <c r="QBI382" s="252"/>
      <c r="QBJ382" s="252"/>
      <c r="QBK382" s="252"/>
      <c r="QBL382" s="252"/>
      <c r="QBM382" s="252"/>
      <c r="QBN382" s="252"/>
      <c r="QBO382" s="252"/>
      <c r="QBP382" s="252"/>
      <c r="QBQ382" s="252"/>
      <c r="QBR382" s="252"/>
      <c r="QBS382" s="252"/>
      <c r="QBT382" s="252"/>
      <c r="QBU382" s="252"/>
      <c r="QBV382" s="252"/>
      <c r="QBW382" s="252"/>
      <c r="QBX382" s="252"/>
      <c r="QBY382" s="252"/>
      <c r="QBZ382" s="252"/>
      <c r="QCA382" s="252"/>
      <c r="QCB382" s="252"/>
      <c r="QCC382" s="252"/>
      <c r="QCD382" s="252"/>
      <c r="QCE382" s="252"/>
      <c r="QCF382" s="252"/>
      <c r="QCG382" s="252"/>
      <c r="QCH382" s="252"/>
      <c r="QCI382" s="252"/>
      <c r="QCJ382" s="252"/>
      <c r="QCK382" s="252"/>
      <c r="QCL382" s="252"/>
      <c r="QCM382" s="252"/>
      <c r="QCN382" s="252"/>
      <c r="QCO382" s="252"/>
      <c r="QCP382" s="252"/>
      <c r="QCQ382" s="252"/>
      <c r="QCR382" s="252"/>
      <c r="QCS382" s="252"/>
      <c r="QCT382" s="252"/>
      <c r="QCU382" s="252"/>
      <c r="QCV382" s="252"/>
      <c r="QCW382" s="252"/>
      <c r="QCX382" s="252"/>
      <c r="QCY382" s="252"/>
      <c r="QCZ382" s="252"/>
      <c r="QDA382" s="252"/>
      <c r="QDB382" s="252"/>
      <c r="QDC382" s="252"/>
      <c r="QDD382" s="252"/>
      <c r="QDE382" s="252"/>
      <c r="QDF382" s="252"/>
      <c r="QDG382" s="252"/>
      <c r="QDH382" s="252"/>
      <c r="QDI382" s="252"/>
      <c r="QDJ382" s="252"/>
      <c r="QDK382" s="252"/>
      <c r="QDL382" s="252"/>
      <c r="QDM382" s="252"/>
      <c r="QDN382" s="252"/>
      <c r="QDO382" s="252"/>
      <c r="QDP382" s="252"/>
      <c r="QDQ382" s="252"/>
      <c r="QDR382" s="252"/>
      <c r="QDS382" s="252"/>
      <c r="QDT382" s="252"/>
      <c r="QDU382" s="252"/>
      <c r="QDV382" s="252"/>
      <c r="QDW382" s="252"/>
      <c r="QDX382" s="252"/>
      <c r="QDY382" s="252"/>
      <c r="QDZ382" s="252"/>
      <c r="QEA382" s="252"/>
      <c r="QEB382" s="252"/>
      <c r="QEC382" s="252"/>
      <c r="QED382" s="252"/>
      <c r="QEE382" s="252"/>
      <c r="QEF382" s="252"/>
      <c r="QEG382" s="252"/>
      <c r="QEH382" s="252"/>
      <c r="QEI382" s="252"/>
      <c r="QEJ382" s="252"/>
      <c r="QEK382" s="252"/>
      <c r="QEL382" s="252"/>
      <c r="QEM382" s="252"/>
      <c r="QEN382" s="252"/>
      <c r="QEO382" s="252"/>
      <c r="QEP382" s="252"/>
      <c r="QEQ382" s="252"/>
      <c r="QER382" s="252"/>
      <c r="QES382" s="252"/>
      <c r="QET382" s="252"/>
      <c r="QEU382" s="252"/>
      <c r="QEV382" s="252"/>
      <c r="QEW382" s="252"/>
      <c r="QEX382" s="252"/>
      <c r="QEY382" s="252"/>
      <c r="QEZ382" s="252"/>
      <c r="QFA382" s="252"/>
      <c r="QFB382" s="252"/>
      <c r="QFC382" s="252"/>
      <c r="QFD382" s="252"/>
      <c r="QFE382" s="252"/>
      <c r="QFF382" s="252"/>
      <c r="QFG382" s="252"/>
      <c r="QFH382" s="252"/>
      <c r="QFI382" s="252"/>
      <c r="QFJ382" s="252"/>
      <c r="QFK382" s="252"/>
      <c r="QFL382" s="252"/>
      <c r="QFM382" s="252"/>
      <c r="QFN382" s="252"/>
      <c r="QFO382" s="252"/>
      <c r="QFP382" s="252"/>
      <c r="QFQ382" s="252"/>
      <c r="QFR382" s="252"/>
      <c r="QFS382" s="252"/>
      <c r="QFT382" s="252"/>
      <c r="QFU382" s="252"/>
      <c r="QFV382" s="252"/>
      <c r="QFW382" s="252"/>
      <c r="QFX382" s="252"/>
      <c r="QFY382" s="252"/>
      <c r="QFZ382" s="252"/>
      <c r="QGA382" s="252"/>
      <c r="QGB382" s="252"/>
      <c r="QGC382" s="252"/>
      <c r="QGD382" s="252"/>
      <c r="QGE382" s="252"/>
      <c r="QGF382" s="252"/>
      <c r="QGG382" s="252"/>
      <c r="QGH382" s="252"/>
      <c r="QGI382" s="252"/>
      <c r="QGJ382" s="252"/>
      <c r="QGK382" s="252"/>
      <c r="QGL382" s="252"/>
      <c r="QGM382" s="252"/>
      <c r="QGN382" s="252"/>
      <c r="QGO382" s="252"/>
      <c r="QGP382" s="252"/>
      <c r="QGQ382" s="252"/>
      <c r="QGR382" s="252"/>
      <c r="QGS382" s="252"/>
      <c r="QGT382" s="252"/>
      <c r="QGU382" s="252"/>
      <c r="QGV382" s="252"/>
      <c r="QGW382" s="252"/>
      <c r="QGX382" s="252"/>
      <c r="QGY382" s="252"/>
      <c r="QGZ382" s="252"/>
      <c r="QHA382" s="252"/>
      <c r="QHB382" s="252"/>
      <c r="QHC382" s="252"/>
      <c r="QHD382" s="252"/>
      <c r="QHE382" s="252"/>
      <c r="QHF382" s="252"/>
      <c r="QHG382" s="252"/>
      <c r="QHH382" s="252"/>
      <c r="QHI382" s="252"/>
      <c r="QHJ382" s="252"/>
      <c r="QHK382" s="252"/>
      <c r="QHL382" s="252"/>
      <c r="QHM382" s="252"/>
      <c r="QHN382" s="252"/>
      <c r="QHO382" s="252"/>
      <c r="QHP382" s="252"/>
      <c r="QHQ382" s="252"/>
      <c r="QHR382" s="252"/>
      <c r="QHS382" s="252"/>
      <c r="QHT382" s="252"/>
      <c r="QHU382" s="252"/>
      <c r="QHV382" s="252"/>
      <c r="QHW382" s="252"/>
      <c r="QHX382" s="252"/>
      <c r="QHY382" s="252"/>
      <c r="QHZ382" s="252"/>
      <c r="QIA382" s="252"/>
      <c r="QIB382" s="252"/>
      <c r="QIC382" s="252"/>
      <c r="QID382" s="252"/>
      <c r="QIE382" s="252"/>
      <c r="QIF382" s="252"/>
      <c r="QIG382" s="252"/>
      <c r="QIH382" s="252"/>
      <c r="QII382" s="252"/>
      <c r="QIJ382" s="252"/>
      <c r="QIK382" s="252"/>
      <c r="QIL382" s="252"/>
      <c r="QIM382" s="252"/>
      <c r="QIN382" s="252"/>
      <c r="QIO382" s="252"/>
      <c r="QIP382" s="252"/>
      <c r="QIQ382" s="252"/>
      <c r="QIR382" s="252"/>
      <c r="QIS382" s="252"/>
      <c r="QIT382" s="252"/>
      <c r="QIU382" s="252"/>
      <c r="QIV382" s="252"/>
      <c r="QIW382" s="252"/>
      <c r="QIX382" s="252"/>
      <c r="QIY382" s="252"/>
      <c r="QIZ382" s="252"/>
      <c r="QJA382" s="252"/>
      <c r="QJB382" s="252"/>
      <c r="QJC382" s="252"/>
      <c r="QJD382" s="252"/>
      <c r="QJE382" s="252"/>
      <c r="QJF382" s="252"/>
      <c r="QJG382" s="252"/>
      <c r="QJH382" s="252"/>
      <c r="QJI382" s="252"/>
      <c r="QJJ382" s="252"/>
      <c r="QJK382" s="252"/>
      <c r="QJL382" s="252"/>
      <c r="QJM382" s="252"/>
      <c r="QJN382" s="252"/>
      <c r="QJO382" s="252"/>
      <c r="QJP382" s="252"/>
      <c r="QJQ382" s="252"/>
      <c r="QJR382" s="252"/>
      <c r="QJS382" s="252"/>
      <c r="QJT382" s="252"/>
      <c r="QJU382" s="252"/>
      <c r="QJV382" s="252"/>
      <c r="QJW382" s="252"/>
      <c r="QJX382" s="252"/>
      <c r="QJY382" s="252"/>
      <c r="QJZ382" s="252"/>
      <c r="QKA382" s="252"/>
      <c r="QKB382" s="252"/>
      <c r="QKC382" s="252"/>
      <c r="QKD382" s="252"/>
      <c r="QKE382" s="252"/>
      <c r="QKF382" s="252"/>
      <c r="QKG382" s="252"/>
      <c r="QKH382" s="252"/>
      <c r="QKI382" s="252"/>
      <c r="QKJ382" s="252"/>
      <c r="QKK382" s="252"/>
      <c r="QKL382" s="252"/>
      <c r="QKM382" s="252"/>
      <c r="QKN382" s="252"/>
      <c r="QKO382" s="252"/>
      <c r="QKP382" s="252"/>
      <c r="QKQ382" s="252"/>
      <c r="QKR382" s="252"/>
      <c r="QKS382" s="252"/>
      <c r="QKT382" s="252"/>
      <c r="QKU382" s="252"/>
      <c r="QKV382" s="252"/>
      <c r="QKW382" s="252"/>
      <c r="QKX382" s="252"/>
      <c r="QKY382" s="252"/>
      <c r="QKZ382" s="252"/>
      <c r="QLA382" s="252"/>
      <c r="QLB382" s="252"/>
      <c r="QLC382" s="252"/>
      <c r="QLD382" s="252"/>
      <c r="QLE382" s="252"/>
      <c r="QLF382" s="252"/>
      <c r="QLG382" s="252"/>
      <c r="QLH382" s="252"/>
      <c r="QLI382" s="252"/>
      <c r="QLJ382" s="252"/>
      <c r="QLK382" s="252"/>
      <c r="QLL382" s="252"/>
      <c r="QLM382" s="252"/>
      <c r="QLN382" s="252"/>
      <c r="QLO382" s="252"/>
      <c r="QLP382" s="252"/>
      <c r="QLQ382" s="252"/>
      <c r="QLR382" s="252"/>
      <c r="QLS382" s="252"/>
      <c r="QLT382" s="252"/>
      <c r="QLU382" s="252"/>
      <c r="QLV382" s="252"/>
      <c r="QLW382" s="252"/>
      <c r="QLX382" s="252"/>
      <c r="QLY382" s="252"/>
      <c r="QLZ382" s="252"/>
      <c r="QMA382" s="252"/>
      <c r="QMB382" s="252"/>
      <c r="QMC382" s="252"/>
      <c r="QMD382" s="252"/>
      <c r="QME382" s="252"/>
      <c r="QMF382" s="252"/>
      <c r="QMG382" s="252"/>
      <c r="QMH382" s="252"/>
      <c r="QMI382" s="252"/>
      <c r="QMJ382" s="252"/>
      <c r="QMK382" s="252"/>
      <c r="QML382" s="252"/>
      <c r="QMM382" s="252"/>
      <c r="QMN382" s="252"/>
      <c r="QMO382" s="252"/>
      <c r="QMP382" s="252"/>
      <c r="QMQ382" s="252"/>
      <c r="QMR382" s="252"/>
      <c r="QMS382" s="252"/>
      <c r="QMT382" s="252"/>
      <c r="QMU382" s="252"/>
      <c r="QMV382" s="252"/>
      <c r="QMW382" s="252"/>
      <c r="QMX382" s="252"/>
      <c r="QMY382" s="252"/>
      <c r="QMZ382" s="252"/>
      <c r="QNA382" s="252"/>
      <c r="QNB382" s="252"/>
      <c r="QNC382" s="252"/>
      <c r="QND382" s="252"/>
      <c r="QNE382" s="252"/>
      <c r="QNF382" s="252"/>
      <c r="QNG382" s="252"/>
      <c r="QNH382" s="252"/>
      <c r="QNI382" s="252"/>
      <c r="QNJ382" s="252"/>
      <c r="QNK382" s="252"/>
      <c r="QNL382" s="252"/>
      <c r="QNM382" s="252"/>
      <c r="QNN382" s="252"/>
      <c r="QNO382" s="252"/>
      <c r="QNP382" s="252"/>
      <c r="QNQ382" s="252"/>
      <c r="QNR382" s="252"/>
      <c r="QNS382" s="252"/>
      <c r="QNT382" s="252"/>
      <c r="QNU382" s="252"/>
      <c r="QNV382" s="252"/>
      <c r="QNW382" s="252"/>
      <c r="QNX382" s="252"/>
      <c r="QNY382" s="252"/>
      <c r="QNZ382" s="252"/>
      <c r="QOA382" s="252"/>
      <c r="QOB382" s="252"/>
      <c r="QOC382" s="252"/>
      <c r="QOD382" s="252"/>
      <c r="QOE382" s="252"/>
      <c r="QOF382" s="252"/>
      <c r="QOG382" s="252"/>
      <c r="QOH382" s="252"/>
      <c r="QOI382" s="252"/>
      <c r="QOJ382" s="252"/>
      <c r="QOK382" s="252"/>
      <c r="QOL382" s="252"/>
      <c r="QOM382" s="252"/>
      <c r="QON382" s="252"/>
      <c r="QOO382" s="252"/>
      <c r="QOP382" s="252"/>
      <c r="QOQ382" s="252"/>
      <c r="QOR382" s="252"/>
      <c r="QOS382" s="252"/>
      <c r="QOT382" s="252"/>
      <c r="QOU382" s="252"/>
      <c r="QOV382" s="252"/>
      <c r="QOW382" s="252"/>
      <c r="QOX382" s="252"/>
      <c r="QOY382" s="252"/>
      <c r="QOZ382" s="252"/>
      <c r="QPA382" s="252"/>
      <c r="QPB382" s="252"/>
      <c r="QPC382" s="252"/>
      <c r="QPD382" s="252"/>
      <c r="QPE382" s="252"/>
      <c r="QPF382" s="252"/>
      <c r="QPG382" s="252"/>
      <c r="QPH382" s="252"/>
      <c r="QPI382" s="252"/>
      <c r="QPJ382" s="252"/>
      <c r="QPK382" s="252"/>
      <c r="QPL382" s="252"/>
      <c r="QPM382" s="252"/>
      <c r="QPN382" s="252"/>
      <c r="QPO382" s="252"/>
      <c r="QPP382" s="252"/>
      <c r="QPQ382" s="252"/>
      <c r="QPR382" s="252"/>
      <c r="QPS382" s="252"/>
      <c r="QPT382" s="252"/>
      <c r="QPU382" s="252"/>
      <c r="QPV382" s="252"/>
      <c r="QPW382" s="252"/>
      <c r="QPX382" s="252"/>
      <c r="QPY382" s="252"/>
      <c r="QPZ382" s="252"/>
      <c r="QQA382" s="252"/>
      <c r="QQB382" s="252"/>
      <c r="QQC382" s="252"/>
      <c r="QQD382" s="252"/>
      <c r="QQE382" s="252"/>
      <c r="QQF382" s="252"/>
      <c r="QQG382" s="252"/>
      <c r="QQH382" s="252"/>
      <c r="QQI382" s="252"/>
      <c r="QQJ382" s="252"/>
      <c r="QQK382" s="252"/>
      <c r="QQL382" s="252"/>
      <c r="QQM382" s="252"/>
      <c r="QQN382" s="252"/>
      <c r="QQO382" s="252"/>
      <c r="QQP382" s="252"/>
      <c r="QQQ382" s="252"/>
      <c r="QQR382" s="252"/>
      <c r="QQS382" s="252"/>
      <c r="QQT382" s="252"/>
      <c r="QQU382" s="252"/>
      <c r="QQV382" s="252"/>
      <c r="QQW382" s="252"/>
      <c r="QQX382" s="252"/>
      <c r="QQY382" s="252"/>
      <c r="QQZ382" s="252"/>
      <c r="QRA382" s="252"/>
      <c r="QRB382" s="252"/>
      <c r="QRC382" s="252"/>
      <c r="QRD382" s="252"/>
      <c r="QRE382" s="252"/>
      <c r="QRF382" s="252"/>
      <c r="QRG382" s="252"/>
      <c r="QRH382" s="252"/>
      <c r="QRI382" s="252"/>
      <c r="QRJ382" s="252"/>
      <c r="QRK382" s="252"/>
      <c r="QRL382" s="252"/>
      <c r="QRM382" s="252"/>
      <c r="QRN382" s="252"/>
      <c r="QRO382" s="252"/>
      <c r="QRP382" s="252"/>
      <c r="QRQ382" s="252"/>
      <c r="QRR382" s="252"/>
      <c r="QRS382" s="252"/>
      <c r="QRT382" s="252"/>
      <c r="QRU382" s="252"/>
      <c r="QRV382" s="252"/>
      <c r="QRW382" s="252"/>
      <c r="QRX382" s="252"/>
      <c r="QRY382" s="252"/>
      <c r="QRZ382" s="252"/>
      <c r="QSA382" s="252"/>
      <c r="QSB382" s="252"/>
      <c r="QSC382" s="252"/>
      <c r="QSD382" s="252"/>
      <c r="QSE382" s="252"/>
      <c r="QSF382" s="252"/>
      <c r="QSG382" s="252"/>
      <c r="QSH382" s="252"/>
      <c r="QSI382" s="252"/>
      <c r="QSJ382" s="252"/>
      <c r="QSK382" s="252"/>
      <c r="QSL382" s="252"/>
      <c r="QSM382" s="252"/>
      <c r="QSN382" s="252"/>
      <c r="QSO382" s="252"/>
      <c r="QSP382" s="252"/>
      <c r="QSQ382" s="252"/>
      <c r="QSR382" s="252"/>
      <c r="QSS382" s="252"/>
      <c r="QST382" s="252"/>
      <c r="QSU382" s="252"/>
      <c r="QSV382" s="252"/>
      <c r="QSW382" s="252"/>
      <c r="QSX382" s="252"/>
      <c r="QSY382" s="252"/>
      <c r="QSZ382" s="252"/>
      <c r="QTA382" s="252"/>
      <c r="QTB382" s="252"/>
      <c r="QTC382" s="252"/>
      <c r="QTD382" s="252"/>
      <c r="QTE382" s="252"/>
      <c r="QTF382" s="252"/>
      <c r="QTG382" s="252"/>
      <c r="QTH382" s="252"/>
      <c r="QTI382" s="252"/>
      <c r="QTJ382" s="252"/>
      <c r="QTK382" s="252"/>
      <c r="QTL382" s="252"/>
      <c r="QTM382" s="252"/>
      <c r="QTN382" s="252"/>
      <c r="QTO382" s="252"/>
      <c r="QTP382" s="252"/>
      <c r="QTQ382" s="252"/>
      <c r="QTR382" s="252"/>
      <c r="QTS382" s="252"/>
      <c r="QTT382" s="252"/>
      <c r="QTU382" s="252"/>
      <c r="QTV382" s="252"/>
      <c r="QTW382" s="252"/>
      <c r="QTX382" s="252"/>
      <c r="QTY382" s="252"/>
      <c r="QTZ382" s="252"/>
      <c r="QUA382" s="252"/>
      <c r="QUB382" s="252"/>
      <c r="QUC382" s="252"/>
      <c r="QUD382" s="252"/>
      <c r="QUE382" s="252"/>
      <c r="QUF382" s="252"/>
      <c r="QUG382" s="252"/>
      <c r="QUH382" s="252"/>
      <c r="QUI382" s="252"/>
      <c r="QUJ382" s="252"/>
      <c r="QUK382" s="252"/>
      <c r="QUL382" s="252"/>
      <c r="QUM382" s="252"/>
      <c r="QUN382" s="252"/>
      <c r="QUO382" s="252"/>
      <c r="QUP382" s="252"/>
      <c r="QUQ382" s="252"/>
      <c r="QUR382" s="252"/>
      <c r="QUS382" s="252"/>
      <c r="QUT382" s="252"/>
      <c r="QUU382" s="252"/>
      <c r="QUV382" s="252"/>
      <c r="QUW382" s="252"/>
      <c r="QUX382" s="252"/>
      <c r="QUY382" s="252"/>
      <c r="QUZ382" s="252"/>
      <c r="QVA382" s="252"/>
      <c r="QVB382" s="252"/>
      <c r="QVC382" s="252"/>
      <c r="QVD382" s="252"/>
      <c r="QVE382" s="252"/>
      <c r="QVF382" s="252"/>
      <c r="QVG382" s="252"/>
      <c r="QVH382" s="252"/>
      <c r="QVI382" s="252"/>
      <c r="QVJ382" s="252"/>
      <c r="QVK382" s="252"/>
      <c r="QVL382" s="252"/>
      <c r="QVM382" s="252"/>
      <c r="QVN382" s="252"/>
      <c r="QVO382" s="252"/>
      <c r="QVP382" s="252"/>
      <c r="QVQ382" s="252"/>
      <c r="QVR382" s="252"/>
      <c r="QVS382" s="252"/>
      <c r="QVT382" s="252"/>
      <c r="QVU382" s="252"/>
      <c r="QVV382" s="252"/>
      <c r="QVW382" s="252"/>
      <c r="QVX382" s="252"/>
      <c r="QVY382" s="252"/>
      <c r="QVZ382" s="252"/>
      <c r="QWA382" s="252"/>
      <c r="QWB382" s="252"/>
      <c r="QWC382" s="252"/>
      <c r="QWD382" s="252"/>
      <c r="QWE382" s="252"/>
      <c r="QWF382" s="252"/>
      <c r="QWG382" s="252"/>
      <c r="QWH382" s="252"/>
      <c r="QWI382" s="252"/>
      <c r="QWJ382" s="252"/>
      <c r="QWK382" s="252"/>
      <c r="QWL382" s="252"/>
      <c r="QWM382" s="252"/>
      <c r="QWN382" s="252"/>
      <c r="QWO382" s="252"/>
      <c r="QWP382" s="252"/>
      <c r="QWQ382" s="252"/>
      <c r="QWR382" s="252"/>
      <c r="QWS382" s="252"/>
      <c r="QWT382" s="252"/>
      <c r="QWU382" s="252"/>
      <c r="QWV382" s="252"/>
      <c r="QWW382" s="252"/>
      <c r="QWX382" s="252"/>
      <c r="QWY382" s="252"/>
      <c r="QWZ382" s="252"/>
      <c r="QXA382" s="252"/>
      <c r="QXB382" s="252"/>
      <c r="QXC382" s="252"/>
      <c r="QXD382" s="252"/>
      <c r="QXE382" s="252"/>
      <c r="QXF382" s="252"/>
      <c r="QXG382" s="252"/>
      <c r="QXH382" s="252"/>
      <c r="QXI382" s="252"/>
      <c r="QXJ382" s="252"/>
      <c r="QXK382" s="252"/>
      <c r="QXL382" s="252"/>
      <c r="QXM382" s="252"/>
      <c r="QXN382" s="252"/>
      <c r="QXO382" s="252"/>
      <c r="QXP382" s="252"/>
      <c r="QXQ382" s="252"/>
      <c r="QXR382" s="252"/>
      <c r="QXS382" s="252"/>
      <c r="QXT382" s="252"/>
      <c r="QXU382" s="252"/>
      <c r="QXV382" s="252"/>
      <c r="QXW382" s="252"/>
      <c r="QXX382" s="252"/>
      <c r="QXY382" s="252"/>
      <c r="QXZ382" s="252"/>
      <c r="QYA382" s="252"/>
      <c r="QYB382" s="252"/>
      <c r="QYC382" s="252"/>
      <c r="QYD382" s="252"/>
      <c r="QYE382" s="252"/>
      <c r="QYF382" s="252"/>
      <c r="QYG382" s="252"/>
      <c r="QYH382" s="252"/>
      <c r="QYI382" s="252"/>
      <c r="QYJ382" s="252"/>
      <c r="QYK382" s="252"/>
      <c r="QYL382" s="252"/>
      <c r="QYM382" s="252"/>
      <c r="QYN382" s="252"/>
      <c r="QYO382" s="252"/>
      <c r="QYP382" s="252"/>
      <c r="QYQ382" s="252"/>
      <c r="QYR382" s="252"/>
      <c r="QYS382" s="252"/>
      <c r="QYT382" s="252"/>
      <c r="QYU382" s="252"/>
      <c r="QYV382" s="252"/>
      <c r="QYW382" s="252"/>
      <c r="QYX382" s="252"/>
      <c r="QYY382" s="252"/>
      <c r="QYZ382" s="252"/>
      <c r="QZA382" s="252"/>
      <c r="QZB382" s="252"/>
      <c r="QZC382" s="252"/>
      <c r="QZD382" s="252"/>
      <c r="QZE382" s="252"/>
      <c r="QZF382" s="252"/>
      <c r="QZG382" s="252"/>
      <c r="QZH382" s="252"/>
      <c r="QZI382" s="252"/>
      <c r="QZJ382" s="252"/>
      <c r="QZK382" s="252"/>
      <c r="QZL382" s="252"/>
      <c r="QZM382" s="252"/>
      <c r="QZN382" s="252"/>
      <c r="QZO382" s="252"/>
      <c r="QZP382" s="252"/>
      <c r="QZQ382" s="252"/>
      <c r="QZR382" s="252"/>
      <c r="QZS382" s="252"/>
      <c r="QZT382" s="252"/>
      <c r="QZU382" s="252"/>
      <c r="QZV382" s="252"/>
      <c r="QZW382" s="252"/>
      <c r="QZX382" s="252"/>
      <c r="QZY382" s="252"/>
      <c r="QZZ382" s="252"/>
      <c r="RAA382" s="252"/>
      <c r="RAB382" s="252"/>
      <c r="RAC382" s="252"/>
      <c r="RAD382" s="252"/>
      <c r="RAE382" s="252"/>
      <c r="RAF382" s="252"/>
      <c r="RAG382" s="252"/>
      <c r="RAH382" s="252"/>
      <c r="RAI382" s="252"/>
      <c r="RAJ382" s="252"/>
      <c r="RAK382" s="252"/>
      <c r="RAL382" s="252"/>
      <c r="RAM382" s="252"/>
      <c r="RAN382" s="252"/>
      <c r="RAO382" s="252"/>
      <c r="RAP382" s="252"/>
      <c r="RAQ382" s="252"/>
      <c r="RAR382" s="252"/>
      <c r="RAS382" s="252"/>
      <c r="RAT382" s="252"/>
      <c r="RAU382" s="252"/>
      <c r="RAV382" s="252"/>
      <c r="RAW382" s="252"/>
      <c r="RAX382" s="252"/>
      <c r="RAY382" s="252"/>
      <c r="RAZ382" s="252"/>
      <c r="RBA382" s="252"/>
      <c r="RBB382" s="252"/>
      <c r="RBC382" s="252"/>
      <c r="RBD382" s="252"/>
      <c r="RBE382" s="252"/>
      <c r="RBF382" s="252"/>
      <c r="RBG382" s="252"/>
      <c r="RBH382" s="252"/>
      <c r="RBI382" s="252"/>
      <c r="RBJ382" s="252"/>
      <c r="RBK382" s="252"/>
      <c r="RBL382" s="252"/>
      <c r="RBM382" s="252"/>
      <c r="RBN382" s="252"/>
      <c r="RBO382" s="252"/>
      <c r="RBP382" s="252"/>
      <c r="RBQ382" s="252"/>
      <c r="RBR382" s="252"/>
      <c r="RBS382" s="252"/>
      <c r="RBT382" s="252"/>
      <c r="RBU382" s="252"/>
      <c r="RBV382" s="252"/>
      <c r="RBW382" s="252"/>
      <c r="RBX382" s="252"/>
      <c r="RBY382" s="252"/>
      <c r="RBZ382" s="252"/>
      <c r="RCA382" s="252"/>
      <c r="RCB382" s="252"/>
      <c r="RCC382" s="252"/>
      <c r="RCD382" s="252"/>
      <c r="RCE382" s="252"/>
      <c r="RCF382" s="252"/>
      <c r="RCG382" s="252"/>
      <c r="RCH382" s="252"/>
      <c r="RCI382" s="252"/>
      <c r="RCJ382" s="252"/>
      <c r="RCK382" s="252"/>
      <c r="RCL382" s="252"/>
      <c r="RCM382" s="252"/>
      <c r="RCN382" s="252"/>
      <c r="RCO382" s="252"/>
      <c r="RCP382" s="252"/>
      <c r="RCQ382" s="252"/>
      <c r="RCR382" s="252"/>
      <c r="RCS382" s="252"/>
      <c r="RCT382" s="252"/>
      <c r="RCU382" s="252"/>
      <c r="RCV382" s="252"/>
      <c r="RCW382" s="252"/>
      <c r="RCX382" s="252"/>
      <c r="RCY382" s="252"/>
      <c r="RCZ382" s="252"/>
      <c r="RDA382" s="252"/>
      <c r="RDB382" s="252"/>
      <c r="RDC382" s="252"/>
      <c r="RDD382" s="252"/>
      <c r="RDE382" s="252"/>
      <c r="RDF382" s="252"/>
      <c r="RDG382" s="252"/>
      <c r="RDH382" s="252"/>
      <c r="RDI382" s="252"/>
      <c r="RDJ382" s="252"/>
      <c r="RDK382" s="252"/>
      <c r="RDL382" s="252"/>
      <c r="RDM382" s="252"/>
      <c r="RDN382" s="252"/>
      <c r="RDO382" s="252"/>
      <c r="RDP382" s="252"/>
      <c r="RDQ382" s="252"/>
      <c r="RDR382" s="252"/>
      <c r="RDS382" s="252"/>
      <c r="RDT382" s="252"/>
      <c r="RDU382" s="252"/>
      <c r="RDV382" s="252"/>
      <c r="RDW382" s="252"/>
      <c r="RDX382" s="252"/>
      <c r="RDY382" s="252"/>
      <c r="RDZ382" s="252"/>
      <c r="REA382" s="252"/>
      <c r="REB382" s="252"/>
      <c r="REC382" s="252"/>
      <c r="RED382" s="252"/>
      <c r="REE382" s="252"/>
      <c r="REF382" s="252"/>
      <c r="REG382" s="252"/>
      <c r="REH382" s="252"/>
      <c r="REI382" s="252"/>
      <c r="REJ382" s="252"/>
      <c r="REK382" s="252"/>
      <c r="REL382" s="252"/>
      <c r="REM382" s="252"/>
      <c r="REN382" s="252"/>
      <c r="REO382" s="252"/>
      <c r="REP382" s="252"/>
      <c r="REQ382" s="252"/>
      <c r="RER382" s="252"/>
      <c r="RES382" s="252"/>
      <c r="RET382" s="252"/>
      <c r="REU382" s="252"/>
      <c r="REV382" s="252"/>
      <c r="REW382" s="252"/>
      <c r="REX382" s="252"/>
      <c r="REY382" s="252"/>
      <c r="REZ382" s="252"/>
      <c r="RFA382" s="252"/>
      <c r="RFB382" s="252"/>
      <c r="RFC382" s="252"/>
      <c r="RFD382" s="252"/>
      <c r="RFE382" s="252"/>
      <c r="RFF382" s="252"/>
      <c r="RFG382" s="252"/>
      <c r="RFH382" s="252"/>
      <c r="RFI382" s="252"/>
      <c r="RFJ382" s="252"/>
      <c r="RFK382" s="252"/>
      <c r="RFL382" s="252"/>
      <c r="RFM382" s="252"/>
      <c r="RFN382" s="252"/>
      <c r="RFO382" s="252"/>
      <c r="RFP382" s="252"/>
      <c r="RFQ382" s="252"/>
      <c r="RFR382" s="252"/>
      <c r="RFS382" s="252"/>
      <c r="RFT382" s="252"/>
      <c r="RFU382" s="252"/>
      <c r="RFV382" s="252"/>
      <c r="RFW382" s="252"/>
      <c r="RFX382" s="252"/>
      <c r="RFY382" s="252"/>
      <c r="RFZ382" s="252"/>
      <c r="RGA382" s="252"/>
      <c r="RGB382" s="252"/>
      <c r="RGC382" s="252"/>
      <c r="RGD382" s="252"/>
      <c r="RGE382" s="252"/>
      <c r="RGF382" s="252"/>
      <c r="RGG382" s="252"/>
      <c r="RGH382" s="252"/>
      <c r="RGI382" s="252"/>
      <c r="RGJ382" s="252"/>
      <c r="RGK382" s="252"/>
      <c r="RGL382" s="252"/>
      <c r="RGM382" s="252"/>
      <c r="RGN382" s="252"/>
      <c r="RGO382" s="252"/>
      <c r="RGP382" s="252"/>
      <c r="RGQ382" s="252"/>
      <c r="RGR382" s="252"/>
      <c r="RGS382" s="252"/>
      <c r="RGT382" s="252"/>
      <c r="RGU382" s="252"/>
      <c r="RGV382" s="252"/>
      <c r="RGW382" s="252"/>
      <c r="RGX382" s="252"/>
      <c r="RGY382" s="252"/>
      <c r="RGZ382" s="252"/>
      <c r="RHA382" s="252"/>
      <c r="RHB382" s="252"/>
      <c r="RHC382" s="252"/>
      <c r="RHD382" s="252"/>
      <c r="RHE382" s="252"/>
      <c r="RHF382" s="252"/>
      <c r="RHG382" s="252"/>
      <c r="RHH382" s="252"/>
      <c r="RHI382" s="252"/>
      <c r="RHJ382" s="252"/>
      <c r="RHK382" s="252"/>
      <c r="RHL382" s="252"/>
      <c r="RHM382" s="252"/>
      <c r="RHN382" s="252"/>
      <c r="RHO382" s="252"/>
      <c r="RHP382" s="252"/>
      <c r="RHQ382" s="252"/>
      <c r="RHR382" s="252"/>
      <c r="RHS382" s="252"/>
      <c r="RHT382" s="252"/>
      <c r="RHU382" s="252"/>
      <c r="RHV382" s="252"/>
      <c r="RHW382" s="252"/>
      <c r="RHX382" s="252"/>
      <c r="RHY382" s="252"/>
      <c r="RHZ382" s="252"/>
      <c r="RIA382" s="252"/>
      <c r="RIB382" s="252"/>
      <c r="RIC382" s="252"/>
      <c r="RID382" s="252"/>
      <c r="RIE382" s="252"/>
      <c r="RIF382" s="252"/>
      <c r="RIG382" s="252"/>
      <c r="RIH382" s="252"/>
      <c r="RII382" s="252"/>
      <c r="RIJ382" s="252"/>
      <c r="RIK382" s="252"/>
      <c r="RIL382" s="252"/>
      <c r="RIM382" s="252"/>
      <c r="RIN382" s="252"/>
      <c r="RIO382" s="252"/>
      <c r="RIP382" s="252"/>
      <c r="RIQ382" s="252"/>
      <c r="RIR382" s="252"/>
      <c r="RIS382" s="252"/>
      <c r="RIT382" s="252"/>
      <c r="RIU382" s="252"/>
      <c r="RIV382" s="252"/>
      <c r="RIW382" s="252"/>
      <c r="RIX382" s="252"/>
      <c r="RIY382" s="252"/>
      <c r="RIZ382" s="252"/>
      <c r="RJA382" s="252"/>
      <c r="RJB382" s="252"/>
      <c r="RJC382" s="252"/>
      <c r="RJD382" s="252"/>
      <c r="RJE382" s="252"/>
      <c r="RJF382" s="252"/>
      <c r="RJG382" s="252"/>
      <c r="RJH382" s="252"/>
      <c r="RJI382" s="252"/>
      <c r="RJJ382" s="252"/>
      <c r="RJK382" s="252"/>
      <c r="RJL382" s="252"/>
      <c r="RJM382" s="252"/>
      <c r="RJN382" s="252"/>
      <c r="RJO382" s="252"/>
      <c r="RJP382" s="252"/>
      <c r="RJQ382" s="252"/>
      <c r="RJR382" s="252"/>
      <c r="RJS382" s="252"/>
      <c r="RJT382" s="252"/>
      <c r="RJU382" s="252"/>
      <c r="RJV382" s="252"/>
      <c r="RJW382" s="252"/>
      <c r="RJX382" s="252"/>
      <c r="RJY382" s="252"/>
      <c r="RJZ382" s="252"/>
      <c r="RKA382" s="252"/>
      <c r="RKB382" s="252"/>
      <c r="RKC382" s="252"/>
      <c r="RKD382" s="252"/>
      <c r="RKE382" s="252"/>
      <c r="RKF382" s="252"/>
      <c r="RKG382" s="252"/>
      <c r="RKH382" s="252"/>
      <c r="RKI382" s="252"/>
      <c r="RKJ382" s="252"/>
      <c r="RKK382" s="252"/>
      <c r="RKL382" s="252"/>
      <c r="RKM382" s="252"/>
      <c r="RKN382" s="252"/>
      <c r="RKO382" s="252"/>
      <c r="RKP382" s="252"/>
      <c r="RKQ382" s="252"/>
      <c r="RKR382" s="252"/>
      <c r="RKS382" s="252"/>
      <c r="RKT382" s="252"/>
      <c r="RKU382" s="252"/>
      <c r="RKV382" s="252"/>
      <c r="RKW382" s="252"/>
      <c r="RKX382" s="252"/>
      <c r="RKY382" s="252"/>
      <c r="RKZ382" s="252"/>
      <c r="RLA382" s="252"/>
      <c r="RLB382" s="252"/>
      <c r="RLC382" s="252"/>
      <c r="RLD382" s="252"/>
      <c r="RLE382" s="252"/>
      <c r="RLF382" s="252"/>
      <c r="RLG382" s="252"/>
      <c r="RLH382" s="252"/>
      <c r="RLI382" s="252"/>
      <c r="RLJ382" s="252"/>
      <c r="RLK382" s="252"/>
      <c r="RLL382" s="252"/>
      <c r="RLM382" s="252"/>
      <c r="RLN382" s="252"/>
      <c r="RLO382" s="252"/>
      <c r="RLP382" s="252"/>
      <c r="RLQ382" s="252"/>
      <c r="RLR382" s="252"/>
      <c r="RLS382" s="252"/>
      <c r="RLT382" s="252"/>
      <c r="RLU382" s="252"/>
      <c r="RLV382" s="252"/>
      <c r="RLW382" s="252"/>
      <c r="RLX382" s="252"/>
      <c r="RLY382" s="252"/>
      <c r="RLZ382" s="252"/>
      <c r="RMA382" s="252"/>
      <c r="RMB382" s="252"/>
      <c r="RMC382" s="252"/>
      <c r="RMD382" s="252"/>
      <c r="RME382" s="252"/>
      <c r="RMF382" s="252"/>
      <c r="RMG382" s="252"/>
      <c r="RMH382" s="252"/>
      <c r="RMI382" s="252"/>
      <c r="RMJ382" s="252"/>
      <c r="RMK382" s="252"/>
      <c r="RML382" s="252"/>
      <c r="RMM382" s="252"/>
      <c r="RMN382" s="252"/>
      <c r="RMO382" s="252"/>
      <c r="RMP382" s="252"/>
      <c r="RMQ382" s="252"/>
      <c r="RMR382" s="252"/>
      <c r="RMS382" s="252"/>
      <c r="RMT382" s="252"/>
      <c r="RMU382" s="252"/>
      <c r="RMV382" s="252"/>
      <c r="RMW382" s="252"/>
      <c r="RMX382" s="252"/>
      <c r="RMY382" s="252"/>
      <c r="RMZ382" s="252"/>
      <c r="RNA382" s="252"/>
      <c r="RNB382" s="252"/>
      <c r="RNC382" s="252"/>
      <c r="RND382" s="252"/>
      <c r="RNE382" s="252"/>
      <c r="RNF382" s="252"/>
      <c r="RNG382" s="252"/>
      <c r="RNH382" s="252"/>
      <c r="RNI382" s="252"/>
      <c r="RNJ382" s="252"/>
      <c r="RNK382" s="252"/>
      <c r="RNL382" s="252"/>
      <c r="RNM382" s="252"/>
      <c r="RNN382" s="252"/>
      <c r="RNO382" s="252"/>
      <c r="RNP382" s="252"/>
      <c r="RNQ382" s="252"/>
      <c r="RNR382" s="252"/>
      <c r="RNS382" s="252"/>
      <c r="RNT382" s="252"/>
      <c r="RNU382" s="252"/>
      <c r="RNV382" s="252"/>
      <c r="RNW382" s="252"/>
      <c r="RNX382" s="252"/>
      <c r="RNY382" s="252"/>
      <c r="RNZ382" s="252"/>
      <c r="ROA382" s="252"/>
      <c r="ROB382" s="252"/>
      <c r="ROC382" s="252"/>
      <c r="ROD382" s="252"/>
      <c r="ROE382" s="252"/>
      <c r="ROF382" s="252"/>
      <c r="ROG382" s="252"/>
      <c r="ROH382" s="252"/>
      <c r="ROI382" s="252"/>
      <c r="ROJ382" s="252"/>
      <c r="ROK382" s="252"/>
      <c r="ROL382" s="252"/>
      <c r="ROM382" s="252"/>
      <c r="RON382" s="252"/>
      <c r="ROO382" s="252"/>
      <c r="ROP382" s="252"/>
      <c r="ROQ382" s="252"/>
      <c r="ROR382" s="252"/>
      <c r="ROS382" s="252"/>
      <c r="ROT382" s="252"/>
      <c r="ROU382" s="252"/>
      <c r="ROV382" s="252"/>
      <c r="ROW382" s="252"/>
      <c r="ROX382" s="252"/>
      <c r="ROY382" s="252"/>
      <c r="ROZ382" s="252"/>
      <c r="RPA382" s="252"/>
      <c r="RPB382" s="252"/>
      <c r="RPC382" s="252"/>
      <c r="RPD382" s="252"/>
      <c r="RPE382" s="252"/>
      <c r="RPF382" s="252"/>
      <c r="RPG382" s="252"/>
      <c r="RPH382" s="252"/>
      <c r="RPI382" s="252"/>
      <c r="RPJ382" s="252"/>
      <c r="RPK382" s="252"/>
      <c r="RPL382" s="252"/>
      <c r="RPM382" s="252"/>
      <c r="RPN382" s="252"/>
      <c r="RPO382" s="252"/>
      <c r="RPP382" s="252"/>
      <c r="RPQ382" s="252"/>
      <c r="RPR382" s="252"/>
      <c r="RPS382" s="252"/>
      <c r="RPT382" s="252"/>
      <c r="RPU382" s="252"/>
      <c r="RPV382" s="252"/>
      <c r="RPW382" s="252"/>
      <c r="RPX382" s="252"/>
      <c r="RPY382" s="252"/>
      <c r="RPZ382" s="252"/>
      <c r="RQA382" s="252"/>
      <c r="RQB382" s="252"/>
      <c r="RQC382" s="252"/>
      <c r="RQD382" s="252"/>
      <c r="RQE382" s="252"/>
      <c r="RQF382" s="252"/>
      <c r="RQG382" s="252"/>
      <c r="RQH382" s="252"/>
      <c r="RQI382" s="252"/>
      <c r="RQJ382" s="252"/>
      <c r="RQK382" s="252"/>
      <c r="RQL382" s="252"/>
      <c r="RQM382" s="252"/>
      <c r="RQN382" s="252"/>
      <c r="RQO382" s="252"/>
      <c r="RQP382" s="252"/>
      <c r="RQQ382" s="252"/>
      <c r="RQR382" s="252"/>
      <c r="RQS382" s="252"/>
      <c r="RQT382" s="252"/>
      <c r="RQU382" s="252"/>
      <c r="RQV382" s="252"/>
      <c r="RQW382" s="252"/>
      <c r="RQX382" s="252"/>
      <c r="RQY382" s="252"/>
      <c r="RQZ382" s="252"/>
      <c r="RRA382" s="252"/>
      <c r="RRB382" s="252"/>
      <c r="RRC382" s="252"/>
      <c r="RRD382" s="252"/>
      <c r="RRE382" s="252"/>
      <c r="RRF382" s="252"/>
      <c r="RRG382" s="252"/>
      <c r="RRH382" s="252"/>
      <c r="RRI382" s="252"/>
      <c r="RRJ382" s="252"/>
      <c r="RRK382" s="252"/>
      <c r="RRL382" s="252"/>
      <c r="RRM382" s="252"/>
      <c r="RRN382" s="252"/>
      <c r="RRO382" s="252"/>
      <c r="RRP382" s="252"/>
      <c r="RRQ382" s="252"/>
      <c r="RRR382" s="252"/>
      <c r="RRS382" s="252"/>
      <c r="RRT382" s="252"/>
      <c r="RRU382" s="252"/>
      <c r="RRV382" s="252"/>
      <c r="RRW382" s="252"/>
      <c r="RRX382" s="252"/>
      <c r="RRY382" s="252"/>
      <c r="RRZ382" s="252"/>
      <c r="RSA382" s="252"/>
      <c r="RSB382" s="252"/>
      <c r="RSC382" s="252"/>
      <c r="RSD382" s="252"/>
      <c r="RSE382" s="252"/>
      <c r="RSF382" s="252"/>
      <c r="RSG382" s="252"/>
      <c r="RSH382" s="252"/>
      <c r="RSI382" s="252"/>
      <c r="RSJ382" s="252"/>
      <c r="RSK382" s="252"/>
      <c r="RSL382" s="252"/>
      <c r="RSM382" s="252"/>
      <c r="RSN382" s="252"/>
      <c r="RSO382" s="252"/>
      <c r="RSP382" s="252"/>
      <c r="RSQ382" s="252"/>
      <c r="RSR382" s="252"/>
      <c r="RSS382" s="252"/>
      <c r="RST382" s="252"/>
      <c r="RSU382" s="252"/>
      <c r="RSV382" s="252"/>
      <c r="RSW382" s="252"/>
      <c r="RSX382" s="252"/>
      <c r="RSY382" s="252"/>
      <c r="RSZ382" s="252"/>
      <c r="RTA382" s="252"/>
      <c r="RTB382" s="252"/>
      <c r="RTC382" s="252"/>
      <c r="RTD382" s="252"/>
      <c r="RTE382" s="252"/>
      <c r="RTF382" s="252"/>
      <c r="RTG382" s="252"/>
      <c r="RTH382" s="252"/>
      <c r="RTI382" s="252"/>
      <c r="RTJ382" s="252"/>
      <c r="RTK382" s="252"/>
      <c r="RTL382" s="252"/>
      <c r="RTM382" s="252"/>
      <c r="RTN382" s="252"/>
      <c r="RTO382" s="252"/>
      <c r="RTP382" s="252"/>
      <c r="RTQ382" s="252"/>
      <c r="RTR382" s="252"/>
      <c r="RTS382" s="252"/>
      <c r="RTT382" s="252"/>
      <c r="RTU382" s="252"/>
      <c r="RTV382" s="252"/>
      <c r="RTW382" s="252"/>
      <c r="RTX382" s="252"/>
      <c r="RTY382" s="252"/>
      <c r="RTZ382" s="252"/>
      <c r="RUA382" s="252"/>
      <c r="RUB382" s="252"/>
      <c r="RUC382" s="252"/>
      <c r="RUD382" s="252"/>
      <c r="RUE382" s="252"/>
      <c r="RUF382" s="252"/>
      <c r="RUG382" s="252"/>
      <c r="RUH382" s="252"/>
      <c r="RUI382" s="252"/>
      <c r="RUJ382" s="252"/>
      <c r="RUK382" s="252"/>
      <c r="RUL382" s="252"/>
      <c r="RUM382" s="252"/>
      <c r="RUN382" s="252"/>
      <c r="RUO382" s="252"/>
      <c r="RUP382" s="252"/>
      <c r="RUQ382" s="252"/>
      <c r="RUR382" s="252"/>
      <c r="RUS382" s="252"/>
      <c r="RUT382" s="252"/>
      <c r="RUU382" s="252"/>
      <c r="RUV382" s="252"/>
      <c r="RUW382" s="252"/>
      <c r="RUX382" s="252"/>
      <c r="RUY382" s="252"/>
      <c r="RUZ382" s="252"/>
      <c r="RVA382" s="252"/>
      <c r="RVB382" s="252"/>
      <c r="RVC382" s="252"/>
      <c r="RVD382" s="252"/>
      <c r="RVE382" s="252"/>
      <c r="RVF382" s="252"/>
      <c r="RVG382" s="252"/>
      <c r="RVH382" s="252"/>
      <c r="RVI382" s="252"/>
      <c r="RVJ382" s="252"/>
      <c r="RVK382" s="252"/>
      <c r="RVL382" s="252"/>
      <c r="RVM382" s="252"/>
      <c r="RVN382" s="252"/>
      <c r="RVO382" s="252"/>
      <c r="RVP382" s="252"/>
      <c r="RVQ382" s="252"/>
      <c r="RVR382" s="252"/>
      <c r="RVS382" s="252"/>
      <c r="RVT382" s="252"/>
      <c r="RVU382" s="252"/>
      <c r="RVV382" s="252"/>
      <c r="RVW382" s="252"/>
      <c r="RVX382" s="252"/>
      <c r="RVY382" s="252"/>
      <c r="RVZ382" s="252"/>
      <c r="RWA382" s="252"/>
      <c r="RWB382" s="252"/>
      <c r="RWC382" s="252"/>
      <c r="RWD382" s="252"/>
      <c r="RWE382" s="252"/>
      <c r="RWF382" s="252"/>
      <c r="RWG382" s="252"/>
      <c r="RWH382" s="252"/>
      <c r="RWI382" s="252"/>
      <c r="RWJ382" s="252"/>
      <c r="RWK382" s="252"/>
      <c r="RWL382" s="252"/>
      <c r="RWM382" s="252"/>
      <c r="RWN382" s="252"/>
      <c r="RWO382" s="252"/>
      <c r="RWP382" s="252"/>
      <c r="RWQ382" s="252"/>
      <c r="RWR382" s="252"/>
      <c r="RWS382" s="252"/>
      <c r="RWT382" s="252"/>
      <c r="RWU382" s="252"/>
      <c r="RWV382" s="252"/>
      <c r="RWW382" s="252"/>
      <c r="RWX382" s="252"/>
      <c r="RWY382" s="252"/>
      <c r="RWZ382" s="252"/>
      <c r="RXA382" s="252"/>
      <c r="RXB382" s="252"/>
      <c r="RXC382" s="252"/>
      <c r="RXD382" s="252"/>
      <c r="RXE382" s="252"/>
      <c r="RXF382" s="252"/>
      <c r="RXG382" s="252"/>
      <c r="RXH382" s="252"/>
      <c r="RXI382" s="252"/>
      <c r="RXJ382" s="252"/>
      <c r="RXK382" s="252"/>
      <c r="RXL382" s="252"/>
      <c r="RXM382" s="252"/>
      <c r="RXN382" s="252"/>
      <c r="RXO382" s="252"/>
      <c r="RXP382" s="252"/>
      <c r="RXQ382" s="252"/>
      <c r="RXR382" s="252"/>
      <c r="RXS382" s="252"/>
      <c r="RXT382" s="252"/>
      <c r="RXU382" s="252"/>
      <c r="RXV382" s="252"/>
      <c r="RXW382" s="252"/>
      <c r="RXX382" s="252"/>
      <c r="RXY382" s="252"/>
      <c r="RXZ382" s="252"/>
      <c r="RYA382" s="252"/>
      <c r="RYB382" s="252"/>
      <c r="RYC382" s="252"/>
      <c r="RYD382" s="252"/>
      <c r="RYE382" s="252"/>
      <c r="RYF382" s="252"/>
      <c r="RYG382" s="252"/>
      <c r="RYH382" s="252"/>
      <c r="RYI382" s="252"/>
      <c r="RYJ382" s="252"/>
      <c r="RYK382" s="252"/>
      <c r="RYL382" s="252"/>
      <c r="RYM382" s="252"/>
      <c r="RYN382" s="252"/>
      <c r="RYO382" s="252"/>
      <c r="RYP382" s="252"/>
      <c r="RYQ382" s="252"/>
      <c r="RYR382" s="252"/>
      <c r="RYS382" s="252"/>
      <c r="RYT382" s="252"/>
      <c r="RYU382" s="252"/>
      <c r="RYV382" s="252"/>
      <c r="RYW382" s="252"/>
      <c r="RYX382" s="252"/>
      <c r="RYY382" s="252"/>
      <c r="RYZ382" s="252"/>
      <c r="RZA382" s="252"/>
      <c r="RZB382" s="252"/>
      <c r="RZC382" s="252"/>
      <c r="RZD382" s="252"/>
      <c r="RZE382" s="252"/>
      <c r="RZF382" s="252"/>
      <c r="RZG382" s="252"/>
      <c r="RZH382" s="252"/>
      <c r="RZI382" s="252"/>
      <c r="RZJ382" s="252"/>
      <c r="RZK382" s="252"/>
      <c r="RZL382" s="252"/>
      <c r="RZM382" s="252"/>
      <c r="RZN382" s="252"/>
      <c r="RZO382" s="252"/>
      <c r="RZP382" s="252"/>
      <c r="RZQ382" s="252"/>
      <c r="RZR382" s="252"/>
      <c r="RZS382" s="252"/>
      <c r="RZT382" s="252"/>
      <c r="RZU382" s="252"/>
      <c r="RZV382" s="252"/>
      <c r="RZW382" s="252"/>
      <c r="RZX382" s="252"/>
      <c r="RZY382" s="252"/>
      <c r="RZZ382" s="252"/>
      <c r="SAA382" s="252"/>
      <c r="SAB382" s="252"/>
      <c r="SAC382" s="252"/>
      <c r="SAD382" s="252"/>
      <c r="SAE382" s="252"/>
      <c r="SAF382" s="252"/>
      <c r="SAG382" s="252"/>
      <c r="SAH382" s="252"/>
      <c r="SAI382" s="252"/>
      <c r="SAJ382" s="252"/>
      <c r="SAK382" s="252"/>
      <c r="SAL382" s="252"/>
      <c r="SAM382" s="252"/>
      <c r="SAN382" s="252"/>
      <c r="SAO382" s="252"/>
      <c r="SAP382" s="252"/>
      <c r="SAQ382" s="252"/>
      <c r="SAR382" s="252"/>
      <c r="SAS382" s="252"/>
      <c r="SAT382" s="252"/>
      <c r="SAU382" s="252"/>
      <c r="SAV382" s="252"/>
      <c r="SAW382" s="252"/>
      <c r="SAX382" s="252"/>
      <c r="SAY382" s="252"/>
      <c r="SAZ382" s="252"/>
      <c r="SBA382" s="252"/>
      <c r="SBB382" s="252"/>
      <c r="SBC382" s="252"/>
      <c r="SBD382" s="252"/>
      <c r="SBE382" s="252"/>
      <c r="SBF382" s="252"/>
      <c r="SBG382" s="252"/>
      <c r="SBH382" s="252"/>
      <c r="SBI382" s="252"/>
      <c r="SBJ382" s="252"/>
      <c r="SBK382" s="252"/>
      <c r="SBL382" s="252"/>
      <c r="SBM382" s="252"/>
      <c r="SBN382" s="252"/>
      <c r="SBO382" s="252"/>
      <c r="SBP382" s="252"/>
      <c r="SBQ382" s="252"/>
      <c r="SBR382" s="252"/>
      <c r="SBS382" s="252"/>
      <c r="SBT382" s="252"/>
      <c r="SBU382" s="252"/>
      <c r="SBV382" s="252"/>
      <c r="SBW382" s="252"/>
      <c r="SBX382" s="252"/>
      <c r="SBY382" s="252"/>
      <c r="SBZ382" s="252"/>
      <c r="SCA382" s="252"/>
      <c r="SCB382" s="252"/>
      <c r="SCC382" s="252"/>
      <c r="SCD382" s="252"/>
      <c r="SCE382" s="252"/>
      <c r="SCF382" s="252"/>
      <c r="SCG382" s="252"/>
      <c r="SCH382" s="252"/>
      <c r="SCI382" s="252"/>
      <c r="SCJ382" s="252"/>
      <c r="SCK382" s="252"/>
      <c r="SCL382" s="252"/>
      <c r="SCM382" s="252"/>
      <c r="SCN382" s="252"/>
      <c r="SCO382" s="252"/>
      <c r="SCP382" s="252"/>
      <c r="SCQ382" s="252"/>
      <c r="SCR382" s="252"/>
      <c r="SCS382" s="252"/>
      <c r="SCT382" s="252"/>
      <c r="SCU382" s="252"/>
      <c r="SCV382" s="252"/>
      <c r="SCW382" s="252"/>
      <c r="SCX382" s="252"/>
      <c r="SCY382" s="252"/>
      <c r="SCZ382" s="252"/>
      <c r="SDA382" s="252"/>
      <c r="SDB382" s="252"/>
      <c r="SDC382" s="252"/>
      <c r="SDD382" s="252"/>
      <c r="SDE382" s="252"/>
      <c r="SDF382" s="252"/>
      <c r="SDG382" s="252"/>
      <c r="SDH382" s="252"/>
      <c r="SDI382" s="252"/>
      <c r="SDJ382" s="252"/>
      <c r="SDK382" s="252"/>
      <c r="SDL382" s="252"/>
      <c r="SDM382" s="252"/>
      <c r="SDN382" s="252"/>
      <c r="SDO382" s="252"/>
      <c r="SDP382" s="252"/>
      <c r="SDQ382" s="252"/>
      <c r="SDR382" s="252"/>
      <c r="SDS382" s="252"/>
      <c r="SDT382" s="252"/>
      <c r="SDU382" s="252"/>
      <c r="SDV382" s="252"/>
      <c r="SDW382" s="252"/>
      <c r="SDX382" s="252"/>
      <c r="SDY382" s="252"/>
      <c r="SDZ382" s="252"/>
      <c r="SEA382" s="252"/>
      <c r="SEB382" s="252"/>
      <c r="SEC382" s="252"/>
      <c r="SED382" s="252"/>
      <c r="SEE382" s="252"/>
      <c r="SEF382" s="252"/>
      <c r="SEG382" s="252"/>
      <c r="SEH382" s="252"/>
      <c r="SEI382" s="252"/>
      <c r="SEJ382" s="252"/>
      <c r="SEK382" s="252"/>
      <c r="SEL382" s="252"/>
      <c r="SEM382" s="252"/>
      <c r="SEN382" s="252"/>
      <c r="SEO382" s="252"/>
      <c r="SEP382" s="252"/>
      <c r="SEQ382" s="252"/>
      <c r="SER382" s="252"/>
      <c r="SES382" s="252"/>
      <c r="SET382" s="252"/>
      <c r="SEU382" s="252"/>
      <c r="SEV382" s="252"/>
      <c r="SEW382" s="252"/>
      <c r="SEX382" s="252"/>
      <c r="SEY382" s="252"/>
      <c r="SEZ382" s="252"/>
      <c r="SFA382" s="252"/>
      <c r="SFB382" s="252"/>
      <c r="SFC382" s="252"/>
      <c r="SFD382" s="252"/>
      <c r="SFE382" s="252"/>
      <c r="SFF382" s="252"/>
      <c r="SFG382" s="252"/>
      <c r="SFH382" s="252"/>
      <c r="SFI382" s="252"/>
      <c r="SFJ382" s="252"/>
      <c r="SFK382" s="252"/>
      <c r="SFL382" s="252"/>
      <c r="SFM382" s="252"/>
      <c r="SFN382" s="252"/>
      <c r="SFO382" s="252"/>
      <c r="SFP382" s="252"/>
      <c r="SFQ382" s="252"/>
      <c r="SFR382" s="252"/>
      <c r="SFS382" s="252"/>
      <c r="SFT382" s="252"/>
      <c r="SFU382" s="252"/>
      <c r="SFV382" s="252"/>
      <c r="SFW382" s="252"/>
      <c r="SFX382" s="252"/>
      <c r="SFY382" s="252"/>
      <c r="SFZ382" s="252"/>
      <c r="SGA382" s="252"/>
      <c r="SGB382" s="252"/>
      <c r="SGC382" s="252"/>
      <c r="SGD382" s="252"/>
      <c r="SGE382" s="252"/>
      <c r="SGF382" s="252"/>
      <c r="SGG382" s="252"/>
      <c r="SGH382" s="252"/>
      <c r="SGI382" s="252"/>
      <c r="SGJ382" s="252"/>
      <c r="SGK382" s="252"/>
      <c r="SGL382" s="252"/>
      <c r="SGM382" s="252"/>
      <c r="SGN382" s="252"/>
      <c r="SGO382" s="252"/>
      <c r="SGP382" s="252"/>
      <c r="SGQ382" s="252"/>
      <c r="SGR382" s="252"/>
      <c r="SGS382" s="252"/>
      <c r="SGT382" s="252"/>
      <c r="SGU382" s="252"/>
      <c r="SGV382" s="252"/>
      <c r="SGW382" s="252"/>
      <c r="SGX382" s="252"/>
      <c r="SGY382" s="252"/>
      <c r="SGZ382" s="252"/>
      <c r="SHA382" s="252"/>
      <c r="SHB382" s="252"/>
      <c r="SHC382" s="252"/>
      <c r="SHD382" s="252"/>
      <c r="SHE382" s="252"/>
      <c r="SHF382" s="252"/>
      <c r="SHG382" s="252"/>
      <c r="SHH382" s="252"/>
      <c r="SHI382" s="252"/>
      <c r="SHJ382" s="252"/>
      <c r="SHK382" s="252"/>
      <c r="SHL382" s="252"/>
      <c r="SHM382" s="252"/>
      <c r="SHN382" s="252"/>
      <c r="SHO382" s="252"/>
      <c r="SHP382" s="252"/>
      <c r="SHQ382" s="252"/>
      <c r="SHR382" s="252"/>
      <c r="SHS382" s="252"/>
      <c r="SHT382" s="252"/>
      <c r="SHU382" s="252"/>
      <c r="SHV382" s="252"/>
      <c r="SHW382" s="252"/>
      <c r="SHX382" s="252"/>
      <c r="SHY382" s="252"/>
      <c r="SHZ382" s="252"/>
      <c r="SIA382" s="252"/>
      <c r="SIB382" s="252"/>
      <c r="SIC382" s="252"/>
      <c r="SID382" s="252"/>
      <c r="SIE382" s="252"/>
      <c r="SIF382" s="252"/>
      <c r="SIG382" s="252"/>
      <c r="SIH382" s="252"/>
      <c r="SII382" s="252"/>
      <c r="SIJ382" s="252"/>
      <c r="SIK382" s="252"/>
      <c r="SIL382" s="252"/>
      <c r="SIM382" s="252"/>
      <c r="SIN382" s="252"/>
      <c r="SIO382" s="252"/>
      <c r="SIP382" s="252"/>
      <c r="SIQ382" s="252"/>
      <c r="SIR382" s="252"/>
      <c r="SIS382" s="252"/>
      <c r="SIT382" s="252"/>
      <c r="SIU382" s="252"/>
      <c r="SIV382" s="252"/>
      <c r="SIW382" s="252"/>
      <c r="SIX382" s="252"/>
      <c r="SIY382" s="252"/>
      <c r="SIZ382" s="252"/>
      <c r="SJA382" s="252"/>
      <c r="SJB382" s="252"/>
      <c r="SJC382" s="252"/>
      <c r="SJD382" s="252"/>
      <c r="SJE382" s="252"/>
      <c r="SJF382" s="252"/>
      <c r="SJG382" s="252"/>
      <c r="SJH382" s="252"/>
      <c r="SJI382" s="252"/>
      <c r="SJJ382" s="252"/>
      <c r="SJK382" s="252"/>
      <c r="SJL382" s="252"/>
      <c r="SJM382" s="252"/>
      <c r="SJN382" s="252"/>
      <c r="SJO382" s="252"/>
      <c r="SJP382" s="252"/>
      <c r="SJQ382" s="252"/>
      <c r="SJR382" s="252"/>
      <c r="SJS382" s="252"/>
      <c r="SJT382" s="252"/>
      <c r="SJU382" s="252"/>
      <c r="SJV382" s="252"/>
      <c r="SJW382" s="252"/>
      <c r="SJX382" s="252"/>
      <c r="SJY382" s="252"/>
      <c r="SJZ382" s="252"/>
      <c r="SKA382" s="252"/>
      <c r="SKB382" s="252"/>
      <c r="SKC382" s="252"/>
      <c r="SKD382" s="252"/>
      <c r="SKE382" s="252"/>
      <c r="SKF382" s="252"/>
      <c r="SKG382" s="252"/>
      <c r="SKH382" s="252"/>
      <c r="SKI382" s="252"/>
      <c r="SKJ382" s="252"/>
      <c r="SKK382" s="252"/>
      <c r="SKL382" s="252"/>
      <c r="SKM382" s="252"/>
      <c r="SKN382" s="252"/>
      <c r="SKO382" s="252"/>
      <c r="SKP382" s="252"/>
      <c r="SKQ382" s="252"/>
      <c r="SKR382" s="252"/>
      <c r="SKS382" s="252"/>
      <c r="SKT382" s="252"/>
      <c r="SKU382" s="252"/>
      <c r="SKV382" s="252"/>
      <c r="SKW382" s="252"/>
      <c r="SKX382" s="252"/>
      <c r="SKY382" s="252"/>
      <c r="SKZ382" s="252"/>
      <c r="SLA382" s="252"/>
      <c r="SLB382" s="252"/>
      <c r="SLC382" s="252"/>
      <c r="SLD382" s="252"/>
      <c r="SLE382" s="252"/>
      <c r="SLF382" s="252"/>
      <c r="SLG382" s="252"/>
      <c r="SLH382" s="252"/>
      <c r="SLI382" s="252"/>
      <c r="SLJ382" s="252"/>
      <c r="SLK382" s="252"/>
      <c r="SLL382" s="252"/>
      <c r="SLM382" s="252"/>
      <c r="SLN382" s="252"/>
      <c r="SLO382" s="252"/>
      <c r="SLP382" s="252"/>
      <c r="SLQ382" s="252"/>
      <c r="SLR382" s="252"/>
      <c r="SLS382" s="252"/>
      <c r="SLT382" s="252"/>
      <c r="SLU382" s="252"/>
      <c r="SLV382" s="252"/>
      <c r="SLW382" s="252"/>
      <c r="SLX382" s="252"/>
      <c r="SLY382" s="252"/>
      <c r="SLZ382" s="252"/>
      <c r="SMA382" s="252"/>
      <c r="SMB382" s="252"/>
      <c r="SMC382" s="252"/>
      <c r="SMD382" s="252"/>
      <c r="SME382" s="252"/>
      <c r="SMF382" s="252"/>
      <c r="SMG382" s="252"/>
      <c r="SMH382" s="252"/>
      <c r="SMI382" s="252"/>
      <c r="SMJ382" s="252"/>
      <c r="SMK382" s="252"/>
      <c r="SML382" s="252"/>
      <c r="SMM382" s="252"/>
      <c r="SMN382" s="252"/>
      <c r="SMO382" s="252"/>
      <c r="SMP382" s="252"/>
      <c r="SMQ382" s="252"/>
      <c r="SMR382" s="252"/>
      <c r="SMS382" s="252"/>
      <c r="SMT382" s="252"/>
      <c r="SMU382" s="252"/>
      <c r="SMV382" s="252"/>
      <c r="SMW382" s="252"/>
      <c r="SMX382" s="252"/>
      <c r="SMY382" s="252"/>
      <c r="SMZ382" s="252"/>
      <c r="SNA382" s="252"/>
      <c r="SNB382" s="252"/>
      <c r="SNC382" s="252"/>
      <c r="SND382" s="252"/>
      <c r="SNE382" s="252"/>
      <c r="SNF382" s="252"/>
      <c r="SNG382" s="252"/>
      <c r="SNH382" s="252"/>
      <c r="SNI382" s="252"/>
      <c r="SNJ382" s="252"/>
      <c r="SNK382" s="252"/>
      <c r="SNL382" s="252"/>
      <c r="SNM382" s="252"/>
      <c r="SNN382" s="252"/>
      <c r="SNO382" s="252"/>
      <c r="SNP382" s="252"/>
      <c r="SNQ382" s="252"/>
      <c r="SNR382" s="252"/>
      <c r="SNS382" s="252"/>
      <c r="SNT382" s="252"/>
      <c r="SNU382" s="252"/>
      <c r="SNV382" s="252"/>
      <c r="SNW382" s="252"/>
      <c r="SNX382" s="252"/>
      <c r="SNY382" s="252"/>
      <c r="SNZ382" s="252"/>
      <c r="SOA382" s="252"/>
      <c r="SOB382" s="252"/>
      <c r="SOC382" s="252"/>
      <c r="SOD382" s="252"/>
      <c r="SOE382" s="252"/>
      <c r="SOF382" s="252"/>
      <c r="SOG382" s="252"/>
      <c r="SOH382" s="252"/>
      <c r="SOI382" s="252"/>
      <c r="SOJ382" s="252"/>
      <c r="SOK382" s="252"/>
      <c r="SOL382" s="252"/>
      <c r="SOM382" s="252"/>
      <c r="SON382" s="252"/>
      <c r="SOO382" s="252"/>
      <c r="SOP382" s="252"/>
      <c r="SOQ382" s="252"/>
      <c r="SOR382" s="252"/>
      <c r="SOS382" s="252"/>
      <c r="SOT382" s="252"/>
      <c r="SOU382" s="252"/>
      <c r="SOV382" s="252"/>
      <c r="SOW382" s="252"/>
      <c r="SOX382" s="252"/>
      <c r="SOY382" s="252"/>
      <c r="SOZ382" s="252"/>
      <c r="SPA382" s="252"/>
      <c r="SPB382" s="252"/>
      <c r="SPC382" s="252"/>
      <c r="SPD382" s="252"/>
      <c r="SPE382" s="252"/>
      <c r="SPF382" s="252"/>
      <c r="SPG382" s="252"/>
      <c r="SPH382" s="252"/>
      <c r="SPI382" s="252"/>
      <c r="SPJ382" s="252"/>
      <c r="SPK382" s="252"/>
      <c r="SPL382" s="252"/>
      <c r="SPM382" s="252"/>
      <c r="SPN382" s="252"/>
      <c r="SPO382" s="252"/>
      <c r="SPP382" s="252"/>
      <c r="SPQ382" s="252"/>
      <c r="SPR382" s="252"/>
      <c r="SPS382" s="252"/>
      <c r="SPT382" s="252"/>
      <c r="SPU382" s="252"/>
      <c r="SPV382" s="252"/>
      <c r="SPW382" s="252"/>
      <c r="SPX382" s="252"/>
      <c r="SPY382" s="252"/>
      <c r="SPZ382" s="252"/>
      <c r="SQA382" s="252"/>
      <c r="SQB382" s="252"/>
      <c r="SQC382" s="252"/>
      <c r="SQD382" s="252"/>
      <c r="SQE382" s="252"/>
      <c r="SQF382" s="252"/>
      <c r="SQG382" s="252"/>
      <c r="SQH382" s="252"/>
      <c r="SQI382" s="252"/>
      <c r="SQJ382" s="252"/>
      <c r="SQK382" s="252"/>
      <c r="SQL382" s="252"/>
      <c r="SQM382" s="252"/>
      <c r="SQN382" s="252"/>
      <c r="SQO382" s="252"/>
      <c r="SQP382" s="252"/>
      <c r="SQQ382" s="252"/>
      <c r="SQR382" s="252"/>
      <c r="SQS382" s="252"/>
      <c r="SQT382" s="252"/>
      <c r="SQU382" s="252"/>
      <c r="SQV382" s="252"/>
      <c r="SQW382" s="252"/>
      <c r="SQX382" s="252"/>
      <c r="SQY382" s="252"/>
      <c r="SQZ382" s="252"/>
      <c r="SRA382" s="252"/>
      <c r="SRB382" s="252"/>
      <c r="SRC382" s="252"/>
      <c r="SRD382" s="252"/>
      <c r="SRE382" s="252"/>
      <c r="SRF382" s="252"/>
      <c r="SRG382" s="252"/>
      <c r="SRH382" s="252"/>
      <c r="SRI382" s="252"/>
      <c r="SRJ382" s="252"/>
      <c r="SRK382" s="252"/>
      <c r="SRL382" s="252"/>
      <c r="SRM382" s="252"/>
      <c r="SRN382" s="252"/>
      <c r="SRO382" s="252"/>
      <c r="SRP382" s="252"/>
      <c r="SRQ382" s="252"/>
      <c r="SRR382" s="252"/>
      <c r="SRS382" s="252"/>
      <c r="SRT382" s="252"/>
      <c r="SRU382" s="252"/>
      <c r="SRV382" s="252"/>
      <c r="SRW382" s="252"/>
      <c r="SRX382" s="252"/>
      <c r="SRY382" s="252"/>
      <c r="SRZ382" s="252"/>
      <c r="SSA382" s="252"/>
      <c r="SSB382" s="252"/>
      <c r="SSC382" s="252"/>
      <c r="SSD382" s="252"/>
      <c r="SSE382" s="252"/>
      <c r="SSF382" s="252"/>
      <c r="SSG382" s="252"/>
      <c r="SSH382" s="252"/>
      <c r="SSI382" s="252"/>
      <c r="SSJ382" s="252"/>
      <c r="SSK382" s="252"/>
      <c r="SSL382" s="252"/>
      <c r="SSM382" s="252"/>
      <c r="SSN382" s="252"/>
      <c r="SSO382" s="252"/>
      <c r="SSP382" s="252"/>
      <c r="SSQ382" s="252"/>
      <c r="SSR382" s="252"/>
      <c r="SSS382" s="252"/>
      <c r="SST382" s="252"/>
      <c r="SSU382" s="252"/>
      <c r="SSV382" s="252"/>
      <c r="SSW382" s="252"/>
      <c r="SSX382" s="252"/>
      <c r="SSY382" s="252"/>
      <c r="SSZ382" s="252"/>
      <c r="STA382" s="252"/>
      <c r="STB382" s="252"/>
      <c r="STC382" s="252"/>
      <c r="STD382" s="252"/>
      <c r="STE382" s="252"/>
      <c r="STF382" s="252"/>
      <c r="STG382" s="252"/>
      <c r="STH382" s="252"/>
      <c r="STI382" s="252"/>
      <c r="STJ382" s="252"/>
      <c r="STK382" s="252"/>
      <c r="STL382" s="252"/>
      <c r="STM382" s="252"/>
      <c r="STN382" s="252"/>
      <c r="STO382" s="252"/>
      <c r="STP382" s="252"/>
      <c r="STQ382" s="252"/>
      <c r="STR382" s="252"/>
      <c r="STS382" s="252"/>
      <c r="STT382" s="252"/>
      <c r="STU382" s="252"/>
      <c r="STV382" s="252"/>
      <c r="STW382" s="252"/>
      <c r="STX382" s="252"/>
      <c r="STY382" s="252"/>
      <c r="STZ382" s="252"/>
      <c r="SUA382" s="252"/>
      <c r="SUB382" s="252"/>
      <c r="SUC382" s="252"/>
      <c r="SUD382" s="252"/>
      <c r="SUE382" s="252"/>
      <c r="SUF382" s="252"/>
      <c r="SUG382" s="252"/>
      <c r="SUH382" s="252"/>
      <c r="SUI382" s="252"/>
      <c r="SUJ382" s="252"/>
      <c r="SUK382" s="252"/>
      <c r="SUL382" s="252"/>
      <c r="SUM382" s="252"/>
      <c r="SUN382" s="252"/>
      <c r="SUO382" s="252"/>
      <c r="SUP382" s="252"/>
      <c r="SUQ382" s="252"/>
      <c r="SUR382" s="252"/>
      <c r="SUS382" s="252"/>
      <c r="SUT382" s="252"/>
      <c r="SUU382" s="252"/>
      <c r="SUV382" s="252"/>
      <c r="SUW382" s="252"/>
      <c r="SUX382" s="252"/>
      <c r="SUY382" s="252"/>
      <c r="SUZ382" s="252"/>
      <c r="SVA382" s="252"/>
      <c r="SVB382" s="252"/>
      <c r="SVC382" s="252"/>
      <c r="SVD382" s="252"/>
      <c r="SVE382" s="252"/>
      <c r="SVF382" s="252"/>
      <c r="SVG382" s="252"/>
      <c r="SVH382" s="252"/>
      <c r="SVI382" s="252"/>
      <c r="SVJ382" s="252"/>
      <c r="SVK382" s="252"/>
      <c r="SVL382" s="252"/>
      <c r="SVM382" s="252"/>
      <c r="SVN382" s="252"/>
      <c r="SVO382" s="252"/>
      <c r="SVP382" s="252"/>
      <c r="SVQ382" s="252"/>
      <c r="SVR382" s="252"/>
      <c r="SVS382" s="252"/>
      <c r="SVT382" s="252"/>
      <c r="SVU382" s="252"/>
      <c r="SVV382" s="252"/>
      <c r="SVW382" s="252"/>
      <c r="SVX382" s="252"/>
      <c r="SVY382" s="252"/>
      <c r="SVZ382" s="252"/>
      <c r="SWA382" s="252"/>
      <c r="SWB382" s="252"/>
      <c r="SWC382" s="252"/>
      <c r="SWD382" s="252"/>
      <c r="SWE382" s="252"/>
      <c r="SWF382" s="252"/>
      <c r="SWG382" s="252"/>
      <c r="SWH382" s="252"/>
      <c r="SWI382" s="252"/>
      <c r="SWJ382" s="252"/>
      <c r="SWK382" s="252"/>
      <c r="SWL382" s="252"/>
      <c r="SWM382" s="252"/>
      <c r="SWN382" s="252"/>
      <c r="SWO382" s="252"/>
      <c r="SWP382" s="252"/>
      <c r="SWQ382" s="252"/>
      <c r="SWR382" s="252"/>
      <c r="SWS382" s="252"/>
      <c r="SWT382" s="252"/>
      <c r="SWU382" s="252"/>
      <c r="SWV382" s="252"/>
      <c r="SWW382" s="252"/>
      <c r="SWX382" s="252"/>
      <c r="SWY382" s="252"/>
      <c r="SWZ382" s="252"/>
      <c r="SXA382" s="252"/>
      <c r="SXB382" s="252"/>
      <c r="SXC382" s="252"/>
      <c r="SXD382" s="252"/>
      <c r="SXE382" s="252"/>
      <c r="SXF382" s="252"/>
      <c r="SXG382" s="252"/>
      <c r="SXH382" s="252"/>
      <c r="SXI382" s="252"/>
      <c r="SXJ382" s="252"/>
      <c r="SXK382" s="252"/>
      <c r="SXL382" s="252"/>
      <c r="SXM382" s="252"/>
      <c r="SXN382" s="252"/>
      <c r="SXO382" s="252"/>
      <c r="SXP382" s="252"/>
      <c r="SXQ382" s="252"/>
      <c r="SXR382" s="252"/>
      <c r="SXS382" s="252"/>
      <c r="SXT382" s="252"/>
      <c r="SXU382" s="252"/>
      <c r="SXV382" s="252"/>
      <c r="SXW382" s="252"/>
      <c r="SXX382" s="252"/>
      <c r="SXY382" s="252"/>
      <c r="SXZ382" s="252"/>
      <c r="SYA382" s="252"/>
      <c r="SYB382" s="252"/>
      <c r="SYC382" s="252"/>
      <c r="SYD382" s="252"/>
      <c r="SYE382" s="252"/>
      <c r="SYF382" s="252"/>
      <c r="SYG382" s="252"/>
      <c r="SYH382" s="252"/>
      <c r="SYI382" s="252"/>
      <c r="SYJ382" s="252"/>
      <c r="SYK382" s="252"/>
      <c r="SYL382" s="252"/>
      <c r="SYM382" s="252"/>
      <c r="SYN382" s="252"/>
      <c r="SYO382" s="252"/>
      <c r="SYP382" s="252"/>
      <c r="SYQ382" s="252"/>
      <c r="SYR382" s="252"/>
      <c r="SYS382" s="252"/>
      <c r="SYT382" s="252"/>
      <c r="SYU382" s="252"/>
      <c r="SYV382" s="252"/>
      <c r="SYW382" s="252"/>
      <c r="SYX382" s="252"/>
      <c r="SYY382" s="252"/>
      <c r="SYZ382" s="252"/>
      <c r="SZA382" s="252"/>
      <c r="SZB382" s="252"/>
      <c r="SZC382" s="252"/>
      <c r="SZD382" s="252"/>
      <c r="SZE382" s="252"/>
      <c r="SZF382" s="252"/>
      <c r="SZG382" s="252"/>
      <c r="SZH382" s="252"/>
      <c r="SZI382" s="252"/>
      <c r="SZJ382" s="252"/>
      <c r="SZK382" s="252"/>
      <c r="SZL382" s="252"/>
      <c r="SZM382" s="252"/>
      <c r="SZN382" s="252"/>
      <c r="SZO382" s="252"/>
      <c r="SZP382" s="252"/>
      <c r="SZQ382" s="252"/>
      <c r="SZR382" s="252"/>
      <c r="SZS382" s="252"/>
      <c r="SZT382" s="252"/>
      <c r="SZU382" s="252"/>
      <c r="SZV382" s="252"/>
      <c r="SZW382" s="252"/>
      <c r="SZX382" s="252"/>
      <c r="SZY382" s="252"/>
      <c r="SZZ382" s="252"/>
      <c r="TAA382" s="252"/>
      <c r="TAB382" s="252"/>
      <c r="TAC382" s="252"/>
      <c r="TAD382" s="252"/>
      <c r="TAE382" s="252"/>
      <c r="TAF382" s="252"/>
      <c r="TAG382" s="252"/>
      <c r="TAH382" s="252"/>
      <c r="TAI382" s="252"/>
      <c r="TAJ382" s="252"/>
      <c r="TAK382" s="252"/>
      <c r="TAL382" s="252"/>
      <c r="TAM382" s="252"/>
      <c r="TAN382" s="252"/>
      <c r="TAO382" s="252"/>
      <c r="TAP382" s="252"/>
      <c r="TAQ382" s="252"/>
      <c r="TAR382" s="252"/>
      <c r="TAS382" s="252"/>
      <c r="TAT382" s="252"/>
      <c r="TAU382" s="252"/>
      <c r="TAV382" s="252"/>
      <c r="TAW382" s="252"/>
      <c r="TAX382" s="252"/>
      <c r="TAY382" s="252"/>
      <c r="TAZ382" s="252"/>
      <c r="TBA382" s="252"/>
      <c r="TBB382" s="252"/>
      <c r="TBC382" s="252"/>
      <c r="TBD382" s="252"/>
      <c r="TBE382" s="252"/>
      <c r="TBF382" s="252"/>
      <c r="TBG382" s="252"/>
      <c r="TBH382" s="252"/>
      <c r="TBI382" s="252"/>
      <c r="TBJ382" s="252"/>
      <c r="TBK382" s="252"/>
      <c r="TBL382" s="252"/>
      <c r="TBM382" s="252"/>
      <c r="TBN382" s="252"/>
      <c r="TBO382" s="252"/>
      <c r="TBP382" s="252"/>
      <c r="TBQ382" s="252"/>
      <c r="TBR382" s="252"/>
      <c r="TBS382" s="252"/>
      <c r="TBT382" s="252"/>
      <c r="TBU382" s="252"/>
      <c r="TBV382" s="252"/>
      <c r="TBW382" s="252"/>
      <c r="TBX382" s="252"/>
      <c r="TBY382" s="252"/>
      <c r="TBZ382" s="252"/>
      <c r="TCA382" s="252"/>
      <c r="TCB382" s="252"/>
      <c r="TCC382" s="252"/>
      <c r="TCD382" s="252"/>
      <c r="TCE382" s="252"/>
      <c r="TCF382" s="252"/>
      <c r="TCG382" s="252"/>
      <c r="TCH382" s="252"/>
      <c r="TCI382" s="252"/>
      <c r="TCJ382" s="252"/>
      <c r="TCK382" s="252"/>
      <c r="TCL382" s="252"/>
      <c r="TCM382" s="252"/>
      <c r="TCN382" s="252"/>
      <c r="TCO382" s="252"/>
      <c r="TCP382" s="252"/>
      <c r="TCQ382" s="252"/>
      <c r="TCR382" s="252"/>
      <c r="TCS382" s="252"/>
      <c r="TCT382" s="252"/>
      <c r="TCU382" s="252"/>
      <c r="TCV382" s="252"/>
      <c r="TCW382" s="252"/>
      <c r="TCX382" s="252"/>
      <c r="TCY382" s="252"/>
      <c r="TCZ382" s="252"/>
      <c r="TDA382" s="252"/>
      <c r="TDB382" s="252"/>
      <c r="TDC382" s="252"/>
      <c r="TDD382" s="252"/>
      <c r="TDE382" s="252"/>
      <c r="TDF382" s="252"/>
      <c r="TDG382" s="252"/>
      <c r="TDH382" s="252"/>
      <c r="TDI382" s="252"/>
      <c r="TDJ382" s="252"/>
      <c r="TDK382" s="252"/>
      <c r="TDL382" s="252"/>
      <c r="TDM382" s="252"/>
      <c r="TDN382" s="252"/>
      <c r="TDO382" s="252"/>
      <c r="TDP382" s="252"/>
      <c r="TDQ382" s="252"/>
      <c r="TDR382" s="252"/>
      <c r="TDS382" s="252"/>
      <c r="TDT382" s="252"/>
      <c r="TDU382" s="252"/>
      <c r="TDV382" s="252"/>
      <c r="TDW382" s="252"/>
      <c r="TDX382" s="252"/>
      <c r="TDY382" s="252"/>
      <c r="TDZ382" s="252"/>
      <c r="TEA382" s="252"/>
      <c r="TEB382" s="252"/>
      <c r="TEC382" s="252"/>
      <c r="TED382" s="252"/>
      <c r="TEE382" s="252"/>
      <c r="TEF382" s="252"/>
      <c r="TEG382" s="252"/>
      <c r="TEH382" s="252"/>
      <c r="TEI382" s="252"/>
      <c r="TEJ382" s="252"/>
      <c r="TEK382" s="252"/>
      <c r="TEL382" s="252"/>
      <c r="TEM382" s="252"/>
      <c r="TEN382" s="252"/>
      <c r="TEO382" s="252"/>
      <c r="TEP382" s="252"/>
      <c r="TEQ382" s="252"/>
      <c r="TER382" s="252"/>
      <c r="TES382" s="252"/>
      <c r="TET382" s="252"/>
      <c r="TEU382" s="252"/>
      <c r="TEV382" s="252"/>
      <c r="TEW382" s="252"/>
      <c r="TEX382" s="252"/>
      <c r="TEY382" s="252"/>
      <c r="TEZ382" s="252"/>
      <c r="TFA382" s="252"/>
      <c r="TFB382" s="252"/>
      <c r="TFC382" s="252"/>
      <c r="TFD382" s="252"/>
      <c r="TFE382" s="252"/>
      <c r="TFF382" s="252"/>
      <c r="TFG382" s="252"/>
      <c r="TFH382" s="252"/>
      <c r="TFI382" s="252"/>
      <c r="TFJ382" s="252"/>
      <c r="TFK382" s="252"/>
      <c r="TFL382" s="252"/>
      <c r="TFM382" s="252"/>
      <c r="TFN382" s="252"/>
      <c r="TFO382" s="252"/>
      <c r="TFP382" s="252"/>
      <c r="TFQ382" s="252"/>
      <c r="TFR382" s="252"/>
      <c r="TFS382" s="252"/>
      <c r="TFT382" s="252"/>
      <c r="TFU382" s="252"/>
      <c r="TFV382" s="252"/>
      <c r="TFW382" s="252"/>
      <c r="TFX382" s="252"/>
      <c r="TFY382" s="252"/>
      <c r="TFZ382" s="252"/>
      <c r="TGA382" s="252"/>
      <c r="TGB382" s="252"/>
      <c r="TGC382" s="252"/>
      <c r="TGD382" s="252"/>
      <c r="TGE382" s="252"/>
      <c r="TGF382" s="252"/>
      <c r="TGG382" s="252"/>
      <c r="TGH382" s="252"/>
      <c r="TGI382" s="252"/>
      <c r="TGJ382" s="252"/>
      <c r="TGK382" s="252"/>
      <c r="TGL382" s="252"/>
      <c r="TGM382" s="252"/>
      <c r="TGN382" s="252"/>
      <c r="TGO382" s="252"/>
      <c r="TGP382" s="252"/>
      <c r="TGQ382" s="252"/>
      <c r="TGR382" s="252"/>
      <c r="TGS382" s="252"/>
      <c r="TGT382" s="252"/>
      <c r="TGU382" s="252"/>
      <c r="TGV382" s="252"/>
      <c r="TGW382" s="252"/>
      <c r="TGX382" s="252"/>
      <c r="TGY382" s="252"/>
      <c r="TGZ382" s="252"/>
      <c r="THA382" s="252"/>
      <c r="THB382" s="252"/>
      <c r="THC382" s="252"/>
      <c r="THD382" s="252"/>
      <c r="THE382" s="252"/>
      <c r="THF382" s="252"/>
      <c r="THG382" s="252"/>
      <c r="THH382" s="252"/>
      <c r="THI382" s="252"/>
      <c r="THJ382" s="252"/>
      <c r="THK382" s="252"/>
      <c r="THL382" s="252"/>
      <c r="THM382" s="252"/>
      <c r="THN382" s="252"/>
      <c r="THO382" s="252"/>
      <c r="THP382" s="252"/>
      <c r="THQ382" s="252"/>
      <c r="THR382" s="252"/>
      <c r="THS382" s="252"/>
      <c r="THT382" s="252"/>
      <c r="THU382" s="252"/>
      <c r="THV382" s="252"/>
      <c r="THW382" s="252"/>
      <c r="THX382" s="252"/>
      <c r="THY382" s="252"/>
      <c r="THZ382" s="252"/>
      <c r="TIA382" s="252"/>
      <c r="TIB382" s="252"/>
      <c r="TIC382" s="252"/>
      <c r="TID382" s="252"/>
      <c r="TIE382" s="252"/>
      <c r="TIF382" s="252"/>
      <c r="TIG382" s="252"/>
      <c r="TIH382" s="252"/>
      <c r="TII382" s="252"/>
      <c r="TIJ382" s="252"/>
      <c r="TIK382" s="252"/>
      <c r="TIL382" s="252"/>
      <c r="TIM382" s="252"/>
      <c r="TIN382" s="252"/>
      <c r="TIO382" s="252"/>
      <c r="TIP382" s="252"/>
      <c r="TIQ382" s="252"/>
      <c r="TIR382" s="252"/>
      <c r="TIS382" s="252"/>
      <c r="TIT382" s="252"/>
      <c r="TIU382" s="252"/>
      <c r="TIV382" s="252"/>
      <c r="TIW382" s="252"/>
      <c r="TIX382" s="252"/>
      <c r="TIY382" s="252"/>
      <c r="TIZ382" s="252"/>
      <c r="TJA382" s="252"/>
      <c r="TJB382" s="252"/>
      <c r="TJC382" s="252"/>
      <c r="TJD382" s="252"/>
      <c r="TJE382" s="252"/>
      <c r="TJF382" s="252"/>
      <c r="TJG382" s="252"/>
      <c r="TJH382" s="252"/>
      <c r="TJI382" s="252"/>
      <c r="TJJ382" s="252"/>
      <c r="TJK382" s="252"/>
      <c r="TJL382" s="252"/>
      <c r="TJM382" s="252"/>
      <c r="TJN382" s="252"/>
      <c r="TJO382" s="252"/>
      <c r="TJP382" s="252"/>
      <c r="TJQ382" s="252"/>
      <c r="TJR382" s="252"/>
      <c r="TJS382" s="252"/>
      <c r="TJT382" s="252"/>
      <c r="TJU382" s="252"/>
      <c r="TJV382" s="252"/>
      <c r="TJW382" s="252"/>
      <c r="TJX382" s="252"/>
      <c r="TJY382" s="252"/>
      <c r="TJZ382" s="252"/>
      <c r="TKA382" s="252"/>
      <c r="TKB382" s="252"/>
      <c r="TKC382" s="252"/>
      <c r="TKD382" s="252"/>
      <c r="TKE382" s="252"/>
      <c r="TKF382" s="252"/>
      <c r="TKG382" s="252"/>
      <c r="TKH382" s="252"/>
      <c r="TKI382" s="252"/>
      <c r="TKJ382" s="252"/>
      <c r="TKK382" s="252"/>
      <c r="TKL382" s="252"/>
      <c r="TKM382" s="252"/>
      <c r="TKN382" s="252"/>
      <c r="TKO382" s="252"/>
      <c r="TKP382" s="252"/>
      <c r="TKQ382" s="252"/>
      <c r="TKR382" s="252"/>
      <c r="TKS382" s="252"/>
      <c r="TKT382" s="252"/>
      <c r="TKU382" s="252"/>
      <c r="TKV382" s="252"/>
      <c r="TKW382" s="252"/>
      <c r="TKX382" s="252"/>
      <c r="TKY382" s="252"/>
      <c r="TKZ382" s="252"/>
      <c r="TLA382" s="252"/>
      <c r="TLB382" s="252"/>
      <c r="TLC382" s="252"/>
      <c r="TLD382" s="252"/>
      <c r="TLE382" s="252"/>
      <c r="TLF382" s="252"/>
      <c r="TLG382" s="252"/>
      <c r="TLH382" s="252"/>
      <c r="TLI382" s="252"/>
      <c r="TLJ382" s="252"/>
      <c r="TLK382" s="252"/>
      <c r="TLL382" s="252"/>
      <c r="TLM382" s="252"/>
      <c r="TLN382" s="252"/>
      <c r="TLO382" s="252"/>
      <c r="TLP382" s="252"/>
      <c r="TLQ382" s="252"/>
      <c r="TLR382" s="252"/>
      <c r="TLS382" s="252"/>
      <c r="TLT382" s="252"/>
      <c r="TLU382" s="252"/>
      <c r="TLV382" s="252"/>
      <c r="TLW382" s="252"/>
      <c r="TLX382" s="252"/>
      <c r="TLY382" s="252"/>
      <c r="TLZ382" s="252"/>
      <c r="TMA382" s="252"/>
      <c r="TMB382" s="252"/>
      <c r="TMC382" s="252"/>
      <c r="TMD382" s="252"/>
      <c r="TME382" s="252"/>
      <c r="TMF382" s="252"/>
      <c r="TMG382" s="252"/>
      <c r="TMH382" s="252"/>
      <c r="TMI382" s="252"/>
      <c r="TMJ382" s="252"/>
      <c r="TMK382" s="252"/>
      <c r="TML382" s="252"/>
      <c r="TMM382" s="252"/>
      <c r="TMN382" s="252"/>
      <c r="TMO382" s="252"/>
      <c r="TMP382" s="252"/>
      <c r="TMQ382" s="252"/>
      <c r="TMR382" s="252"/>
      <c r="TMS382" s="252"/>
      <c r="TMT382" s="252"/>
      <c r="TMU382" s="252"/>
      <c r="TMV382" s="252"/>
      <c r="TMW382" s="252"/>
      <c r="TMX382" s="252"/>
      <c r="TMY382" s="252"/>
      <c r="TMZ382" s="252"/>
      <c r="TNA382" s="252"/>
      <c r="TNB382" s="252"/>
      <c r="TNC382" s="252"/>
      <c r="TND382" s="252"/>
      <c r="TNE382" s="252"/>
      <c r="TNF382" s="252"/>
      <c r="TNG382" s="252"/>
      <c r="TNH382" s="252"/>
      <c r="TNI382" s="252"/>
      <c r="TNJ382" s="252"/>
      <c r="TNK382" s="252"/>
      <c r="TNL382" s="252"/>
      <c r="TNM382" s="252"/>
      <c r="TNN382" s="252"/>
      <c r="TNO382" s="252"/>
      <c r="TNP382" s="252"/>
      <c r="TNQ382" s="252"/>
      <c r="TNR382" s="252"/>
      <c r="TNS382" s="252"/>
      <c r="TNT382" s="252"/>
      <c r="TNU382" s="252"/>
      <c r="TNV382" s="252"/>
      <c r="TNW382" s="252"/>
      <c r="TNX382" s="252"/>
      <c r="TNY382" s="252"/>
      <c r="TNZ382" s="252"/>
      <c r="TOA382" s="252"/>
      <c r="TOB382" s="252"/>
      <c r="TOC382" s="252"/>
      <c r="TOD382" s="252"/>
      <c r="TOE382" s="252"/>
      <c r="TOF382" s="252"/>
      <c r="TOG382" s="252"/>
      <c r="TOH382" s="252"/>
      <c r="TOI382" s="252"/>
      <c r="TOJ382" s="252"/>
      <c r="TOK382" s="252"/>
      <c r="TOL382" s="252"/>
      <c r="TOM382" s="252"/>
      <c r="TON382" s="252"/>
      <c r="TOO382" s="252"/>
      <c r="TOP382" s="252"/>
      <c r="TOQ382" s="252"/>
      <c r="TOR382" s="252"/>
      <c r="TOS382" s="252"/>
      <c r="TOT382" s="252"/>
      <c r="TOU382" s="252"/>
      <c r="TOV382" s="252"/>
      <c r="TOW382" s="252"/>
      <c r="TOX382" s="252"/>
      <c r="TOY382" s="252"/>
      <c r="TOZ382" s="252"/>
      <c r="TPA382" s="252"/>
      <c r="TPB382" s="252"/>
      <c r="TPC382" s="252"/>
      <c r="TPD382" s="252"/>
      <c r="TPE382" s="252"/>
      <c r="TPF382" s="252"/>
      <c r="TPG382" s="252"/>
      <c r="TPH382" s="252"/>
      <c r="TPI382" s="252"/>
      <c r="TPJ382" s="252"/>
      <c r="TPK382" s="252"/>
      <c r="TPL382" s="252"/>
      <c r="TPM382" s="252"/>
      <c r="TPN382" s="252"/>
      <c r="TPO382" s="252"/>
      <c r="TPP382" s="252"/>
      <c r="TPQ382" s="252"/>
      <c r="TPR382" s="252"/>
      <c r="TPS382" s="252"/>
      <c r="TPT382" s="252"/>
      <c r="TPU382" s="252"/>
      <c r="TPV382" s="252"/>
      <c r="TPW382" s="252"/>
      <c r="TPX382" s="252"/>
      <c r="TPY382" s="252"/>
      <c r="TPZ382" s="252"/>
      <c r="TQA382" s="252"/>
      <c r="TQB382" s="252"/>
      <c r="TQC382" s="252"/>
      <c r="TQD382" s="252"/>
      <c r="TQE382" s="252"/>
      <c r="TQF382" s="252"/>
      <c r="TQG382" s="252"/>
      <c r="TQH382" s="252"/>
      <c r="TQI382" s="252"/>
      <c r="TQJ382" s="252"/>
      <c r="TQK382" s="252"/>
      <c r="TQL382" s="252"/>
      <c r="TQM382" s="252"/>
      <c r="TQN382" s="252"/>
      <c r="TQO382" s="252"/>
      <c r="TQP382" s="252"/>
      <c r="TQQ382" s="252"/>
      <c r="TQR382" s="252"/>
      <c r="TQS382" s="252"/>
      <c r="TQT382" s="252"/>
      <c r="TQU382" s="252"/>
      <c r="TQV382" s="252"/>
      <c r="TQW382" s="252"/>
      <c r="TQX382" s="252"/>
      <c r="TQY382" s="252"/>
      <c r="TQZ382" s="252"/>
      <c r="TRA382" s="252"/>
      <c r="TRB382" s="252"/>
      <c r="TRC382" s="252"/>
      <c r="TRD382" s="252"/>
      <c r="TRE382" s="252"/>
      <c r="TRF382" s="252"/>
      <c r="TRG382" s="252"/>
      <c r="TRH382" s="252"/>
      <c r="TRI382" s="252"/>
      <c r="TRJ382" s="252"/>
      <c r="TRK382" s="252"/>
      <c r="TRL382" s="252"/>
      <c r="TRM382" s="252"/>
      <c r="TRN382" s="252"/>
      <c r="TRO382" s="252"/>
      <c r="TRP382" s="252"/>
      <c r="TRQ382" s="252"/>
      <c r="TRR382" s="252"/>
      <c r="TRS382" s="252"/>
      <c r="TRT382" s="252"/>
      <c r="TRU382" s="252"/>
      <c r="TRV382" s="252"/>
      <c r="TRW382" s="252"/>
      <c r="TRX382" s="252"/>
      <c r="TRY382" s="252"/>
      <c r="TRZ382" s="252"/>
      <c r="TSA382" s="252"/>
      <c r="TSB382" s="252"/>
      <c r="TSC382" s="252"/>
      <c r="TSD382" s="252"/>
      <c r="TSE382" s="252"/>
      <c r="TSF382" s="252"/>
      <c r="TSG382" s="252"/>
      <c r="TSH382" s="252"/>
      <c r="TSI382" s="252"/>
      <c r="TSJ382" s="252"/>
      <c r="TSK382" s="252"/>
      <c r="TSL382" s="252"/>
      <c r="TSM382" s="252"/>
      <c r="TSN382" s="252"/>
      <c r="TSO382" s="252"/>
      <c r="TSP382" s="252"/>
      <c r="TSQ382" s="252"/>
      <c r="TSR382" s="252"/>
      <c r="TSS382" s="252"/>
      <c r="TST382" s="252"/>
      <c r="TSU382" s="252"/>
      <c r="TSV382" s="252"/>
      <c r="TSW382" s="252"/>
      <c r="TSX382" s="252"/>
      <c r="TSY382" s="252"/>
      <c r="TSZ382" s="252"/>
      <c r="TTA382" s="252"/>
      <c r="TTB382" s="252"/>
      <c r="TTC382" s="252"/>
      <c r="TTD382" s="252"/>
      <c r="TTE382" s="252"/>
      <c r="TTF382" s="252"/>
      <c r="TTG382" s="252"/>
      <c r="TTH382" s="252"/>
      <c r="TTI382" s="252"/>
      <c r="TTJ382" s="252"/>
      <c r="TTK382" s="252"/>
      <c r="TTL382" s="252"/>
      <c r="TTM382" s="252"/>
      <c r="TTN382" s="252"/>
      <c r="TTO382" s="252"/>
      <c r="TTP382" s="252"/>
      <c r="TTQ382" s="252"/>
      <c r="TTR382" s="252"/>
      <c r="TTS382" s="252"/>
      <c r="TTT382" s="252"/>
      <c r="TTU382" s="252"/>
      <c r="TTV382" s="252"/>
      <c r="TTW382" s="252"/>
      <c r="TTX382" s="252"/>
      <c r="TTY382" s="252"/>
      <c r="TTZ382" s="252"/>
      <c r="TUA382" s="252"/>
      <c r="TUB382" s="252"/>
      <c r="TUC382" s="252"/>
      <c r="TUD382" s="252"/>
      <c r="TUE382" s="252"/>
      <c r="TUF382" s="252"/>
      <c r="TUG382" s="252"/>
      <c r="TUH382" s="252"/>
      <c r="TUI382" s="252"/>
      <c r="TUJ382" s="252"/>
      <c r="TUK382" s="252"/>
      <c r="TUL382" s="252"/>
      <c r="TUM382" s="252"/>
      <c r="TUN382" s="252"/>
      <c r="TUO382" s="252"/>
      <c r="TUP382" s="252"/>
      <c r="TUQ382" s="252"/>
      <c r="TUR382" s="252"/>
      <c r="TUS382" s="252"/>
      <c r="TUT382" s="252"/>
      <c r="TUU382" s="252"/>
      <c r="TUV382" s="252"/>
      <c r="TUW382" s="252"/>
      <c r="TUX382" s="252"/>
      <c r="TUY382" s="252"/>
      <c r="TUZ382" s="252"/>
      <c r="TVA382" s="252"/>
      <c r="TVB382" s="252"/>
      <c r="TVC382" s="252"/>
      <c r="TVD382" s="252"/>
      <c r="TVE382" s="252"/>
      <c r="TVF382" s="252"/>
      <c r="TVG382" s="252"/>
      <c r="TVH382" s="252"/>
      <c r="TVI382" s="252"/>
      <c r="TVJ382" s="252"/>
      <c r="TVK382" s="252"/>
      <c r="TVL382" s="252"/>
      <c r="TVM382" s="252"/>
      <c r="TVN382" s="252"/>
      <c r="TVO382" s="252"/>
      <c r="TVP382" s="252"/>
      <c r="TVQ382" s="252"/>
      <c r="TVR382" s="252"/>
      <c r="TVS382" s="252"/>
      <c r="TVT382" s="252"/>
      <c r="TVU382" s="252"/>
      <c r="TVV382" s="252"/>
      <c r="TVW382" s="252"/>
      <c r="TVX382" s="252"/>
      <c r="TVY382" s="252"/>
      <c r="TVZ382" s="252"/>
      <c r="TWA382" s="252"/>
      <c r="TWB382" s="252"/>
      <c r="TWC382" s="252"/>
      <c r="TWD382" s="252"/>
      <c r="TWE382" s="252"/>
      <c r="TWF382" s="252"/>
      <c r="TWG382" s="252"/>
      <c r="TWH382" s="252"/>
      <c r="TWI382" s="252"/>
      <c r="TWJ382" s="252"/>
      <c r="TWK382" s="252"/>
      <c r="TWL382" s="252"/>
      <c r="TWM382" s="252"/>
      <c r="TWN382" s="252"/>
      <c r="TWO382" s="252"/>
      <c r="TWP382" s="252"/>
      <c r="TWQ382" s="252"/>
      <c r="TWR382" s="252"/>
      <c r="TWS382" s="252"/>
      <c r="TWT382" s="252"/>
      <c r="TWU382" s="252"/>
      <c r="TWV382" s="252"/>
      <c r="TWW382" s="252"/>
      <c r="TWX382" s="252"/>
      <c r="TWY382" s="252"/>
      <c r="TWZ382" s="252"/>
      <c r="TXA382" s="252"/>
      <c r="TXB382" s="252"/>
      <c r="TXC382" s="252"/>
      <c r="TXD382" s="252"/>
      <c r="TXE382" s="252"/>
      <c r="TXF382" s="252"/>
      <c r="TXG382" s="252"/>
      <c r="TXH382" s="252"/>
      <c r="TXI382" s="252"/>
      <c r="TXJ382" s="252"/>
      <c r="TXK382" s="252"/>
      <c r="TXL382" s="252"/>
      <c r="TXM382" s="252"/>
      <c r="TXN382" s="252"/>
      <c r="TXO382" s="252"/>
      <c r="TXP382" s="252"/>
      <c r="TXQ382" s="252"/>
      <c r="TXR382" s="252"/>
      <c r="TXS382" s="252"/>
      <c r="TXT382" s="252"/>
      <c r="TXU382" s="252"/>
      <c r="TXV382" s="252"/>
      <c r="TXW382" s="252"/>
      <c r="TXX382" s="252"/>
      <c r="TXY382" s="252"/>
      <c r="TXZ382" s="252"/>
      <c r="TYA382" s="252"/>
      <c r="TYB382" s="252"/>
      <c r="TYC382" s="252"/>
      <c r="TYD382" s="252"/>
      <c r="TYE382" s="252"/>
      <c r="TYF382" s="252"/>
      <c r="TYG382" s="252"/>
      <c r="TYH382" s="252"/>
      <c r="TYI382" s="252"/>
      <c r="TYJ382" s="252"/>
      <c r="TYK382" s="252"/>
      <c r="TYL382" s="252"/>
      <c r="TYM382" s="252"/>
      <c r="TYN382" s="252"/>
      <c r="TYO382" s="252"/>
      <c r="TYP382" s="252"/>
      <c r="TYQ382" s="252"/>
      <c r="TYR382" s="252"/>
      <c r="TYS382" s="252"/>
      <c r="TYT382" s="252"/>
      <c r="TYU382" s="252"/>
      <c r="TYV382" s="252"/>
      <c r="TYW382" s="252"/>
      <c r="TYX382" s="252"/>
      <c r="TYY382" s="252"/>
      <c r="TYZ382" s="252"/>
      <c r="TZA382" s="252"/>
      <c r="TZB382" s="252"/>
      <c r="TZC382" s="252"/>
      <c r="TZD382" s="252"/>
      <c r="TZE382" s="252"/>
      <c r="TZF382" s="252"/>
      <c r="TZG382" s="252"/>
      <c r="TZH382" s="252"/>
      <c r="TZI382" s="252"/>
      <c r="TZJ382" s="252"/>
      <c r="TZK382" s="252"/>
      <c r="TZL382" s="252"/>
      <c r="TZM382" s="252"/>
      <c r="TZN382" s="252"/>
      <c r="TZO382" s="252"/>
      <c r="TZP382" s="252"/>
      <c r="TZQ382" s="252"/>
      <c r="TZR382" s="252"/>
      <c r="TZS382" s="252"/>
      <c r="TZT382" s="252"/>
      <c r="TZU382" s="252"/>
      <c r="TZV382" s="252"/>
      <c r="TZW382" s="252"/>
      <c r="TZX382" s="252"/>
      <c r="TZY382" s="252"/>
      <c r="TZZ382" s="252"/>
      <c r="UAA382" s="252"/>
      <c r="UAB382" s="252"/>
      <c r="UAC382" s="252"/>
      <c r="UAD382" s="252"/>
      <c r="UAE382" s="252"/>
      <c r="UAF382" s="252"/>
      <c r="UAG382" s="252"/>
      <c r="UAH382" s="252"/>
      <c r="UAI382" s="252"/>
      <c r="UAJ382" s="252"/>
      <c r="UAK382" s="252"/>
      <c r="UAL382" s="252"/>
      <c r="UAM382" s="252"/>
      <c r="UAN382" s="252"/>
      <c r="UAO382" s="252"/>
      <c r="UAP382" s="252"/>
      <c r="UAQ382" s="252"/>
      <c r="UAR382" s="252"/>
      <c r="UAS382" s="252"/>
      <c r="UAT382" s="252"/>
      <c r="UAU382" s="252"/>
      <c r="UAV382" s="252"/>
      <c r="UAW382" s="252"/>
      <c r="UAX382" s="252"/>
      <c r="UAY382" s="252"/>
      <c r="UAZ382" s="252"/>
      <c r="UBA382" s="252"/>
      <c r="UBB382" s="252"/>
      <c r="UBC382" s="252"/>
      <c r="UBD382" s="252"/>
      <c r="UBE382" s="252"/>
      <c r="UBF382" s="252"/>
      <c r="UBG382" s="252"/>
      <c r="UBH382" s="252"/>
      <c r="UBI382" s="252"/>
      <c r="UBJ382" s="252"/>
      <c r="UBK382" s="252"/>
      <c r="UBL382" s="252"/>
      <c r="UBM382" s="252"/>
      <c r="UBN382" s="252"/>
      <c r="UBO382" s="252"/>
      <c r="UBP382" s="252"/>
      <c r="UBQ382" s="252"/>
      <c r="UBR382" s="252"/>
      <c r="UBS382" s="252"/>
      <c r="UBT382" s="252"/>
      <c r="UBU382" s="252"/>
      <c r="UBV382" s="252"/>
      <c r="UBW382" s="252"/>
      <c r="UBX382" s="252"/>
      <c r="UBY382" s="252"/>
      <c r="UBZ382" s="252"/>
      <c r="UCA382" s="252"/>
      <c r="UCB382" s="252"/>
      <c r="UCC382" s="252"/>
      <c r="UCD382" s="252"/>
      <c r="UCE382" s="252"/>
      <c r="UCF382" s="252"/>
      <c r="UCG382" s="252"/>
      <c r="UCH382" s="252"/>
      <c r="UCI382" s="252"/>
      <c r="UCJ382" s="252"/>
      <c r="UCK382" s="252"/>
      <c r="UCL382" s="252"/>
      <c r="UCM382" s="252"/>
      <c r="UCN382" s="252"/>
      <c r="UCO382" s="252"/>
      <c r="UCP382" s="252"/>
      <c r="UCQ382" s="252"/>
      <c r="UCR382" s="252"/>
      <c r="UCS382" s="252"/>
      <c r="UCT382" s="252"/>
      <c r="UCU382" s="252"/>
      <c r="UCV382" s="252"/>
      <c r="UCW382" s="252"/>
      <c r="UCX382" s="252"/>
      <c r="UCY382" s="252"/>
      <c r="UCZ382" s="252"/>
      <c r="UDA382" s="252"/>
      <c r="UDB382" s="252"/>
      <c r="UDC382" s="252"/>
      <c r="UDD382" s="252"/>
      <c r="UDE382" s="252"/>
      <c r="UDF382" s="252"/>
      <c r="UDG382" s="252"/>
      <c r="UDH382" s="252"/>
      <c r="UDI382" s="252"/>
      <c r="UDJ382" s="252"/>
      <c r="UDK382" s="252"/>
      <c r="UDL382" s="252"/>
      <c r="UDM382" s="252"/>
      <c r="UDN382" s="252"/>
      <c r="UDO382" s="252"/>
      <c r="UDP382" s="252"/>
      <c r="UDQ382" s="252"/>
      <c r="UDR382" s="252"/>
      <c r="UDS382" s="252"/>
      <c r="UDT382" s="252"/>
      <c r="UDU382" s="252"/>
      <c r="UDV382" s="252"/>
      <c r="UDW382" s="252"/>
      <c r="UDX382" s="252"/>
      <c r="UDY382" s="252"/>
      <c r="UDZ382" s="252"/>
      <c r="UEA382" s="252"/>
      <c r="UEB382" s="252"/>
      <c r="UEC382" s="252"/>
      <c r="UED382" s="252"/>
      <c r="UEE382" s="252"/>
      <c r="UEF382" s="252"/>
      <c r="UEG382" s="252"/>
      <c r="UEH382" s="252"/>
      <c r="UEI382" s="252"/>
      <c r="UEJ382" s="252"/>
      <c r="UEK382" s="252"/>
      <c r="UEL382" s="252"/>
      <c r="UEM382" s="252"/>
      <c r="UEN382" s="252"/>
      <c r="UEO382" s="252"/>
      <c r="UEP382" s="252"/>
      <c r="UEQ382" s="252"/>
      <c r="UER382" s="252"/>
      <c r="UES382" s="252"/>
      <c r="UET382" s="252"/>
      <c r="UEU382" s="252"/>
      <c r="UEV382" s="252"/>
      <c r="UEW382" s="252"/>
      <c r="UEX382" s="252"/>
      <c r="UEY382" s="252"/>
      <c r="UEZ382" s="252"/>
      <c r="UFA382" s="252"/>
      <c r="UFB382" s="252"/>
      <c r="UFC382" s="252"/>
      <c r="UFD382" s="252"/>
      <c r="UFE382" s="252"/>
      <c r="UFF382" s="252"/>
      <c r="UFG382" s="252"/>
      <c r="UFH382" s="252"/>
      <c r="UFI382" s="252"/>
      <c r="UFJ382" s="252"/>
      <c r="UFK382" s="252"/>
      <c r="UFL382" s="252"/>
      <c r="UFM382" s="252"/>
      <c r="UFN382" s="252"/>
      <c r="UFO382" s="252"/>
      <c r="UFP382" s="252"/>
      <c r="UFQ382" s="252"/>
      <c r="UFR382" s="252"/>
      <c r="UFS382" s="252"/>
      <c r="UFT382" s="252"/>
      <c r="UFU382" s="252"/>
      <c r="UFV382" s="252"/>
      <c r="UFW382" s="252"/>
      <c r="UFX382" s="252"/>
      <c r="UFY382" s="252"/>
      <c r="UFZ382" s="252"/>
      <c r="UGA382" s="252"/>
      <c r="UGB382" s="252"/>
      <c r="UGC382" s="252"/>
      <c r="UGD382" s="252"/>
      <c r="UGE382" s="252"/>
      <c r="UGF382" s="252"/>
      <c r="UGG382" s="252"/>
      <c r="UGH382" s="252"/>
      <c r="UGI382" s="252"/>
      <c r="UGJ382" s="252"/>
      <c r="UGK382" s="252"/>
      <c r="UGL382" s="252"/>
      <c r="UGM382" s="252"/>
      <c r="UGN382" s="252"/>
      <c r="UGO382" s="252"/>
      <c r="UGP382" s="252"/>
      <c r="UGQ382" s="252"/>
      <c r="UGR382" s="252"/>
      <c r="UGS382" s="252"/>
      <c r="UGT382" s="252"/>
      <c r="UGU382" s="252"/>
      <c r="UGV382" s="252"/>
      <c r="UGW382" s="252"/>
      <c r="UGX382" s="252"/>
      <c r="UGY382" s="252"/>
      <c r="UGZ382" s="252"/>
      <c r="UHA382" s="252"/>
      <c r="UHB382" s="252"/>
      <c r="UHC382" s="252"/>
      <c r="UHD382" s="252"/>
      <c r="UHE382" s="252"/>
      <c r="UHF382" s="252"/>
      <c r="UHG382" s="252"/>
      <c r="UHH382" s="252"/>
      <c r="UHI382" s="252"/>
      <c r="UHJ382" s="252"/>
      <c r="UHK382" s="252"/>
      <c r="UHL382" s="252"/>
      <c r="UHM382" s="252"/>
      <c r="UHN382" s="252"/>
      <c r="UHO382" s="252"/>
      <c r="UHP382" s="252"/>
      <c r="UHQ382" s="252"/>
      <c r="UHR382" s="252"/>
      <c r="UHS382" s="252"/>
      <c r="UHT382" s="252"/>
      <c r="UHU382" s="252"/>
      <c r="UHV382" s="252"/>
      <c r="UHW382" s="252"/>
      <c r="UHX382" s="252"/>
      <c r="UHY382" s="252"/>
      <c r="UHZ382" s="252"/>
      <c r="UIA382" s="252"/>
      <c r="UIB382" s="252"/>
      <c r="UIC382" s="252"/>
      <c r="UID382" s="252"/>
      <c r="UIE382" s="252"/>
      <c r="UIF382" s="252"/>
      <c r="UIG382" s="252"/>
      <c r="UIH382" s="252"/>
      <c r="UII382" s="252"/>
      <c r="UIJ382" s="252"/>
      <c r="UIK382" s="252"/>
      <c r="UIL382" s="252"/>
      <c r="UIM382" s="252"/>
      <c r="UIN382" s="252"/>
      <c r="UIO382" s="252"/>
      <c r="UIP382" s="252"/>
      <c r="UIQ382" s="252"/>
      <c r="UIR382" s="252"/>
      <c r="UIS382" s="252"/>
      <c r="UIT382" s="252"/>
      <c r="UIU382" s="252"/>
      <c r="UIV382" s="252"/>
      <c r="UIW382" s="252"/>
      <c r="UIX382" s="252"/>
      <c r="UIY382" s="252"/>
      <c r="UIZ382" s="252"/>
      <c r="UJA382" s="252"/>
      <c r="UJB382" s="252"/>
      <c r="UJC382" s="252"/>
      <c r="UJD382" s="252"/>
      <c r="UJE382" s="252"/>
      <c r="UJF382" s="252"/>
      <c r="UJG382" s="252"/>
      <c r="UJH382" s="252"/>
      <c r="UJI382" s="252"/>
      <c r="UJJ382" s="252"/>
      <c r="UJK382" s="252"/>
      <c r="UJL382" s="252"/>
      <c r="UJM382" s="252"/>
      <c r="UJN382" s="252"/>
      <c r="UJO382" s="252"/>
      <c r="UJP382" s="252"/>
      <c r="UJQ382" s="252"/>
      <c r="UJR382" s="252"/>
      <c r="UJS382" s="252"/>
      <c r="UJT382" s="252"/>
      <c r="UJU382" s="252"/>
      <c r="UJV382" s="252"/>
      <c r="UJW382" s="252"/>
      <c r="UJX382" s="252"/>
      <c r="UJY382" s="252"/>
      <c r="UJZ382" s="252"/>
      <c r="UKA382" s="252"/>
      <c r="UKB382" s="252"/>
      <c r="UKC382" s="252"/>
      <c r="UKD382" s="252"/>
      <c r="UKE382" s="252"/>
      <c r="UKF382" s="252"/>
      <c r="UKG382" s="252"/>
      <c r="UKH382" s="252"/>
      <c r="UKI382" s="252"/>
      <c r="UKJ382" s="252"/>
      <c r="UKK382" s="252"/>
      <c r="UKL382" s="252"/>
      <c r="UKM382" s="252"/>
      <c r="UKN382" s="252"/>
      <c r="UKO382" s="252"/>
      <c r="UKP382" s="252"/>
      <c r="UKQ382" s="252"/>
      <c r="UKR382" s="252"/>
      <c r="UKS382" s="252"/>
      <c r="UKT382" s="252"/>
      <c r="UKU382" s="252"/>
      <c r="UKV382" s="252"/>
      <c r="UKW382" s="252"/>
      <c r="UKX382" s="252"/>
      <c r="UKY382" s="252"/>
      <c r="UKZ382" s="252"/>
      <c r="ULA382" s="252"/>
      <c r="ULB382" s="252"/>
      <c r="ULC382" s="252"/>
      <c r="ULD382" s="252"/>
      <c r="ULE382" s="252"/>
      <c r="ULF382" s="252"/>
      <c r="ULG382" s="252"/>
      <c r="ULH382" s="252"/>
      <c r="ULI382" s="252"/>
      <c r="ULJ382" s="252"/>
      <c r="ULK382" s="252"/>
      <c r="ULL382" s="252"/>
      <c r="ULM382" s="252"/>
      <c r="ULN382" s="252"/>
      <c r="ULO382" s="252"/>
      <c r="ULP382" s="252"/>
      <c r="ULQ382" s="252"/>
      <c r="ULR382" s="252"/>
      <c r="ULS382" s="252"/>
      <c r="ULT382" s="252"/>
      <c r="ULU382" s="252"/>
      <c r="ULV382" s="252"/>
      <c r="ULW382" s="252"/>
      <c r="ULX382" s="252"/>
      <c r="ULY382" s="252"/>
      <c r="ULZ382" s="252"/>
      <c r="UMA382" s="252"/>
      <c r="UMB382" s="252"/>
      <c r="UMC382" s="252"/>
      <c r="UMD382" s="252"/>
      <c r="UME382" s="252"/>
      <c r="UMF382" s="252"/>
      <c r="UMG382" s="252"/>
      <c r="UMH382" s="252"/>
      <c r="UMI382" s="252"/>
      <c r="UMJ382" s="252"/>
      <c r="UMK382" s="252"/>
      <c r="UML382" s="252"/>
      <c r="UMM382" s="252"/>
      <c r="UMN382" s="252"/>
      <c r="UMO382" s="252"/>
      <c r="UMP382" s="252"/>
      <c r="UMQ382" s="252"/>
      <c r="UMR382" s="252"/>
      <c r="UMS382" s="252"/>
      <c r="UMT382" s="252"/>
      <c r="UMU382" s="252"/>
      <c r="UMV382" s="252"/>
      <c r="UMW382" s="252"/>
      <c r="UMX382" s="252"/>
      <c r="UMY382" s="252"/>
      <c r="UMZ382" s="252"/>
      <c r="UNA382" s="252"/>
      <c r="UNB382" s="252"/>
      <c r="UNC382" s="252"/>
      <c r="UND382" s="252"/>
      <c r="UNE382" s="252"/>
      <c r="UNF382" s="252"/>
      <c r="UNG382" s="252"/>
      <c r="UNH382" s="252"/>
      <c r="UNI382" s="252"/>
      <c r="UNJ382" s="252"/>
      <c r="UNK382" s="252"/>
      <c r="UNL382" s="252"/>
      <c r="UNM382" s="252"/>
      <c r="UNN382" s="252"/>
      <c r="UNO382" s="252"/>
      <c r="UNP382" s="252"/>
      <c r="UNQ382" s="252"/>
      <c r="UNR382" s="252"/>
      <c r="UNS382" s="252"/>
      <c r="UNT382" s="252"/>
      <c r="UNU382" s="252"/>
      <c r="UNV382" s="252"/>
      <c r="UNW382" s="252"/>
      <c r="UNX382" s="252"/>
      <c r="UNY382" s="252"/>
      <c r="UNZ382" s="252"/>
      <c r="UOA382" s="252"/>
      <c r="UOB382" s="252"/>
      <c r="UOC382" s="252"/>
      <c r="UOD382" s="252"/>
      <c r="UOE382" s="252"/>
      <c r="UOF382" s="252"/>
      <c r="UOG382" s="252"/>
      <c r="UOH382" s="252"/>
      <c r="UOI382" s="252"/>
      <c r="UOJ382" s="252"/>
      <c r="UOK382" s="252"/>
      <c r="UOL382" s="252"/>
      <c r="UOM382" s="252"/>
      <c r="UON382" s="252"/>
      <c r="UOO382" s="252"/>
      <c r="UOP382" s="252"/>
      <c r="UOQ382" s="252"/>
      <c r="UOR382" s="252"/>
      <c r="UOS382" s="252"/>
      <c r="UOT382" s="252"/>
      <c r="UOU382" s="252"/>
      <c r="UOV382" s="252"/>
      <c r="UOW382" s="252"/>
      <c r="UOX382" s="252"/>
      <c r="UOY382" s="252"/>
      <c r="UOZ382" s="252"/>
      <c r="UPA382" s="252"/>
      <c r="UPB382" s="252"/>
      <c r="UPC382" s="252"/>
      <c r="UPD382" s="252"/>
      <c r="UPE382" s="252"/>
      <c r="UPF382" s="252"/>
      <c r="UPG382" s="252"/>
      <c r="UPH382" s="252"/>
      <c r="UPI382" s="252"/>
      <c r="UPJ382" s="252"/>
      <c r="UPK382" s="252"/>
      <c r="UPL382" s="252"/>
      <c r="UPM382" s="252"/>
      <c r="UPN382" s="252"/>
      <c r="UPO382" s="252"/>
      <c r="UPP382" s="252"/>
      <c r="UPQ382" s="252"/>
      <c r="UPR382" s="252"/>
      <c r="UPS382" s="252"/>
      <c r="UPT382" s="252"/>
      <c r="UPU382" s="252"/>
      <c r="UPV382" s="252"/>
      <c r="UPW382" s="252"/>
      <c r="UPX382" s="252"/>
      <c r="UPY382" s="252"/>
      <c r="UPZ382" s="252"/>
      <c r="UQA382" s="252"/>
      <c r="UQB382" s="252"/>
      <c r="UQC382" s="252"/>
      <c r="UQD382" s="252"/>
      <c r="UQE382" s="252"/>
      <c r="UQF382" s="252"/>
      <c r="UQG382" s="252"/>
      <c r="UQH382" s="252"/>
      <c r="UQI382" s="252"/>
      <c r="UQJ382" s="252"/>
      <c r="UQK382" s="252"/>
      <c r="UQL382" s="252"/>
      <c r="UQM382" s="252"/>
      <c r="UQN382" s="252"/>
      <c r="UQO382" s="252"/>
      <c r="UQP382" s="252"/>
      <c r="UQQ382" s="252"/>
      <c r="UQR382" s="252"/>
      <c r="UQS382" s="252"/>
      <c r="UQT382" s="252"/>
      <c r="UQU382" s="252"/>
      <c r="UQV382" s="252"/>
      <c r="UQW382" s="252"/>
      <c r="UQX382" s="252"/>
      <c r="UQY382" s="252"/>
      <c r="UQZ382" s="252"/>
      <c r="URA382" s="252"/>
      <c r="URB382" s="252"/>
      <c r="URC382" s="252"/>
      <c r="URD382" s="252"/>
      <c r="URE382" s="252"/>
      <c r="URF382" s="252"/>
      <c r="URG382" s="252"/>
      <c r="URH382" s="252"/>
      <c r="URI382" s="252"/>
      <c r="URJ382" s="252"/>
      <c r="URK382" s="252"/>
      <c r="URL382" s="252"/>
      <c r="URM382" s="252"/>
      <c r="URN382" s="252"/>
      <c r="URO382" s="252"/>
      <c r="URP382" s="252"/>
      <c r="URQ382" s="252"/>
      <c r="URR382" s="252"/>
      <c r="URS382" s="252"/>
      <c r="URT382" s="252"/>
      <c r="URU382" s="252"/>
      <c r="URV382" s="252"/>
      <c r="URW382" s="252"/>
      <c r="URX382" s="252"/>
      <c r="URY382" s="252"/>
      <c r="URZ382" s="252"/>
      <c r="USA382" s="252"/>
      <c r="USB382" s="252"/>
      <c r="USC382" s="252"/>
      <c r="USD382" s="252"/>
      <c r="USE382" s="252"/>
      <c r="USF382" s="252"/>
      <c r="USG382" s="252"/>
      <c r="USH382" s="252"/>
      <c r="USI382" s="252"/>
      <c r="USJ382" s="252"/>
      <c r="USK382" s="252"/>
      <c r="USL382" s="252"/>
      <c r="USM382" s="252"/>
      <c r="USN382" s="252"/>
      <c r="USO382" s="252"/>
      <c r="USP382" s="252"/>
      <c r="USQ382" s="252"/>
      <c r="USR382" s="252"/>
      <c r="USS382" s="252"/>
      <c r="UST382" s="252"/>
      <c r="USU382" s="252"/>
      <c r="USV382" s="252"/>
      <c r="USW382" s="252"/>
      <c r="USX382" s="252"/>
      <c r="USY382" s="252"/>
      <c r="USZ382" s="252"/>
      <c r="UTA382" s="252"/>
      <c r="UTB382" s="252"/>
      <c r="UTC382" s="252"/>
      <c r="UTD382" s="252"/>
      <c r="UTE382" s="252"/>
      <c r="UTF382" s="252"/>
      <c r="UTG382" s="252"/>
      <c r="UTH382" s="252"/>
      <c r="UTI382" s="252"/>
      <c r="UTJ382" s="252"/>
      <c r="UTK382" s="252"/>
      <c r="UTL382" s="252"/>
      <c r="UTM382" s="252"/>
      <c r="UTN382" s="252"/>
      <c r="UTO382" s="252"/>
      <c r="UTP382" s="252"/>
      <c r="UTQ382" s="252"/>
      <c r="UTR382" s="252"/>
      <c r="UTS382" s="252"/>
      <c r="UTT382" s="252"/>
      <c r="UTU382" s="252"/>
      <c r="UTV382" s="252"/>
      <c r="UTW382" s="252"/>
      <c r="UTX382" s="252"/>
      <c r="UTY382" s="252"/>
      <c r="UTZ382" s="252"/>
      <c r="UUA382" s="252"/>
      <c r="UUB382" s="252"/>
      <c r="UUC382" s="252"/>
      <c r="UUD382" s="252"/>
      <c r="UUE382" s="252"/>
      <c r="UUF382" s="252"/>
      <c r="UUG382" s="252"/>
      <c r="UUH382" s="252"/>
      <c r="UUI382" s="252"/>
      <c r="UUJ382" s="252"/>
      <c r="UUK382" s="252"/>
      <c r="UUL382" s="252"/>
      <c r="UUM382" s="252"/>
      <c r="UUN382" s="252"/>
      <c r="UUO382" s="252"/>
      <c r="UUP382" s="252"/>
      <c r="UUQ382" s="252"/>
      <c r="UUR382" s="252"/>
      <c r="UUS382" s="252"/>
      <c r="UUT382" s="252"/>
      <c r="UUU382" s="252"/>
      <c r="UUV382" s="252"/>
      <c r="UUW382" s="252"/>
      <c r="UUX382" s="252"/>
      <c r="UUY382" s="252"/>
      <c r="UUZ382" s="252"/>
      <c r="UVA382" s="252"/>
      <c r="UVB382" s="252"/>
      <c r="UVC382" s="252"/>
      <c r="UVD382" s="252"/>
      <c r="UVE382" s="252"/>
      <c r="UVF382" s="252"/>
      <c r="UVG382" s="252"/>
      <c r="UVH382" s="252"/>
      <c r="UVI382" s="252"/>
      <c r="UVJ382" s="252"/>
      <c r="UVK382" s="252"/>
      <c r="UVL382" s="252"/>
      <c r="UVM382" s="252"/>
      <c r="UVN382" s="252"/>
      <c r="UVO382" s="252"/>
      <c r="UVP382" s="252"/>
      <c r="UVQ382" s="252"/>
      <c r="UVR382" s="252"/>
      <c r="UVS382" s="252"/>
      <c r="UVT382" s="252"/>
      <c r="UVU382" s="252"/>
      <c r="UVV382" s="252"/>
      <c r="UVW382" s="252"/>
      <c r="UVX382" s="252"/>
      <c r="UVY382" s="252"/>
      <c r="UVZ382" s="252"/>
      <c r="UWA382" s="252"/>
      <c r="UWB382" s="252"/>
      <c r="UWC382" s="252"/>
      <c r="UWD382" s="252"/>
      <c r="UWE382" s="252"/>
      <c r="UWF382" s="252"/>
      <c r="UWG382" s="252"/>
      <c r="UWH382" s="252"/>
      <c r="UWI382" s="252"/>
      <c r="UWJ382" s="252"/>
      <c r="UWK382" s="252"/>
      <c r="UWL382" s="252"/>
      <c r="UWM382" s="252"/>
      <c r="UWN382" s="252"/>
      <c r="UWO382" s="252"/>
      <c r="UWP382" s="252"/>
      <c r="UWQ382" s="252"/>
      <c r="UWR382" s="252"/>
      <c r="UWS382" s="252"/>
      <c r="UWT382" s="252"/>
      <c r="UWU382" s="252"/>
      <c r="UWV382" s="252"/>
      <c r="UWW382" s="252"/>
      <c r="UWX382" s="252"/>
      <c r="UWY382" s="252"/>
      <c r="UWZ382" s="252"/>
      <c r="UXA382" s="252"/>
      <c r="UXB382" s="252"/>
      <c r="UXC382" s="252"/>
      <c r="UXD382" s="252"/>
      <c r="UXE382" s="252"/>
      <c r="UXF382" s="252"/>
      <c r="UXG382" s="252"/>
      <c r="UXH382" s="252"/>
      <c r="UXI382" s="252"/>
      <c r="UXJ382" s="252"/>
      <c r="UXK382" s="252"/>
      <c r="UXL382" s="252"/>
      <c r="UXM382" s="252"/>
      <c r="UXN382" s="252"/>
      <c r="UXO382" s="252"/>
      <c r="UXP382" s="252"/>
      <c r="UXQ382" s="252"/>
      <c r="UXR382" s="252"/>
      <c r="UXS382" s="252"/>
      <c r="UXT382" s="252"/>
      <c r="UXU382" s="252"/>
      <c r="UXV382" s="252"/>
      <c r="UXW382" s="252"/>
      <c r="UXX382" s="252"/>
      <c r="UXY382" s="252"/>
      <c r="UXZ382" s="252"/>
      <c r="UYA382" s="252"/>
      <c r="UYB382" s="252"/>
      <c r="UYC382" s="252"/>
      <c r="UYD382" s="252"/>
      <c r="UYE382" s="252"/>
      <c r="UYF382" s="252"/>
      <c r="UYG382" s="252"/>
      <c r="UYH382" s="252"/>
      <c r="UYI382" s="252"/>
      <c r="UYJ382" s="252"/>
      <c r="UYK382" s="252"/>
      <c r="UYL382" s="252"/>
      <c r="UYM382" s="252"/>
      <c r="UYN382" s="252"/>
      <c r="UYO382" s="252"/>
      <c r="UYP382" s="252"/>
      <c r="UYQ382" s="252"/>
      <c r="UYR382" s="252"/>
      <c r="UYS382" s="252"/>
      <c r="UYT382" s="252"/>
      <c r="UYU382" s="252"/>
      <c r="UYV382" s="252"/>
      <c r="UYW382" s="252"/>
      <c r="UYX382" s="252"/>
      <c r="UYY382" s="252"/>
      <c r="UYZ382" s="252"/>
      <c r="UZA382" s="252"/>
      <c r="UZB382" s="252"/>
      <c r="UZC382" s="252"/>
      <c r="UZD382" s="252"/>
      <c r="UZE382" s="252"/>
      <c r="UZF382" s="252"/>
      <c r="UZG382" s="252"/>
      <c r="UZH382" s="252"/>
      <c r="UZI382" s="252"/>
      <c r="UZJ382" s="252"/>
      <c r="UZK382" s="252"/>
      <c r="UZL382" s="252"/>
      <c r="UZM382" s="252"/>
      <c r="UZN382" s="252"/>
      <c r="UZO382" s="252"/>
      <c r="UZP382" s="252"/>
      <c r="UZQ382" s="252"/>
      <c r="UZR382" s="252"/>
      <c r="UZS382" s="252"/>
      <c r="UZT382" s="252"/>
      <c r="UZU382" s="252"/>
      <c r="UZV382" s="252"/>
      <c r="UZW382" s="252"/>
      <c r="UZX382" s="252"/>
      <c r="UZY382" s="252"/>
      <c r="UZZ382" s="252"/>
      <c r="VAA382" s="252"/>
      <c r="VAB382" s="252"/>
      <c r="VAC382" s="252"/>
      <c r="VAD382" s="252"/>
      <c r="VAE382" s="252"/>
      <c r="VAF382" s="252"/>
      <c r="VAG382" s="252"/>
      <c r="VAH382" s="252"/>
      <c r="VAI382" s="252"/>
      <c r="VAJ382" s="252"/>
      <c r="VAK382" s="252"/>
      <c r="VAL382" s="252"/>
      <c r="VAM382" s="252"/>
      <c r="VAN382" s="252"/>
      <c r="VAO382" s="252"/>
      <c r="VAP382" s="252"/>
      <c r="VAQ382" s="252"/>
      <c r="VAR382" s="252"/>
      <c r="VAS382" s="252"/>
      <c r="VAT382" s="252"/>
      <c r="VAU382" s="252"/>
      <c r="VAV382" s="252"/>
      <c r="VAW382" s="252"/>
      <c r="VAX382" s="252"/>
      <c r="VAY382" s="252"/>
      <c r="VAZ382" s="252"/>
      <c r="VBA382" s="252"/>
      <c r="VBB382" s="252"/>
      <c r="VBC382" s="252"/>
      <c r="VBD382" s="252"/>
      <c r="VBE382" s="252"/>
      <c r="VBF382" s="252"/>
      <c r="VBG382" s="252"/>
      <c r="VBH382" s="252"/>
      <c r="VBI382" s="252"/>
      <c r="VBJ382" s="252"/>
      <c r="VBK382" s="252"/>
      <c r="VBL382" s="252"/>
      <c r="VBM382" s="252"/>
      <c r="VBN382" s="252"/>
      <c r="VBO382" s="252"/>
      <c r="VBP382" s="252"/>
      <c r="VBQ382" s="252"/>
      <c r="VBR382" s="252"/>
      <c r="VBS382" s="252"/>
      <c r="VBT382" s="252"/>
      <c r="VBU382" s="252"/>
      <c r="VBV382" s="252"/>
      <c r="VBW382" s="252"/>
      <c r="VBX382" s="252"/>
      <c r="VBY382" s="252"/>
      <c r="VBZ382" s="252"/>
      <c r="VCA382" s="252"/>
      <c r="VCB382" s="252"/>
      <c r="VCC382" s="252"/>
      <c r="VCD382" s="252"/>
      <c r="VCE382" s="252"/>
      <c r="VCF382" s="252"/>
      <c r="VCG382" s="252"/>
      <c r="VCH382" s="252"/>
      <c r="VCI382" s="252"/>
      <c r="VCJ382" s="252"/>
      <c r="VCK382" s="252"/>
      <c r="VCL382" s="252"/>
      <c r="VCM382" s="252"/>
      <c r="VCN382" s="252"/>
      <c r="VCO382" s="252"/>
      <c r="VCP382" s="252"/>
      <c r="VCQ382" s="252"/>
      <c r="VCR382" s="252"/>
      <c r="VCS382" s="252"/>
      <c r="VCT382" s="252"/>
      <c r="VCU382" s="252"/>
      <c r="VCV382" s="252"/>
      <c r="VCW382" s="252"/>
      <c r="VCX382" s="252"/>
      <c r="VCY382" s="252"/>
      <c r="VCZ382" s="252"/>
      <c r="VDA382" s="252"/>
      <c r="VDB382" s="252"/>
      <c r="VDC382" s="252"/>
      <c r="VDD382" s="252"/>
      <c r="VDE382" s="252"/>
      <c r="VDF382" s="252"/>
      <c r="VDG382" s="252"/>
      <c r="VDH382" s="252"/>
      <c r="VDI382" s="252"/>
      <c r="VDJ382" s="252"/>
      <c r="VDK382" s="252"/>
      <c r="VDL382" s="252"/>
      <c r="VDM382" s="252"/>
      <c r="VDN382" s="252"/>
      <c r="VDO382" s="252"/>
      <c r="VDP382" s="252"/>
      <c r="VDQ382" s="252"/>
      <c r="VDR382" s="252"/>
      <c r="VDS382" s="252"/>
      <c r="VDT382" s="252"/>
      <c r="VDU382" s="252"/>
      <c r="VDV382" s="252"/>
      <c r="VDW382" s="252"/>
      <c r="VDX382" s="252"/>
      <c r="VDY382" s="252"/>
      <c r="VDZ382" s="252"/>
      <c r="VEA382" s="252"/>
      <c r="VEB382" s="252"/>
      <c r="VEC382" s="252"/>
      <c r="VED382" s="252"/>
      <c r="VEE382" s="252"/>
      <c r="VEF382" s="252"/>
      <c r="VEG382" s="252"/>
      <c r="VEH382" s="252"/>
      <c r="VEI382" s="252"/>
      <c r="VEJ382" s="252"/>
      <c r="VEK382" s="252"/>
      <c r="VEL382" s="252"/>
      <c r="VEM382" s="252"/>
      <c r="VEN382" s="252"/>
      <c r="VEO382" s="252"/>
      <c r="VEP382" s="252"/>
      <c r="VEQ382" s="252"/>
      <c r="VER382" s="252"/>
      <c r="VES382" s="252"/>
      <c r="VET382" s="252"/>
      <c r="VEU382" s="252"/>
      <c r="VEV382" s="252"/>
      <c r="VEW382" s="252"/>
      <c r="VEX382" s="252"/>
      <c r="VEY382" s="252"/>
      <c r="VEZ382" s="252"/>
      <c r="VFA382" s="252"/>
      <c r="VFB382" s="252"/>
      <c r="VFC382" s="252"/>
      <c r="VFD382" s="252"/>
      <c r="VFE382" s="252"/>
      <c r="VFF382" s="252"/>
      <c r="VFG382" s="252"/>
      <c r="VFH382" s="252"/>
      <c r="VFI382" s="252"/>
      <c r="VFJ382" s="252"/>
      <c r="VFK382" s="252"/>
      <c r="VFL382" s="252"/>
      <c r="VFM382" s="252"/>
      <c r="VFN382" s="252"/>
      <c r="VFO382" s="252"/>
      <c r="VFP382" s="252"/>
      <c r="VFQ382" s="252"/>
      <c r="VFR382" s="252"/>
      <c r="VFS382" s="252"/>
      <c r="VFT382" s="252"/>
      <c r="VFU382" s="252"/>
      <c r="VFV382" s="252"/>
      <c r="VFW382" s="252"/>
      <c r="VFX382" s="252"/>
      <c r="VFY382" s="252"/>
      <c r="VFZ382" s="252"/>
      <c r="VGA382" s="252"/>
      <c r="VGB382" s="252"/>
      <c r="VGC382" s="252"/>
      <c r="VGD382" s="252"/>
      <c r="VGE382" s="252"/>
      <c r="VGF382" s="252"/>
      <c r="VGG382" s="252"/>
      <c r="VGH382" s="252"/>
      <c r="VGI382" s="252"/>
      <c r="VGJ382" s="252"/>
      <c r="VGK382" s="252"/>
      <c r="VGL382" s="252"/>
      <c r="VGM382" s="252"/>
      <c r="VGN382" s="252"/>
      <c r="VGO382" s="252"/>
      <c r="VGP382" s="252"/>
      <c r="VGQ382" s="252"/>
      <c r="VGR382" s="252"/>
      <c r="VGS382" s="252"/>
      <c r="VGT382" s="252"/>
      <c r="VGU382" s="252"/>
      <c r="VGV382" s="252"/>
      <c r="VGW382" s="252"/>
      <c r="VGX382" s="252"/>
      <c r="VGY382" s="252"/>
      <c r="VGZ382" s="252"/>
      <c r="VHA382" s="252"/>
      <c r="VHB382" s="252"/>
      <c r="VHC382" s="252"/>
      <c r="VHD382" s="252"/>
      <c r="VHE382" s="252"/>
      <c r="VHF382" s="252"/>
      <c r="VHG382" s="252"/>
      <c r="VHH382" s="252"/>
      <c r="VHI382" s="252"/>
      <c r="VHJ382" s="252"/>
      <c r="VHK382" s="252"/>
      <c r="VHL382" s="252"/>
      <c r="VHM382" s="252"/>
      <c r="VHN382" s="252"/>
      <c r="VHO382" s="252"/>
      <c r="VHP382" s="252"/>
      <c r="VHQ382" s="252"/>
      <c r="VHR382" s="252"/>
      <c r="VHS382" s="252"/>
      <c r="VHT382" s="252"/>
      <c r="VHU382" s="252"/>
      <c r="VHV382" s="252"/>
      <c r="VHW382" s="252"/>
      <c r="VHX382" s="252"/>
      <c r="VHY382" s="252"/>
      <c r="VHZ382" s="252"/>
      <c r="VIA382" s="252"/>
      <c r="VIB382" s="252"/>
      <c r="VIC382" s="252"/>
      <c r="VID382" s="252"/>
      <c r="VIE382" s="252"/>
      <c r="VIF382" s="252"/>
      <c r="VIG382" s="252"/>
      <c r="VIH382" s="252"/>
      <c r="VII382" s="252"/>
      <c r="VIJ382" s="252"/>
      <c r="VIK382" s="252"/>
      <c r="VIL382" s="252"/>
      <c r="VIM382" s="252"/>
      <c r="VIN382" s="252"/>
      <c r="VIO382" s="252"/>
      <c r="VIP382" s="252"/>
      <c r="VIQ382" s="252"/>
      <c r="VIR382" s="252"/>
      <c r="VIS382" s="252"/>
      <c r="VIT382" s="252"/>
      <c r="VIU382" s="252"/>
      <c r="VIV382" s="252"/>
      <c r="VIW382" s="252"/>
      <c r="VIX382" s="252"/>
      <c r="VIY382" s="252"/>
      <c r="VIZ382" s="252"/>
      <c r="VJA382" s="252"/>
      <c r="VJB382" s="252"/>
      <c r="VJC382" s="252"/>
      <c r="VJD382" s="252"/>
      <c r="VJE382" s="252"/>
      <c r="VJF382" s="252"/>
      <c r="VJG382" s="252"/>
      <c r="VJH382" s="252"/>
      <c r="VJI382" s="252"/>
      <c r="VJJ382" s="252"/>
      <c r="VJK382" s="252"/>
      <c r="VJL382" s="252"/>
      <c r="VJM382" s="252"/>
      <c r="VJN382" s="252"/>
      <c r="VJO382" s="252"/>
      <c r="VJP382" s="252"/>
      <c r="VJQ382" s="252"/>
      <c r="VJR382" s="252"/>
      <c r="VJS382" s="252"/>
      <c r="VJT382" s="252"/>
      <c r="VJU382" s="252"/>
      <c r="VJV382" s="252"/>
      <c r="VJW382" s="252"/>
      <c r="VJX382" s="252"/>
      <c r="VJY382" s="252"/>
      <c r="VJZ382" s="252"/>
      <c r="VKA382" s="252"/>
      <c r="VKB382" s="252"/>
      <c r="VKC382" s="252"/>
      <c r="VKD382" s="252"/>
      <c r="VKE382" s="252"/>
      <c r="VKF382" s="252"/>
      <c r="VKG382" s="252"/>
      <c r="VKH382" s="252"/>
      <c r="VKI382" s="252"/>
      <c r="VKJ382" s="252"/>
      <c r="VKK382" s="252"/>
      <c r="VKL382" s="252"/>
      <c r="VKM382" s="252"/>
      <c r="VKN382" s="252"/>
      <c r="VKO382" s="252"/>
      <c r="VKP382" s="252"/>
      <c r="VKQ382" s="252"/>
      <c r="VKR382" s="252"/>
      <c r="VKS382" s="252"/>
      <c r="VKT382" s="252"/>
      <c r="VKU382" s="252"/>
      <c r="VKV382" s="252"/>
      <c r="VKW382" s="252"/>
      <c r="VKX382" s="252"/>
      <c r="VKY382" s="252"/>
      <c r="VKZ382" s="252"/>
      <c r="VLA382" s="252"/>
      <c r="VLB382" s="252"/>
      <c r="VLC382" s="252"/>
      <c r="VLD382" s="252"/>
      <c r="VLE382" s="252"/>
      <c r="VLF382" s="252"/>
      <c r="VLG382" s="252"/>
      <c r="VLH382" s="252"/>
      <c r="VLI382" s="252"/>
      <c r="VLJ382" s="252"/>
      <c r="VLK382" s="252"/>
      <c r="VLL382" s="252"/>
      <c r="VLM382" s="252"/>
      <c r="VLN382" s="252"/>
      <c r="VLO382" s="252"/>
      <c r="VLP382" s="252"/>
      <c r="VLQ382" s="252"/>
      <c r="VLR382" s="252"/>
      <c r="VLS382" s="252"/>
      <c r="VLT382" s="252"/>
      <c r="VLU382" s="252"/>
      <c r="VLV382" s="252"/>
      <c r="VLW382" s="252"/>
      <c r="VLX382" s="252"/>
      <c r="VLY382" s="252"/>
      <c r="VLZ382" s="252"/>
      <c r="VMA382" s="252"/>
      <c r="VMB382" s="252"/>
      <c r="VMC382" s="252"/>
      <c r="VMD382" s="252"/>
      <c r="VME382" s="252"/>
      <c r="VMF382" s="252"/>
      <c r="VMG382" s="252"/>
      <c r="VMH382" s="252"/>
      <c r="VMI382" s="252"/>
      <c r="VMJ382" s="252"/>
      <c r="VMK382" s="252"/>
      <c r="VML382" s="252"/>
      <c r="VMM382" s="252"/>
      <c r="VMN382" s="252"/>
      <c r="VMO382" s="252"/>
      <c r="VMP382" s="252"/>
      <c r="VMQ382" s="252"/>
      <c r="VMR382" s="252"/>
      <c r="VMS382" s="252"/>
      <c r="VMT382" s="252"/>
      <c r="VMU382" s="252"/>
      <c r="VMV382" s="252"/>
      <c r="VMW382" s="252"/>
      <c r="VMX382" s="252"/>
      <c r="VMY382" s="252"/>
      <c r="VMZ382" s="252"/>
      <c r="VNA382" s="252"/>
      <c r="VNB382" s="252"/>
      <c r="VNC382" s="252"/>
      <c r="VND382" s="252"/>
      <c r="VNE382" s="252"/>
      <c r="VNF382" s="252"/>
      <c r="VNG382" s="252"/>
      <c r="VNH382" s="252"/>
      <c r="VNI382" s="252"/>
      <c r="VNJ382" s="252"/>
      <c r="VNK382" s="252"/>
      <c r="VNL382" s="252"/>
      <c r="VNM382" s="252"/>
      <c r="VNN382" s="252"/>
      <c r="VNO382" s="252"/>
      <c r="VNP382" s="252"/>
      <c r="VNQ382" s="252"/>
      <c r="VNR382" s="252"/>
      <c r="VNS382" s="252"/>
      <c r="VNT382" s="252"/>
      <c r="VNU382" s="252"/>
      <c r="VNV382" s="252"/>
      <c r="VNW382" s="252"/>
      <c r="VNX382" s="252"/>
      <c r="VNY382" s="252"/>
      <c r="VNZ382" s="252"/>
      <c r="VOA382" s="252"/>
      <c r="VOB382" s="252"/>
      <c r="VOC382" s="252"/>
      <c r="VOD382" s="252"/>
      <c r="VOE382" s="252"/>
      <c r="VOF382" s="252"/>
      <c r="VOG382" s="252"/>
      <c r="VOH382" s="252"/>
      <c r="VOI382" s="252"/>
      <c r="VOJ382" s="252"/>
      <c r="VOK382" s="252"/>
      <c r="VOL382" s="252"/>
      <c r="VOM382" s="252"/>
      <c r="VON382" s="252"/>
      <c r="VOO382" s="252"/>
      <c r="VOP382" s="252"/>
      <c r="VOQ382" s="252"/>
      <c r="VOR382" s="252"/>
      <c r="VOS382" s="252"/>
      <c r="VOT382" s="252"/>
      <c r="VOU382" s="252"/>
      <c r="VOV382" s="252"/>
      <c r="VOW382" s="252"/>
      <c r="VOX382" s="252"/>
      <c r="VOY382" s="252"/>
      <c r="VOZ382" s="252"/>
      <c r="VPA382" s="252"/>
      <c r="VPB382" s="252"/>
      <c r="VPC382" s="252"/>
      <c r="VPD382" s="252"/>
      <c r="VPE382" s="252"/>
      <c r="VPF382" s="252"/>
      <c r="VPG382" s="252"/>
      <c r="VPH382" s="252"/>
      <c r="VPI382" s="252"/>
      <c r="VPJ382" s="252"/>
      <c r="VPK382" s="252"/>
      <c r="VPL382" s="252"/>
      <c r="VPM382" s="252"/>
      <c r="VPN382" s="252"/>
      <c r="VPO382" s="252"/>
      <c r="VPP382" s="252"/>
      <c r="VPQ382" s="252"/>
      <c r="VPR382" s="252"/>
      <c r="VPS382" s="252"/>
      <c r="VPT382" s="252"/>
      <c r="VPU382" s="252"/>
      <c r="VPV382" s="252"/>
      <c r="VPW382" s="252"/>
      <c r="VPX382" s="252"/>
      <c r="VPY382" s="252"/>
      <c r="VPZ382" s="252"/>
      <c r="VQA382" s="252"/>
      <c r="VQB382" s="252"/>
      <c r="VQC382" s="252"/>
      <c r="VQD382" s="252"/>
      <c r="VQE382" s="252"/>
      <c r="VQF382" s="252"/>
      <c r="VQG382" s="252"/>
      <c r="VQH382" s="252"/>
      <c r="VQI382" s="252"/>
      <c r="VQJ382" s="252"/>
      <c r="VQK382" s="252"/>
      <c r="VQL382" s="252"/>
      <c r="VQM382" s="252"/>
      <c r="VQN382" s="252"/>
      <c r="VQO382" s="252"/>
      <c r="VQP382" s="252"/>
      <c r="VQQ382" s="252"/>
      <c r="VQR382" s="252"/>
      <c r="VQS382" s="252"/>
      <c r="VQT382" s="252"/>
      <c r="VQU382" s="252"/>
      <c r="VQV382" s="252"/>
      <c r="VQW382" s="252"/>
      <c r="VQX382" s="252"/>
      <c r="VQY382" s="252"/>
      <c r="VQZ382" s="252"/>
      <c r="VRA382" s="252"/>
      <c r="VRB382" s="252"/>
      <c r="VRC382" s="252"/>
      <c r="VRD382" s="252"/>
      <c r="VRE382" s="252"/>
      <c r="VRF382" s="252"/>
      <c r="VRG382" s="252"/>
      <c r="VRH382" s="252"/>
      <c r="VRI382" s="252"/>
      <c r="VRJ382" s="252"/>
      <c r="VRK382" s="252"/>
      <c r="VRL382" s="252"/>
      <c r="VRM382" s="252"/>
      <c r="VRN382" s="252"/>
      <c r="VRO382" s="252"/>
      <c r="VRP382" s="252"/>
      <c r="VRQ382" s="252"/>
      <c r="VRR382" s="252"/>
      <c r="VRS382" s="252"/>
      <c r="VRT382" s="252"/>
      <c r="VRU382" s="252"/>
      <c r="VRV382" s="252"/>
      <c r="VRW382" s="252"/>
      <c r="VRX382" s="252"/>
      <c r="VRY382" s="252"/>
      <c r="VRZ382" s="252"/>
      <c r="VSA382" s="252"/>
      <c r="VSB382" s="252"/>
      <c r="VSC382" s="252"/>
      <c r="VSD382" s="252"/>
      <c r="VSE382" s="252"/>
      <c r="VSF382" s="252"/>
      <c r="VSG382" s="252"/>
      <c r="VSH382" s="252"/>
      <c r="VSI382" s="252"/>
      <c r="VSJ382" s="252"/>
      <c r="VSK382" s="252"/>
      <c r="VSL382" s="252"/>
      <c r="VSM382" s="252"/>
      <c r="VSN382" s="252"/>
      <c r="VSO382" s="252"/>
      <c r="VSP382" s="252"/>
      <c r="VSQ382" s="252"/>
      <c r="VSR382" s="252"/>
      <c r="VSS382" s="252"/>
      <c r="VST382" s="252"/>
      <c r="VSU382" s="252"/>
      <c r="VSV382" s="252"/>
      <c r="VSW382" s="252"/>
      <c r="VSX382" s="252"/>
      <c r="VSY382" s="252"/>
      <c r="VSZ382" s="252"/>
      <c r="VTA382" s="252"/>
      <c r="VTB382" s="252"/>
      <c r="VTC382" s="252"/>
      <c r="VTD382" s="252"/>
      <c r="VTE382" s="252"/>
      <c r="VTF382" s="252"/>
      <c r="VTG382" s="252"/>
      <c r="VTH382" s="252"/>
      <c r="VTI382" s="252"/>
      <c r="VTJ382" s="252"/>
      <c r="VTK382" s="252"/>
      <c r="VTL382" s="252"/>
      <c r="VTM382" s="252"/>
      <c r="VTN382" s="252"/>
      <c r="VTO382" s="252"/>
      <c r="VTP382" s="252"/>
      <c r="VTQ382" s="252"/>
      <c r="VTR382" s="252"/>
      <c r="VTS382" s="252"/>
      <c r="VTT382" s="252"/>
      <c r="VTU382" s="252"/>
      <c r="VTV382" s="252"/>
      <c r="VTW382" s="252"/>
      <c r="VTX382" s="252"/>
      <c r="VTY382" s="252"/>
      <c r="VTZ382" s="252"/>
      <c r="VUA382" s="252"/>
      <c r="VUB382" s="252"/>
      <c r="VUC382" s="252"/>
      <c r="VUD382" s="252"/>
      <c r="VUE382" s="252"/>
      <c r="VUF382" s="252"/>
      <c r="VUG382" s="252"/>
      <c r="VUH382" s="252"/>
      <c r="VUI382" s="252"/>
      <c r="VUJ382" s="252"/>
      <c r="VUK382" s="252"/>
      <c r="VUL382" s="252"/>
      <c r="VUM382" s="252"/>
      <c r="VUN382" s="252"/>
      <c r="VUO382" s="252"/>
      <c r="VUP382" s="252"/>
      <c r="VUQ382" s="252"/>
      <c r="VUR382" s="252"/>
      <c r="VUS382" s="252"/>
      <c r="VUT382" s="252"/>
      <c r="VUU382" s="252"/>
      <c r="VUV382" s="252"/>
      <c r="VUW382" s="252"/>
      <c r="VUX382" s="252"/>
      <c r="VUY382" s="252"/>
      <c r="VUZ382" s="252"/>
      <c r="VVA382" s="252"/>
      <c r="VVB382" s="252"/>
      <c r="VVC382" s="252"/>
      <c r="VVD382" s="252"/>
      <c r="VVE382" s="252"/>
      <c r="VVF382" s="252"/>
      <c r="VVG382" s="252"/>
      <c r="VVH382" s="252"/>
      <c r="VVI382" s="252"/>
      <c r="VVJ382" s="252"/>
      <c r="VVK382" s="252"/>
      <c r="VVL382" s="252"/>
      <c r="VVM382" s="252"/>
      <c r="VVN382" s="252"/>
      <c r="VVO382" s="252"/>
      <c r="VVP382" s="252"/>
      <c r="VVQ382" s="252"/>
      <c r="VVR382" s="252"/>
      <c r="VVS382" s="252"/>
      <c r="VVT382" s="252"/>
      <c r="VVU382" s="252"/>
      <c r="VVV382" s="252"/>
      <c r="VVW382" s="252"/>
      <c r="VVX382" s="252"/>
      <c r="VVY382" s="252"/>
      <c r="VVZ382" s="252"/>
      <c r="VWA382" s="252"/>
      <c r="VWB382" s="252"/>
      <c r="VWC382" s="252"/>
      <c r="VWD382" s="252"/>
      <c r="VWE382" s="252"/>
      <c r="VWF382" s="252"/>
      <c r="VWG382" s="252"/>
      <c r="VWH382" s="252"/>
      <c r="VWI382" s="252"/>
      <c r="VWJ382" s="252"/>
      <c r="VWK382" s="252"/>
      <c r="VWL382" s="252"/>
      <c r="VWM382" s="252"/>
      <c r="VWN382" s="252"/>
      <c r="VWO382" s="252"/>
      <c r="VWP382" s="252"/>
      <c r="VWQ382" s="252"/>
      <c r="VWR382" s="252"/>
      <c r="VWS382" s="252"/>
      <c r="VWT382" s="252"/>
      <c r="VWU382" s="252"/>
      <c r="VWV382" s="252"/>
      <c r="VWW382" s="252"/>
      <c r="VWX382" s="252"/>
      <c r="VWY382" s="252"/>
      <c r="VWZ382" s="252"/>
      <c r="VXA382" s="252"/>
      <c r="VXB382" s="252"/>
      <c r="VXC382" s="252"/>
      <c r="VXD382" s="252"/>
      <c r="VXE382" s="252"/>
      <c r="VXF382" s="252"/>
      <c r="VXG382" s="252"/>
      <c r="VXH382" s="252"/>
      <c r="VXI382" s="252"/>
      <c r="VXJ382" s="252"/>
      <c r="VXK382" s="252"/>
      <c r="VXL382" s="252"/>
      <c r="VXM382" s="252"/>
      <c r="VXN382" s="252"/>
      <c r="VXO382" s="252"/>
      <c r="VXP382" s="252"/>
      <c r="VXQ382" s="252"/>
      <c r="VXR382" s="252"/>
      <c r="VXS382" s="252"/>
      <c r="VXT382" s="252"/>
      <c r="VXU382" s="252"/>
      <c r="VXV382" s="252"/>
      <c r="VXW382" s="252"/>
      <c r="VXX382" s="252"/>
      <c r="VXY382" s="252"/>
      <c r="VXZ382" s="252"/>
      <c r="VYA382" s="252"/>
      <c r="VYB382" s="252"/>
      <c r="VYC382" s="252"/>
      <c r="VYD382" s="252"/>
      <c r="VYE382" s="252"/>
      <c r="VYF382" s="252"/>
      <c r="VYG382" s="252"/>
      <c r="VYH382" s="252"/>
      <c r="VYI382" s="252"/>
      <c r="VYJ382" s="252"/>
      <c r="VYK382" s="252"/>
      <c r="VYL382" s="252"/>
      <c r="VYM382" s="252"/>
      <c r="VYN382" s="252"/>
      <c r="VYO382" s="252"/>
      <c r="VYP382" s="252"/>
      <c r="VYQ382" s="252"/>
      <c r="VYR382" s="252"/>
      <c r="VYS382" s="252"/>
      <c r="VYT382" s="252"/>
      <c r="VYU382" s="252"/>
      <c r="VYV382" s="252"/>
      <c r="VYW382" s="252"/>
      <c r="VYX382" s="252"/>
      <c r="VYY382" s="252"/>
      <c r="VYZ382" s="252"/>
      <c r="VZA382" s="252"/>
      <c r="VZB382" s="252"/>
      <c r="VZC382" s="252"/>
      <c r="VZD382" s="252"/>
      <c r="VZE382" s="252"/>
      <c r="VZF382" s="252"/>
      <c r="VZG382" s="252"/>
      <c r="VZH382" s="252"/>
      <c r="VZI382" s="252"/>
      <c r="VZJ382" s="252"/>
      <c r="VZK382" s="252"/>
      <c r="VZL382" s="252"/>
      <c r="VZM382" s="252"/>
      <c r="VZN382" s="252"/>
      <c r="VZO382" s="252"/>
      <c r="VZP382" s="252"/>
      <c r="VZQ382" s="252"/>
      <c r="VZR382" s="252"/>
      <c r="VZS382" s="252"/>
      <c r="VZT382" s="252"/>
      <c r="VZU382" s="252"/>
      <c r="VZV382" s="252"/>
      <c r="VZW382" s="252"/>
      <c r="VZX382" s="252"/>
      <c r="VZY382" s="252"/>
      <c r="VZZ382" s="252"/>
      <c r="WAA382" s="252"/>
      <c r="WAB382" s="252"/>
      <c r="WAC382" s="252"/>
      <c r="WAD382" s="252"/>
      <c r="WAE382" s="252"/>
      <c r="WAF382" s="252"/>
      <c r="WAG382" s="252"/>
      <c r="WAH382" s="252"/>
      <c r="WAI382" s="252"/>
      <c r="WAJ382" s="252"/>
      <c r="WAK382" s="252"/>
      <c r="WAL382" s="252"/>
      <c r="WAM382" s="252"/>
      <c r="WAN382" s="252"/>
      <c r="WAO382" s="252"/>
      <c r="WAP382" s="252"/>
      <c r="WAQ382" s="252"/>
      <c r="WAR382" s="252"/>
      <c r="WAS382" s="252"/>
      <c r="WAT382" s="252"/>
      <c r="WAU382" s="252"/>
      <c r="WAV382" s="252"/>
      <c r="WAW382" s="252"/>
      <c r="WAX382" s="252"/>
      <c r="WAY382" s="252"/>
      <c r="WAZ382" s="252"/>
      <c r="WBA382" s="252"/>
      <c r="WBB382" s="252"/>
      <c r="WBC382" s="252"/>
      <c r="WBD382" s="252"/>
      <c r="WBE382" s="252"/>
      <c r="WBF382" s="252"/>
      <c r="WBG382" s="252"/>
      <c r="WBH382" s="252"/>
      <c r="WBI382" s="252"/>
      <c r="WBJ382" s="252"/>
      <c r="WBK382" s="252"/>
      <c r="WBL382" s="252"/>
      <c r="WBM382" s="252"/>
      <c r="WBN382" s="252"/>
      <c r="WBO382" s="252"/>
      <c r="WBP382" s="252"/>
      <c r="WBQ382" s="252"/>
      <c r="WBR382" s="252"/>
      <c r="WBS382" s="252"/>
      <c r="WBT382" s="252"/>
      <c r="WBU382" s="252"/>
      <c r="WBV382" s="252"/>
      <c r="WBW382" s="252"/>
      <c r="WBX382" s="252"/>
      <c r="WBY382" s="252"/>
      <c r="WBZ382" s="252"/>
      <c r="WCA382" s="252"/>
      <c r="WCB382" s="252"/>
      <c r="WCC382" s="252"/>
      <c r="WCD382" s="252"/>
      <c r="WCE382" s="252"/>
      <c r="WCF382" s="252"/>
      <c r="WCG382" s="252"/>
      <c r="WCH382" s="252"/>
      <c r="WCI382" s="252"/>
      <c r="WCJ382" s="252"/>
      <c r="WCK382" s="252"/>
      <c r="WCL382" s="252"/>
      <c r="WCM382" s="252"/>
      <c r="WCN382" s="252"/>
      <c r="WCO382" s="252"/>
      <c r="WCP382" s="252"/>
      <c r="WCQ382" s="252"/>
      <c r="WCR382" s="252"/>
      <c r="WCS382" s="252"/>
      <c r="WCT382" s="252"/>
      <c r="WCU382" s="252"/>
      <c r="WCV382" s="252"/>
      <c r="WCW382" s="252"/>
      <c r="WCX382" s="252"/>
      <c r="WCY382" s="252"/>
      <c r="WCZ382" s="252"/>
      <c r="WDA382" s="252"/>
      <c r="WDB382" s="252"/>
      <c r="WDC382" s="252"/>
      <c r="WDD382" s="252"/>
      <c r="WDE382" s="252"/>
      <c r="WDF382" s="252"/>
      <c r="WDG382" s="252"/>
      <c r="WDH382" s="252"/>
      <c r="WDI382" s="252"/>
      <c r="WDJ382" s="252"/>
      <c r="WDK382" s="252"/>
      <c r="WDL382" s="252"/>
      <c r="WDM382" s="252"/>
      <c r="WDN382" s="252"/>
      <c r="WDO382" s="252"/>
      <c r="WDP382" s="252"/>
      <c r="WDQ382" s="252"/>
      <c r="WDR382" s="252"/>
      <c r="WDS382" s="252"/>
      <c r="WDT382" s="252"/>
      <c r="WDU382" s="252"/>
      <c r="WDV382" s="252"/>
      <c r="WDW382" s="252"/>
      <c r="WDX382" s="252"/>
      <c r="WDY382" s="252"/>
      <c r="WDZ382" s="252"/>
      <c r="WEA382" s="252"/>
      <c r="WEB382" s="252"/>
      <c r="WEC382" s="252"/>
      <c r="WED382" s="252"/>
      <c r="WEE382" s="252"/>
      <c r="WEF382" s="252"/>
      <c r="WEG382" s="252"/>
      <c r="WEH382" s="252"/>
      <c r="WEI382" s="252"/>
      <c r="WEJ382" s="252"/>
      <c r="WEK382" s="252"/>
      <c r="WEL382" s="252"/>
      <c r="WEM382" s="252"/>
      <c r="WEN382" s="252"/>
      <c r="WEO382" s="252"/>
      <c r="WEP382" s="252"/>
      <c r="WEQ382" s="252"/>
      <c r="WER382" s="252"/>
      <c r="WES382" s="252"/>
      <c r="WET382" s="252"/>
      <c r="WEU382" s="252"/>
      <c r="WEV382" s="252"/>
      <c r="WEW382" s="252"/>
      <c r="WEX382" s="252"/>
      <c r="WEY382" s="252"/>
      <c r="WEZ382" s="252"/>
      <c r="WFA382" s="252"/>
      <c r="WFB382" s="252"/>
      <c r="WFC382" s="252"/>
      <c r="WFD382" s="252"/>
      <c r="WFE382" s="252"/>
      <c r="WFF382" s="252"/>
      <c r="WFG382" s="252"/>
      <c r="WFH382" s="252"/>
      <c r="WFI382" s="252"/>
      <c r="WFJ382" s="252"/>
      <c r="WFK382" s="252"/>
      <c r="WFL382" s="252"/>
      <c r="WFM382" s="252"/>
      <c r="WFN382" s="252"/>
      <c r="WFO382" s="252"/>
      <c r="WFP382" s="252"/>
      <c r="WFQ382" s="252"/>
      <c r="WFR382" s="252"/>
      <c r="WFS382" s="252"/>
      <c r="WFT382" s="252"/>
      <c r="WFU382" s="252"/>
      <c r="WFV382" s="252"/>
      <c r="WFW382" s="252"/>
      <c r="WFX382" s="252"/>
      <c r="WFY382" s="252"/>
      <c r="WFZ382" s="252"/>
      <c r="WGA382" s="252"/>
      <c r="WGB382" s="252"/>
      <c r="WGC382" s="252"/>
      <c r="WGD382" s="252"/>
      <c r="WGE382" s="252"/>
      <c r="WGF382" s="252"/>
      <c r="WGG382" s="252"/>
      <c r="WGH382" s="252"/>
      <c r="WGI382" s="252"/>
      <c r="WGJ382" s="252"/>
      <c r="WGK382" s="252"/>
      <c r="WGL382" s="252"/>
      <c r="WGM382" s="252"/>
      <c r="WGN382" s="252"/>
      <c r="WGO382" s="252"/>
      <c r="WGP382" s="252"/>
      <c r="WGQ382" s="252"/>
      <c r="WGR382" s="252"/>
      <c r="WGS382" s="252"/>
      <c r="WGT382" s="252"/>
      <c r="WGU382" s="252"/>
      <c r="WGV382" s="252"/>
      <c r="WGW382" s="252"/>
      <c r="WGX382" s="252"/>
      <c r="WGY382" s="252"/>
      <c r="WGZ382" s="252"/>
      <c r="WHA382" s="252"/>
      <c r="WHB382" s="252"/>
      <c r="WHC382" s="252"/>
      <c r="WHD382" s="252"/>
      <c r="WHE382" s="252"/>
      <c r="WHF382" s="252"/>
      <c r="WHG382" s="252"/>
      <c r="WHH382" s="252"/>
      <c r="WHI382" s="252"/>
      <c r="WHJ382" s="252"/>
      <c r="WHK382" s="252"/>
      <c r="WHL382" s="252"/>
      <c r="WHM382" s="252"/>
      <c r="WHN382" s="252"/>
      <c r="WHO382" s="252"/>
      <c r="WHP382" s="252"/>
      <c r="WHQ382" s="252"/>
      <c r="WHR382" s="252"/>
      <c r="WHS382" s="252"/>
      <c r="WHT382" s="252"/>
      <c r="WHU382" s="252"/>
      <c r="WHV382" s="252"/>
      <c r="WHW382" s="252"/>
      <c r="WHX382" s="252"/>
      <c r="WHY382" s="252"/>
      <c r="WHZ382" s="252"/>
      <c r="WIA382" s="252"/>
      <c r="WIB382" s="252"/>
      <c r="WIC382" s="252"/>
      <c r="WID382" s="252"/>
      <c r="WIE382" s="252"/>
      <c r="WIF382" s="252"/>
      <c r="WIG382" s="252"/>
      <c r="WIH382" s="252"/>
      <c r="WII382" s="252"/>
      <c r="WIJ382" s="252"/>
      <c r="WIK382" s="252"/>
      <c r="WIL382" s="252"/>
      <c r="WIM382" s="252"/>
      <c r="WIN382" s="252"/>
      <c r="WIO382" s="252"/>
      <c r="WIP382" s="252"/>
      <c r="WIQ382" s="252"/>
      <c r="WIR382" s="252"/>
      <c r="WIS382" s="252"/>
      <c r="WIT382" s="252"/>
      <c r="WIU382" s="252"/>
      <c r="WIV382" s="252"/>
      <c r="WIW382" s="252"/>
      <c r="WIX382" s="252"/>
      <c r="WIY382" s="252"/>
      <c r="WIZ382" s="252"/>
      <c r="WJA382" s="252"/>
      <c r="WJB382" s="252"/>
      <c r="WJC382" s="252"/>
      <c r="WJD382" s="252"/>
      <c r="WJE382" s="252"/>
      <c r="WJF382" s="252"/>
      <c r="WJG382" s="252"/>
      <c r="WJH382" s="252"/>
      <c r="WJI382" s="252"/>
      <c r="WJJ382" s="252"/>
      <c r="WJK382" s="252"/>
      <c r="WJL382" s="252"/>
      <c r="WJM382" s="252"/>
      <c r="WJN382" s="252"/>
      <c r="WJO382" s="252"/>
      <c r="WJP382" s="252"/>
      <c r="WJQ382" s="252"/>
      <c r="WJR382" s="252"/>
      <c r="WJS382" s="252"/>
      <c r="WJT382" s="252"/>
      <c r="WJU382" s="252"/>
      <c r="WJV382" s="252"/>
      <c r="WJW382" s="252"/>
      <c r="WJX382" s="252"/>
      <c r="WJY382" s="252"/>
      <c r="WJZ382" s="252"/>
      <c r="WKA382" s="252"/>
      <c r="WKB382" s="252"/>
      <c r="WKC382" s="252"/>
      <c r="WKD382" s="252"/>
      <c r="WKE382" s="252"/>
      <c r="WKF382" s="252"/>
      <c r="WKG382" s="252"/>
      <c r="WKH382" s="252"/>
      <c r="WKI382" s="252"/>
      <c r="WKJ382" s="252"/>
      <c r="WKK382" s="252"/>
      <c r="WKL382" s="252"/>
      <c r="WKM382" s="252"/>
      <c r="WKN382" s="252"/>
      <c r="WKO382" s="252"/>
      <c r="WKP382" s="252"/>
      <c r="WKQ382" s="252"/>
      <c r="WKR382" s="252"/>
      <c r="WKS382" s="252"/>
      <c r="WKT382" s="252"/>
      <c r="WKU382" s="252"/>
      <c r="WKV382" s="252"/>
      <c r="WKW382" s="252"/>
      <c r="WKX382" s="252"/>
      <c r="WKY382" s="252"/>
      <c r="WKZ382" s="252"/>
      <c r="WLA382" s="252"/>
      <c r="WLB382" s="252"/>
      <c r="WLC382" s="252"/>
      <c r="WLD382" s="252"/>
      <c r="WLE382" s="252"/>
      <c r="WLF382" s="252"/>
      <c r="WLG382" s="252"/>
      <c r="WLH382" s="252"/>
      <c r="WLI382" s="252"/>
      <c r="WLJ382" s="252"/>
      <c r="WLK382" s="252"/>
      <c r="WLL382" s="252"/>
      <c r="WLM382" s="252"/>
      <c r="WLN382" s="252"/>
      <c r="WLO382" s="252"/>
      <c r="WLP382" s="252"/>
      <c r="WLQ382" s="252"/>
      <c r="WLR382" s="252"/>
      <c r="WLS382" s="252"/>
      <c r="WLT382" s="252"/>
      <c r="WLU382" s="252"/>
      <c r="WLV382" s="252"/>
      <c r="WLW382" s="252"/>
      <c r="WLX382" s="252"/>
      <c r="WLY382" s="252"/>
      <c r="WLZ382" s="252"/>
      <c r="WMA382" s="252"/>
      <c r="WMB382" s="252"/>
      <c r="WMC382" s="252"/>
      <c r="WMD382" s="252"/>
      <c r="WME382" s="252"/>
      <c r="WMF382" s="252"/>
      <c r="WMG382" s="252"/>
      <c r="WMH382" s="252"/>
      <c r="WMI382" s="252"/>
      <c r="WMJ382" s="252"/>
      <c r="WMK382" s="252"/>
      <c r="WML382" s="252"/>
      <c r="WMM382" s="252"/>
      <c r="WMN382" s="252"/>
      <c r="WMO382" s="252"/>
      <c r="WMP382" s="252"/>
      <c r="WMQ382" s="252"/>
      <c r="WMR382" s="252"/>
      <c r="WMS382" s="252"/>
      <c r="WMT382" s="252"/>
      <c r="WMU382" s="252"/>
      <c r="WMV382" s="252"/>
      <c r="WMW382" s="252"/>
      <c r="WMX382" s="252"/>
      <c r="WMY382" s="252"/>
      <c r="WMZ382" s="252"/>
      <c r="WNA382" s="252"/>
      <c r="WNB382" s="252"/>
      <c r="WNC382" s="252"/>
      <c r="WND382" s="252"/>
      <c r="WNE382" s="252"/>
      <c r="WNF382" s="252"/>
      <c r="WNG382" s="252"/>
      <c r="WNH382" s="252"/>
      <c r="WNI382" s="252"/>
      <c r="WNJ382" s="252"/>
      <c r="WNK382" s="252"/>
      <c r="WNL382" s="252"/>
      <c r="WNM382" s="252"/>
      <c r="WNN382" s="252"/>
      <c r="WNO382" s="252"/>
      <c r="WNP382" s="252"/>
      <c r="WNQ382" s="252"/>
      <c r="WNR382" s="252"/>
      <c r="WNS382" s="252"/>
      <c r="WNT382" s="252"/>
      <c r="WNU382" s="252"/>
      <c r="WNV382" s="252"/>
      <c r="WNW382" s="252"/>
      <c r="WNX382" s="252"/>
      <c r="WNY382" s="252"/>
      <c r="WNZ382" s="252"/>
      <c r="WOA382" s="252"/>
      <c r="WOB382" s="252"/>
      <c r="WOC382" s="252"/>
      <c r="WOD382" s="252"/>
      <c r="WOE382" s="252"/>
      <c r="WOF382" s="252"/>
      <c r="WOG382" s="252"/>
      <c r="WOH382" s="252"/>
      <c r="WOI382" s="252"/>
      <c r="WOJ382" s="252"/>
      <c r="WOK382" s="252"/>
      <c r="WOL382" s="252"/>
      <c r="WOM382" s="252"/>
      <c r="WON382" s="252"/>
      <c r="WOO382" s="252"/>
      <c r="WOP382" s="252"/>
      <c r="WOQ382" s="252"/>
      <c r="WOR382" s="252"/>
      <c r="WOS382" s="252"/>
      <c r="WOT382" s="252"/>
      <c r="WOU382" s="252"/>
      <c r="WOV382" s="252"/>
      <c r="WOW382" s="252"/>
      <c r="WOX382" s="252"/>
      <c r="WOY382" s="252"/>
      <c r="WOZ382" s="252"/>
      <c r="WPA382" s="252"/>
      <c r="WPB382" s="252"/>
      <c r="WPC382" s="252"/>
      <c r="WPD382" s="252"/>
      <c r="WPE382" s="252"/>
      <c r="WPF382" s="252"/>
      <c r="WPG382" s="252"/>
      <c r="WPH382" s="252"/>
      <c r="WPI382" s="252"/>
      <c r="WPJ382" s="252"/>
      <c r="WPK382" s="252"/>
      <c r="WPL382" s="252"/>
      <c r="WPM382" s="252"/>
      <c r="WPN382" s="252"/>
      <c r="WPO382" s="252"/>
      <c r="WPP382" s="252"/>
      <c r="WPQ382" s="252"/>
      <c r="WPR382" s="252"/>
      <c r="WPS382" s="252"/>
      <c r="WPT382" s="252"/>
      <c r="WPU382" s="252"/>
      <c r="WPV382" s="252"/>
      <c r="WPW382" s="252"/>
      <c r="WPX382" s="252"/>
      <c r="WPY382" s="252"/>
      <c r="WPZ382" s="252"/>
      <c r="WQA382" s="252"/>
      <c r="WQB382" s="252"/>
      <c r="WQC382" s="252"/>
      <c r="WQD382" s="252"/>
      <c r="WQE382" s="252"/>
      <c r="WQF382" s="252"/>
      <c r="WQG382" s="252"/>
      <c r="WQH382" s="252"/>
      <c r="WQI382" s="252"/>
      <c r="WQJ382" s="252"/>
      <c r="WQK382" s="252"/>
      <c r="WQL382" s="252"/>
      <c r="WQM382" s="252"/>
      <c r="WQN382" s="252"/>
      <c r="WQO382" s="252"/>
      <c r="WQP382" s="252"/>
      <c r="WQQ382" s="252"/>
      <c r="WQR382" s="252"/>
      <c r="WQS382" s="252"/>
      <c r="WQT382" s="252"/>
      <c r="WQU382" s="252"/>
      <c r="WQV382" s="252"/>
      <c r="WQW382" s="252"/>
      <c r="WQX382" s="252"/>
      <c r="WQY382" s="252"/>
      <c r="WQZ382" s="252"/>
      <c r="WRA382" s="252"/>
      <c r="WRB382" s="252"/>
      <c r="WRC382" s="252"/>
      <c r="WRD382" s="252"/>
      <c r="WRE382" s="252"/>
      <c r="WRF382" s="252"/>
      <c r="WRG382" s="252"/>
      <c r="WRH382" s="252"/>
      <c r="WRI382" s="252"/>
      <c r="WRJ382" s="252"/>
      <c r="WRK382" s="252"/>
      <c r="WRL382" s="252"/>
      <c r="WRM382" s="252"/>
      <c r="WRN382" s="252"/>
      <c r="WRO382" s="252"/>
      <c r="WRP382" s="252"/>
      <c r="WRQ382" s="252"/>
      <c r="WRR382" s="252"/>
      <c r="WRS382" s="252"/>
      <c r="WRT382" s="252"/>
      <c r="WRU382" s="252"/>
      <c r="WRV382" s="252"/>
      <c r="WRW382" s="252"/>
      <c r="WRX382" s="252"/>
      <c r="WRY382" s="252"/>
      <c r="WRZ382" s="252"/>
      <c r="WSA382" s="252"/>
      <c r="WSB382" s="252"/>
      <c r="WSC382" s="252"/>
      <c r="WSD382" s="252"/>
      <c r="WSE382" s="252"/>
      <c r="WSF382" s="252"/>
      <c r="WSG382" s="252"/>
      <c r="WSH382" s="252"/>
      <c r="WSI382" s="252"/>
      <c r="WSJ382" s="252"/>
      <c r="WSK382" s="252"/>
      <c r="WSL382" s="252"/>
      <c r="WSM382" s="252"/>
      <c r="WSN382" s="252"/>
      <c r="WSO382" s="252"/>
      <c r="WSP382" s="252"/>
      <c r="WSQ382" s="252"/>
      <c r="WSR382" s="252"/>
      <c r="WSS382" s="252"/>
      <c r="WST382" s="252"/>
      <c r="WSU382" s="252"/>
      <c r="WSV382" s="252"/>
      <c r="WSW382" s="252"/>
      <c r="WSX382" s="252"/>
      <c r="WSY382" s="252"/>
      <c r="WSZ382" s="252"/>
      <c r="WTA382" s="252"/>
      <c r="WTB382" s="252"/>
      <c r="WTC382" s="252"/>
      <c r="WTD382" s="252"/>
      <c r="WTE382" s="252"/>
      <c r="WTF382" s="252"/>
      <c r="WTG382" s="252"/>
      <c r="WTH382" s="252"/>
      <c r="WTI382" s="252"/>
      <c r="WTJ382" s="252"/>
      <c r="WTK382" s="252"/>
      <c r="WTL382" s="252"/>
      <c r="WTM382" s="252"/>
      <c r="WTN382" s="252"/>
      <c r="WTO382" s="252"/>
      <c r="WTP382" s="252"/>
      <c r="WTQ382" s="252"/>
      <c r="WTR382" s="252"/>
      <c r="WTS382" s="252"/>
      <c r="WTT382" s="252"/>
      <c r="WTU382" s="252"/>
      <c r="WTV382" s="252"/>
      <c r="WTW382" s="252"/>
      <c r="WTX382" s="252"/>
      <c r="WTY382" s="252"/>
      <c r="WTZ382" s="252"/>
      <c r="WUA382" s="252"/>
      <c r="WUB382" s="252"/>
      <c r="WUC382" s="252"/>
      <c r="WUD382" s="252"/>
      <c r="WUE382" s="252"/>
      <c r="WUF382" s="252"/>
      <c r="WUG382" s="252"/>
      <c r="WUH382" s="252"/>
      <c r="WUI382" s="252"/>
      <c r="WUJ382" s="252"/>
      <c r="WUK382" s="252"/>
      <c r="WUL382" s="252"/>
      <c r="WUM382" s="252"/>
      <c r="WUN382" s="252"/>
      <c r="WUO382" s="252"/>
      <c r="WUP382" s="252"/>
      <c r="WUQ382" s="252"/>
      <c r="WUR382" s="252"/>
      <c r="WUS382" s="252"/>
      <c r="WUT382" s="252"/>
      <c r="WUU382" s="252"/>
      <c r="WUV382" s="252"/>
      <c r="WUW382" s="252"/>
      <c r="WUX382" s="252"/>
      <c r="WUY382" s="252"/>
      <c r="WUZ382" s="252"/>
      <c r="WVA382" s="252"/>
      <c r="WVB382" s="252"/>
      <c r="WVC382" s="252"/>
      <c r="WVD382" s="252"/>
      <c r="WVE382" s="252"/>
      <c r="WVF382" s="252"/>
      <c r="WVG382" s="252"/>
      <c r="WVH382" s="252"/>
      <c r="WVI382" s="252"/>
      <c r="WVJ382" s="252"/>
      <c r="WVK382" s="252"/>
      <c r="WVL382" s="252"/>
      <c r="WVM382" s="252"/>
      <c r="WVN382" s="252"/>
      <c r="WVO382" s="252"/>
      <c r="WVP382" s="252"/>
      <c r="WVQ382" s="252"/>
      <c r="WVR382" s="252"/>
      <c r="WVS382" s="252"/>
      <c r="WVT382" s="252"/>
      <c r="WVU382" s="252"/>
      <c r="WVV382" s="252"/>
      <c r="WVW382" s="252"/>
      <c r="WVX382" s="252"/>
      <c r="WVY382" s="252"/>
      <c r="WVZ382" s="252"/>
      <c r="WWA382" s="252"/>
      <c r="WWB382" s="252"/>
      <c r="WWC382" s="252"/>
      <c r="WWD382" s="252"/>
      <c r="WWE382" s="252"/>
      <c r="WWF382" s="252"/>
      <c r="WWG382" s="252"/>
      <c r="WWH382" s="252"/>
      <c r="WWI382" s="252"/>
      <c r="WWJ382" s="252"/>
      <c r="WWK382" s="252"/>
      <c r="WWL382" s="252"/>
      <c r="WWM382" s="252"/>
      <c r="WWN382" s="252"/>
      <c r="WWO382" s="252"/>
      <c r="WWP382" s="252"/>
      <c r="WWQ382" s="252"/>
      <c r="WWR382" s="252"/>
      <c r="WWS382" s="252"/>
      <c r="WWT382" s="252"/>
      <c r="WWU382" s="252"/>
      <c r="WWV382" s="252"/>
      <c r="WWW382" s="252"/>
      <c r="WWX382" s="252"/>
      <c r="WWY382" s="252"/>
      <c r="WWZ382" s="252"/>
      <c r="WXA382" s="252"/>
      <c r="WXB382" s="252"/>
      <c r="WXC382" s="252"/>
      <c r="WXD382" s="252"/>
      <c r="WXE382" s="252"/>
      <c r="WXF382" s="252"/>
      <c r="WXG382" s="252"/>
      <c r="WXH382" s="252"/>
      <c r="WXI382" s="252"/>
      <c r="WXJ382" s="252"/>
      <c r="WXK382" s="252"/>
      <c r="WXL382" s="252"/>
      <c r="WXM382" s="252"/>
      <c r="WXN382" s="252"/>
      <c r="WXO382" s="252"/>
      <c r="WXP382" s="252"/>
      <c r="WXQ382" s="252"/>
      <c r="WXR382" s="252"/>
      <c r="WXS382" s="252"/>
      <c r="WXT382" s="252"/>
      <c r="WXU382" s="252"/>
      <c r="WXV382" s="252"/>
      <c r="WXW382" s="252"/>
      <c r="WXX382" s="252"/>
      <c r="WXY382" s="252"/>
      <c r="WXZ382" s="252"/>
      <c r="WYA382" s="252"/>
      <c r="WYB382" s="252"/>
      <c r="WYC382" s="252"/>
      <c r="WYD382" s="252"/>
      <c r="WYE382" s="252"/>
      <c r="WYF382" s="252"/>
      <c r="WYG382" s="252"/>
      <c r="WYH382" s="252"/>
      <c r="WYI382" s="252"/>
      <c r="WYJ382" s="252"/>
      <c r="WYK382" s="252"/>
      <c r="WYL382" s="252"/>
      <c r="WYM382" s="252"/>
      <c r="WYN382" s="252"/>
      <c r="WYO382" s="252"/>
      <c r="WYP382" s="252"/>
      <c r="WYQ382" s="252"/>
      <c r="WYR382" s="252"/>
      <c r="WYS382" s="252"/>
      <c r="WYT382" s="252"/>
      <c r="WYU382" s="252"/>
      <c r="WYV382" s="252"/>
      <c r="WYW382" s="252"/>
      <c r="WYX382" s="252"/>
      <c r="WYY382" s="252"/>
      <c r="WYZ382" s="252"/>
      <c r="WZA382" s="252"/>
      <c r="WZB382" s="252"/>
      <c r="WZC382" s="252"/>
      <c r="WZD382" s="252"/>
      <c r="WZE382" s="252"/>
      <c r="WZF382" s="252"/>
      <c r="WZG382" s="252"/>
      <c r="WZH382" s="252"/>
      <c r="WZI382" s="252"/>
      <c r="WZJ382" s="252"/>
      <c r="WZK382" s="252"/>
      <c r="WZL382" s="252"/>
      <c r="WZM382" s="252"/>
      <c r="WZN382" s="252"/>
      <c r="WZO382" s="252"/>
      <c r="WZP382" s="252"/>
      <c r="WZQ382" s="252"/>
      <c r="WZR382" s="252"/>
      <c r="WZS382" s="252"/>
      <c r="WZT382" s="252"/>
      <c r="WZU382" s="252"/>
      <c r="WZV382" s="252"/>
      <c r="WZW382" s="252"/>
      <c r="WZX382" s="252"/>
      <c r="WZY382" s="252"/>
      <c r="WZZ382" s="252"/>
      <c r="XAA382" s="252"/>
      <c r="XAB382" s="252"/>
      <c r="XAC382" s="252"/>
      <c r="XAD382" s="252"/>
      <c r="XAE382" s="252"/>
      <c r="XAF382" s="252"/>
      <c r="XAG382" s="252"/>
      <c r="XAH382" s="252"/>
      <c r="XAI382" s="252"/>
      <c r="XAJ382" s="252"/>
      <c r="XAK382" s="252"/>
      <c r="XAL382" s="252"/>
      <c r="XAM382" s="252"/>
      <c r="XAN382" s="252"/>
      <c r="XAO382" s="252"/>
      <c r="XAP382" s="252"/>
      <c r="XAQ382" s="252"/>
      <c r="XAR382" s="252"/>
      <c r="XAS382" s="252"/>
      <c r="XAT382" s="252"/>
      <c r="XAU382" s="252"/>
      <c r="XAV382" s="252"/>
      <c r="XAW382" s="252"/>
      <c r="XAX382" s="252"/>
      <c r="XAY382" s="252"/>
      <c r="XAZ382" s="252"/>
      <c r="XBA382" s="252"/>
      <c r="XBB382" s="252"/>
      <c r="XBC382" s="252"/>
      <c r="XBD382" s="252"/>
      <c r="XBE382" s="252"/>
      <c r="XBF382" s="252"/>
      <c r="XBG382" s="252"/>
      <c r="XBH382" s="252"/>
      <c r="XBI382" s="252"/>
      <c r="XBJ382" s="252"/>
      <c r="XBK382" s="252"/>
      <c r="XBL382" s="252"/>
      <c r="XBM382" s="252"/>
      <c r="XBN382" s="252"/>
      <c r="XBO382" s="252"/>
      <c r="XBP382" s="252"/>
      <c r="XBQ382" s="252"/>
      <c r="XBR382" s="252"/>
      <c r="XBS382" s="252"/>
      <c r="XBT382" s="252"/>
      <c r="XBU382" s="252"/>
      <c r="XBV382" s="252"/>
      <c r="XBW382" s="252"/>
      <c r="XBX382" s="252"/>
      <c r="XBY382" s="252"/>
      <c r="XBZ382" s="252"/>
      <c r="XCA382" s="252"/>
      <c r="XCB382" s="252"/>
      <c r="XCC382" s="252"/>
      <c r="XCD382" s="252"/>
      <c r="XCE382" s="252"/>
      <c r="XCF382" s="252"/>
      <c r="XCG382" s="252"/>
      <c r="XCH382" s="252"/>
      <c r="XCI382" s="252"/>
      <c r="XCJ382" s="252"/>
      <c r="XCK382" s="252"/>
      <c r="XCL382" s="252"/>
      <c r="XCM382" s="252"/>
      <c r="XCN382" s="252"/>
      <c r="XCO382" s="252"/>
      <c r="XCP382" s="252"/>
      <c r="XCQ382" s="252"/>
      <c r="XCR382" s="252"/>
      <c r="XCS382" s="252"/>
      <c r="XCT382" s="252"/>
      <c r="XCU382" s="252"/>
      <c r="XCV382" s="252"/>
      <c r="XCW382" s="252"/>
      <c r="XCX382" s="252"/>
      <c r="XCY382" s="252"/>
      <c r="XCZ382" s="252"/>
      <c r="XDA382" s="252"/>
      <c r="XDB382" s="252"/>
      <c r="XDC382" s="252"/>
      <c r="XDD382" s="252"/>
      <c r="XDE382" s="252"/>
      <c r="XDF382" s="252"/>
      <c r="XDG382" s="252"/>
      <c r="XDH382" s="252"/>
      <c r="XDI382" s="252"/>
      <c r="XDJ382" s="252"/>
      <c r="XDK382" s="252"/>
      <c r="XDL382" s="252"/>
      <c r="XDM382" s="252"/>
      <c r="XDN382" s="252"/>
      <c r="XDO382" s="252"/>
      <c r="XDP382" s="252"/>
      <c r="XDQ382" s="252"/>
      <c r="XDR382" s="252"/>
      <c r="XDS382" s="252"/>
      <c r="XDT382" s="252"/>
      <c r="XDU382" s="252"/>
      <c r="XDV382" s="252"/>
      <c r="XDW382" s="252"/>
      <c r="XDX382" s="252"/>
      <c r="XDY382" s="252"/>
      <c r="XDZ382" s="252"/>
      <c r="XEA382" s="252"/>
      <c r="XEB382" s="252"/>
      <c r="XEC382" s="252"/>
      <c r="XED382" s="252"/>
      <c r="XEE382" s="252"/>
      <c r="XEF382" s="252"/>
      <c r="XEG382" s="252"/>
      <c r="XEH382" s="252"/>
      <c r="XEI382" s="252"/>
      <c r="XEJ382" s="252"/>
      <c r="XEK382" s="252"/>
      <c r="XEL382" s="252"/>
      <c r="XEM382" s="252"/>
      <c r="XEN382" s="252"/>
      <c r="XEO382" s="252"/>
      <c r="XEP382" s="252"/>
      <c r="XEQ382" s="252"/>
      <c r="XER382" s="252"/>
      <c r="XES382" s="252"/>
      <c r="XET382" s="252"/>
      <c r="XEU382" s="252"/>
    </row>
    <row r="383" spans="2:16375" ht="26.4" hidden="1">
      <c r="B383" s="941" t="s">
        <v>2441</v>
      </c>
      <c r="C383" s="502" t="s">
        <v>134</v>
      </c>
      <c r="D383" s="502" t="s">
        <v>134</v>
      </c>
      <c r="E383" s="312"/>
      <c r="F383" s="584" t="s">
        <v>1024</v>
      </c>
      <c r="G383" s="504" t="s">
        <v>1638</v>
      </c>
      <c r="H383" s="1001">
        <v>1</v>
      </c>
      <c r="I383" s="1001" t="s">
        <v>200</v>
      </c>
      <c r="J383" s="1002" t="s">
        <v>1649</v>
      </c>
      <c r="K383" s="312"/>
      <c r="L383" s="1003" t="s">
        <v>134</v>
      </c>
      <c r="M383" s="1004"/>
      <c r="N383" s="961"/>
      <c r="O383" s="1005"/>
      <c r="P383" s="961"/>
      <c r="Q383" s="1006" t="s">
        <v>134</v>
      </c>
      <c r="R383" s="1004" t="s">
        <v>134</v>
      </c>
      <c r="S383" s="1003"/>
      <c r="T383" s="1007"/>
      <c r="U383" s="1008"/>
      <c r="V383" s="1009"/>
      <c r="X383" s="1010"/>
      <c r="Y383" s="1011"/>
      <c r="Z383" s="1012"/>
      <c r="AA383" s="1010"/>
      <c r="AB383" s="1011"/>
      <c r="AC383" s="1012"/>
      <c r="AE383" s="1000" t="str">
        <f t="shared" si="61"/>
        <v>0x00 ~ 0xFA (0~25Hz)</v>
      </c>
      <c r="AF383" s="312"/>
      <c r="AG383" s="1015">
        <v>0</v>
      </c>
      <c r="AH383" s="1016">
        <v>0.1</v>
      </c>
      <c r="AI383" s="1024" t="s">
        <v>750</v>
      </c>
      <c r="AJ383" s="1017" t="s">
        <v>753</v>
      </c>
      <c r="AK383" s="1027">
        <f t="shared" si="64"/>
        <v>0</v>
      </c>
      <c r="AL383" s="1018">
        <f t="shared" si="65"/>
        <v>25</v>
      </c>
      <c r="AM383" s="1019" t="s">
        <v>755</v>
      </c>
      <c r="AN383" s="1014"/>
      <c r="AP383" s="1030" t="s">
        <v>855</v>
      </c>
      <c r="AQ383" s="1030" t="s">
        <v>370</v>
      </c>
      <c r="AS383" s="1031" t="s">
        <v>1222</v>
      </c>
      <c r="AT383" s="1031" t="s">
        <v>1222</v>
      </c>
      <c r="AU383" s="1031" t="s">
        <v>1222</v>
      </c>
      <c r="AV383" s="1031" t="s">
        <v>1222</v>
      </c>
      <c r="AW383" s="252"/>
      <c r="AX383" s="252"/>
      <c r="AY383" s="252"/>
      <c r="AZ383" s="252"/>
      <c r="BA383" s="252"/>
      <c r="BB383" s="252"/>
      <c r="BC383" s="252"/>
      <c r="BD383" s="252"/>
      <c r="BE383" s="252"/>
      <c r="BF383" s="252"/>
      <c r="BG383" s="252"/>
      <c r="BH383" s="252"/>
      <c r="BI383" s="252"/>
      <c r="BJ383" s="252"/>
      <c r="BK383" s="252"/>
      <c r="BL383" s="252"/>
      <c r="BM383" s="252"/>
      <c r="BN383" s="252"/>
      <c r="BO383" s="252"/>
      <c r="BP383" s="252"/>
      <c r="BQ383" s="252"/>
      <c r="BR383" s="252"/>
      <c r="BS383" s="252"/>
      <c r="BT383" s="252"/>
      <c r="BU383" s="252"/>
      <c r="BV383" s="252"/>
      <c r="BW383" s="252"/>
      <c r="BX383" s="252"/>
      <c r="BY383" s="252"/>
      <c r="BZ383" s="252"/>
      <c r="CA383" s="252"/>
      <c r="CB383" s="252"/>
      <c r="CC383" s="252"/>
      <c r="CD383" s="252"/>
      <c r="CE383" s="252"/>
      <c r="CF383" s="252"/>
      <c r="CG383" s="252"/>
      <c r="CH383" s="252"/>
      <c r="CI383" s="252"/>
      <c r="CJ383" s="252"/>
      <c r="CK383" s="252"/>
      <c r="CL383" s="252"/>
      <c r="CM383" s="252"/>
      <c r="CN383" s="252"/>
      <c r="CO383" s="252"/>
      <c r="CP383" s="252"/>
      <c r="CQ383" s="252"/>
      <c r="CR383" s="252"/>
      <c r="CS383" s="252"/>
      <c r="CT383" s="252"/>
      <c r="CU383" s="252"/>
      <c r="CV383" s="252"/>
      <c r="CW383" s="252"/>
      <c r="CX383" s="252"/>
      <c r="CY383" s="252"/>
      <c r="CZ383" s="252"/>
      <c r="DA383" s="252"/>
      <c r="DB383" s="252"/>
      <c r="DC383" s="252"/>
      <c r="DD383" s="252"/>
      <c r="DE383" s="252"/>
      <c r="DF383" s="252"/>
      <c r="DG383" s="252"/>
      <c r="DH383" s="252"/>
      <c r="DI383" s="252"/>
      <c r="DJ383" s="252"/>
      <c r="DK383" s="252"/>
      <c r="DL383" s="252"/>
      <c r="DM383" s="252"/>
      <c r="DN383" s="252"/>
      <c r="DO383" s="252"/>
      <c r="DP383" s="252"/>
      <c r="DQ383" s="252"/>
      <c r="DR383" s="252"/>
      <c r="DS383" s="252"/>
      <c r="DT383" s="252"/>
      <c r="DU383" s="252"/>
      <c r="DV383" s="252"/>
      <c r="DW383" s="252"/>
      <c r="DX383" s="252"/>
      <c r="DY383" s="252"/>
      <c r="DZ383" s="252"/>
      <c r="EA383" s="252"/>
      <c r="EB383" s="252"/>
      <c r="EC383" s="252"/>
      <c r="ED383" s="252"/>
      <c r="EE383" s="252"/>
      <c r="EF383" s="252"/>
      <c r="EG383" s="252"/>
      <c r="EH383" s="252"/>
      <c r="EI383" s="252"/>
      <c r="EJ383" s="252"/>
      <c r="EK383" s="252"/>
      <c r="EL383" s="252"/>
      <c r="EM383" s="252"/>
      <c r="EN383" s="252"/>
      <c r="EO383" s="252"/>
      <c r="EP383" s="252"/>
      <c r="EQ383" s="252"/>
      <c r="ER383" s="252"/>
      <c r="ES383" s="252"/>
      <c r="ET383" s="252"/>
      <c r="EU383" s="252"/>
      <c r="EV383" s="252"/>
      <c r="EW383" s="252"/>
      <c r="EX383" s="252"/>
      <c r="EY383" s="252"/>
      <c r="EZ383" s="252"/>
      <c r="FA383" s="252"/>
      <c r="FB383" s="252"/>
      <c r="FC383" s="252"/>
      <c r="FD383" s="252"/>
      <c r="FE383" s="252"/>
      <c r="FF383" s="252"/>
      <c r="FG383" s="252"/>
      <c r="FH383" s="252"/>
      <c r="FI383" s="252"/>
      <c r="FJ383" s="252"/>
      <c r="FK383" s="252"/>
      <c r="FL383" s="252"/>
      <c r="FM383" s="252"/>
      <c r="FN383" s="252"/>
      <c r="FO383" s="252"/>
      <c r="FP383" s="252"/>
      <c r="FQ383" s="252"/>
      <c r="FR383" s="252"/>
      <c r="FS383" s="252"/>
      <c r="FT383" s="252"/>
      <c r="FU383" s="252"/>
      <c r="FV383" s="252"/>
      <c r="FW383" s="252"/>
      <c r="FX383" s="252"/>
      <c r="FY383" s="252"/>
      <c r="FZ383" s="252"/>
      <c r="GA383" s="252"/>
      <c r="GB383" s="252"/>
      <c r="GC383" s="252"/>
      <c r="GD383" s="252"/>
      <c r="GE383" s="252"/>
      <c r="GF383" s="252"/>
      <c r="GG383" s="252"/>
      <c r="GH383" s="252"/>
      <c r="GI383" s="252"/>
      <c r="GJ383" s="252"/>
      <c r="GK383" s="252"/>
      <c r="GL383" s="252"/>
      <c r="GM383" s="252"/>
      <c r="GN383" s="252"/>
      <c r="GO383" s="252"/>
      <c r="GP383" s="252"/>
      <c r="GQ383" s="252"/>
      <c r="GR383" s="252"/>
      <c r="GS383" s="252"/>
      <c r="GT383" s="252"/>
      <c r="GU383" s="252"/>
      <c r="GV383" s="252"/>
      <c r="GW383" s="252"/>
      <c r="GX383" s="252"/>
      <c r="GY383" s="252"/>
      <c r="GZ383" s="252"/>
      <c r="HA383" s="252"/>
      <c r="HB383" s="252"/>
      <c r="HC383" s="252"/>
      <c r="HD383" s="252"/>
      <c r="HE383" s="252"/>
      <c r="HF383" s="252"/>
      <c r="HG383" s="252"/>
      <c r="HH383" s="252"/>
      <c r="HI383" s="252"/>
      <c r="HJ383" s="252"/>
      <c r="HK383" s="252"/>
      <c r="HL383" s="252"/>
      <c r="HM383" s="252"/>
      <c r="HN383" s="252"/>
      <c r="HO383" s="252"/>
      <c r="HP383" s="252"/>
      <c r="HQ383" s="252"/>
      <c r="HR383" s="252"/>
      <c r="HS383" s="252"/>
      <c r="HT383" s="252"/>
      <c r="HU383" s="252"/>
      <c r="HV383" s="252"/>
      <c r="HW383" s="252"/>
      <c r="HX383" s="252"/>
      <c r="HY383" s="252"/>
      <c r="HZ383" s="252"/>
      <c r="IA383" s="252"/>
      <c r="IB383" s="252"/>
      <c r="IC383" s="252"/>
      <c r="ID383" s="252"/>
      <c r="IE383" s="252"/>
      <c r="IF383" s="252"/>
      <c r="IG383" s="252"/>
      <c r="IH383" s="252"/>
      <c r="II383" s="252"/>
      <c r="IJ383" s="252"/>
      <c r="IK383" s="252"/>
      <c r="IL383" s="252"/>
      <c r="IM383" s="252"/>
      <c r="IN383" s="252"/>
      <c r="IO383" s="252"/>
      <c r="IP383" s="252"/>
      <c r="IQ383" s="252"/>
      <c r="IR383" s="252"/>
      <c r="IS383" s="252"/>
      <c r="IT383" s="252"/>
      <c r="IU383" s="252"/>
      <c r="IV383" s="252"/>
      <c r="IW383" s="252"/>
      <c r="IX383" s="252"/>
      <c r="IY383" s="252"/>
      <c r="IZ383" s="252"/>
      <c r="JA383" s="252"/>
      <c r="JB383" s="252"/>
      <c r="JC383" s="252"/>
      <c r="JD383" s="252"/>
      <c r="JE383" s="252"/>
      <c r="JF383" s="252"/>
      <c r="JG383" s="252"/>
      <c r="JH383" s="252"/>
      <c r="JI383" s="252"/>
      <c r="JJ383" s="252"/>
      <c r="JK383" s="252"/>
      <c r="JL383" s="252"/>
      <c r="JM383" s="252"/>
      <c r="JN383" s="252"/>
      <c r="JO383" s="252"/>
      <c r="JP383" s="252"/>
      <c r="JQ383" s="252"/>
      <c r="JR383" s="252"/>
      <c r="JS383" s="252"/>
      <c r="JT383" s="252"/>
      <c r="JU383" s="252"/>
      <c r="JV383" s="252"/>
      <c r="JW383" s="252"/>
      <c r="JX383" s="252"/>
      <c r="JY383" s="252"/>
      <c r="JZ383" s="252"/>
      <c r="KA383" s="252"/>
      <c r="KB383" s="252"/>
      <c r="KC383" s="252"/>
      <c r="KD383" s="252"/>
      <c r="KE383" s="252"/>
      <c r="KF383" s="252"/>
      <c r="KG383" s="252"/>
      <c r="KH383" s="252"/>
      <c r="KI383" s="252"/>
      <c r="KJ383" s="252"/>
      <c r="KK383" s="252"/>
      <c r="KL383" s="252"/>
      <c r="KM383" s="252"/>
      <c r="KN383" s="252"/>
      <c r="KO383" s="252"/>
      <c r="KP383" s="252"/>
      <c r="KQ383" s="252"/>
      <c r="KR383" s="252"/>
      <c r="KS383" s="252"/>
      <c r="KT383" s="252"/>
      <c r="KU383" s="252"/>
      <c r="KV383" s="252"/>
      <c r="KW383" s="252"/>
      <c r="KX383" s="252"/>
      <c r="KY383" s="252"/>
      <c r="KZ383" s="252"/>
      <c r="LA383" s="252"/>
      <c r="LB383" s="252"/>
      <c r="LC383" s="252"/>
      <c r="LD383" s="252"/>
      <c r="LE383" s="252"/>
      <c r="LF383" s="252"/>
      <c r="LG383" s="252"/>
      <c r="LH383" s="252"/>
      <c r="LI383" s="252"/>
      <c r="LJ383" s="252"/>
      <c r="LK383" s="252"/>
      <c r="LL383" s="252"/>
      <c r="LM383" s="252"/>
      <c r="LN383" s="252"/>
      <c r="LO383" s="252"/>
      <c r="LP383" s="252"/>
      <c r="LQ383" s="252"/>
      <c r="LR383" s="252"/>
      <c r="LS383" s="252"/>
      <c r="LT383" s="252"/>
      <c r="LU383" s="252"/>
      <c r="LV383" s="252"/>
      <c r="LW383" s="252"/>
      <c r="LX383" s="252"/>
      <c r="LY383" s="252"/>
      <c r="LZ383" s="252"/>
      <c r="MA383" s="252"/>
      <c r="MB383" s="252"/>
      <c r="MC383" s="252"/>
      <c r="MD383" s="252"/>
      <c r="ME383" s="252"/>
      <c r="MF383" s="252"/>
      <c r="MG383" s="252"/>
      <c r="MH383" s="252"/>
      <c r="MI383" s="252"/>
      <c r="MJ383" s="252"/>
      <c r="MK383" s="252"/>
      <c r="ML383" s="252"/>
      <c r="MM383" s="252"/>
      <c r="MN383" s="252"/>
      <c r="MO383" s="252"/>
      <c r="MP383" s="252"/>
      <c r="MQ383" s="252"/>
      <c r="MR383" s="252"/>
      <c r="MS383" s="252"/>
      <c r="MT383" s="252"/>
      <c r="MU383" s="252"/>
      <c r="MV383" s="252"/>
      <c r="MW383" s="252"/>
      <c r="MX383" s="252"/>
      <c r="MY383" s="252"/>
      <c r="MZ383" s="252"/>
      <c r="NA383" s="252"/>
      <c r="NB383" s="252"/>
      <c r="NC383" s="252"/>
      <c r="ND383" s="252"/>
      <c r="NE383" s="252"/>
      <c r="NF383" s="252"/>
      <c r="NG383" s="252"/>
      <c r="NH383" s="252"/>
      <c r="NI383" s="252"/>
      <c r="NJ383" s="252"/>
      <c r="NK383" s="252"/>
      <c r="NL383" s="252"/>
      <c r="NM383" s="252"/>
      <c r="NN383" s="252"/>
      <c r="NO383" s="252"/>
      <c r="NP383" s="252"/>
      <c r="NQ383" s="252"/>
      <c r="NR383" s="252"/>
      <c r="NS383" s="252"/>
      <c r="NT383" s="252"/>
      <c r="NU383" s="252"/>
      <c r="NV383" s="252"/>
      <c r="NW383" s="252"/>
      <c r="NX383" s="252"/>
      <c r="NY383" s="252"/>
      <c r="NZ383" s="252"/>
      <c r="OA383" s="252"/>
      <c r="OB383" s="252"/>
      <c r="OC383" s="252"/>
      <c r="OD383" s="252"/>
      <c r="OE383" s="252"/>
      <c r="OF383" s="252"/>
      <c r="OG383" s="252"/>
      <c r="OH383" s="252"/>
      <c r="OI383" s="252"/>
      <c r="OJ383" s="252"/>
      <c r="OK383" s="252"/>
      <c r="OL383" s="252"/>
      <c r="OM383" s="252"/>
      <c r="ON383" s="252"/>
      <c r="OO383" s="252"/>
      <c r="OP383" s="252"/>
      <c r="OQ383" s="252"/>
      <c r="OR383" s="252"/>
      <c r="OS383" s="252"/>
      <c r="OT383" s="252"/>
      <c r="OU383" s="252"/>
      <c r="OV383" s="252"/>
      <c r="OW383" s="252"/>
      <c r="OX383" s="252"/>
      <c r="OY383" s="252"/>
      <c r="OZ383" s="252"/>
      <c r="PA383" s="252"/>
      <c r="PB383" s="252"/>
      <c r="PC383" s="252"/>
      <c r="PD383" s="252"/>
      <c r="PE383" s="252"/>
      <c r="PF383" s="252"/>
      <c r="PG383" s="252"/>
      <c r="PH383" s="252"/>
      <c r="PI383" s="252"/>
      <c r="PJ383" s="252"/>
      <c r="PK383" s="252"/>
      <c r="PL383" s="252"/>
      <c r="PM383" s="252"/>
      <c r="PN383" s="252"/>
      <c r="PO383" s="252"/>
      <c r="PP383" s="252"/>
      <c r="PQ383" s="252"/>
      <c r="PR383" s="252"/>
      <c r="PS383" s="252"/>
      <c r="PT383" s="252"/>
      <c r="PU383" s="252"/>
      <c r="PV383" s="252"/>
      <c r="PW383" s="252"/>
      <c r="PX383" s="252"/>
      <c r="PY383" s="252"/>
      <c r="PZ383" s="252"/>
      <c r="QA383" s="252"/>
      <c r="QB383" s="252"/>
      <c r="QC383" s="252"/>
      <c r="QD383" s="252"/>
      <c r="QE383" s="252"/>
      <c r="QF383" s="252"/>
      <c r="QG383" s="252"/>
      <c r="QH383" s="252"/>
      <c r="QI383" s="252"/>
      <c r="QJ383" s="252"/>
      <c r="QK383" s="252"/>
      <c r="QL383" s="252"/>
      <c r="QM383" s="252"/>
      <c r="QN383" s="252"/>
      <c r="QO383" s="252"/>
      <c r="QP383" s="252"/>
      <c r="QQ383" s="252"/>
      <c r="QR383" s="252"/>
      <c r="QS383" s="252"/>
      <c r="QT383" s="252"/>
      <c r="QU383" s="252"/>
      <c r="QV383" s="252"/>
      <c r="QW383" s="252"/>
      <c r="QX383" s="252"/>
      <c r="QY383" s="252"/>
      <c r="QZ383" s="252"/>
      <c r="RA383" s="252"/>
      <c r="RB383" s="252"/>
      <c r="RC383" s="252"/>
      <c r="RD383" s="252"/>
      <c r="RE383" s="252"/>
      <c r="RF383" s="252"/>
      <c r="RG383" s="252"/>
      <c r="RH383" s="252"/>
      <c r="RI383" s="252"/>
      <c r="RJ383" s="252"/>
      <c r="RK383" s="252"/>
      <c r="RL383" s="252"/>
      <c r="RM383" s="252"/>
      <c r="RN383" s="252"/>
      <c r="RO383" s="252"/>
      <c r="RP383" s="252"/>
      <c r="RQ383" s="252"/>
      <c r="RR383" s="252"/>
      <c r="RS383" s="252"/>
      <c r="RT383" s="252"/>
      <c r="RU383" s="252"/>
      <c r="RV383" s="252"/>
      <c r="RW383" s="252"/>
      <c r="RX383" s="252"/>
      <c r="RY383" s="252"/>
      <c r="RZ383" s="252"/>
      <c r="SA383" s="252"/>
      <c r="SB383" s="252"/>
      <c r="SC383" s="252"/>
      <c r="SD383" s="252"/>
      <c r="SE383" s="252"/>
      <c r="SF383" s="252"/>
      <c r="SG383" s="252"/>
      <c r="SH383" s="252"/>
      <c r="SI383" s="252"/>
      <c r="SJ383" s="252"/>
      <c r="SK383" s="252"/>
      <c r="SL383" s="252"/>
      <c r="SM383" s="252"/>
      <c r="SN383" s="252"/>
      <c r="SO383" s="252"/>
      <c r="SP383" s="252"/>
      <c r="SQ383" s="252"/>
      <c r="SR383" s="252"/>
      <c r="SS383" s="252"/>
      <c r="ST383" s="252"/>
      <c r="SU383" s="252"/>
      <c r="SV383" s="252"/>
      <c r="SW383" s="252"/>
      <c r="SX383" s="252"/>
      <c r="SY383" s="252"/>
      <c r="SZ383" s="252"/>
      <c r="TA383" s="252"/>
      <c r="TB383" s="252"/>
      <c r="TC383" s="252"/>
      <c r="TD383" s="252"/>
      <c r="TE383" s="252"/>
      <c r="TF383" s="252"/>
      <c r="TG383" s="252"/>
      <c r="TH383" s="252"/>
      <c r="TI383" s="252"/>
      <c r="TJ383" s="252"/>
      <c r="TK383" s="252"/>
      <c r="TL383" s="252"/>
      <c r="TM383" s="252"/>
      <c r="TN383" s="252"/>
      <c r="TO383" s="252"/>
      <c r="TP383" s="252"/>
      <c r="TQ383" s="252"/>
      <c r="TR383" s="252"/>
      <c r="TS383" s="252"/>
      <c r="TT383" s="252"/>
      <c r="TU383" s="252"/>
      <c r="TV383" s="252"/>
      <c r="TW383" s="252"/>
      <c r="TX383" s="252"/>
      <c r="TY383" s="252"/>
      <c r="TZ383" s="252"/>
      <c r="UA383" s="252"/>
      <c r="UB383" s="252"/>
      <c r="UC383" s="252"/>
      <c r="UD383" s="252"/>
      <c r="UE383" s="252"/>
      <c r="UF383" s="252"/>
      <c r="UG383" s="252"/>
      <c r="UH383" s="252"/>
      <c r="UI383" s="252"/>
      <c r="UJ383" s="252"/>
      <c r="UK383" s="252"/>
      <c r="UL383" s="252"/>
      <c r="UM383" s="252"/>
      <c r="UN383" s="252"/>
      <c r="UO383" s="252"/>
      <c r="UP383" s="252"/>
      <c r="UQ383" s="252"/>
      <c r="UR383" s="252"/>
      <c r="US383" s="252"/>
      <c r="UT383" s="252"/>
      <c r="UU383" s="252"/>
      <c r="UV383" s="252"/>
      <c r="UW383" s="252"/>
      <c r="UX383" s="252"/>
      <c r="UY383" s="252"/>
      <c r="UZ383" s="252"/>
      <c r="VA383" s="252"/>
      <c r="VB383" s="252"/>
      <c r="VC383" s="252"/>
      <c r="VD383" s="252"/>
      <c r="VE383" s="252"/>
      <c r="VF383" s="252"/>
      <c r="VG383" s="252"/>
      <c r="VH383" s="252"/>
      <c r="VI383" s="252"/>
      <c r="VJ383" s="252"/>
      <c r="VK383" s="252"/>
      <c r="VL383" s="252"/>
      <c r="VM383" s="252"/>
      <c r="VN383" s="252"/>
      <c r="VO383" s="252"/>
      <c r="VP383" s="252"/>
      <c r="VQ383" s="252"/>
      <c r="VR383" s="252"/>
      <c r="VS383" s="252"/>
      <c r="VT383" s="252"/>
      <c r="VU383" s="252"/>
      <c r="VV383" s="252"/>
      <c r="VW383" s="252"/>
      <c r="VX383" s="252"/>
      <c r="VY383" s="252"/>
      <c r="VZ383" s="252"/>
      <c r="WA383" s="252"/>
      <c r="WB383" s="252"/>
      <c r="WC383" s="252"/>
      <c r="WD383" s="252"/>
      <c r="WE383" s="252"/>
      <c r="WF383" s="252"/>
      <c r="WG383" s="252"/>
      <c r="WH383" s="252"/>
      <c r="WI383" s="252"/>
      <c r="WJ383" s="252"/>
      <c r="WK383" s="252"/>
      <c r="WL383" s="252"/>
      <c r="WM383" s="252"/>
      <c r="WN383" s="252"/>
      <c r="WO383" s="252"/>
      <c r="WP383" s="252"/>
      <c r="WQ383" s="252"/>
      <c r="WR383" s="252"/>
      <c r="WS383" s="252"/>
      <c r="WT383" s="252"/>
      <c r="WU383" s="252"/>
      <c r="WV383" s="252"/>
      <c r="WW383" s="252"/>
      <c r="WX383" s="252"/>
      <c r="WY383" s="252"/>
      <c r="WZ383" s="252"/>
      <c r="XA383" s="252"/>
      <c r="XB383" s="252"/>
      <c r="XC383" s="252"/>
      <c r="XD383" s="252"/>
      <c r="XE383" s="252"/>
      <c r="XF383" s="252"/>
      <c r="XG383" s="252"/>
      <c r="XH383" s="252"/>
      <c r="XI383" s="252"/>
      <c r="XJ383" s="252"/>
      <c r="XK383" s="252"/>
      <c r="XL383" s="252"/>
      <c r="XM383" s="252"/>
      <c r="XN383" s="252"/>
      <c r="XO383" s="252"/>
      <c r="XP383" s="252"/>
      <c r="XQ383" s="252"/>
      <c r="XR383" s="252"/>
      <c r="XS383" s="252"/>
      <c r="XT383" s="252"/>
      <c r="XU383" s="252"/>
      <c r="XV383" s="252"/>
      <c r="XW383" s="252"/>
      <c r="XX383" s="252"/>
      <c r="XY383" s="252"/>
      <c r="XZ383" s="252"/>
      <c r="YA383" s="252"/>
      <c r="YB383" s="252"/>
      <c r="YC383" s="252"/>
      <c r="YD383" s="252"/>
      <c r="YE383" s="252"/>
      <c r="YF383" s="252"/>
      <c r="YG383" s="252"/>
      <c r="YH383" s="252"/>
      <c r="YI383" s="252"/>
      <c r="YJ383" s="252"/>
      <c r="YK383" s="252"/>
      <c r="YL383" s="252"/>
      <c r="YM383" s="252"/>
      <c r="YN383" s="252"/>
      <c r="YO383" s="252"/>
      <c r="YP383" s="252"/>
      <c r="YQ383" s="252"/>
      <c r="YR383" s="252"/>
      <c r="YS383" s="252"/>
      <c r="YT383" s="252"/>
      <c r="YU383" s="252"/>
      <c r="YV383" s="252"/>
      <c r="YW383" s="252"/>
      <c r="YX383" s="252"/>
      <c r="YY383" s="252"/>
      <c r="YZ383" s="252"/>
      <c r="ZA383" s="252"/>
      <c r="ZB383" s="252"/>
      <c r="ZC383" s="252"/>
      <c r="ZD383" s="252"/>
      <c r="ZE383" s="252"/>
      <c r="ZF383" s="252"/>
      <c r="ZG383" s="252"/>
      <c r="ZH383" s="252"/>
      <c r="ZI383" s="252"/>
      <c r="ZJ383" s="252"/>
      <c r="ZK383" s="252"/>
      <c r="ZL383" s="252"/>
      <c r="ZM383" s="252"/>
      <c r="ZN383" s="252"/>
      <c r="ZO383" s="252"/>
      <c r="ZP383" s="252"/>
      <c r="ZQ383" s="252"/>
      <c r="ZR383" s="252"/>
      <c r="ZS383" s="252"/>
      <c r="ZT383" s="252"/>
      <c r="ZU383" s="252"/>
      <c r="ZV383" s="252"/>
      <c r="ZW383" s="252"/>
      <c r="ZX383" s="252"/>
      <c r="ZY383" s="252"/>
      <c r="ZZ383" s="252"/>
      <c r="AAA383" s="252"/>
      <c r="AAB383" s="252"/>
      <c r="AAC383" s="252"/>
      <c r="AAD383" s="252"/>
      <c r="AAE383" s="252"/>
      <c r="AAF383" s="252"/>
      <c r="AAG383" s="252"/>
      <c r="AAH383" s="252"/>
      <c r="AAI383" s="252"/>
      <c r="AAJ383" s="252"/>
      <c r="AAK383" s="252"/>
      <c r="AAL383" s="252"/>
      <c r="AAM383" s="252"/>
      <c r="AAN383" s="252"/>
      <c r="AAO383" s="252"/>
      <c r="AAP383" s="252"/>
      <c r="AAQ383" s="252"/>
      <c r="AAR383" s="252"/>
      <c r="AAS383" s="252"/>
      <c r="AAT383" s="252"/>
      <c r="AAU383" s="252"/>
      <c r="AAV383" s="252"/>
      <c r="AAW383" s="252"/>
      <c r="AAX383" s="252"/>
      <c r="AAY383" s="252"/>
      <c r="AAZ383" s="252"/>
      <c r="ABA383" s="252"/>
      <c r="ABB383" s="252"/>
      <c r="ABC383" s="252"/>
      <c r="ABD383" s="252"/>
      <c r="ABE383" s="252"/>
      <c r="ABF383" s="252"/>
      <c r="ABG383" s="252"/>
      <c r="ABH383" s="252"/>
      <c r="ABI383" s="252"/>
      <c r="ABJ383" s="252"/>
      <c r="ABK383" s="252"/>
      <c r="ABL383" s="252"/>
      <c r="ABM383" s="252"/>
      <c r="ABN383" s="252"/>
      <c r="ABO383" s="252"/>
      <c r="ABP383" s="252"/>
      <c r="ABQ383" s="252"/>
      <c r="ABR383" s="252"/>
      <c r="ABS383" s="252"/>
      <c r="ABT383" s="252"/>
      <c r="ABU383" s="252"/>
      <c r="ABV383" s="252"/>
      <c r="ABW383" s="252"/>
      <c r="ABX383" s="252"/>
      <c r="ABY383" s="252"/>
      <c r="ABZ383" s="252"/>
      <c r="ACA383" s="252"/>
      <c r="ACB383" s="252"/>
      <c r="ACC383" s="252"/>
      <c r="ACD383" s="252"/>
      <c r="ACE383" s="252"/>
      <c r="ACF383" s="252"/>
      <c r="ACG383" s="252"/>
      <c r="ACH383" s="252"/>
      <c r="ACI383" s="252"/>
      <c r="ACJ383" s="252"/>
      <c r="ACK383" s="252"/>
      <c r="ACL383" s="252"/>
      <c r="ACM383" s="252"/>
      <c r="ACN383" s="252"/>
      <c r="ACO383" s="252"/>
      <c r="ACP383" s="252"/>
      <c r="ACQ383" s="252"/>
      <c r="ACR383" s="252"/>
      <c r="ACS383" s="252"/>
      <c r="ACT383" s="252"/>
      <c r="ACU383" s="252"/>
      <c r="ACV383" s="252"/>
      <c r="ACW383" s="252"/>
      <c r="ACX383" s="252"/>
      <c r="ACY383" s="252"/>
      <c r="ACZ383" s="252"/>
      <c r="ADA383" s="252"/>
      <c r="ADB383" s="252"/>
      <c r="ADC383" s="252"/>
      <c r="ADD383" s="252"/>
      <c r="ADE383" s="252"/>
      <c r="ADF383" s="252"/>
      <c r="ADG383" s="252"/>
      <c r="ADH383" s="252"/>
      <c r="ADI383" s="252"/>
      <c r="ADJ383" s="252"/>
      <c r="ADK383" s="252"/>
      <c r="ADL383" s="252"/>
      <c r="ADM383" s="252"/>
      <c r="ADN383" s="252"/>
      <c r="ADO383" s="252"/>
      <c r="ADP383" s="252"/>
      <c r="ADQ383" s="252"/>
      <c r="ADR383" s="252"/>
      <c r="ADS383" s="252"/>
      <c r="ADT383" s="252"/>
      <c r="ADU383" s="252"/>
      <c r="ADV383" s="252"/>
      <c r="ADW383" s="252"/>
      <c r="ADX383" s="252"/>
      <c r="ADY383" s="252"/>
      <c r="ADZ383" s="252"/>
      <c r="AEA383" s="252"/>
      <c r="AEB383" s="252"/>
      <c r="AEC383" s="252"/>
      <c r="AED383" s="252"/>
      <c r="AEE383" s="252"/>
      <c r="AEF383" s="252"/>
      <c r="AEG383" s="252"/>
      <c r="AEH383" s="252"/>
      <c r="AEI383" s="252"/>
      <c r="AEJ383" s="252"/>
      <c r="AEK383" s="252"/>
      <c r="AEL383" s="252"/>
      <c r="AEM383" s="252"/>
      <c r="AEN383" s="252"/>
      <c r="AEO383" s="252"/>
      <c r="AEP383" s="252"/>
      <c r="AEQ383" s="252"/>
      <c r="AER383" s="252"/>
      <c r="AES383" s="252"/>
      <c r="AET383" s="252"/>
      <c r="AEU383" s="252"/>
      <c r="AEV383" s="252"/>
      <c r="AEW383" s="252"/>
      <c r="AEX383" s="252"/>
      <c r="AEY383" s="252"/>
      <c r="AEZ383" s="252"/>
      <c r="AFA383" s="252"/>
      <c r="AFB383" s="252"/>
      <c r="AFC383" s="252"/>
      <c r="AFD383" s="252"/>
      <c r="AFE383" s="252"/>
      <c r="AFF383" s="252"/>
      <c r="AFG383" s="252"/>
      <c r="AFH383" s="252"/>
      <c r="AFI383" s="252"/>
      <c r="AFJ383" s="252"/>
      <c r="AFK383" s="252"/>
      <c r="AFL383" s="252"/>
      <c r="AFM383" s="252"/>
      <c r="AFN383" s="252"/>
      <c r="AFO383" s="252"/>
      <c r="AFP383" s="252"/>
      <c r="AFQ383" s="252"/>
      <c r="AFR383" s="252"/>
      <c r="AFS383" s="252"/>
      <c r="AFT383" s="252"/>
      <c r="AFU383" s="252"/>
      <c r="AFV383" s="252"/>
      <c r="AFW383" s="252"/>
      <c r="AFX383" s="252"/>
      <c r="AFY383" s="252"/>
      <c r="AFZ383" s="252"/>
      <c r="AGA383" s="252"/>
      <c r="AGB383" s="252"/>
      <c r="AGC383" s="252"/>
      <c r="AGD383" s="252"/>
      <c r="AGE383" s="252"/>
      <c r="AGF383" s="252"/>
      <c r="AGG383" s="252"/>
      <c r="AGH383" s="252"/>
      <c r="AGI383" s="252"/>
      <c r="AGJ383" s="252"/>
      <c r="AGK383" s="252"/>
      <c r="AGL383" s="252"/>
      <c r="AGM383" s="252"/>
      <c r="AGN383" s="252"/>
      <c r="AGO383" s="252"/>
      <c r="AGP383" s="252"/>
      <c r="AGQ383" s="252"/>
      <c r="AGR383" s="252"/>
      <c r="AGS383" s="252"/>
      <c r="AGT383" s="252"/>
      <c r="AGU383" s="252"/>
      <c r="AGV383" s="252"/>
      <c r="AGW383" s="252"/>
      <c r="AGX383" s="252"/>
      <c r="AGY383" s="252"/>
      <c r="AGZ383" s="252"/>
      <c r="AHA383" s="252"/>
      <c r="AHB383" s="252"/>
      <c r="AHC383" s="252"/>
      <c r="AHD383" s="252"/>
      <c r="AHE383" s="252"/>
      <c r="AHF383" s="252"/>
      <c r="AHG383" s="252"/>
      <c r="AHH383" s="252"/>
      <c r="AHI383" s="252"/>
      <c r="AHJ383" s="252"/>
      <c r="AHK383" s="252"/>
      <c r="AHL383" s="252"/>
      <c r="AHM383" s="252"/>
      <c r="AHN383" s="252"/>
      <c r="AHO383" s="252"/>
      <c r="AHP383" s="252"/>
      <c r="AHQ383" s="252"/>
      <c r="AHR383" s="252"/>
      <c r="AHS383" s="252"/>
      <c r="AHT383" s="252"/>
      <c r="AHU383" s="252"/>
      <c r="AHV383" s="252"/>
      <c r="AHW383" s="252"/>
      <c r="AHX383" s="252"/>
      <c r="AHY383" s="252"/>
      <c r="AHZ383" s="252"/>
      <c r="AIA383" s="252"/>
      <c r="AIB383" s="252"/>
      <c r="AIC383" s="252"/>
      <c r="AID383" s="252"/>
      <c r="AIE383" s="252"/>
      <c r="AIF383" s="252"/>
      <c r="AIG383" s="252"/>
      <c r="AIH383" s="252"/>
      <c r="AII383" s="252"/>
      <c r="AIJ383" s="252"/>
      <c r="AIK383" s="252"/>
      <c r="AIL383" s="252"/>
      <c r="AIM383" s="252"/>
      <c r="AIN383" s="252"/>
      <c r="AIO383" s="252"/>
      <c r="AIP383" s="252"/>
      <c r="AIQ383" s="252"/>
      <c r="AIR383" s="252"/>
      <c r="AIS383" s="252"/>
      <c r="AIT383" s="252"/>
      <c r="AIU383" s="252"/>
      <c r="AIV383" s="252"/>
      <c r="AIW383" s="252"/>
      <c r="AIX383" s="252"/>
      <c r="AIY383" s="252"/>
      <c r="AIZ383" s="252"/>
      <c r="AJA383" s="252"/>
      <c r="AJB383" s="252"/>
      <c r="AJC383" s="252"/>
      <c r="AJD383" s="252"/>
      <c r="AJE383" s="252"/>
      <c r="AJF383" s="252"/>
      <c r="AJG383" s="252"/>
      <c r="AJH383" s="252"/>
      <c r="AJI383" s="252"/>
      <c r="AJJ383" s="252"/>
      <c r="AJK383" s="252"/>
      <c r="AJL383" s="252"/>
      <c r="AJM383" s="252"/>
      <c r="AJN383" s="252"/>
      <c r="AJO383" s="252"/>
      <c r="AJP383" s="252"/>
      <c r="AJQ383" s="252"/>
      <c r="AJR383" s="252"/>
      <c r="AJS383" s="252"/>
      <c r="AJT383" s="252"/>
      <c r="AJU383" s="252"/>
      <c r="AJV383" s="252"/>
      <c r="AJW383" s="252"/>
      <c r="AJX383" s="252"/>
      <c r="AJY383" s="252"/>
      <c r="AJZ383" s="252"/>
      <c r="AKA383" s="252"/>
      <c r="AKB383" s="252"/>
      <c r="AKC383" s="252"/>
      <c r="AKD383" s="252"/>
      <c r="AKE383" s="252"/>
      <c r="AKF383" s="252"/>
      <c r="AKG383" s="252"/>
      <c r="AKH383" s="252"/>
      <c r="AKI383" s="252"/>
      <c r="AKJ383" s="252"/>
      <c r="AKK383" s="252"/>
      <c r="AKL383" s="252"/>
      <c r="AKM383" s="252"/>
      <c r="AKN383" s="252"/>
      <c r="AKO383" s="252"/>
      <c r="AKP383" s="252"/>
      <c r="AKQ383" s="252"/>
      <c r="AKR383" s="252"/>
      <c r="AKS383" s="252"/>
      <c r="AKT383" s="252"/>
      <c r="AKU383" s="252"/>
      <c r="AKV383" s="252"/>
      <c r="AKW383" s="252"/>
      <c r="AKX383" s="252"/>
      <c r="AKY383" s="252"/>
      <c r="AKZ383" s="252"/>
      <c r="ALA383" s="252"/>
      <c r="ALB383" s="252"/>
      <c r="ALC383" s="252"/>
      <c r="ALD383" s="252"/>
      <c r="ALE383" s="252"/>
      <c r="ALF383" s="252"/>
      <c r="ALG383" s="252"/>
      <c r="ALH383" s="252"/>
      <c r="ALI383" s="252"/>
      <c r="ALJ383" s="252"/>
      <c r="ALK383" s="252"/>
      <c r="ALL383" s="252"/>
      <c r="ALM383" s="252"/>
      <c r="ALN383" s="252"/>
      <c r="ALO383" s="252"/>
      <c r="ALP383" s="252"/>
      <c r="ALQ383" s="252"/>
      <c r="ALR383" s="252"/>
      <c r="ALS383" s="252"/>
      <c r="ALT383" s="252"/>
      <c r="ALU383" s="252"/>
      <c r="ALV383" s="252"/>
      <c r="ALW383" s="252"/>
      <c r="ALX383" s="252"/>
      <c r="ALY383" s="252"/>
      <c r="ALZ383" s="252"/>
      <c r="AMA383" s="252"/>
      <c r="AMB383" s="252"/>
      <c r="AMC383" s="252"/>
      <c r="AMD383" s="252"/>
      <c r="AME383" s="252"/>
      <c r="AMF383" s="252"/>
      <c r="AMG383" s="252"/>
      <c r="AMH383" s="252"/>
      <c r="AMI383" s="252"/>
      <c r="AMJ383" s="252"/>
      <c r="AMK383" s="252"/>
      <c r="AML383" s="252"/>
      <c r="AMM383" s="252"/>
      <c r="AMN383" s="252"/>
      <c r="AMO383" s="252"/>
      <c r="AMP383" s="252"/>
      <c r="AMQ383" s="252"/>
      <c r="AMR383" s="252"/>
      <c r="AMS383" s="252"/>
      <c r="AMT383" s="252"/>
      <c r="AMU383" s="252"/>
      <c r="AMV383" s="252"/>
      <c r="AMW383" s="252"/>
      <c r="AMX383" s="252"/>
      <c r="AMY383" s="252"/>
      <c r="AMZ383" s="252"/>
      <c r="ANA383" s="252"/>
      <c r="ANB383" s="252"/>
      <c r="ANC383" s="252"/>
      <c r="AND383" s="252"/>
      <c r="ANE383" s="252"/>
      <c r="ANF383" s="252"/>
      <c r="ANG383" s="252"/>
      <c r="ANH383" s="252"/>
      <c r="ANI383" s="252"/>
      <c r="ANJ383" s="252"/>
      <c r="ANK383" s="252"/>
      <c r="ANL383" s="252"/>
      <c r="ANM383" s="252"/>
      <c r="ANN383" s="252"/>
      <c r="ANO383" s="252"/>
      <c r="ANP383" s="252"/>
      <c r="ANQ383" s="252"/>
      <c r="ANR383" s="252"/>
      <c r="ANS383" s="252"/>
      <c r="ANT383" s="252"/>
      <c r="ANU383" s="252"/>
      <c r="ANV383" s="252"/>
      <c r="ANW383" s="252"/>
      <c r="ANX383" s="252"/>
      <c r="ANY383" s="252"/>
      <c r="ANZ383" s="252"/>
      <c r="AOA383" s="252"/>
      <c r="AOB383" s="252"/>
      <c r="AOC383" s="252"/>
      <c r="AOD383" s="252"/>
      <c r="AOE383" s="252"/>
      <c r="AOF383" s="252"/>
      <c r="AOG383" s="252"/>
      <c r="AOH383" s="252"/>
      <c r="AOI383" s="252"/>
      <c r="AOJ383" s="252"/>
      <c r="AOK383" s="252"/>
      <c r="AOL383" s="252"/>
      <c r="AOM383" s="252"/>
      <c r="AON383" s="252"/>
      <c r="AOO383" s="252"/>
      <c r="AOP383" s="252"/>
      <c r="AOQ383" s="252"/>
      <c r="AOR383" s="252"/>
      <c r="AOS383" s="252"/>
      <c r="AOT383" s="252"/>
      <c r="AOU383" s="252"/>
      <c r="AOV383" s="252"/>
      <c r="AOW383" s="252"/>
      <c r="AOX383" s="252"/>
      <c r="AOY383" s="252"/>
      <c r="AOZ383" s="252"/>
      <c r="APA383" s="252"/>
      <c r="APB383" s="252"/>
      <c r="APC383" s="252"/>
      <c r="APD383" s="252"/>
      <c r="APE383" s="252"/>
      <c r="APF383" s="252"/>
      <c r="APG383" s="252"/>
      <c r="APH383" s="252"/>
      <c r="API383" s="252"/>
      <c r="APJ383" s="252"/>
      <c r="APK383" s="252"/>
      <c r="APL383" s="252"/>
      <c r="APM383" s="252"/>
      <c r="APN383" s="252"/>
      <c r="APO383" s="252"/>
      <c r="APP383" s="252"/>
      <c r="APQ383" s="252"/>
      <c r="APR383" s="252"/>
      <c r="APS383" s="252"/>
      <c r="APT383" s="252"/>
      <c r="APU383" s="252"/>
      <c r="APV383" s="252"/>
      <c r="APW383" s="252"/>
      <c r="APX383" s="252"/>
      <c r="APY383" s="252"/>
      <c r="APZ383" s="252"/>
      <c r="AQA383" s="252"/>
      <c r="AQB383" s="252"/>
      <c r="AQC383" s="252"/>
      <c r="AQD383" s="252"/>
      <c r="AQE383" s="252"/>
      <c r="AQF383" s="252"/>
      <c r="AQG383" s="252"/>
      <c r="AQH383" s="252"/>
      <c r="AQI383" s="252"/>
      <c r="AQJ383" s="252"/>
      <c r="AQK383" s="252"/>
      <c r="AQL383" s="252"/>
      <c r="AQM383" s="252"/>
      <c r="AQN383" s="252"/>
      <c r="AQO383" s="252"/>
      <c r="AQP383" s="252"/>
      <c r="AQQ383" s="252"/>
      <c r="AQR383" s="252"/>
      <c r="AQS383" s="252"/>
      <c r="AQT383" s="252"/>
      <c r="AQU383" s="252"/>
      <c r="AQV383" s="252"/>
      <c r="AQW383" s="252"/>
      <c r="AQX383" s="252"/>
      <c r="AQY383" s="252"/>
      <c r="AQZ383" s="252"/>
      <c r="ARA383" s="252"/>
      <c r="ARB383" s="252"/>
      <c r="ARC383" s="252"/>
      <c r="ARD383" s="252"/>
      <c r="ARE383" s="252"/>
      <c r="ARF383" s="252"/>
      <c r="ARG383" s="252"/>
      <c r="ARH383" s="252"/>
      <c r="ARI383" s="252"/>
      <c r="ARJ383" s="252"/>
      <c r="ARK383" s="252"/>
      <c r="ARL383" s="252"/>
      <c r="ARM383" s="252"/>
      <c r="ARN383" s="252"/>
      <c r="ARO383" s="252"/>
      <c r="ARP383" s="252"/>
      <c r="ARQ383" s="252"/>
      <c r="ARR383" s="252"/>
      <c r="ARS383" s="252"/>
      <c r="ART383" s="252"/>
      <c r="ARU383" s="252"/>
      <c r="ARV383" s="252"/>
      <c r="ARW383" s="252"/>
      <c r="ARX383" s="252"/>
      <c r="ARY383" s="252"/>
      <c r="ARZ383" s="252"/>
      <c r="ASA383" s="252"/>
      <c r="ASB383" s="252"/>
      <c r="ASC383" s="252"/>
      <c r="ASD383" s="252"/>
      <c r="ASE383" s="252"/>
      <c r="ASF383" s="252"/>
      <c r="ASG383" s="252"/>
      <c r="ASH383" s="252"/>
      <c r="ASI383" s="252"/>
      <c r="ASJ383" s="252"/>
      <c r="ASK383" s="252"/>
      <c r="ASL383" s="252"/>
      <c r="ASM383" s="252"/>
      <c r="ASN383" s="252"/>
      <c r="ASO383" s="252"/>
      <c r="ASP383" s="252"/>
      <c r="ASQ383" s="252"/>
      <c r="ASR383" s="252"/>
      <c r="ASS383" s="252"/>
      <c r="AST383" s="252"/>
      <c r="ASU383" s="252"/>
      <c r="ASV383" s="252"/>
      <c r="ASW383" s="252"/>
      <c r="ASX383" s="252"/>
      <c r="ASY383" s="252"/>
      <c r="ASZ383" s="252"/>
      <c r="ATA383" s="252"/>
      <c r="ATB383" s="252"/>
      <c r="ATC383" s="252"/>
      <c r="ATD383" s="252"/>
      <c r="ATE383" s="252"/>
      <c r="ATF383" s="252"/>
      <c r="ATG383" s="252"/>
      <c r="ATH383" s="252"/>
      <c r="ATI383" s="252"/>
      <c r="ATJ383" s="252"/>
      <c r="ATK383" s="252"/>
      <c r="ATL383" s="252"/>
      <c r="ATM383" s="252"/>
      <c r="ATN383" s="252"/>
      <c r="ATO383" s="252"/>
      <c r="ATP383" s="252"/>
      <c r="ATQ383" s="252"/>
      <c r="ATR383" s="252"/>
      <c r="ATS383" s="252"/>
      <c r="ATT383" s="252"/>
      <c r="ATU383" s="252"/>
      <c r="ATV383" s="252"/>
      <c r="ATW383" s="252"/>
      <c r="ATX383" s="252"/>
      <c r="ATY383" s="252"/>
      <c r="ATZ383" s="252"/>
      <c r="AUA383" s="252"/>
      <c r="AUB383" s="252"/>
      <c r="AUC383" s="252"/>
      <c r="AUD383" s="252"/>
      <c r="AUE383" s="252"/>
      <c r="AUF383" s="252"/>
      <c r="AUG383" s="252"/>
      <c r="AUH383" s="252"/>
      <c r="AUI383" s="252"/>
      <c r="AUJ383" s="252"/>
      <c r="AUK383" s="252"/>
      <c r="AUL383" s="252"/>
      <c r="AUM383" s="252"/>
      <c r="AUN383" s="252"/>
      <c r="AUO383" s="252"/>
      <c r="AUP383" s="252"/>
      <c r="AUQ383" s="252"/>
      <c r="AUR383" s="252"/>
      <c r="AUS383" s="252"/>
      <c r="AUT383" s="252"/>
      <c r="AUU383" s="252"/>
      <c r="AUV383" s="252"/>
      <c r="AUW383" s="252"/>
      <c r="AUX383" s="252"/>
      <c r="AUY383" s="252"/>
      <c r="AUZ383" s="252"/>
      <c r="AVA383" s="252"/>
      <c r="AVB383" s="252"/>
      <c r="AVC383" s="252"/>
      <c r="AVD383" s="252"/>
      <c r="AVE383" s="252"/>
      <c r="AVF383" s="252"/>
      <c r="AVG383" s="252"/>
      <c r="AVH383" s="252"/>
      <c r="AVI383" s="252"/>
      <c r="AVJ383" s="252"/>
      <c r="AVK383" s="252"/>
      <c r="AVL383" s="252"/>
      <c r="AVM383" s="252"/>
      <c r="AVN383" s="252"/>
      <c r="AVO383" s="252"/>
      <c r="AVP383" s="252"/>
      <c r="AVQ383" s="252"/>
      <c r="AVR383" s="252"/>
      <c r="AVS383" s="252"/>
      <c r="AVT383" s="252"/>
      <c r="AVU383" s="252"/>
      <c r="AVV383" s="252"/>
      <c r="AVW383" s="252"/>
      <c r="AVX383" s="252"/>
      <c r="AVY383" s="252"/>
      <c r="AVZ383" s="252"/>
      <c r="AWA383" s="252"/>
      <c r="AWB383" s="252"/>
      <c r="AWC383" s="252"/>
      <c r="AWD383" s="252"/>
      <c r="AWE383" s="252"/>
      <c r="AWF383" s="252"/>
      <c r="AWG383" s="252"/>
      <c r="AWH383" s="252"/>
      <c r="AWI383" s="252"/>
      <c r="AWJ383" s="252"/>
      <c r="AWK383" s="252"/>
      <c r="AWL383" s="252"/>
      <c r="AWM383" s="252"/>
      <c r="AWN383" s="252"/>
      <c r="AWO383" s="252"/>
      <c r="AWP383" s="252"/>
      <c r="AWQ383" s="252"/>
      <c r="AWR383" s="252"/>
      <c r="AWS383" s="252"/>
      <c r="AWT383" s="252"/>
      <c r="AWU383" s="252"/>
      <c r="AWV383" s="252"/>
      <c r="AWW383" s="252"/>
      <c r="AWX383" s="252"/>
      <c r="AWY383" s="252"/>
      <c r="AWZ383" s="252"/>
      <c r="AXA383" s="252"/>
      <c r="AXB383" s="252"/>
      <c r="AXC383" s="252"/>
      <c r="AXD383" s="252"/>
      <c r="AXE383" s="252"/>
      <c r="AXF383" s="252"/>
      <c r="AXG383" s="252"/>
      <c r="AXH383" s="252"/>
      <c r="AXI383" s="252"/>
      <c r="AXJ383" s="252"/>
      <c r="AXK383" s="252"/>
      <c r="AXL383" s="252"/>
      <c r="AXM383" s="252"/>
      <c r="AXN383" s="252"/>
      <c r="AXO383" s="252"/>
      <c r="AXP383" s="252"/>
      <c r="AXQ383" s="252"/>
      <c r="AXR383" s="252"/>
      <c r="AXS383" s="252"/>
      <c r="AXT383" s="252"/>
      <c r="AXU383" s="252"/>
      <c r="AXV383" s="252"/>
      <c r="AXW383" s="252"/>
      <c r="AXX383" s="252"/>
      <c r="AXY383" s="252"/>
      <c r="AXZ383" s="252"/>
      <c r="AYA383" s="252"/>
      <c r="AYB383" s="252"/>
      <c r="AYC383" s="252"/>
      <c r="AYD383" s="252"/>
      <c r="AYE383" s="252"/>
      <c r="AYF383" s="252"/>
      <c r="AYG383" s="252"/>
      <c r="AYH383" s="252"/>
      <c r="AYI383" s="252"/>
      <c r="AYJ383" s="252"/>
      <c r="AYK383" s="252"/>
      <c r="AYL383" s="252"/>
      <c r="AYM383" s="252"/>
      <c r="AYN383" s="252"/>
      <c r="AYO383" s="252"/>
      <c r="AYP383" s="252"/>
      <c r="AYQ383" s="252"/>
      <c r="AYR383" s="252"/>
      <c r="AYS383" s="252"/>
      <c r="AYT383" s="252"/>
      <c r="AYU383" s="252"/>
      <c r="AYV383" s="252"/>
      <c r="AYW383" s="252"/>
      <c r="AYX383" s="252"/>
      <c r="AYY383" s="252"/>
      <c r="AYZ383" s="252"/>
      <c r="AZA383" s="252"/>
      <c r="AZB383" s="252"/>
      <c r="AZC383" s="252"/>
      <c r="AZD383" s="252"/>
      <c r="AZE383" s="252"/>
      <c r="AZF383" s="252"/>
      <c r="AZG383" s="252"/>
      <c r="AZH383" s="252"/>
      <c r="AZI383" s="252"/>
      <c r="AZJ383" s="252"/>
      <c r="AZK383" s="252"/>
      <c r="AZL383" s="252"/>
      <c r="AZM383" s="252"/>
      <c r="AZN383" s="252"/>
      <c r="AZO383" s="252"/>
      <c r="AZP383" s="252"/>
      <c r="AZQ383" s="252"/>
      <c r="AZR383" s="252"/>
      <c r="AZS383" s="252"/>
      <c r="AZT383" s="252"/>
      <c r="AZU383" s="252"/>
      <c r="AZV383" s="252"/>
      <c r="AZW383" s="252"/>
      <c r="AZX383" s="252"/>
      <c r="AZY383" s="252"/>
      <c r="AZZ383" s="252"/>
      <c r="BAA383" s="252"/>
      <c r="BAB383" s="252"/>
      <c r="BAC383" s="252"/>
      <c r="BAD383" s="252"/>
      <c r="BAE383" s="252"/>
      <c r="BAF383" s="252"/>
      <c r="BAG383" s="252"/>
      <c r="BAH383" s="252"/>
      <c r="BAI383" s="252"/>
      <c r="BAJ383" s="252"/>
      <c r="BAK383" s="252"/>
      <c r="BAL383" s="252"/>
      <c r="BAM383" s="252"/>
      <c r="BAN383" s="252"/>
      <c r="BAO383" s="252"/>
      <c r="BAP383" s="252"/>
      <c r="BAQ383" s="252"/>
      <c r="BAR383" s="252"/>
      <c r="BAS383" s="252"/>
      <c r="BAT383" s="252"/>
      <c r="BAU383" s="252"/>
      <c r="BAV383" s="252"/>
      <c r="BAW383" s="252"/>
      <c r="BAX383" s="252"/>
      <c r="BAY383" s="252"/>
      <c r="BAZ383" s="252"/>
      <c r="BBA383" s="252"/>
      <c r="BBB383" s="252"/>
      <c r="BBC383" s="252"/>
      <c r="BBD383" s="252"/>
      <c r="BBE383" s="252"/>
      <c r="BBF383" s="252"/>
      <c r="BBG383" s="252"/>
      <c r="BBH383" s="252"/>
      <c r="BBI383" s="252"/>
      <c r="BBJ383" s="252"/>
      <c r="BBK383" s="252"/>
      <c r="BBL383" s="252"/>
      <c r="BBM383" s="252"/>
      <c r="BBN383" s="252"/>
      <c r="BBO383" s="252"/>
      <c r="BBP383" s="252"/>
      <c r="BBQ383" s="252"/>
      <c r="BBR383" s="252"/>
      <c r="BBS383" s="252"/>
      <c r="BBT383" s="252"/>
      <c r="BBU383" s="252"/>
      <c r="BBV383" s="252"/>
      <c r="BBW383" s="252"/>
      <c r="BBX383" s="252"/>
      <c r="BBY383" s="252"/>
      <c r="BBZ383" s="252"/>
      <c r="BCA383" s="252"/>
      <c r="BCB383" s="252"/>
      <c r="BCC383" s="252"/>
      <c r="BCD383" s="252"/>
      <c r="BCE383" s="252"/>
      <c r="BCF383" s="252"/>
      <c r="BCG383" s="252"/>
      <c r="BCH383" s="252"/>
      <c r="BCI383" s="252"/>
      <c r="BCJ383" s="252"/>
      <c r="BCK383" s="252"/>
      <c r="BCL383" s="252"/>
      <c r="BCM383" s="252"/>
      <c r="BCN383" s="252"/>
      <c r="BCO383" s="252"/>
      <c r="BCP383" s="252"/>
      <c r="BCQ383" s="252"/>
      <c r="BCR383" s="252"/>
      <c r="BCS383" s="252"/>
      <c r="BCT383" s="252"/>
      <c r="BCU383" s="252"/>
      <c r="BCV383" s="252"/>
      <c r="BCW383" s="252"/>
      <c r="BCX383" s="252"/>
      <c r="BCY383" s="252"/>
      <c r="BCZ383" s="252"/>
      <c r="BDA383" s="252"/>
      <c r="BDB383" s="252"/>
      <c r="BDC383" s="252"/>
      <c r="BDD383" s="252"/>
      <c r="BDE383" s="252"/>
      <c r="BDF383" s="252"/>
      <c r="BDG383" s="252"/>
      <c r="BDH383" s="252"/>
      <c r="BDI383" s="252"/>
      <c r="BDJ383" s="252"/>
      <c r="BDK383" s="252"/>
      <c r="BDL383" s="252"/>
      <c r="BDM383" s="252"/>
      <c r="BDN383" s="252"/>
      <c r="BDO383" s="252"/>
      <c r="BDP383" s="252"/>
      <c r="BDQ383" s="252"/>
      <c r="BDR383" s="252"/>
      <c r="BDS383" s="252"/>
      <c r="BDT383" s="252"/>
      <c r="BDU383" s="252"/>
      <c r="BDV383" s="252"/>
      <c r="BDW383" s="252"/>
      <c r="BDX383" s="252"/>
      <c r="BDY383" s="252"/>
      <c r="BDZ383" s="252"/>
      <c r="BEA383" s="252"/>
      <c r="BEB383" s="252"/>
      <c r="BEC383" s="252"/>
      <c r="BED383" s="252"/>
      <c r="BEE383" s="252"/>
      <c r="BEF383" s="252"/>
      <c r="BEG383" s="252"/>
      <c r="BEH383" s="252"/>
      <c r="BEI383" s="252"/>
      <c r="BEJ383" s="252"/>
      <c r="BEK383" s="252"/>
      <c r="BEL383" s="252"/>
      <c r="BEM383" s="252"/>
      <c r="BEN383" s="252"/>
      <c r="BEO383" s="252"/>
      <c r="BEP383" s="252"/>
      <c r="BEQ383" s="252"/>
      <c r="BER383" s="252"/>
      <c r="BES383" s="252"/>
      <c r="BET383" s="252"/>
      <c r="BEU383" s="252"/>
      <c r="BEV383" s="252"/>
      <c r="BEW383" s="252"/>
      <c r="BEX383" s="252"/>
      <c r="BEY383" s="252"/>
      <c r="BEZ383" s="252"/>
      <c r="BFA383" s="252"/>
      <c r="BFB383" s="252"/>
      <c r="BFC383" s="252"/>
      <c r="BFD383" s="252"/>
      <c r="BFE383" s="252"/>
      <c r="BFF383" s="252"/>
      <c r="BFG383" s="252"/>
      <c r="BFH383" s="252"/>
      <c r="BFI383" s="252"/>
      <c r="BFJ383" s="252"/>
      <c r="BFK383" s="252"/>
      <c r="BFL383" s="252"/>
      <c r="BFM383" s="252"/>
      <c r="BFN383" s="252"/>
      <c r="BFO383" s="252"/>
      <c r="BFP383" s="252"/>
      <c r="BFQ383" s="252"/>
      <c r="BFR383" s="252"/>
      <c r="BFS383" s="252"/>
      <c r="BFT383" s="252"/>
      <c r="BFU383" s="252"/>
      <c r="BFV383" s="252"/>
      <c r="BFW383" s="252"/>
      <c r="BFX383" s="252"/>
      <c r="BFY383" s="252"/>
      <c r="BFZ383" s="252"/>
      <c r="BGA383" s="252"/>
      <c r="BGB383" s="252"/>
      <c r="BGC383" s="252"/>
      <c r="BGD383" s="252"/>
      <c r="BGE383" s="252"/>
      <c r="BGF383" s="252"/>
      <c r="BGG383" s="252"/>
      <c r="BGH383" s="252"/>
      <c r="BGI383" s="252"/>
      <c r="BGJ383" s="252"/>
      <c r="BGK383" s="252"/>
      <c r="BGL383" s="252"/>
      <c r="BGM383" s="252"/>
      <c r="BGN383" s="252"/>
      <c r="BGO383" s="252"/>
      <c r="BGP383" s="252"/>
      <c r="BGQ383" s="252"/>
      <c r="BGR383" s="252"/>
      <c r="BGS383" s="252"/>
      <c r="BGT383" s="252"/>
      <c r="BGU383" s="252"/>
      <c r="BGV383" s="252"/>
      <c r="BGW383" s="252"/>
      <c r="BGX383" s="252"/>
      <c r="BGY383" s="252"/>
      <c r="BGZ383" s="252"/>
      <c r="BHA383" s="252"/>
      <c r="BHB383" s="252"/>
      <c r="BHC383" s="252"/>
      <c r="BHD383" s="252"/>
      <c r="BHE383" s="252"/>
      <c r="BHF383" s="252"/>
      <c r="BHG383" s="252"/>
      <c r="BHH383" s="252"/>
      <c r="BHI383" s="252"/>
      <c r="BHJ383" s="252"/>
      <c r="BHK383" s="252"/>
      <c r="BHL383" s="252"/>
      <c r="BHM383" s="252"/>
      <c r="BHN383" s="252"/>
      <c r="BHO383" s="252"/>
      <c r="BHP383" s="252"/>
      <c r="BHQ383" s="252"/>
      <c r="BHR383" s="252"/>
      <c r="BHS383" s="252"/>
      <c r="BHT383" s="252"/>
      <c r="BHU383" s="252"/>
      <c r="BHV383" s="252"/>
      <c r="BHW383" s="252"/>
      <c r="BHX383" s="252"/>
      <c r="BHY383" s="252"/>
      <c r="BHZ383" s="252"/>
      <c r="BIA383" s="252"/>
      <c r="BIB383" s="252"/>
      <c r="BIC383" s="252"/>
      <c r="BID383" s="252"/>
      <c r="BIE383" s="252"/>
      <c r="BIF383" s="252"/>
      <c r="BIG383" s="252"/>
      <c r="BIH383" s="252"/>
      <c r="BII383" s="252"/>
      <c r="BIJ383" s="252"/>
      <c r="BIK383" s="252"/>
      <c r="BIL383" s="252"/>
      <c r="BIM383" s="252"/>
      <c r="BIN383" s="252"/>
      <c r="BIO383" s="252"/>
      <c r="BIP383" s="252"/>
      <c r="BIQ383" s="252"/>
      <c r="BIR383" s="252"/>
      <c r="BIS383" s="252"/>
      <c r="BIT383" s="252"/>
      <c r="BIU383" s="252"/>
      <c r="BIV383" s="252"/>
      <c r="BIW383" s="252"/>
      <c r="BIX383" s="252"/>
      <c r="BIY383" s="252"/>
      <c r="BIZ383" s="252"/>
      <c r="BJA383" s="252"/>
      <c r="BJB383" s="252"/>
      <c r="BJC383" s="252"/>
      <c r="BJD383" s="252"/>
      <c r="BJE383" s="252"/>
      <c r="BJF383" s="252"/>
      <c r="BJG383" s="252"/>
      <c r="BJH383" s="252"/>
      <c r="BJI383" s="252"/>
      <c r="BJJ383" s="252"/>
      <c r="BJK383" s="252"/>
      <c r="BJL383" s="252"/>
      <c r="BJM383" s="252"/>
      <c r="BJN383" s="252"/>
      <c r="BJO383" s="252"/>
      <c r="BJP383" s="252"/>
      <c r="BJQ383" s="252"/>
      <c r="BJR383" s="252"/>
      <c r="BJS383" s="252"/>
      <c r="BJT383" s="252"/>
      <c r="BJU383" s="252"/>
      <c r="BJV383" s="252"/>
      <c r="BJW383" s="252"/>
      <c r="BJX383" s="252"/>
      <c r="BJY383" s="252"/>
      <c r="BJZ383" s="252"/>
      <c r="BKA383" s="252"/>
      <c r="BKB383" s="252"/>
      <c r="BKC383" s="252"/>
      <c r="BKD383" s="252"/>
      <c r="BKE383" s="252"/>
      <c r="BKF383" s="252"/>
      <c r="BKG383" s="252"/>
      <c r="BKH383" s="252"/>
      <c r="BKI383" s="252"/>
      <c r="BKJ383" s="252"/>
      <c r="BKK383" s="252"/>
      <c r="BKL383" s="252"/>
      <c r="BKM383" s="252"/>
      <c r="BKN383" s="252"/>
      <c r="BKO383" s="252"/>
      <c r="BKP383" s="252"/>
      <c r="BKQ383" s="252"/>
      <c r="BKR383" s="252"/>
      <c r="BKS383" s="252"/>
      <c r="BKT383" s="252"/>
      <c r="BKU383" s="252"/>
      <c r="BKV383" s="252"/>
      <c r="BKW383" s="252"/>
      <c r="BKX383" s="252"/>
      <c r="BKY383" s="252"/>
      <c r="BKZ383" s="252"/>
      <c r="BLA383" s="252"/>
      <c r="BLB383" s="252"/>
      <c r="BLC383" s="252"/>
      <c r="BLD383" s="252"/>
      <c r="BLE383" s="252"/>
      <c r="BLF383" s="252"/>
      <c r="BLG383" s="252"/>
      <c r="BLH383" s="252"/>
      <c r="BLI383" s="252"/>
      <c r="BLJ383" s="252"/>
      <c r="BLK383" s="252"/>
      <c r="BLL383" s="252"/>
      <c r="BLM383" s="252"/>
      <c r="BLN383" s="252"/>
      <c r="BLO383" s="252"/>
      <c r="BLP383" s="252"/>
      <c r="BLQ383" s="252"/>
      <c r="BLR383" s="252"/>
      <c r="BLS383" s="252"/>
      <c r="BLT383" s="252"/>
      <c r="BLU383" s="252"/>
      <c r="BLV383" s="252"/>
      <c r="BLW383" s="252"/>
      <c r="BLX383" s="252"/>
      <c r="BLY383" s="252"/>
      <c r="BLZ383" s="252"/>
      <c r="BMA383" s="252"/>
      <c r="BMB383" s="252"/>
      <c r="BMC383" s="252"/>
      <c r="BMD383" s="252"/>
      <c r="BME383" s="252"/>
      <c r="BMF383" s="252"/>
      <c r="BMG383" s="252"/>
      <c r="BMH383" s="252"/>
      <c r="BMI383" s="252"/>
      <c r="BMJ383" s="252"/>
      <c r="BMK383" s="252"/>
      <c r="BML383" s="252"/>
      <c r="BMM383" s="252"/>
      <c r="BMN383" s="252"/>
      <c r="BMO383" s="252"/>
      <c r="BMP383" s="252"/>
      <c r="BMQ383" s="252"/>
      <c r="BMR383" s="252"/>
      <c r="BMS383" s="252"/>
      <c r="BMT383" s="252"/>
      <c r="BMU383" s="252"/>
      <c r="BMV383" s="252"/>
      <c r="BMW383" s="252"/>
      <c r="BMX383" s="252"/>
      <c r="BMY383" s="252"/>
      <c r="BMZ383" s="252"/>
      <c r="BNA383" s="252"/>
      <c r="BNB383" s="252"/>
      <c r="BNC383" s="252"/>
      <c r="BND383" s="252"/>
      <c r="BNE383" s="252"/>
      <c r="BNF383" s="252"/>
      <c r="BNG383" s="252"/>
      <c r="BNH383" s="252"/>
      <c r="BNI383" s="252"/>
      <c r="BNJ383" s="252"/>
      <c r="BNK383" s="252"/>
      <c r="BNL383" s="252"/>
      <c r="BNM383" s="252"/>
      <c r="BNN383" s="252"/>
      <c r="BNO383" s="252"/>
      <c r="BNP383" s="252"/>
      <c r="BNQ383" s="252"/>
      <c r="BNR383" s="252"/>
      <c r="BNS383" s="252"/>
      <c r="BNT383" s="252"/>
      <c r="BNU383" s="252"/>
      <c r="BNV383" s="252"/>
      <c r="BNW383" s="252"/>
      <c r="BNX383" s="252"/>
      <c r="BNY383" s="252"/>
      <c r="BNZ383" s="252"/>
      <c r="BOA383" s="252"/>
      <c r="BOB383" s="252"/>
      <c r="BOC383" s="252"/>
      <c r="BOD383" s="252"/>
      <c r="BOE383" s="252"/>
      <c r="BOF383" s="252"/>
      <c r="BOG383" s="252"/>
      <c r="BOH383" s="252"/>
      <c r="BOI383" s="252"/>
      <c r="BOJ383" s="252"/>
      <c r="BOK383" s="252"/>
      <c r="BOL383" s="252"/>
      <c r="BOM383" s="252"/>
      <c r="BON383" s="252"/>
      <c r="BOO383" s="252"/>
      <c r="BOP383" s="252"/>
      <c r="BOQ383" s="252"/>
      <c r="BOR383" s="252"/>
      <c r="BOS383" s="252"/>
      <c r="BOT383" s="252"/>
      <c r="BOU383" s="252"/>
      <c r="BOV383" s="252"/>
      <c r="BOW383" s="252"/>
      <c r="BOX383" s="252"/>
      <c r="BOY383" s="252"/>
      <c r="BOZ383" s="252"/>
      <c r="BPA383" s="252"/>
      <c r="BPB383" s="252"/>
      <c r="BPC383" s="252"/>
      <c r="BPD383" s="252"/>
      <c r="BPE383" s="252"/>
      <c r="BPF383" s="252"/>
      <c r="BPG383" s="252"/>
      <c r="BPH383" s="252"/>
      <c r="BPI383" s="252"/>
      <c r="BPJ383" s="252"/>
      <c r="BPK383" s="252"/>
      <c r="BPL383" s="252"/>
      <c r="BPM383" s="252"/>
      <c r="BPN383" s="252"/>
      <c r="BPO383" s="252"/>
      <c r="BPP383" s="252"/>
      <c r="BPQ383" s="252"/>
      <c r="BPR383" s="252"/>
      <c r="BPS383" s="252"/>
      <c r="BPT383" s="252"/>
      <c r="BPU383" s="252"/>
      <c r="BPV383" s="252"/>
      <c r="BPW383" s="252"/>
      <c r="BPX383" s="252"/>
      <c r="BPY383" s="252"/>
      <c r="BPZ383" s="252"/>
      <c r="BQA383" s="252"/>
      <c r="BQB383" s="252"/>
      <c r="BQC383" s="252"/>
      <c r="BQD383" s="252"/>
      <c r="BQE383" s="252"/>
      <c r="BQF383" s="252"/>
      <c r="BQG383" s="252"/>
      <c r="BQH383" s="252"/>
      <c r="BQI383" s="252"/>
      <c r="BQJ383" s="252"/>
      <c r="BQK383" s="252"/>
      <c r="BQL383" s="252"/>
      <c r="BQM383" s="252"/>
      <c r="BQN383" s="252"/>
      <c r="BQO383" s="252"/>
      <c r="BQP383" s="252"/>
      <c r="BQQ383" s="252"/>
      <c r="BQR383" s="252"/>
      <c r="BQS383" s="252"/>
      <c r="BQT383" s="252"/>
      <c r="BQU383" s="252"/>
      <c r="BQV383" s="252"/>
      <c r="BQW383" s="252"/>
      <c r="BQX383" s="252"/>
      <c r="BQY383" s="252"/>
      <c r="BQZ383" s="252"/>
      <c r="BRA383" s="252"/>
      <c r="BRB383" s="252"/>
      <c r="BRC383" s="252"/>
      <c r="BRD383" s="252"/>
      <c r="BRE383" s="252"/>
      <c r="BRF383" s="252"/>
      <c r="BRG383" s="252"/>
      <c r="BRH383" s="252"/>
      <c r="BRI383" s="252"/>
      <c r="BRJ383" s="252"/>
      <c r="BRK383" s="252"/>
      <c r="BRL383" s="252"/>
      <c r="BRM383" s="252"/>
      <c r="BRN383" s="252"/>
      <c r="BRO383" s="252"/>
      <c r="BRP383" s="252"/>
      <c r="BRQ383" s="252"/>
      <c r="BRR383" s="252"/>
      <c r="BRS383" s="252"/>
      <c r="BRT383" s="252"/>
      <c r="BRU383" s="252"/>
      <c r="BRV383" s="252"/>
      <c r="BRW383" s="252"/>
      <c r="BRX383" s="252"/>
      <c r="BRY383" s="252"/>
      <c r="BRZ383" s="252"/>
      <c r="BSA383" s="252"/>
      <c r="BSB383" s="252"/>
      <c r="BSC383" s="252"/>
      <c r="BSD383" s="252"/>
      <c r="BSE383" s="252"/>
      <c r="BSF383" s="252"/>
      <c r="BSG383" s="252"/>
      <c r="BSH383" s="252"/>
      <c r="BSI383" s="252"/>
      <c r="BSJ383" s="252"/>
      <c r="BSK383" s="252"/>
      <c r="BSL383" s="252"/>
      <c r="BSM383" s="252"/>
      <c r="BSN383" s="252"/>
      <c r="BSO383" s="252"/>
      <c r="BSP383" s="252"/>
      <c r="BSQ383" s="252"/>
      <c r="BSR383" s="252"/>
      <c r="BSS383" s="252"/>
      <c r="BST383" s="252"/>
      <c r="BSU383" s="252"/>
      <c r="BSV383" s="252"/>
      <c r="BSW383" s="252"/>
      <c r="BSX383" s="252"/>
      <c r="BSY383" s="252"/>
      <c r="BSZ383" s="252"/>
      <c r="BTA383" s="252"/>
      <c r="BTB383" s="252"/>
      <c r="BTC383" s="252"/>
      <c r="BTD383" s="252"/>
      <c r="BTE383" s="252"/>
      <c r="BTF383" s="252"/>
      <c r="BTG383" s="252"/>
      <c r="BTH383" s="252"/>
      <c r="BTI383" s="252"/>
      <c r="BTJ383" s="252"/>
      <c r="BTK383" s="252"/>
      <c r="BTL383" s="252"/>
      <c r="BTM383" s="252"/>
      <c r="BTN383" s="252"/>
      <c r="BTO383" s="252"/>
      <c r="BTP383" s="252"/>
      <c r="BTQ383" s="252"/>
      <c r="BTR383" s="252"/>
      <c r="BTS383" s="252"/>
      <c r="BTT383" s="252"/>
      <c r="BTU383" s="252"/>
      <c r="BTV383" s="252"/>
      <c r="BTW383" s="252"/>
      <c r="BTX383" s="252"/>
      <c r="BTY383" s="252"/>
      <c r="BTZ383" s="252"/>
      <c r="BUA383" s="252"/>
      <c r="BUB383" s="252"/>
      <c r="BUC383" s="252"/>
      <c r="BUD383" s="252"/>
      <c r="BUE383" s="252"/>
      <c r="BUF383" s="252"/>
      <c r="BUG383" s="252"/>
      <c r="BUH383" s="252"/>
      <c r="BUI383" s="252"/>
      <c r="BUJ383" s="252"/>
      <c r="BUK383" s="252"/>
      <c r="BUL383" s="252"/>
      <c r="BUM383" s="252"/>
      <c r="BUN383" s="252"/>
      <c r="BUO383" s="252"/>
      <c r="BUP383" s="252"/>
      <c r="BUQ383" s="252"/>
      <c r="BUR383" s="252"/>
      <c r="BUS383" s="252"/>
      <c r="BUT383" s="252"/>
      <c r="BUU383" s="252"/>
      <c r="BUV383" s="252"/>
      <c r="BUW383" s="252"/>
      <c r="BUX383" s="252"/>
      <c r="BUY383" s="252"/>
      <c r="BUZ383" s="252"/>
      <c r="BVA383" s="252"/>
      <c r="BVB383" s="252"/>
      <c r="BVC383" s="252"/>
      <c r="BVD383" s="252"/>
      <c r="BVE383" s="252"/>
      <c r="BVF383" s="252"/>
      <c r="BVG383" s="252"/>
      <c r="BVH383" s="252"/>
      <c r="BVI383" s="252"/>
      <c r="BVJ383" s="252"/>
      <c r="BVK383" s="252"/>
      <c r="BVL383" s="252"/>
      <c r="BVM383" s="252"/>
      <c r="BVN383" s="252"/>
      <c r="BVO383" s="252"/>
      <c r="BVP383" s="252"/>
      <c r="BVQ383" s="252"/>
      <c r="BVR383" s="252"/>
      <c r="BVS383" s="252"/>
      <c r="BVT383" s="252"/>
      <c r="BVU383" s="252"/>
      <c r="BVV383" s="252"/>
      <c r="BVW383" s="252"/>
      <c r="BVX383" s="252"/>
      <c r="BVY383" s="252"/>
      <c r="BVZ383" s="252"/>
      <c r="BWA383" s="252"/>
      <c r="BWB383" s="252"/>
      <c r="BWC383" s="252"/>
      <c r="BWD383" s="252"/>
      <c r="BWE383" s="252"/>
      <c r="BWF383" s="252"/>
      <c r="BWG383" s="252"/>
      <c r="BWH383" s="252"/>
      <c r="BWI383" s="252"/>
      <c r="BWJ383" s="252"/>
      <c r="BWK383" s="252"/>
      <c r="BWL383" s="252"/>
      <c r="BWM383" s="252"/>
      <c r="BWN383" s="252"/>
      <c r="BWO383" s="252"/>
      <c r="BWP383" s="252"/>
      <c r="BWQ383" s="252"/>
      <c r="BWR383" s="252"/>
      <c r="BWS383" s="252"/>
      <c r="BWT383" s="252"/>
      <c r="BWU383" s="252"/>
      <c r="BWV383" s="252"/>
      <c r="BWW383" s="252"/>
      <c r="BWX383" s="252"/>
      <c r="BWY383" s="252"/>
      <c r="BWZ383" s="252"/>
      <c r="BXA383" s="252"/>
      <c r="BXB383" s="252"/>
      <c r="BXC383" s="252"/>
      <c r="BXD383" s="252"/>
      <c r="BXE383" s="252"/>
      <c r="BXF383" s="252"/>
      <c r="BXG383" s="252"/>
      <c r="BXH383" s="252"/>
      <c r="BXI383" s="252"/>
      <c r="BXJ383" s="252"/>
      <c r="BXK383" s="252"/>
      <c r="BXL383" s="252"/>
      <c r="BXM383" s="252"/>
      <c r="BXN383" s="252"/>
      <c r="BXO383" s="252"/>
      <c r="BXP383" s="252"/>
      <c r="BXQ383" s="252"/>
      <c r="BXR383" s="252"/>
      <c r="BXS383" s="252"/>
      <c r="BXT383" s="252"/>
      <c r="BXU383" s="252"/>
      <c r="BXV383" s="252"/>
      <c r="BXW383" s="252"/>
      <c r="BXX383" s="252"/>
      <c r="BXY383" s="252"/>
      <c r="BXZ383" s="252"/>
      <c r="BYA383" s="252"/>
      <c r="BYB383" s="252"/>
      <c r="BYC383" s="252"/>
      <c r="BYD383" s="252"/>
      <c r="BYE383" s="252"/>
      <c r="BYF383" s="252"/>
      <c r="BYG383" s="252"/>
      <c r="BYH383" s="252"/>
      <c r="BYI383" s="252"/>
      <c r="BYJ383" s="252"/>
      <c r="BYK383" s="252"/>
      <c r="BYL383" s="252"/>
      <c r="BYM383" s="252"/>
      <c r="BYN383" s="252"/>
      <c r="BYO383" s="252"/>
      <c r="BYP383" s="252"/>
      <c r="BYQ383" s="252"/>
      <c r="BYR383" s="252"/>
      <c r="BYS383" s="252"/>
      <c r="BYT383" s="252"/>
      <c r="BYU383" s="252"/>
      <c r="BYV383" s="252"/>
      <c r="BYW383" s="252"/>
      <c r="BYX383" s="252"/>
      <c r="BYY383" s="252"/>
      <c r="BYZ383" s="252"/>
      <c r="BZA383" s="252"/>
      <c r="BZB383" s="252"/>
      <c r="BZC383" s="252"/>
      <c r="BZD383" s="252"/>
      <c r="BZE383" s="252"/>
      <c r="BZF383" s="252"/>
      <c r="BZG383" s="252"/>
      <c r="BZH383" s="252"/>
      <c r="BZI383" s="252"/>
      <c r="BZJ383" s="252"/>
      <c r="BZK383" s="252"/>
      <c r="BZL383" s="252"/>
      <c r="BZM383" s="252"/>
      <c r="BZN383" s="252"/>
      <c r="BZO383" s="252"/>
      <c r="BZP383" s="252"/>
      <c r="BZQ383" s="252"/>
      <c r="BZR383" s="252"/>
      <c r="BZS383" s="252"/>
      <c r="BZT383" s="252"/>
      <c r="BZU383" s="252"/>
      <c r="BZV383" s="252"/>
      <c r="BZW383" s="252"/>
      <c r="BZX383" s="252"/>
      <c r="BZY383" s="252"/>
      <c r="BZZ383" s="252"/>
      <c r="CAA383" s="252"/>
      <c r="CAB383" s="252"/>
      <c r="CAC383" s="252"/>
      <c r="CAD383" s="252"/>
      <c r="CAE383" s="252"/>
      <c r="CAF383" s="252"/>
      <c r="CAG383" s="252"/>
      <c r="CAH383" s="252"/>
      <c r="CAI383" s="252"/>
      <c r="CAJ383" s="252"/>
      <c r="CAK383" s="252"/>
      <c r="CAL383" s="252"/>
      <c r="CAM383" s="252"/>
      <c r="CAN383" s="252"/>
      <c r="CAO383" s="252"/>
      <c r="CAP383" s="252"/>
      <c r="CAQ383" s="252"/>
      <c r="CAR383" s="252"/>
      <c r="CAS383" s="252"/>
      <c r="CAT383" s="252"/>
      <c r="CAU383" s="252"/>
      <c r="CAV383" s="252"/>
      <c r="CAW383" s="252"/>
      <c r="CAX383" s="252"/>
      <c r="CAY383" s="252"/>
      <c r="CAZ383" s="252"/>
      <c r="CBA383" s="252"/>
      <c r="CBB383" s="252"/>
      <c r="CBC383" s="252"/>
      <c r="CBD383" s="252"/>
      <c r="CBE383" s="252"/>
      <c r="CBF383" s="252"/>
      <c r="CBG383" s="252"/>
      <c r="CBH383" s="252"/>
      <c r="CBI383" s="252"/>
      <c r="CBJ383" s="252"/>
      <c r="CBK383" s="252"/>
      <c r="CBL383" s="252"/>
      <c r="CBM383" s="252"/>
      <c r="CBN383" s="252"/>
      <c r="CBO383" s="252"/>
      <c r="CBP383" s="252"/>
      <c r="CBQ383" s="252"/>
      <c r="CBR383" s="252"/>
      <c r="CBS383" s="252"/>
      <c r="CBT383" s="252"/>
      <c r="CBU383" s="252"/>
      <c r="CBV383" s="252"/>
      <c r="CBW383" s="252"/>
      <c r="CBX383" s="252"/>
      <c r="CBY383" s="252"/>
      <c r="CBZ383" s="252"/>
      <c r="CCA383" s="252"/>
      <c r="CCB383" s="252"/>
      <c r="CCC383" s="252"/>
      <c r="CCD383" s="252"/>
      <c r="CCE383" s="252"/>
      <c r="CCF383" s="252"/>
      <c r="CCG383" s="252"/>
      <c r="CCH383" s="252"/>
      <c r="CCI383" s="252"/>
      <c r="CCJ383" s="252"/>
      <c r="CCK383" s="252"/>
      <c r="CCL383" s="252"/>
      <c r="CCM383" s="252"/>
      <c r="CCN383" s="252"/>
      <c r="CCO383" s="252"/>
      <c r="CCP383" s="252"/>
      <c r="CCQ383" s="252"/>
      <c r="CCR383" s="252"/>
      <c r="CCS383" s="252"/>
      <c r="CCT383" s="252"/>
      <c r="CCU383" s="252"/>
      <c r="CCV383" s="252"/>
      <c r="CCW383" s="252"/>
      <c r="CCX383" s="252"/>
      <c r="CCY383" s="252"/>
      <c r="CCZ383" s="252"/>
      <c r="CDA383" s="252"/>
      <c r="CDB383" s="252"/>
      <c r="CDC383" s="252"/>
      <c r="CDD383" s="252"/>
      <c r="CDE383" s="252"/>
      <c r="CDF383" s="252"/>
      <c r="CDG383" s="252"/>
      <c r="CDH383" s="252"/>
      <c r="CDI383" s="252"/>
      <c r="CDJ383" s="252"/>
      <c r="CDK383" s="252"/>
      <c r="CDL383" s="252"/>
      <c r="CDM383" s="252"/>
      <c r="CDN383" s="252"/>
      <c r="CDO383" s="252"/>
      <c r="CDP383" s="252"/>
      <c r="CDQ383" s="252"/>
      <c r="CDR383" s="252"/>
      <c r="CDS383" s="252"/>
      <c r="CDT383" s="252"/>
      <c r="CDU383" s="252"/>
      <c r="CDV383" s="252"/>
      <c r="CDW383" s="252"/>
      <c r="CDX383" s="252"/>
      <c r="CDY383" s="252"/>
      <c r="CDZ383" s="252"/>
      <c r="CEA383" s="252"/>
      <c r="CEB383" s="252"/>
      <c r="CEC383" s="252"/>
      <c r="CED383" s="252"/>
      <c r="CEE383" s="252"/>
      <c r="CEF383" s="252"/>
      <c r="CEG383" s="252"/>
      <c r="CEH383" s="252"/>
      <c r="CEI383" s="252"/>
      <c r="CEJ383" s="252"/>
      <c r="CEK383" s="252"/>
      <c r="CEL383" s="252"/>
      <c r="CEM383" s="252"/>
      <c r="CEN383" s="252"/>
      <c r="CEO383" s="252"/>
      <c r="CEP383" s="252"/>
      <c r="CEQ383" s="252"/>
      <c r="CER383" s="252"/>
      <c r="CES383" s="252"/>
      <c r="CET383" s="252"/>
      <c r="CEU383" s="252"/>
      <c r="CEV383" s="252"/>
      <c r="CEW383" s="252"/>
      <c r="CEX383" s="252"/>
      <c r="CEY383" s="252"/>
      <c r="CEZ383" s="252"/>
      <c r="CFA383" s="252"/>
      <c r="CFB383" s="252"/>
      <c r="CFC383" s="252"/>
      <c r="CFD383" s="252"/>
      <c r="CFE383" s="252"/>
      <c r="CFF383" s="252"/>
      <c r="CFG383" s="252"/>
      <c r="CFH383" s="252"/>
      <c r="CFI383" s="252"/>
      <c r="CFJ383" s="252"/>
      <c r="CFK383" s="252"/>
      <c r="CFL383" s="252"/>
      <c r="CFM383" s="252"/>
      <c r="CFN383" s="252"/>
      <c r="CFO383" s="252"/>
      <c r="CFP383" s="252"/>
      <c r="CFQ383" s="252"/>
      <c r="CFR383" s="252"/>
      <c r="CFS383" s="252"/>
      <c r="CFT383" s="252"/>
      <c r="CFU383" s="252"/>
      <c r="CFV383" s="252"/>
      <c r="CFW383" s="252"/>
      <c r="CFX383" s="252"/>
      <c r="CFY383" s="252"/>
      <c r="CFZ383" s="252"/>
      <c r="CGA383" s="252"/>
      <c r="CGB383" s="252"/>
      <c r="CGC383" s="252"/>
      <c r="CGD383" s="252"/>
      <c r="CGE383" s="252"/>
      <c r="CGF383" s="252"/>
      <c r="CGG383" s="252"/>
      <c r="CGH383" s="252"/>
      <c r="CGI383" s="252"/>
      <c r="CGJ383" s="252"/>
      <c r="CGK383" s="252"/>
      <c r="CGL383" s="252"/>
      <c r="CGM383" s="252"/>
      <c r="CGN383" s="252"/>
      <c r="CGO383" s="252"/>
      <c r="CGP383" s="252"/>
      <c r="CGQ383" s="252"/>
      <c r="CGR383" s="252"/>
      <c r="CGS383" s="252"/>
      <c r="CGT383" s="252"/>
      <c r="CGU383" s="252"/>
      <c r="CGV383" s="252"/>
      <c r="CGW383" s="252"/>
      <c r="CGX383" s="252"/>
      <c r="CGY383" s="252"/>
      <c r="CGZ383" s="252"/>
      <c r="CHA383" s="252"/>
      <c r="CHB383" s="252"/>
      <c r="CHC383" s="252"/>
      <c r="CHD383" s="252"/>
      <c r="CHE383" s="252"/>
      <c r="CHF383" s="252"/>
      <c r="CHG383" s="252"/>
      <c r="CHH383" s="252"/>
      <c r="CHI383" s="252"/>
      <c r="CHJ383" s="252"/>
      <c r="CHK383" s="252"/>
      <c r="CHL383" s="252"/>
      <c r="CHM383" s="252"/>
      <c r="CHN383" s="252"/>
      <c r="CHO383" s="252"/>
      <c r="CHP383" s="252"/>
      <c r="CHQ383" s="252"/>
      <c r="CHR383" s="252"/>
      <c r="CHS383" s="252"/>
      <c r="CHT383" s="252"/>
      <c r="CHU383" s="252"/>
      <c r="CHV383" s="252"/>
      <c r="CHW383" s="252"/>
      <c r="CHX383" s="252"/>
      <c r="CHY383" s="252"/>
      <c r="CHZ383" s="252"/>
      <c r="CIA383" s="252"/>
      <c r="CIB383" s="252"/>
      <c r="CIC383" s="252"/>
      <c r="CID383" s="252"/>
      <c r="CIE383" s="252"/>
      <c r="CIF383" s="252"/>
      <c r="CIG383" s="252"/>
      <c r="CIH383" s="252"/>
      <c r="CII383" s="252"/>
      <c r="CIJ383" s="252"/>
      <c r="CIK383" s="252"/>
      <c r="CIL383" s="252"/>
      <c r="CIM383" s="252"/>
      <c r="CIN383" s="252"/>
      <c r="CIO383" s="252"/>
      <c r="CIP383" s="252"/>
      <c r="CIQ383" s="252"/>
      <c r="CIR383" s="252"/>
      <c r="CIS383" s="252"/>
      <c r="CIT383" s="252"/>
      <c r="CIU383" s="252"/>
      <c r="CIV383" s="252"/>
      <c r="CIW383" s="252"/>
      <c r="CIX383" s="252"/>
      <c r="CIY383" s="252"/>
      <c r="CIZ383" s="252"/>
      <c r="CJA383" s="252"/>
      <c r="CJB383" s="252"/>
      <c r="CJC383" s="252"/>
      <c r="CJD383" s="252"/>
      <c r="CJE383" s="252"/>
      <c r="CJF383" s="252"/>
      <c r="CJG383" s="252"/>
      <c r="CJH383" s="252"/>
      <c r="CJI383" s="252"/>
      <c r="CJJ383" s="252"/>
      <c r="CJK383" s="252"/>
      <c r="CJL383" s="252"/>
      <c r="CJM383" s="252"/>
      <c r="CJN383" s="252"/>
      <c r="CJO383" s="252"/>
      <c r="CJP383" s="252"/>
      <c r="CJQ383" s="252"/>
      <c r="CJR383" s="252"/>
      <c r="CJS383" s="252"/>
      <c r="CJT383" s="252"/>
      <c r="CJU383" s="252"/>
      <c r="CJV383" s="252"/>
      <c r="CJW383" s="252"/>
      <c r="CJX383" s="252"/>
      <c r="CJY383" s="252"/>
      <c r="CJZ383" s="252"/>
      <c r="CKA383" s="252"/>
      <c r="CKB383" s="252"/>
      <c r="CKC383" s="252"/>
      <c r="CKD383" s="252"/>
      <c r="CKE383" s="252"/>
      <c r="CKF383" s="252"/>
      <c r="CKG383" s="252"/>
      <c r="CKH383" s="252"/>
      <c r="CKI383" s="252"/>
      <c r="CKJ383" s="252"/>
      <c r="CKK383" s="252"/>
      <c r="CKL383" s="252"/>
      <c r="CKM383" s="252"/>
      <c r="CKN383" s="252"/>
      <c r="CKO383" s="252"/>
      <c r="CKP383" s="252"/>
      <c r="CKQ383" s="252"/>
      <c r="CKR383" s="252"/>
      <c r="CKS383" s="252"/>
      <c r="CKT383" s="252"/>
      <c r="CKU383" s="252"/>
      <c r="CKV383" s="252"/>
      <c r="CKW383" s="252"/>
      <c r="CKX383" s="252"/>
      <c r="CKY383" s="252"/>
      <c r="CKZ383" s="252"/>
      <c r="CLA383" s="252"/>
      <c r="CLB383" s="252"/>
      <c r="CLC383" s="252"/>
      <c r="CLD383" s="252"/>
      <c r="CLE383" s="252"/>
      <c r="CLF383" s="252"/>
      <c r="CLG383" s="252"/>
      <c r="CLH383" s="252"/>
      <c r="CLI383" s="252"/>
      <c r="CLJ383" s="252"/>
      <c r="CLK383" s="252"/>
      <c r="CLL383" s="252"/>
      <c r="CLM383" s="252"/>
      <c r="CLN383" s="252"/>
      <c r="CLO383" s="252"/>
      <c r="CLP383" s="252"/>
      <c r="CLQ383" s="252"/>
      <c r="CLR383" s="252"/>
      <c r="CLS383" s="252"/>
      <c r="CLT383" s="252"/>
      <c r="CLU383" s="252"/>
      <c r="CLV383" s="252"/>
      <c r="CLW383" s="252"/>
      <c r="CLX383" s="252"/>
      <c r="CLY383" s="252"/>
      <c r="CLZ383" s="252"/>
      <c r="CMA383" s="252"/>
      <c r="CMB383" s="252"/>
      <c r="CMC383" s="252"/>
      <c r="CMD383" s="252"/>
      <c r="CME383" s="252"/>
      <c r="CMF383" s="252"/>
      <c r="CMG383" s="252"/>
      <c r="CMH383" s="252"/>
      <c r="CMI383" s="252"/>
      <c r="CMJ383" s="252"/>
      <c r="CMK383" s="252"/>
      <c r="CML383" s="252"/>
      <c r="CMM383" s="252"/>
      <c r="CMN383" s="252"/>
      <c r="CMO383" s="252"/>
      <c r="CMP383" s="252"/>
      <c r="CMQ383" s="252"/>
      <c r="CMR383" s="252"/>
      <c r="CMS383" s="252"/>
      <c r="CMT383" s="252"/>
      <c r="CMU383" s="252"/>
      <c r="CMV383" s="252"/>
      <c r="CMW383" s="252"/>
      <c r="CMX383" s="252"/>
      <c r="CMY383" s="252"/>
      <c r="CMZ383" s="252"/>
      <c r="CNA383" s="252"/>
      <c r="CNB383" s="252"/>
      <c r="CNC383" s="252"/>
      <c r="CND383" s="252"/>
      <c r="CNE383" s="252"/>
      <c r="CNF383" s="252"/>
      <c r="CNG383" s="252"/>
      <c r="CNH383" s="252"/>
      <c r="CNI383" s="252"/>
      <c r="CNJ383" s="252"/>
      <c r="CNK383" s="252"/>
      <c r="CNL383" s="252"/>
      <c r="CNM383" s="252"/>
      <c r="CNN383" s="252"/>
      <c r="CNO383" s="252"/>
      <c r="CNP383" s="252"/>
      <c r="CNQ383" s="252"/>
      <c r="CNR383" s="252"/>
      <c r="CNS383" s="252"/>
      <c r="CNT383" s="252"/>
      <c r="CNU383" s="252"/>
      <c r="CNV383" s="252"/>
      <c r="CNW383" s="252"/>
      <c r="CNX383" s="252"/>
      <c r="CNY383" s="252"/>
      <c r="CNZ383" s="252"/>
      <c r="COA383" s="252"/>
      <c r="COB383" s="252"/>
      <c r="COC383" s="252"/>
      <c r="COD383" s="252"/>
      <c r="COE383" s="252"/>
      <c r="COF383" s="252"/>
      <c r="COG383" s="252"/>
      <c r="COH383" s="252"/>
      <c r="COI383" s="252"/>
      <c r="COJ383" s="252"/>
      <c r="COK383" s="252"/>
      <c r="COL383" s="252"/>
      <c r="COM383" s="252"/>
      <c r="CON383" s="252"/>
      <c r="COO383" s="252"/>
      <c r="COP383" s="252"/>
      <c r="COQ383" s="252"/>
      <c r="COR383" s="252"/>
      <c r="COS383" s="252"/>
      <c r="COT383" s="252"/>
      <c r="COU383" s="252"/>
      <c r="COV383" s="252"/>
      <c r="COW383" s="252"/>
      <c r="COX383" s="252"/>
      <c r="COY383" s="252"/>
      <c r="COZ383" s="252"/>
      <c r="CPA383" s="252"/>
      <c r="CPB383" s="252"/>
      <c r="CPC383" s="252"/>
      <c r="CPD383" s="252"/>
      <c r="CPE383" s="252"/>
      <c r="CPF383" s="252"/>
      <c r="CPG383" s="252"/>
      <c r="CPH383" s="252"/>
      <c r="CPI383" s="252"/>
      <c r="CPJ383" s="252"/>
      <c r="CPK383" s="252"/>
      <c r="CPL383" s="252"/>
      <c r="CPM383" s="252"/>
      <c r="CPN383" s="252"/>
      <c r="CPO383" s="252"/>
      <c r="CPP383" s="252"/>
      <c r="CPQ383" s="252"/>
      <c r="CPR383" s="252"/>
      <c r="CPS383" s="252"/>
      <c r="CPT383" s="252"/>
      <c r="CPU383" s="252"/>
      <c r="CPV383" s="252"/>
      <c r="CPW383" s="252"/>
      <c r="CPX383" s="252"/>
      <c r="CPY383" s="252"/>
      <c r="CPZ383" s="252"/>
      <c r="CQA383" s="252"/>
      <c r="CQB383" s="252"/>
      <c r="CQC383" s="252"/>
      <c r="CQD383" s="252"/>
      <c r="CQE383" s="252"/>
      <c r="CQF383" s="252"/>
      <c r="CQG383" s="252"/>
      <c r="CQH383" s="252"/>
      <c r="CQI383" s="252"/>
      <c r="CQJ383" s="252"/>
      <c r="CQK383" s="252"/>
      <c r="CQL383" s="252"/>
      <c r="CQM383" s="252"/>
      <c r="CQN383" s="252"/>
      <c r="CQO383" s="252"/>
      <c r="CQP383" s="252"/>
      <c r="CQQ383" s="252"/>
      <c r="CQR383" s="252"/>
      <c r="CQS383" s="252"/>
      <c r="CQT383" s="252"/>
      <c r="CQU383" s="252"/>
      <c r="CQV383" s="252"/>
      <c r="CQW383" s="252"/>
      <c r="CQX383" s="252"/>
      <c r="CQY383" s="252"/>
      <c r="CQZ383" s="252"/>
      <c r="CRA383" s="252"/>
      <c r="CRB383" s="252"/>
      <c r="CRC383" s="252"/>
      <c r="CRD383" s="252"/>
      <c r="CRE383" s="252"/>
      <c r="CRF383" s="252"/>
      <c r="CRG383" s="252"/>
      <c r="CRH383" s="252"/>
      <c r="CRI383" s="252"/>
      <c r="CRJ383" s="252"/>
      <c r="CRK383" s="252"/>
      <c r="CRL383" s="252"/>
      <c r="CRM383" s="252"/>
      <c r="CRN383" s="252"/>
      <c r="CRO383" s="252"/>
      <c r="CRP383" s="252"/>
      <c r="CRQ383" s="252"/>
      <c r="CRR383" s="252"/>
      <c r="CRS383" s="252"/>
      <c r="CRT383" s="252"/>
      <c r="CRU383" s="252"/>
      <c r="CRV383" s="252"/>
      <c r="CRW383" s="252"/>
      <c r="CRX383" s="252"/>
      <c r="CRY383" s="252"/>
      <c r="CRZ383" s="252"/>
      <c r="CSA383" s="252"/>
      <c r="CSB383" s="252"/>
      <c r="CSC383" s="252"/>
      <c r="CSD383" s="252"/>
      <c r="CSE383" s="252"/>
      <c r="CSF383" s="252"/>
      <c r="CSG383" s="252"/>
      <c r="CSH383" s="252"/>
      <c r="CSI383" s="252"/>
      <c r="CSJ383" s="252"/>
      <c r="CSK383" s="252"/>
      <c r="CSL383" s="252"/>
      <c r="CSM383" s="252"/>
      <c r="CSN383" s="252"/>
      <c r="CSO383" s="252"/>
      <c r="CSP383" s="252"/>
      <c r="CSQ383" s="252"/>
      <c r="CSR383" s="252"/>
      <c r="CSS383" s="252"/>
      <c r="CST383" s="252"/>
      <c r="CSU383" s="252"/>
      <c r="CSV383" s="252"/>
      <c r="CSW383" s="252"/>
      <c r="CSX383" s="252"/>
      <c r="CSY383" s="252"/>
      <c r="CSZ383" s="252"/>
      <c r="CTA383" s="252"/>
      <c r="CTB383" s="252"/>
      <c r="CTC383" s="252"/>
      <c r="CTD383" s="252"/>
      <c r="CTE383" s="252"/>
      <c r="CTF383" s="252"/>
      <c r="CTG383" s="252"/>
      <c r="CTH383" s="252"/>
      <c r="CTI383" s="252"/>
      <c r="CTJ383" s="252"/>
      <c r="CTK383" s="252"/>
      <c r="CTL383" s="252"/>
      <c r="CTM383" s="252"/>
      <c r="CTN383" s="252"/>
      <c r="CTO383" s="252"/>
      <c r="CTP383" s="252"/>
      <c r="CTQ383" s="252"/>
      <c r="CTR383" s="252"/>
      <c r="CTS383" s="252"/>
      <c r="CTT383" s="252"/>
      <c r="CTU383" s="252"/>
      <c r="CTV383" s="252"/>
      <c r="CTW383" s="252"/>
      <c r="CTX383" s="252"/>
      <c r="CTY383" s="252"/>
      <c r="CTZ383" s="252"/>
      <c r="CUA383" s="252"/>
      <c r="CUB383" s="252"/>
      <c r="CUC383" s="252"/>
      <c r="CUD383" s="252"/>
      <c r="CUE383" s="252"/>
      <c r="CUF383" s="252"/>
      <c r="CUG383" s="252"/>
      <c r="CUH383" s="252"/>
      <c r="CUI383" s="252"/>
      <c r="CUJ383" s="252"/>
      <c r="CUK383" s="252"/>
      <c r="CUL383" s="252"/>
      <c r="CUM383" s="252"/>
      <c r="CUN383" s="252"/>
      <c r="CUO383" s="252"/>
      <c r="CUP383" s="252"/>
      <c r="CUQ383" s="252"/>
      <c r="CUR383" s="252"/>
      <c r="CUS383" s="252"/>
      <c r="CUT383" s="252"/>
      <c r="CUU383" s="252"/>
      <c r="CUV383" s="252"/>
      <c r="CUW383" s="252"/>
      <c r="CUX383" s="252"/>
      <c r="CUY383" s="252"/>
      <c r="CUZ383" s="252"/>
      <c r="CVA383" s="252"/>
      <c r="CVB383" s="252"/>
      <c r="CVC383" s="252"/>
      <c r="CVD383" s="252"/>
      <c r="CVE383" s="252"/>
      <c r="CVF383" s="252"/>
      <c r="CVG383" s="252"/>
      <c r="CVH383" s="252"/>
      <c r="CVI383" s="252"/>
      <c r="CVJ383" s="252"/>
      <c r="CVK383" s="252"/>
      <c r="CVL383" s="252"/>
      <c r="CVM383" s="252"/>
      <c r="CVN383" s="252"/>
      <c r="CVO383" s="252"/>
      <c r="CVP383" s="252"/>
      <c r="CVQ383" s="252"/>
      <c r="CVR383" s="252"/>
      <c r="CVS383" s="252"/>
      <c r="CVT383" s="252"/>
      <c r="CVU383" s="252"/>
      <c r="CVV383" s="252"/>
      <c r="CVW383" s="252"/>
      <c r="CVX383" s="252"/>
      <c r="CVY383" s="252"/>
      <c r="CVZ383" s="252"/>
      <c r="CWA383" s="252"/>
      <c r="CWB383" s="252"/>
      <c r="CWC383" s="252"/>
      <c r="CWD383" s="252"/>
      <c r="CWE383" s="252"/>
      <c r="CWF383" s="252"/>
      <c r="CWG383" s="252"/>
      <c r="CWH383" s="252"/>
      <c r="CWI383" s="252"/>
      <c r="CWJ383" s="252"/>
      <c r="CWK383" s="252"/>
      <c r="CWL383" s="252"/>
      <c r="CWM383" s="252"/>
      <c r="CWN383" s="252"/>
      <c r="CWO383" s="252"/>
      <c r="CWP383" s="252"/>
      <c r="CWQ383" s="252"/>
      <c r="CWR383" s="252"/>
      <c r="CWS383" s="252"/>
      <c r="CWT383" s="252"/>
      <c r="CWU383" s="252"/>
      <c r="CWV383" s="252"/>
      <c r="CWW383" s="252"/>
      <c r="CWX383" s="252"/>
      <c r="CWY383" s="252"/>
      <c r="CWZ383" s="252"/>
      <c r="CXA383" s="252"/>
      <c r="CXB383" s="252"/>
      <c r="CXC383" s="252"/>
      <c r="CXD383" s="252"/>
      <c r="CXE383" s="252"/>
      <c r="CXF383" s="252"/>
      <c r="CXG383" s="252"/>
      <c r="CXH383" s="252"/>
      <c r="CXI383" s="252"/>
      <c r="CXJ383" s="252"/>
      <c r="CXK383" s="252"/>
      <c r="CXL383" s="252"/>
      <c r="CXM383" s="252"/>
      <c r="CXN383" s="252"/>
      <c r="CXO383" s="252"/>
      <c r="CXP383" s="252"/>
      <c r="CXQ383" s="252"/>
      <c r="CXR383" s="252"/>
      <c r="CXS383" s="252"/>
      <c r="CXT383" s="252"/>
      <c r="CXU383" s="252"/>
      <c r="CXV383" s="252"/>
      <c r="CXW383" s="252"/>
      <c r="CXX383" s="252"/>
      <c r="CXY383" s="252"/>
      <c r="CXZ383" s="252"/>
      <c r="CYA383" s="252"/>
      <c r="CYB383" s="252"/>
      <c r="CYC383" s="252"/>
      <c r="CYD383" s="252"/>
      <c r="CYE383" s="252"/>
      <c r="CYF383" s="252"/>
      <c r="CYG383" s="252"/>
      <c r="CYH383" s="252"/>
      <c r="CYI383" s="252"/>
      <c r="CYJ383" s="252"/>
      <c r="CYK383" s="252"/>
      <c r="CYL383" s="252"/>
      <c r="CYM383" s="252"/>
      <c r="CYN383" s="252"/>
      <c r="CYO383" s="252"/>
      <c r="CYP383" s="252"/>
      <c r="CYQ383" s="252"/>
      <c r="CYR383" s="252"/>
      <c r="CYS383" s="252"/>
      <c r="CYT383" s="252"/>
      <c r="CYU383" s="252"/>
      <c r="CYV383" s="252"/>
      <c r="CYW383" s="252"/>
      <c r="CYX383" s="252"/>
      <c r="CYY383" s="252"/>
      <c r="CYZ383" s="252"/>
      <c r="CZA383" s="252"/>
      <c r="CZB383" s="252"/>
      <c r="CZC383" s="252"/>
      <c r="CZD383" s="252"/>
      <c r="CZE383" s="252"/>
      <c r="CZF383" s="252"/>
      <c r="CZG383" s="252"/>
      <c r="CZH383" s="252"/>
      <c r="CZI383" s="252"/>
      <c r="CZJ383" s="252"/>
      <c r="CZK383" s="252"/>
      <c r="CZL383" s="252"/>
      <c r="CZM383" s="252"/>
      <c r="CZN383" s="252"/>
      <c r="CZO383" s="252"/>
      <c r="CZP383" s="252"/>
      <c r="CZQ383" s="252"/>
      <c r="CZR383" s="252"/>
      <c r="CZS383" s="252"/>
      <c r="CZT383" s="252"/>
      <c r="CZU383" s="252"/>
      <c r="CZV383" s="252"/>
      <c r="CZW383" s="252"/>
      <c r="CZX383" s="252"/>
      <c r="CZY383" s="252"/>
      <c r="CZZ383" s="252"/>
      <c r="DAA383" s="252"/>
      <c r="DAB383" s="252"/>
      <c r="DAC383" s="252"/>
      <c r="DAD383" s="252"/>
      <c r="DAE383" s="252"/>
      <c r="DAF383" s="252"/>
      <c r="DAG383" s="252"/>
      <c r="DAH383" s="252"/>
      <c r="DAI383" s="252"/>
      <c r="DAJ383" s="252"/>
      <c r="DAK383" s="252"/>
      <c r="DAL383" s="252"/>
      <c r="DAM383" s="252"/>
      <c r="DAN383" s="252"/>
      <c r="DAO383" s="252"/>
      <c r="DAP383" s="252"/>
      <c r="DAQ383" s="252"/>
      <c r="DAR383" s="252"/>
      <c r="DAS383" s="252"/>
      <c r="DAT383" s="252"/>
      <c r="DAU383" s="252"/>
      <c r="DAV383" s="252"/>
      <c r="DAW383" s="252"/>
      <c r="DAX383" s="252"/>
      <c r="DAY383" s="252"/>
      <c r="DAZ383" s="252"/>
      <c r="DBA383" s="252"/>
      <c r="DBB383" s="252"/>
      <c r="DBC383" s="252"/>
      <c r="DBD383" s="252"/>
      <c r="DBE383" s="252"/>
      <c r="DBF383" s="252"/>
      <c r="DBG383" s="252"/>
      <c r="DBH383" s="252"/>
      <c r="DBI383" s="252"/>
      <c r="DBJ383" s="252"/>
      <c r="DBK383" s="252"/>
      <c r="DBL383" s="252"/>
      <c r="DBM383" s="252"/>
      <c r="DBN383" s="252"/>
      <c r="DBO383" s="252"/>
      <c r="DBP383" s="252"/>
      <c r="DBQ383" s="252"/>
      <c r="DBR383" s="252"/>
      <c r="DBS383" s="252"/>
      <c r="DBT383" s="252"/>
      <c r="DBU383" s="252"/>
      <c r="DBV383" s="252"/>
      <c r="DBW383" s="252"/>
      <c r="DBX383" s="252"/>
      <c r="DBY383" s="252"/>
      <c r="DBZ383" s="252"/>
      <c r="DCA383" s="252"/>
      <c r="DCB383" s="252"/>
      <c r="DCC383" s="252"/>
      <c r="DCD383" s="252"/>
      <c r="DCE383" s="252"/>
      <c r="DCF383" s="252"/>
      <c r="DCG383" s="252"/>
      <c r="DCH383" s="252"/>
      <c r="DCI383" s="252"/>
      <c r="DCJ383" s="252"/>
      <c r="DCK383" s="252"/>
      <c r="DCL383" s="252"/>
      <c r="DCM383" s="252"/>
      <c r="DCN383" s="252"/>
      <c r="DCO383" s="252"/>
      <c r="DCP383" s="252"/>
      <c r="DCQ383" s="252"/>
      <c r="DCR383" s="252"/>
      <c r="DCS383" s="252"/>
      <c r="DCT383" s="252"/>
      <c r="DCU383" s="252"/>
      <c r="DCV383" s="252"/>
      <c r="DCW383" s="252"/>
      <c r="DCX383" s="252"/>
      <c r="DCY383" s="252"/>
      <c r="DCZ383" s="252"/>
      <c r="DDA383" s="252"/>
      <c r="DDB383" s="252"/>
      <c r="DDC383" s="252"/>
      <c r="DDD383" s="252"/>
      <c r="DDE383" s="252"/>
      <c r="DDF383" s="252"/>
      <c r="DDG383" s="252"/>
      <c r="DDH383" s="252"/>
      <c r="DDI383" s="252"/>
      <c r="DDJ383" s="252"/>
      <c r="DDK383" s="252"/>
      <c r="DDL383" s="252"/>
      <c r="DDM383" s="252"/>
      <c r="DDN383" s="252"/>
      <c r="DDO383" s="252"/>
      <c r="DDP383" s="252"/>
      <c r="DDQ383" s="252"/>
      <c r="DDR383" s="252"/>
      <c r="DDS383" s="252"/>
      <c r="DDT383" s="252"/>
      <c r="DDU383" s="252"/>
      <c r="DDV383" s="252"/>
      <c r="DDW383" s="252"/>
      <c r="DDX383" s="252"/>
      <c r="DDY383" s="252"/>
      <c r="DDZ383" s="252"/>
      <c r="DEA383" s="252"/>
      <c r="DEB383" s="252"/>
      <c r="DEC383" s="252"/>
      <c r="DED383" s="252"/>
      <c r="DEE383" s="252"/>
      <c r="DEF383" s="252"/>
      <c r="DEG383" s="252"/>
      <c r="DEH383" s="252"/>
      <c r="DEI383" s="252"/>
      <c r="DEJ383" s="252"/>
      <c r="DEK383" s="252"/>
      <c r="DEL383" s="252"/>
      <c r="DEM383" s="252"/>
      <c r="DEN383" s="252"/>
      <c r="DEO383" s="252"/>
      <c r="DEP383" s="252"/>
      <c r="DEQ383" s="252"/>
      <c r="DER383" s="252"/>
      <c r="DES383" s="252"/>
      <c r="DET383" s="252"/>
      <c r="DEU383" s="252"/>
      <c r="DEV383" s="252"/>
      <c r="DEW383" s="252"/>
      <c r="DEX383" s="252"/>
      <c r="DEY383" s="252"/>
      <c r="DEZ383" s="252"/>
      <c r="DFA383" s="252"/>
      <c r="DFB383" s="252"/>
      <c r="DFC383" s="252"/>
      <c r="DFD383" s="252"/>
      <c r="DFE383" s="252"/>
      <c r="DFF383" s="252"/>
      <c r="DFG383" s="252"/>
      <c r="DFH383" s="252"/>
      <c r="DFI383" s="252"/>
      <c r="DFJ383" s="252"/>
      <c r="DFK383" s="252"/>
      <c r="DFL383" s="252"/>
      <c r="DFM383" s="252"/>
      <c r="DFN383" s="252"/>
      <c r="DFO383" s="252"/>
      <c r="DFP383" s="252"/>
      <c r="DFQ383" s="252"/>
      <c r="DFR383" s="252"/>
      <c r="DFS383" s="252"/>
      <c r="DFT383" s="252"/>
      <c r="DFU383" s="252"/>
      <c r="DFV383" s="252"/>
      <c r="DFW383" s="252"/>
      <c r="DFX383" s="252"/>
      <c r="DFY383" s="252"/>
      <c r="DFZ383" s="252"/>
      <c r="DGA383" s="252"/>
      <c r="DGB383" s="252"/>
      <c r="DGC383" s="252"/>
      <c r="DGD383" s="252"/>
      <c r="DGE383" s="252"/>
      <c r="DGF383" s="252"/>
      <c r="DGG383" s="252"/>
      <c r="DGH383" s="252"/>
      <c r="DGI383" s="252"/>
      <c r="DGJ383" s="252"/>
      <c r="DGK383" s="252"/>
      <c r="DGL383" s="252"/>
      <c r="DGM383" s="252"/>
      <c r="DGN383" s="252"/>
      <c r="DGO383" s="252"/>
      <c r="DGP383" s="252"/>
      <c r="DGQ383" s="252"/>
      <c r="DGR383" s="252"/>
      <c r="DGS383" s="252"/>
      <c r="DGT383" s="252"/>
      <c r="DGU383" s="252"/>
      <c r="DGV383" s="252"/>
      <c r="DGW383" s="252"/>
      <c r="DGX383" s="252"/>
      <c r="DGY383" s="252"/>
      <c r="DGZ383" s="252"/>
      <c r="DHA383" s="252"/>
      <c r="DHB383" s="252"/>
      <c r="DHC383" s="252"/>
      <c r="DHD383" s="252"/>
      <c r="DHE383" s="252"/>
      <c r="DHF383" s="252"/>
      <c r="DHG383" s="252"/>
      <c r="DHH383" s="252"/>
      <c r="DHI383" s="252"/>
      <c r="DHJ383" s="252"/>
      <c r="DHK383" s="252"/>
      <c r="DHL383" s="252"/>
      <c r="DHM383" s="252"/>
      <c r="DHN383" s="252"/>
      <c r="DHO383" s="252"/>
      <c r="DHP383" s="252"/>
      <c r="DHQ383" s="252"/>
      <c r="DHR383" s="252"/>
      <c r="DHS383" s="252"/>
      <c r="DHT383" s="252"/>
      <c r="DHU383" s="252"/>
      <c r="DHV383" s="252"/>
      <c r="DHW383" s="252"/>
      <c r="DHX383" s="252"/>
      <c r="DHY383" s="252"/>
      <c r="DHZ383" s="252"/>
      <c r="DIA383" s="252"/>
      <c r="DIB383" s="252"/>
      <c r="DIC383" s="252"/>
      <c r="DID383" s="252"/>
      <c r="DIE383" s="252"/>
      <c r="DIF383" s="252"/>
      <c r="DIG383" s="252"/>
      <c r="DIH383" s="252"/>
      <c r="DII383" s="252"/>
      <c r="DIJ383" s="252"/>
      <c r="DIK383" s="252"/>
      <c r="DIL383" s="252"/>
      <c r="DIM383" s="252"/>
      <c r="DIN383" s="252"/>
      <c r="DIO383" s="252"/>
      <c r="DIP383" s="252"/>
      <c r="DIQ383" s="252"/>
      <c r="DIR383" s="252"/>
      <c r="DIS383" s="252"/>
      <c r="DIT383" s="252"/>
      <c r="DIU383" s="252"/>
      <c r="DIV383" s="252"/>
      <c r="DIW383" s="252"/>
      <c r="DIX383" s="252"/>
      <c r="DIY383" s="252"/>
      <c r="DIZ383" s="252"/>
      <c r="DJA383" s="252"/>
      <c r="DJB383" s="252"/>
      <c r="DJC383" s="252"/>
      <c r="DJD383" s="252"/>
      <c r="DJE383" s="252"/>
      <c r="DJF383" s="252"/>
      <c r="DJG383" s="252"/>
      <c r="DJH383" s="252"/>
      <c r="DJI383" s="252"/>
      <c r="DJJ383" s="252"/>
      <c r="DJK383" s="252"/>
      <c r="DJL383" s="252"/>
      <c r="DJM383" s="252"/>
      <c r="DJN383" s="252"/>
      <c r="DJO383" s="252"/>
      <c r="DJP383" s="252"/>
      <c r="DJQ383" s="252"/>
      <c r="DJR383" s="252"/>
      <c r="DJS383" s="252"/>
      <c r="DJT383" s="252"/>
      <c r="DJU383" s="252"/>
      <c r="DJV383" s="252"/>
      <c r="DJW383" s="252"/>
      <c r="DJX383" s="252"/>
      <c r="DJY383" s="252"/>
      <c r="DJZ383" s="252"/>
      <c r="DKA383" s="252"/>
      <c r="DKB383" s="252"/>
      <c r="DKC383" s="252"/>
      <c r="DKD383" s="252"/>
      <c r="DKE383" s="252"/>
      <c r="DKF383" s="252"/>
      <c r="DKG383" s="252"/>
      <c r="DKH383" s="252"/>
      <c r="DKI383" s="252"/>
      <c r="DKJ383" s="252"/>
      <c r="DKK383" s="252"/>
      <c r="DKL383" s="252"/>
      <c r="DKM383" s="252"/>
      <c r="DKN383" s="252"/>
      <c r="DKO383" s="252"/>
      <c r="DKP383" s="252"/>
      <c r="DKQ383" s="252"/>
      <c r="DKR383" s="252"/>
      <c r="DKS383" s="252"/>
      <c r="DKT383" s="252"/>
      <c r="DKU383" s="252"/>
      <c r="DKV383" s="252"/>
      <c r="DKW383" s="252"/>
      <c r="DKX383" s="252"/>
      <c r="DKY383" s="252"/>
      <c r="DKZ383" s="252"/>
      <c r="DLA383" s="252"/>
      <c r="DLB383" s="252"/>
      <c r="DLC383" s="252"/>
      <c r="DLD383" s="252"/>
      <c r="DLE383" s="252"/>
      <c r="DLF383" s="252"/>
      <c r="DLG383" s="252"/>
      <c r="DLH383" s="252"/>
      <c r="DLI383" s="252"/>
      <c r="DLJ383" s="252"/>
      <c r="DLK383" s="252"/>
      <c r="DLL383" s="252"/>
      <c r="DLM383" s="252"/>
      <c r="DLN383" s="252"/>
      <c r="DLO383" s="252"/>
      <c r="DLP383" s="252"/>
      <c r="DLQ383" s="252"/>
      <c r="DLR383" s="252"/>
      <c r="DLS383" s="252"/>
      <c r="DLT383" s="252"/>
      <c r="DLU383" s="252"/>
      <c r="DLV383" s="252"/>
      <c r="DLW383" s="252"/>
      <c r="DLX383" s="252"/>
      <c r="DLY383" s="252"/>
      <c r="DLZ383" s="252"/>
      <c r="DMA383" s="252"/>
      <c r="DMB383" s="252"/>
      <c r="DMC383" s="252"/>
      <c r="DMD383" s="252"/>
      <c r="DME383" s="252"/>
      <c r="DMF383" s="252"/>
      <c r="DMG383" s="252"/>
      <c r="DMH383" s="252"/>
      <c r="DMI383" s="252"/>
      <c r="DMJ383" s="252"/>
      <c r="DMK383" s="252"/>
      <c r="DML383" s="252"/>
      <c r="DMM383" s="252"/>
      <c r="DMN383" s="252"/>
      <c r="DMO383" s="252"/>
      <c r="DMP383" s="252"/>
      <c r="DMQ383" s="252"/>
      <c r="DMR383" s="252"/>
      <c r="DMS383" s="252"/>
      <c r="DMT383" s="252"/>
      <c r="DMU383" s="252"/>
      <c r="DMV383" s="252"/>
      <c r="DMW383" s="252"/>
      <c r="DMX383" s="252"/>
      <c r="DMY383" s="252"/>
      <c r="DMZ383" s="252"/>
      <c r="DNA383" s="252"/>
      <c r="DNB383" s="252"/>
      <c r="DNC383" s="252"/>
      <c r="DND383" s="252"/>
      <c r="DNE383" s="252"/>
      <c r="DNF383" s="252"/>
      <c r="DNG383" s="252"/>
      <c r="DNH383" s="252"/>
      <c r="DNI383" s="252"/>
      <c r="DNJ383" s="252"/>
      <c r="DNK383" s="252"/>
      <c r="DNL383" s="252"/>
      <c r="DNM383" s="252"/>
      <c r="DNN383" s="252"/>
      <c r="DNO383" s="252"/>
      <c r="DNP383" s="252"/>
      <c r="DNQ383" s="252"/>
      <c r="DNR383" s="252"/>
      <c r="DNS383" s="252"/>
      <c r="DNT383" s="252"/>
      <c r="DNU383" s="252"/>
      <c r="DNV383" s="252"/>
      <c r="DNW383" s="252"/>
      <c r="DNX383" s="252"/>
      <c r="DNY383" s="252"/>
      <c r="DNZ383" s="252"/>
      <c r="DOA383" s="252"/>
      <c r="DOB383" s="252"/>
      <c r="DOC383" s="252"/>
      <c r="DOD383" s="252"/>
      <c r="DOE383" s="252"/>
      <c r="DOF383" s="252"/>
      <c r="DOG383" s="252"/>
      <c r="DOH383" s="252"/>
      <c r="DOI383" s="252"/>
      <c r="DOJ383" s="252"/>
      <c r="DOK383" s="252"/>
      <c r="DOL383" s="252"/>
      <c r="DOM383" s="252"/>
      <c r="DON383" s="252"/>
      <c r="DOO383" s="252"/>
      <c r="DOP383" s="252"/>
      <c r="DOQ383" s="252"/>
      <c r="DOR383" s="252"/>
      <c r="DOS383" s="252"/>
      <c r="DOT383" s="252"/>
      <c r="DOU383" s="252"/>
      <c r="DOV383" s="252"/>
      <c r="DOW383" s="252"/>
      <c r="DOX383" s="252"/>
      <c r="DOY383" s="252"/>
      <c r="DOZ383" s="252"/>
      <c r="DPA383" s="252"/>
      <c r="DPB383" s="252"/>
      <c r="DPC383" s="252"/>
      <c r="DPD383" s="252"/>
      <c r="DPE383" s="252"/>
      <c r="DPF383" s="252"/>
      <c r="DPG383" s="252"/>
      <c r="DPH383" s="252"/>
      <c r="DPI383" s="252"/>
      <c r="DPJ383" s="252"/>
      <c r="DPK383" s="252"/>
      <c r="DPL383" s="252"/>
      <c r="DPM383" s="252"/>
      <c r="DPN383" s="252"/>
      <c r="DPO383" s="252"/>
      <c r="DPP383" s="252"/>
      <c r="DPQ383" s="252"/>
      <c r="DPR383" s="252"/>
      <c r="DPS383" s="252"/>
      <c r="DPT383" s="252"/>
      <c r="DPU383" s="252"/>
      <c r="DPV383" s="252"/>
      <c r="DPW383" s="252"/>
      <c r="DPX383" s="252"/>
      <c r="DPY383" s="252"/>
      <c r="DPZ383" s="252"/>
      <c r="DQA383" s="252"/>
      <c r="DQB383" s="252"/>
      <c r="DQC383" s="252"/>
      <c r="DQD383" s="252"/>
      <c r="DQE383" s="252"/>
      <c r="DQF383" s="252"/>
      <c r="DQG383" s="252"/>
      <c r="DQH383" s="252"/>
      <c r="DQI383" s="252"/>
      <c r="DQJ383" s="252"/>
      <c r="DQK383" s="252"/>
      <c r="DQL383" s="252"/>
      <c r="DQM383" s="252"/>
      <c r="DQN383" s="252"/>
      <c r="DQO383" s="252"/>
      <c r="DQP383" s="252"/>
      <c r="DQQ383" s="252"/>
      <c r="DQR383" s="252"/>
      <c r="DQS383" s="252"/>
      <c r="DQT383" s="252"/>
      <c r="DQU383" s="252"/>
      <c r="DQV383" s="252"/>
      <c r="DQW383" s="252"/>
      <c r="DQX383" s="252"/>
      <c r="DQY383" s="252"/>
      <c r="DQZ383" s="252"/>
      <c r="DRA383" s="252"/>
      <c r="DRB383" s="252"/>
      <c r="DRC383" s="252"/>
      <c r="DRD383" s="252"/>
      <c r="DRE383" s="252"/>
      <c r="DRF383" s="252"/>
      <c r="DRG383" s="252"/>
      <c r="DRH383" s="252"/>
      <c r="DRI383" s="252"/>
      <c r="DRJ383" s="252"/>
      <c r="DRK383" s="252"/>
      <c r="DRL383" s="252"/>
      <c r="DRM383" s="252"/>
      <c r="DRN383" s="252"/>
      <c r="DRO383" s="252"/>
      <c r="DRP383" s="252"/>
      <c r="DRQ383" s="252"/>
      <c r="DRR383" s="252"/>
      <c r="DRS383" s="252"/>
      <c r="DRT383" s="252"/>
      <c r="DRU383" s="252"/>
      <c r="DRV383" s="252"/>
      <c r="DRW383" s="252"/>
      <c r="DRX383" s="252"/>
      <c r="DRY383" s="252"/>
      <c r="DRZ383" s="252"/>
      <c r="DSA383" s="252"/>
      <c r="DSB383" s="252"/>
      <c r="DSC383" s="252"/>
      <c r="DSD383" s="252"/>
      <c r="DSE383" s="252"/>
      <c r="DSF383" s="252"/>
      <c r="DSG383" s="252"/>
      <c r="DSH383" s="252"/>
      <c r="DSI383" s="252"/>
      <c r="DSJ383" s="252"/>
      <c r="DSK383" s="252"/>
      <c r="DSL383" s="252"/>
      <c r="DSM383" s="252"/>
      <c r="DSN383" s="252"/>
      <c r="DSO383" s="252"/>
      <c r="DSP383" s="252"/>
      <c r="DSQ383" s="252"/>
      <c r="DSR383" s="252"/>
      <c r="DSS383" s="252"/>
      <c r="DST383" s="252"/>
      <c r="DSU383" s="252"/>
      <c r="DSV383" s="252"/>
      <c r="DSW383" s="252"/>
      <c r="DSX383" s="252"/>
      <c r="DSY383" s="252"/>
      <c r="DSZ383" s="252"/>
      <c r="DTA383" s="252"/>
      <c r="DTB383" s="252"/>
      <c r="DTC383" s="252"/>
      <c r="DTD383" s="252"/>
      <c r="DTE383" s="252"/>
      <c r="DTF383" s="252"/>
      <c r="DTG383" s="252"/>
      <c r="DTH383" s="252"/>
      <c r="DTI383" s="252"/>
      <c r="DTJ383" s="252"/>
      <c r="DTK383" s="252"/>
      <c r="DTL383" s="252"/>
      <c r="DTM383" s="252"/>
      <c r="DTN383" s="252"/>
      <c r="DTO383" s="252"/>
      <c r="DTP383" s="252"/>
      <c r="DTQ383" s="252"/>
      <c r="DTR383" s="252"/>
      <c r="DTS383" s="252"/>
      <c r="DTT383" s="252"/>
      <c r="DTU383" s="252"/>
      <c r="DTV383" s="252"/>
      <c r="DTW383" s="252"/>
      <c r="DTX383" s="252"/>
      <c r="DTY383" s="252"/>
      <c r="DTZ383" s="252"/>
      <c r="DUA383" s="252"/>
      <c r="DUB383" s="252"/>
      <c r="DUC383" s="252"/>
      <c r="DUD383" s="252"/>
      <c r="DUE383" s="252"/>
      <c r="DUF383" s="252"/>
      <c r="DUG383" s="252"/>
      <c r="DUH383" s="252"/>
      <c r="DUI383" s="252"/>
      <c r="DUJ383" s="252"/>
      <c r="DUK383" s="252"/>
      <c r="DUL383" s="252"/>
      <c r="DUM383" s="252"/>
      <c r="DUN383" s="252"/>
      <c r="DUO383" s="252"/>
      <c r="DUP383" s="252"/>
      <c r="DUQ383" s="252"/>
      <c r="DUR383" s="252"/>
      <c r="DUS383" s="252"/>
      <c r="DUT383" s="252"/>
      <c r="DUU383" s="252"/>
      <c r="DUV383" s="252"/>
      <c r="DUW383" s="252"/>
      <c r="DUX383" s="252"/>
      <c r="DUY383" s="252"/>
      <c r="DUZ383" s="252"/>
      <c r="DVA383" s="252"/>
      <c r="DVB383" s="252"/>
      <c r="DVC383" s="252"/>
      <c r="DVD383" s="252"/>
      <c r="DVE383" s="252"/>
      <c r="DVF383" s="252"/>
      <c r="DVG383" s="252"/>
      <c r="DVH383" s="252"/>
      <c r="DVI383" s="252"/>
      <c r="DVJ383" s="252"/>
      <c r="DVK383" s="252"/>
      <c r="DVL383" s="252"/>
      <c r="DVM383" s="252"/>
      <c r="DVN383" s="252"/>
      <c r="DVO383" s="252"/>
      <c r="DVP383" s="252"/>
      <c r="DVQ383" s="252"/>
      <c r="DVR383" s="252"/>
      <c r="DVS383" s="252"/>
      <c r="DVT383" s="252"/>
      <c r="DVU383" s="252"/>
      <c r="DVV383" s="252"/>
      <c r="DVW383" s="252"/>
      <c r="DVX383" s="252"/>
      <c r="DVY383" s="252"/>
      <c r="DVZ383" s="252"/>
      <c r="DWA383" s="252"/>
      <c r="DWB383" s="252"/>
      <c r="DWC383" s="252"/>
      <c r="DWD383" s="252"/>
      <c r="DWE383" s="252"/>
      <c r="DWF383" s="252"/>
      <c r="DWG383" s="252"/>
      <c r="DWH383" s="252"/>
      <c r="DWI383" s="252"/>
      <c r="DWJ383" s="252"/>
      <c r="DWK383" s="252"/>
      <c r="DWL383" s="252"/>
      <c r="DWM383" s="252"/>
      <c r="DWN383" s="252"/>
      <c r="DWO383" s="252"/>
      <c r="DWP383" s="252"/>
      <c r="DWQ383" s="252"/>
      <c r="DWR383" s="252"/>
      <c r="DWS383" s="252"/>
      <c r="DWT383" s="252"/>
      <c r="DWU383" s="252"/>
      <c r="DWV383" s="252"/>
      <c r="DWW383" s="252"/>
      <c r="DWX383" s="252"/>
      <c r="DWY383" s="252"/>
      <c r="DWZ383" s="252"/>
      <c r="DXA383" s="252"/>
      <c r="DXB383" s="252"/>
      <c r="DXC383" s="252"/>
      <c r="DXD383" s="252"/>
      <c r="DXE383" s="252"/>
      <c r="DXF383" s="252"/>
      <c r="DXG383" s="252"/>
      <c r="DXH383" s="252"/>
      <c r="DXI383" s="252"/>
      <c r="DXJ383" s="252"/>
      <c r="DXK383" s="252"/>
      <c r="DXL383" s="252"/>
      <c r="DXM383" s="252"/>
      <c r="DXN383" s="252"/>
      <c r="DXO383" s="252"/>
      <c r="DXP383" s="252"/>
      <c r="DXQ383" s="252"/>
      <c r="DXR383" s="252"/>
      <c r="DXS383" s="252"/>
      <c r="DXT383" s="252"/>
      <c r="DXU383" s="252"/>
      <c r="DXV383" s="252"/>
      <c r="DXW383" s="252"/>
      <c r="DXX383" s="252"/>
      <c r="DXY383" s="252"/>
      <c r="DXZ383" s="252"/>
      <c r="DYA383" s="252"/>
      <c r="DYB383" s="252"/>
      <c r="DYC383" s="252"/>
      <c r="DYD383" s="252"/>
      <c r="DYE383" s="252"/>
      <c r="DYF383" s="252"/>
      <c r="DYG383" s="252"/>
      <c r="DYH383" s="252"/>
      <c r="DYI383" s="252"/>
      <c r="DYJ383" s="252"/>
      <c r="DYK383" s="252"/>
      <c r="DYL383" s="252"/>
      <c r="DYM383" s="252"/>
      <c r="DYN383" s="252"/>
      <c r="DYO383" s="252"/>
      <c r="DYP383" s="252"/>
      <c r="DYQ383" s="252"/>
      <c r="DYR383" s="252"/>
      <c r="DYS383" s="252"/>
      <c r="DYT383" s="252"/>
      <c r="DYU383" s="252"/>
      <c r="DYV383" s="252"/>
      <c r="DYW383" s="252"/>
      <c r="DYX383" s="252"/>
      <c r="DYY383" s="252"/>
      <c r="DYZ383" s="252"/>
      <c r="DZA383" s="252"/>
      <c r="DZB383" s="252"/>
      <c r="DZC383" s="252"/>
      <c r="DZD383" s="252"/>
      <c r="DZE383" s="252"/>
      <c r="DZF383" s="252"/>
      <c r="DZG383" s="252"/>
      <c r="DZH383" s="252"/>
      <c r="DZI383" s="252"/>
      <c r="DZJ383" s="252"/>
      <c r="DZK383" s="252"/>
      <c r="DZL383" s="252"/>
      <c r="DZM383" s="252"/>
      <c r="DZN383" s="252"/>
      <c r="DZO383" s="252"/>
      <c r="DZP383" s="252"/>
      <c r="DZQ383" s="252"/>
      <c r="DZR383" s="252"/>
      <c r="DZS383" s="252"/>
      <c r="DZT383" s="252"/>
      <c r="DZU383" s="252"/>
      <c r="DZV383" s="252"/>
      <c r="DZW383" s="252"/>
      <c r="DZX383" s="252"/>
      <c r="DZY383" s="252"/>
      <c r="DZZ383" s="252"/>
      <c r="EAA383" s="252"/>
      <c r="EAB383" s="252"/>
      <c r="EAC383" s="252"/>
      <c r="EAD383" s="252"/>
      <c r="EAE383" s="252"/>
      <c r="EAF383" s="252"/>
      <c r="EAG383" s="252"/>
      <c r="EAH383" s="252"/>
      <c r="EAI383" s="252"/>
      <c r="EAJ383" s="252"/>
      <c r="EAK383" s="252"/>
      <c r="EAL383" s="252"/>
      <c r="EAM383" s="252"/>
      <c r="EAN383" s="252"/>
      <c r="EAO383" s="252"/>
      <c r="EAP383" s="252"/>
      <c r="EAQ383" s="252"/>
      <c r="EAR383" s="252"/>
      <c r="EAS383" s="252"/>
      <c r="EAT383" s="252"/>
      <c r="EAU383" s="252"/>
      <c r="EAV383" s="252"/>
      <c r="EAW383" s="252"/>
      <c r="EAX383" s="252"/>
      <c r="EAY383" s="252"/>
      <c r="EAZ383" s="252"/>
      <c r="EBA383" s="252"/>
      <c r="EBB383" s="252"/>
      <c r="EBC383" s="252"/>
      <c r="EBD383" s="252"/>
      <c r="EBE383" s="252"/>
      <c r="EBF383" s="252"/>
      <c r="EBG383" s="252"/>
      <c r="EBH383" s="252"/>
      <c r="EBI383" s="252"/>
      <c r="EBJ383" s="252"/>
      <c r="EBK383" s="252"/>
      <c r="EBL383" s="252"/>
      <c r="EBM383" s="252"/>
      <c r="EBN383" s="252"/>
      <c r="EBO383" s="252"/>
      <c r="EBP383" s="252"/>
      <c r="EBQ383" s="252"/>
      <c r="EBR383" s="252"/>
      <c r="EBS383" s="252"/>
      <c r="EBT383" s="252"/>
      <c r="EBU383" s="252"/>
      <c r="EBV383" s="252"/>
      <c r="EBW383" s="252"/>
      <c r="EBX383" s="252"/>
      <c r="EBY383" s="252"/>
      <c r="EBZ383" s="252"/>
      <c r="ECA383" s="252"/>
      <c r="ECB383" s="252"/>
      <c r="ECC383" s="252"/>
      <c r="ECD383" s="252"/>
      <c r="ECE383" s="252"/>
      <c r="ECF383" s="252"/>
      <c r="ECG383" s="252"/>
      <c r="ECH383" s="252"/>
      <c r="ECI383" s="252"/>
      <c r="ECJ383" s="252"/>
      <c r="ECK383" s="252"/>
      <c r="ECL383" s="252"/>
      <c r="ECM383" s="252"/>
      <c r="ECN383" s="252"/>
      <c r="ECO383" s="252"/>
      <c r="ECP383" s="252"/>
      <c r="ECQ383" s="252"/>
      <c r="ECR383" s="252"/>
      <c r="ECS383" s="252"/>
      <c r="ECT383" s="252"/>
      <c r="ECU383" s="252"/>
      <c r="ECV383" s="252"/>
      <c r="ECW383" s="252"/>
      <c r="ECX383" s="252"/>
      <c r="ECY383" s="252"/>
      <c r="ECZ383" s="252"/>
      <c r="EDA383" s="252"/>
      <c r="EDB383" s="252"/>
      <c r="EDC383" s="252"/>
      <c r="EDD383" s="252"/>
      <c r="EDE383" s="252"/>
      <c r="EDF383" s="252"/>
      <c r="EDG383" s="252"/>
      <c r="EDH383" s="252"/>
      <c r="EDI383" s="252"/>
      <c r="EDJ383" s="252"/>
      <c r="EDK383" s="252"/>
      <c r="EDL383" s="252"/>
      <c r="EDM383" s="252"/>
      <c r="EDN383" s="252"/>
      <c r="EDO383" s="252"/>
      <c r="EDP383" s="252"/>
      <c r="EDQ383" s="252"/>
      <c r="EDR383" s="252"/>
      <c r="EDS383" s="252"/>
      <c r="EDT383" s="252"/>
      <c r="EDU383" s="252"/>
      <c r="EDV383" s="252"/>
      <c r="EDW383" s="252"/>
      <c r="EDX383" s="252"/>
      <c r="EDY383" s="252"/>
      <c r="EDZ383" s="252"/>
      <c r="EEA383" s="252"/>
      <c r="EEB383" s="252"/>
      <c r="EEC383" s="252"/>
      <c r="EED383" s="252"/>
      <c r="EEE383" s="252"/>
      <c r="EEF383" s="252"/>
      <c r="EEG383" s="252"/>
      <c r="EEH383" s="252"/>
      <c r="EEI383" s="252"/>
      <c r="EEJ383" s="252"/>
      <c r="EEK383" s="252"/>
      <c r="EEL383" s="252"/>
      <c r="EEM383" s="252"/>
      <c r="EEN383" s="252"/>
      <c r="EEO383" s="252"/>
      <c r="EEP383" s="252"/>
      <c r="EEQ383" s="252"/>
      <c r="EER383" s="252"/>
      <c r="EES383" s="252"/>
      <c r="EET383" s="252"/>
      <c r="EEU383" s="252"/>
      <c r="EEV383" s="252"/>
      <c r="EEW383" s="252"/>
      <c r="EEX383" s="252"/>
      <c r="EEY383" s="252"/>
      <c r="EEZ383" s="252"/>
      <c r="EFA383" s="252"/>
      <c r="EFB383" s="252"/>
      <c r="EFC383" s="252"/>
      <c r="EFD383" s="252"/>
      <c r="EFE383" s="252"/>
      <c r="EFF383" s="252"/>
      <c r="EFG383" s="252"/>
      <c r="EFH383" s="252"/>
      <c r="EFI383" s="252"/>
      <c r="EFJ383" s="252"/>
      <c r="EFK383" s="252"/>
      <c r="EFL383" s="252"/>
      <c r="EFM383" s="252"/>
      <c r="EFN383" s="252"/>
      <c r="EFO383" s="252"/>
      <c r="EFP383" s="252"/>
      <c r="EFQ383" s="252"/>
      <c r="EFR383" s="252"/>
      <c r="EFS383" s="252"/>
      <c r="EFT383" s="252"/>
      <c r="EFU383" s="252"/>
      <c r="EFV383" s="252"/>
      <c r="EFW383" s="252"/>
      <c r="EFX383" s="252"/>
      <c r="EFY383" s="252"/>
      <c r="EFZ383" s="252"/>
      <c r="EGA383" s="252"/>
      <c r="EGB383" s="252"/>
      <c r="EGC383" s="252"/>
      <c r="EGD383" s="252"/>
      <c r="EGE383" s="252"/>
      <c r="EGF383" s="252"/>
      <c r="EGG383" s="252"/>
      <c r="EGH383" s="252"/>
      <c r="EGI383" s="252"/>
      <c r="EGJ383" s="252"/>
      <c r="EGK383" s="252"/>
      <c r="EGL383" s="252"/>
      <c r="EGM383" s="252"/>
      <c r="EGN383" s="252"/>
      <c r="EGO383" s="252"/>
      <c r="EGP383" s="252"/>
      <c r="EGQ383" s="252"/>
      <c r="EGR383" s="252"/>
      <c r="EGS383" s="252"/>
      <c r="EGT383" s="252"/>
      <c r="EGU383" s="252"/>
      <c r="EGV383" s="252"/>
      <c r="EGW383" s="252"/>
      <c r="EGX383" s="252"/>
      <c r="EGY383" s="252"/>
      <c r="EGZ383" s="252"/>
      <c r="EHA383" s="252"/>
      <c r="EHB383" s="252"/>
      <c r="EHC383" s="252"/>
      <c r="EHD383" s="252"/>
      <c r="EHE383" s="252"/>
      <c r="EHF383" s="252"/>
      <c r="EHG383" s="252"/>
      <c r="EHH383" s="252"/>
      <c r="EHI383" s="252"/>
      <c r="EHJ383" s="252"/>
      <c r="EHK383" s="252"/>
      <c r="EHL383" s="252"/>
      <c r="EHM383" s="252"/>
      <c r="EHN383" s="252"/>
      <c r="EHO383" s="252"/>
      <c r="EHP383" s="252"/>
      <c r="EHQ383" s="252"/>
      <c r="EHR383" s="252"/>
      <c r="EHS383" s="252"/>
      <c r="EHT383" s="252"/>
      <c r="EHU383" s="252"/>
      <c r="EHV383" s="252"/>
      <c r="EHW383" s="252"/>
      <c r="EHX383" s="252"/>
      <c r="EHY383" s="252"/>
      <c r="EHZ383" s="252"/>
      <c r="EIA383" s="252"/>
      <c r="EIB383" s="252"/>
      <c r="EIC383" s="252"/>
      <c r="EID383" s="252"/>
      <c r="EIE383" s="252"/>
      <c r="EIF383" s="252"/>
      <c r="EIG383" s="252"/>
      <c r="EIH383" s="252"/>
      <c r="EII383" s="252"/>
      <c r="EIJ383" s="252"/>
      <c r="EIK383" s="252"/>
      <c r="EIL383" s="252"/>
      <c r="EIM383" s="252"/>
      <c r="EIN383" s="252"/>
      <c r="EIO383" s="252"/>
      <c r="EIP383" s="252"/>
      <c r="EIQ383" s="252"/>
      <c r="EIR383" s="252"/>
      <c r="EIS383" s="252"/>
      <c r="EIT383" s="252"/>
      <c r="EIU383" s="252"/>
      <c r="EIV383" s="252"/>
      <c r="EIW383" s="252"/>
      <c r="EIX383" s="252"/>
      <c r="EIY383" s="252"/>
      <c r="EIZ383" s="252"/>
      <c r="EJA383" s="252"/>
      <c r="EJB383" s="252"/>
      <c r="EJC383" s="252"/>
      <c r="EJD383" s="252"/>
      <c r="EJE383" s="252"/>
      <c r="EJF383" s="252"/>
      <c r="EJG383" s="252"/>
      <c r="EJH383" s="252"/>
      <c r="EJI383" s="252"/>
      <c r="EJJ383" s="252"/>
      <c r="EJK383" s="252"/>
      <c r="EJL383" s="252"/>
      <c r="EJM383" s="252"/>
      <c r="EJN383" s="252"/>
      <c r="EJO383" s="252"/>
      <c r="EJP383" s="252"/>
      <c r="EJQ383" s="252"/>
      <c r="EJR383" s="252"/>
      <c r="EJS383" s="252"/>
      <c r="EJT383" s="252"/>
      <c r="EJU383" s="252"/>
      <c r="EJV383" s="252"/>
      <c r="EJW383" s="252"/>
      <c r="EJX383" s="252"/>
      <c r="EJY383" s="252"/>
      <c r="EJZ383" s="252"/>
      <c r="EKA383" s="252"/>
      <c r="EKB383" s="252"/>
      <c r="EKC383" s="252"/>
      <c r="EKD383" s="252"/>
      <c r="EKE383" s="252"/>
      <c r="EKF383" s="252"/>
      <c r="EKG383" s="252"/>
      <c r="EKH383" s="252"/>
      <c r="EKI383" s="252"/>
      <c r="EKJ383" s="252"/>
      <c r="EKK383" s="252"/>
      <c r="EKL383" s="252"/>
      <c r="EKM383" s="252"/>
      <c r="EKN383" s="252"/>
      <c r="EKO383" s="252"/>
      <c r="EKP383" s="252"/>
      <c r="EKQ383" s="252"/>
      <c r="EKR383" s="252"/>
      <c r="EKS383" s="252"/>
      <c r="EKT383" s="252"/>
      <c r="EKU383" s="252"/>
      <c r="EKV383" s="252"/>
      <c r="EKW383" s="252"/>
      <c r="EKX383" s="252"/>
      <c r="EKY383" s="252"/>
      <c r="EKZ383" s="252"/>
      <c r="ELA383" s="252"/>
      <c r="ELB383" s="252"/>
      <c r="ELC383" s="252"/>
      <c r="ELD383" s="252"/>
      <c r="ELE383" s="252"/>
      <c r="ELF383" s="252"/>
      <c r="ELG383" s="252"/>
      <c r="ELH383" s="252"/>
      <c r="ELI383" s="252"/>
      <c r="ELJ383" s="252"/>
      <c r="ELK383" s="252"/>
      <c r="ELL383" s="252"/>
      <c r="ELM383" s="252"/>
      <c r="ELN383" s="252"/>
      <c r="ELO383" s="252"/>
      <c r="ELP383" s="252"/>
      <c r="ELQ383" s="252"/>
      <c r="ELR383" s="252"/>
      <c r="ELS383" s="252"/>
      <c r="ELT383" s="252"/>
      <c r="ELU383" s="252"/>
      <c r="ELV383" s="252"/>
      <c r="ELW383" s="252"/>
      <c r="ELX383" s="252"/>
      <c r="ELY383" s="252"/>
      <c r="ELZ383" s="252"/>
      <c r="EMA383" s="252"/>
      <c r="EMB383" s="252"/>
      <c r="EMC383" s="252"/>
      <c r="EMD383" s="252"/>
      <c r="EME383" s="252"/>
      <c r="EMF383" s="252"/>
      <c r="EMG383" s="252"/>
      <c r="EMH383" s="252"/>
      <c r="EMI383" s="252"/>
      <c r="EMJ383" s="252"/>
      <c r="EMK383" s="252"/>
      <c r="EML383" s="252"/>
      <c r="EMM383" s="252"/>
      <c r="EMN383" s="252"/>
      <c r="EMO383" s="252"/>
      <c r="EMP383" s="252"/>
      <c r="EMQ383" s="252"/>
      <c r="EMR383" s="252"/>
      <c r="EMS383" s="252"/>
      <c r="EMT383" s="252"/>
      <c r="EMU383" s="252"/>
      <c r="EMV383" s="252"/>
      <c r="EMW383" s="252"/>
      <c r="EMX383" s="252"/>
      <c r="EMY383" s="252"/>
      <c r="EMZ383" s="252"/>
      <c r="ENA383" s="252"/>
      <c r="ENB383" s="252"/>
      <c r="ENC383" s="252"/>
      <c r="END383" s="252"/>
      <c r="ENE383" s="252"/>
      <c r="ENF383" s="252"/>
      <c r="ENG383" s="252"/>
      <c r="ENH383" s="252"/>
      <c r="ENI383" s="252"/>
      <c r="ENJ383" s="252"/>
      <c r="ENK383" s="252"/>
      <c r="ENL383" s="252"/>
      <c r="ENM383" s="252"/>
      <c r="ENN383" s="252"/>
      <c r="ENO383" s="252"/>
      <c r="ENP383" s="252"/>
      <c r="ENQ383" s="252"/>
      <c r="ENR383" s="252"/>
      <c r="ENS383" s="252"/>
      <c r="ENT383" s="252"/>
      <c r="ENU383" s="252"/>
      <c r="ENV383" s="252"/>
      <c r="ENW383" s="252"/>
      <c r="ENX383" s="252"/>
      <c r="ENY383" s="252"/>
      <c r="ENZ383" s="252"/>
      <c r="EOA383" s="252"/>
      <c r="EOB383" s="252"/>
      <c r="EOC383" s="252"/>
      <c r="EOD383" s="252"/>
      <c r="EOE383" s="252"/>
      <c r="EOF383" s="252"/>
      <c r="EOG383" s="252"/>
      <c r="EOH383" s="252"/>
      <c r="EOI383" s="252"/>
      <c r="EOJ383" s="252"/>
      <c r="EOK383" s="252"/>
      <c r="EOL383" s="252"/>
      <c r="EOM383" s="252"/>
      <c r="EON383" s="252"/>
      <c r="EOO383" s="252"/>
      <c r="EOP383" s="252"/>
      <c r="EOQ383" s="252"/>
      <c r="EOR383" s="252"/>
      <c r="EOS383" s="252"/>
      <c r="EOT383" s="252"/>
      <c r="EOU383" s="252"/>
      <c r="EOV383" s="252"/>
      <c r="EOW383" s="252"/>
      <c r="EOX383" s="252"/>
      <c r="EOY383" s="252"/>
      <c r="EOZ383" s="252"/>
      <c r="EPA383" s="252"/>
      <c r="EPB383" s="252"/>
      <c r="EPC383" s="252"/>
      <c r="EPD383" s="252"/>
      <c r="EPE383" s="252"/>
      <c r="EPF383" s="252"/>
      <c r="EPG383" s="252"/>
      <c r="EPH383" s="252"/>
      <c r="EPI383" s="252"/>
      <c r="EPJ383" s="252"/>
      <c r="EPK383" s="252"/>
      <c r="EPL383" s="252"/>
      <c r="EPM383" s="252"/>
      <c r="EPN383" s="252"/>
      <c r="EPO383" s="252"/>
      <c r="EPP383" s="252"/>
      <c r="EPQ383" s="252"/>
      <c r="EPR383" s="252"/>
      <c r="EPS383" s="252"/>
      <c r="EPT383" s="252"/>
      <c r="EPU383" s="252"/>
      <c r="EPV383" s="252"/>
      <c r="EPW383" s="252"/>
      <c r="EPX383" s="252"/>
      <c r="EPY383" s="252"/>
      <c r="EPZ383" s="252"/>
      <c r="EQA383" s="252"/>
      <c r="EQB383" s="252"/>
      <c r="EQC383" s="252"/>
      <c r="EQD383" s="252"/>
      <c r="EQE383" s="252"/>
      <c r="EQF383" s="252"/>
      <c r="EQG383" s="252"/>
      <c r="EQH383" s="252"/>
      <c r="EQI383" s="252"/>
      <c r="EQJ383" s="252"/>
      <c r="EQK383" s="252"/>
      <c r="EQL383" s="252"/>
      <c r="EQM383" s="252"/>
      <c r="EQN383" s="252"/>
      <c r="EQO383" s="252"/>
      <c r="EQP383" s="252"/>
      <c r="EQQ383" s="252"/>
      <c r="EQR383" s="252"/>
      <c r="EQS383" s="252"/>
      <c r="EQT383" s="252"/>
      <c r="EQU383" s="252"/>
      <c r="EQV383" s="252"/>
      <c r="EQW383" s="252"/>
      <c r="EQX383" s="252"/>
      <c r="EQY383" s="252"/>
      <c r="EQZ383" s="252"/>
      <c r="ERA383" s="252"/>
      <c r="ERB383" s="252"/>
      <c r="ERC383" s="252"/>
      <c r="ERD383" s="252"/>
      <c r="ERE383" s="252"/>
      <c r="ERF383" s="252"/>
      <c r="ERG383" s="252"/>
      <c r="ERH383" s="252"/>
      <c r="ERI383" s="252"/>
      <c r="ERJ383" s="252"/>
      <c r="ERK383" s="252"/>
      <c r="ERL383" s="252"/>
      <c r="ERM383" s="252"/>
      <c r="ERN383" s="252"/>
      <c r="ERO383" s="252"/>
      <c r="ERP383" s="252"/>
      <c r="ERQ383" s="252"/>
      <c r="ERR383" s="252"/>
      <c r="ERS383" s="252"/>
      <c r="ERT383" s="252"/>
      <c r="ERU383" s="252"/>
      <c r="ERV383" s="252"/>
      <c r="ERW383" s="252"/>
      <c r="ERX383" s="252"/>
      <c r="ERY383" s="252"/>
      <c r="ERZ383" s="252"/>
      <c r="ESA383" s="252"/>
      <c r="ESB383" s="252"/>
      <c r="ESC383" s="252"/>
      <c r="ESD383" s="252"/>
      <c r="ESE383" s="252"/>
      <c r="ESF383" s="252"/>
      <c r="ESG383" s="252"/>
      <c r="ESH383" s="252"/>
      <c r="ESI383" s="252"/>
      <c r="ESJ383" s="252"/>
      <c r="ESK383" s="252"/>
      <c r="ESL383" s="252"/>
      <c r="ESM383" s="252"/>
      <c r="ESN383" s="252"/>
      <c r="ESO383" s="252"/>
      <c r="ESP383" s="252"/>
      <c r="ESQ383" s="252"/>
      <c r="ESR383" s="252"/>
      <c r="ESS383" s="252"/>
      <c r="EST383" s="252"/>
      <c r="ESU383" s="252"/>
      <c r="ESV383" s="252"/>
      <c r="ESW383" s="252"/>
      <c r="ESX383" s="252"/>
      <c r="ESY383" s="252"/>
      <c r="ESZ383" s="252"/>
      <c r="ETA383" s="252"/>
      <c r="ETB383" s="252"/>
      <c r="ETC383" s="252"/>
      <c r="ETD383" s="252"/>
      <c r="ETE383" s="252"/>
      <c r="ETF383" s="252"/>
      <c r="ETG383" s="252"/>
      <c r="ETH383" s="252"/>
      <c r="ETI383" s="252"/>
      <c r="ETJ383" s="252"/>
      <c r="ETK383" s="252"/>
      <c r="ETL383" s="252"/>
      <c r="ETM383" s="252"/>
      <c r="ETN383" s="252"/>
      <c r="ETO383" s="252"/>
      <c r="ETP383" s="252"/>
      <c r="ETQ383" s="252"/>
      <c r="ETR383" s="252"/>
      <c r="ETS383" s="252"/>
      <c r="ETT383" s="252"/>
      <c r="ETU383" s="252"/>
      <c r="ETV383" s="252"/>
      <c r="ETW383" s="252"/>
      <c r="ETX383" s="252"/>
      <c r="ETY383" s="252"/>
      <c r="ETZ383" s="252"/>
      <c r="EUA383" s="252"/>
      <c r="EUB383" s="252"/>
      <c r="EUC383" s="252"/>
      <c r="EUD383" s="252"/>
      <c r="EUE383" s="252"/>
      <c r="EUF383" s="252"/>
      <c r="EUG383" s="252"/>
      <c r="EUH383" s="252"/>
      <c r="EUI383" s="252"/>
      <c r="EUJ383" s="252"/>
      <c r="EUK383" s="252"/>
      <c r="EUL383" s="252"/>
      <c r="EUM383" s="252"/>
      <c r="EUN383" s="252"/>
      <c r="EUO383" s="252"/>
      <c r="EUP383" s="252"/>
      <c r="EUQ383" s="252"/>
      <c r="EUR383" s="252"/>
      <c r="EUS383" s="252"/>
      <c r="EUT383" s="252"/>
      <c r="EUU383" s="252"/>
      <c r="EUV383" s="252"/>
      <c r="EUW383" s="252"/>
      <c r="EUX383" s="252"/>
      <c r="EUY383" s="252"/>
      <c r="EUZ383" s="252"/>
      <c r="EVA383" s="252"/>
      <c r="EVB383" s="252"/>
      <c r="EVC383" s="252"/>
      <c r="EVD383" s="252"/>
      <c r="EVE383" s="252"/>
      <c r="EVF383" s="252"/>
      <c r="EVG383" s="252"/>
      <c r="EVH383" s="252"/>
      <c r="EVI383" s="252"/>
      <c r="EVJ383" s="252"/>
      <c r="EVK383" s="252"/>
      <c r="EVL383" s="252"/>
      <c r="EVM383" s="252"/>
      <c r="EVN383" s="252"/>
      <c r="EVO383" s="252"/>
      <c r="EVP383" s="252"/>
      <c r="EVQ383" s="252"/>
      <c r="EVR383" s="252"/>
      <c r="EVS383" s="252"/>
      <c r="EVT383" s="252"/>
      <c r="EVU383" s="252"/>
      <c r="EVV383" s="252"/>
      <c r="EVW383" s="252"/>
      <c r="EVX383" s="252"/>
      <c r="EVY383" s="252"/>
      <c r="EVZ383" s="252"/>
      <c r="EWA383" s="252"/>
      <c r="EWB383" s="252"/>
      <c r="EWC383" s="252"/>
      <c r="EWD383" s="252"/>
      <c r="EWE383" s="252"/>
      <c r="EWF383" s="252"/>
      <c r="EWG383" s="252"/>
      <c r="EWH383" s="252"/>
      <c r="EWI383" s="252"/>
      <c r="EWJ383" s="252"/>
      <c r="EWK383" s="252"/>
      <c r="EWL383" s="252"/>
      <c r="EWM383" s="252"/>
      <c r="EWN383" s="252"/>
      <c r="EWO383" s="252"/>
      <c r="EWP383" s="252"/>
      <c r="EWQ383" s="252"/>
      <c r="EWR383" s="252"/>
      <c r="EWS383" s="252"/>
      <c r="EWT383" s="252"/>
      <c r="EWU383" s="252"/>
      <c r="EWV383" s="252"/>
      <c r="EWW383" s="252"/>
      <c r="EWX383" s="252"/>
      <c r="EWY383" s="252"/>
      <c r="EWZ383" s="252"/>
      <c r="EXA383" s="252"/>
      <c r="EXB383" s="252"/>
      <c r="EXC383" s="252"/>
      <c r="EXD383" s="252"/>
      <c r="EXE383" s="252"/>
      <c r="EXF383" s="252"/>
      <c r="EXG383" s="252"/>
      <c r="EXH383" s="252"/>
      <c r="EXI383" s="252"/>
      <c r="EXJ383" s="252"/>
      <c r="EXK383" s="252"/>
      <c r="EXL383" s="252"/>
      <c r="EXM383" s="252"/>
      <c r="EXN383" s="252"/>
      <c r="EXO383" s="252"/>
      <c r="EXP383" s="252"/>
      <c r="EXQ383" s="252"/>
      <c r="EXR383" s="252"/>
      <c r="EXS383" s="252"/>
      <c r="EXT383" s="252"/>
      <c r="EXU383" s="252"/>
      <c r="EXV383" s="252"/>
      <c r="EXW383" s="252"/>
      <c r="EXX383" s="252"/>
      <c r="EXY383" s="252"/>
      <c r="EXZ383" s="252"/>
      <c r="EYA383" s="252"/>
      <c r="EYB383" s="252"/>
      <c r="EYC383" s="252"/>
      <c r="EYD383" s="252"/>
      <c r="EYE383" s="252"/>
      <c r="EYF383" s="252"/>
      <c r="EYG383" s="252"/>
      <c r="EYH383" s="252"/>
      <c r="EYI383" s="252"/>
      <c r="EYJ383" s="252"/>
      <c r="EYK383" s="252"/>
      <c r="EYL383" s="252"/>
      <c r="EYM383" s="252"/>
      <c r="EYN383" s="252"/>
      <c r="EYO383" s="252"/>
      <c r="EYP383" s="252"/>
      <c r="EYQ383" s="252"/>
      <c r="EYR383" s="252"/>
      <c r="EYS383" s="252"/>
      <c r="EYT383" s="252"/>
      <c r="EYU383" s="252"/>
      <c r="EYV383" s="252"/>
      <c r="EYW383" s="252"/>
      <c r="EYX383" s="252"/>
      <c r="EYY383" s="252"/>
      <c r="EYZ383" s="252"/>
      <c r="EZA383" s="252"/>
      <c r="EZB383" s="252"/>
      <c r="EZC383" s="252"/>
      <c r="EZD383" s="252"/>
      <c r="EZE383" s="252"/>
      <c r="EZF383" s="252"/>
      <c r="EZG383" s="252"/>
      <c r="EZH383" s="252"/>
      <c r="EZI383" s="252"/>
      <c r="EZJ383" s="252"/>
      <c r="EZK383" s="252"/>
      <c r="EZL383" s="252"/>
      <c r="EZM383" s="252"/>
      <c r="EZN383" s="252"/>
      <c r="EZO383" s="252"/>
      <c r="EZP383" s="252"/>
      <c r="EZQ383" s="252"/>
      <c r="EZR383" s="252"/>
      <c r="EZS383" s="252"/>
      <c r="EZT383" s="252"/>
      <c r="EZU383" s="252"/>
      <c r="EZV383" s="252"/>
      <c r="EZW383" s="252"/>
      <c r="EZX383" s="252"/>
      <c r="EZY383" s="252"/>
      <c r="EZZ383" s="252"/>
      <c r="FAA383" s="252"/>
      <c r="FAB383" s="252"/>
      <c r="FAC383" s="252"/>
      <c r="FAD383" s="252"/>
      <c r="FAE383" s="252"/>
      <c r="FAF383" s="252"/>
      <c r="FAG383" s="252"/>
      <c r="FAH383" s="252"/>
      <c r="FAI383" s="252"/>
      <c r="FAJ383" s="252"/>
      <c r="FAK383" s="252"/>
      <c r="FAL383" s="252"/>
      <c r="FAM383" s="252"/>
      <c r="FAN383" s="252"/>
      <c r="FAO383" s="252"/>
      <c r="FAP383" s="252"/>
      <c r="FAQ383" s="252"/>
      <c r="FAR383" s="252"/>
      <c r="FAS383" s="252"/>
      <c r="FAT383" s="252"/>
      <c r="FAU383" s="252"/>
      <c r="FAV383" s="252"/>
      <c r="FAW383" s="252"/>
      <c r="FAX383" s="252"/>
      <c r="FAY383" s="252"/>
      <c r="FAZ383" s="252"/>
      <c r="FBA383" s="252"/>
      <c r="FBB383" s="252"/>
      <c r="FBC383" s="252"/>
      <c r="FBD383" s="252"/>
      <c r="FBE383" s="252"/>
      <c r="FBF383" s="252"/>
      <c r="FBG383" s="252"/>
      <c r="FBH383" s="252"/>
      <c r="FBI383" s="252"/>
      <c r="FBJ383" s="252"/>
      <c r="FBK383" s="252"/>
      <c r="FBL383" s="252"/>
      <c r="FBM383" s="252"/>
      <c r="FBN383" s="252"/>
      <c r="FBO383" s="252"/>
      <c r="FBP383" s="252"/>
      <c r="FBQ383" s="252"/>
      <c r="FBR383" s="252"/>
      <c r="FBS383" s="252"/>
      <c r="FBT383" s="252"/>
      <c r="FBU383" s="252"/>
      <c r="FBV383" s="252"/>
      <c r="FBW383" s="252"/>
      <c r="FBX383" s="252"/>
      <c r="FBY383" s="252"/>
      <c r="FBZ383" s="252"/>
      <c r="FCA383" s="252"/>
      <c r="FCB383" s="252"/>
      <c r="FCC383" s="252"/>
      <c r="FCD383" s="252"/>
      <c r="FCE383" s="252"/>
      <c r="FCF383" s="252"/>
      <c r="FCG383" s="252"/>
      <c r="FCH383" s="252"/>
      <c r="FCI383" s="252"/>
      <c r="FCJ383" s="252"/>
      <c r="FCK383" s="252"/>
      <c r="FCL383" s="252"/>
      <c r="FCM383" s="252"/>
      <c r="FCN383" s="252"/>
      <c r="FCO383" s="252"/>
      <c r="FCP383" s="252"/>
      <c r="FCQ383" s="252"/>
      <c r="FCR383" s="252"/>
      <c r="FCS383" s="252"/>
      <c r="FCT383" s="252"/>
      <c r="FCU383" s="252"/>
      <c r="FCV383" s="252"/>
      <c r="FCW383" s="252"/>
      <c r="FCX383" s="252"/>
      <c r="FCY383" s="252"/>
      <c r="FCZ383" s="252"/>
      <c r="FDA383" s="252"/>
      <c r="FDB383" s="252"/>
      <c r="FDC383" s="252"/>
      <c r="FDD383" s="252"/>
      <c r="FDE383" s="252"/>
      <c r="FDF383" s="252"/>
      <c r="FDG383" s="252"/>
      <c r="FDH383" s="252"/>
      <c r="FDI383" s="252"/>
      <c r="FDJ383" s="252"/>
      <c r="FDK383" s="252"/>
      <c r="FDL383" s="252"/>
      <c r="FDM383" s="252"/>
      <c r="FDN383" s="252"/>
      <c r="FDO383" s="252"/>
      <c r="FDP383" s="252"/>
      <c r="FDQ383" s="252"/>
      <c r="FDR383" s="252"/>
      <c r="FDS383" s="252"/>
      <c r="FDT383" s="252"/>
      <c r="FDU383" s="252"/>
      <c r="FDV383" s="252"/>
      <c r="FDW383" s="252"/>
      <c r="FDX383" s="252"/>
      <c r="FDY383" s="252"/>
      <c r="FDZ383" s="252"/>
      <c r="FEA383" s="252"/>
      <c r="FEB383" s="252"/>
      <c r="FEC383" s="252"/>
      <c r="FED383" s="252"/>
      <c r="FEE383" s="252"/>
      <c r="FEF383" s="252"/>
      <c r="FEG383" s="252"/>
      <c r="FEH383" s="252"/>
      <c r="FEI383" s="252"/>
      <c r="FEJ383" s="252"/>
      <c r="FEK383" s="252"/>
      <c r="FEL383" s="252"/>
      <c r="FEM383" s="252"/>
      <c r="FEN383" s="252"/>
      <c r="FEO383" s="252"/>
      <c r="FEP383" s="252"/>
      <c r="FEQ383" s="252"/>
      <c r="FER383" s="252"/>
      <c r="FES383" s="252"/>
      <c r="FET383" s="252"/>
      <c r="FEU383" s="252"/>
      <c r="FEV383" s="252"/>
      <c r="FEW383" s="252"/>
      <c r="FEX383" s="252"/>
      <c r="FEY383" s="252"/>
      <c r="FEZ383" s="252"/>
      <c r="FFA383" s="252"/>
      <c r="FFB383" s="252"/>
      <c r="FFC383" s="252"/>
      <c r="FFD383" s="252"/>
      <c r="FFE383" s="252"/>
      <c r="FFF383" s="252"/>
      <c r="FFG383" s="252"/>
      <c r="FFH383" s="252"/>
      <c r="FFI383" s="252"/>
      <c r="FFJ383" s="252"/>
      <c r="FFK383" s="252"/>
      <c r="FFL383" s="252"/>
      <c r="FFM383" s="252"/>
      <c r="FFN383" s="252"/>
      <c r="FFO383" s="252"/>
      <c r="FFP383" s="252"/>
      <c r="FFQ383" s="252"/>
      <c r="FFR383" s="252"/>
      <c r="FFS383" s="252"/>
      <c r="FFT383" s="252"/>
      <c r="FFU383" s="252"/>
      <c r="FFV383" s="252"/>
      <c r="FFW383" s="252"/>
      <c r="FFX383" s="252"/>
      <c r="FFY383" s="252"/>
      <c r="FFZ383" s="252"/>
      <c r="FGA383" s="252"/>
      <c r="FGB383" s="252"/>
      <c r="FGC383" s="252"/>
      <c r="FGD383" s="252"/>
      <c r="FGE383" s="252"/>
      <c r="FGF383" s="252"/>
      <c r="FGG383" s="252"/>
      <c r="FGH383" s="252"/>
      <c r="FGI383" s="252"/>
      <c r="FGJ383" s="252"/>
      <c r="FGK383" s="252"/>
      <c r="FGL383" s="252"/>
      <c r="FGM383" s="252"/>
      <c r="FGN383" s="252"/>
      <c r="FGO383" s="252"/>
      <c r="FGP383" s="252"/>
      <c r="FGQ383" s="252"/>
      <c r="FGR383" s="252"/>
      <c r="FGS383" s="252"/>
      <c r="FGT383" s="252"/>
      <c r="FGU383" s="252"/>
      <c r="FGV383" s="252"/>
      <c r="FGW383" s="252"/>
      <c r="FGX383" s="252"/>
      <c r="FGY383" s="252"/>
      <c r="FGZ383" s="252"/>
      <c r="FHA383" s="252"/>
      <c r="FHB383" s="252"/>
      <c r="FHC383" s="252"/>
      <c r="FHD383" s="252"/>
      <c r="FHE383" s="252"/>
      <c r="FHF383" s="252"/>
      <c r="FHG383" s="252"/>
      <c r="FHH383" s="252"/>
      <c r="FHI383" s="252"/>
      <c r="FHJ383" s="252"/>
      <c r="FHK383" s="252"/>
      <c r="FHL383" s="252"/>
      <c r="FHM383" s="252"/>
      <c r="FHN383" s="252"/>
      <c r="FHO383" s="252"/>
      <c r="FHP383" s="252"/>
      <c r="FHQ383" s="252"/>
      <c r="FHR383" s="252"/>
      <c r="FHS383" s="252"/>
      <c r="FHT383" s="252"/>
      <c r="FHU383" s="252"/>
      <c r="FHV383" s="252"/>
      <c r="FHW383" s="252"/>
      <c r="FHX383" s="252"/>
      <c r="FHY383" s="252"/>
      <c r="FHZ383" s="252"/>
      <c r="FIA383" s="252"/>
      <c r="FIB383" s="252"/>
      <c r="FIC383" s="252"/>
      <c r="FID383" s="252"/>
      <c r="FIE383" s="252"/>
      <c r="FIF383" s="252"/>
      <c r="FIG383" s="252"/>
      <c r="FIH383" s="252"/>
      <c r="FII383" s="252"/>
      <c r="FIJ383" s="252"/>
      <c r="FIK383" s="252"/>
      <c r="FIL383" s="252"/>
      <c r="FIM383" s="252"/>
      <c r="FIN383" s="252"/>
      <c r="FIO383" s="252"/>
      <c r="FIP383" s="252"/>
      <c r="FIQ383" s="252"/>
      <c r="FIR383" s="252"/>
      <c r="FIS383" s="252"/>
      <c r="FIT383" s="252"/>
      <c r="FIU383" s="252"/>
      <c r="FIV383" s="252"/>
      <c r="FIW383" s="252"/>
      <c r="FIX383" s="252"/>
      <c r="FIY383" s="252"/>
      <c r="FIZ383" s="252"/>
      <c r="FJA383" s="252"/>
      <c r="FJB383" s="252"/>
      <c r="FJC383" s="252"/>
      <c r="FJD383" s="252"/>
      <c r="FJE383" s="252"/>
      <c r="FJF383" s="252"/>
      <c r="FJG383" s="252"/>
      <c r="FJH383" s="252"/>
      <c r="FJI383" s="252"/>
      <c r="FJJ383" s="252"/>
      <c r="FJK383" s="252"/>
      <c r="FJL383" s="252"/>
      <c r="FJM383" s="252"/>
      <c r="FJN383" s="252"/>
      <c r="FJO383" s="252"/>
      <c r="FJP383" s="252"/>
      <c r="FJQ383" s="252"/>
      <c r="FJR383" s="252"/>
      <c r="FJS383" s="252"/>
      <c r="FJT383" s="252"/>
      <c r="FJU383" s="252"/>
      <c r="FJV383" s="252"/>
      <c r="FJW383" s="252"/>
      <c r="FJX383" s="252"/>
      <c r="FJY383" s="252"/>
      <c r="FJZ383" s="252"/>
      <c r="FKA383" s="252"/>
      <c r="FKB383" s="252"/>
      <c r="FKC383" s="252"/>
      <c r="FKD383" s="252"/>
      <c r="FKE383" s="252"/>
      <c r="FKF383" s="252"/>
      <c r="FKG383" s="252"/>
      <c r="FKH383" s="252"/>
      <c r="FKI383" s="252"/>
      <c r="FKJ383" s="252"/>
      <c r="FKK383" s="252"/>
      <c r="FKL383" s="252"/>
      <c r="FKM383" s="252"/>
      <c r="FKN383" s="252"/>
      <c r="FKO383" s="252"/>
      <c r="FKP383" s="252"/>
      <c r="FKQ383" s="252"/>
      <c r="FKR383" s="252"/>
      <c r="FKS383" s="252"/>
      <c r="FKT383" s="252"/>
      <c r="FKU383" s="252"/>
      <c r="FKV383" s="252"/>
      <c r="FKW383" s="252"/>
      <c r="FKX383" s="252"/>
      <c r="FKY383" s="252"/>
      <c r="FKZ383" s="252"/>
      <c r="FLA383" s="252"/>
      <c r="FLB383" s="252"/>
      <c r="FLC383" s="252"/>
      <c r="FLD383" s="252"/>
      <c r="FLE383" s="252"/>
      <c r="FLF383" s="252"/>
      <c r="FLG383" s="252"/>
      <c r="FLH383" s="252"/>
      <c r="FLI383" s="252"/>
      <c r="FLJ383" s="252"/>
      <c r="FLK383" s="252"/>
      <c r="FLL383" s="252"/>
      <c r="FLM383" s="252"/>
      <c r="FLN383" s="252"/>
      <c r="FLO383" s="252"/>
      <c r="FLP383" s="252"/>
      <c r="FLQ383" s="252"/>
      <c r="FLR383" s="252"/>
      <c r="FLS383" s="252"/>
      <c r="FLT383" s="252"/>
      <c r="FLU383" s="252"/>
      <c r="FLV383" s="252"/>
      <c r="FLW383" s="252"/>
      <c r="FLX383" s="252"/>
      <c r="FLY383" s="252"/>
      <c r="FLZ383" s="252"/>
      <c r="FMA383" s="252"/>
      <c r="FMB383" s="252"/>
      <c r="FMC383" s="252"/>
      <c r="FMD383" s="252"/>
      <c r="FME383" s="252"/>
      <c r="FMF383" s="252"/>
      <c r="FMG383" s="252"/>
      <c r="FMH383" s="252"/>
      <c r="FMI383" s="252"/>
      <c r="FMJ383" s="252"/>
      <c r="FMK383" s="252"/>
      <c r="FML383" s="252"/>
      <c r="FMM383" s="252"/>
      <c r="FMN383" s="252"/>
      <c r="FMO383" s="252"/>
      <c r="FMP383" s="252"/>
      <c r="FMQ383" s="252"/>
      <c r="FMR383" s="252"/>
      <c r="FMS383" s="252"/>
      <c r="FMT383" s="252"/>
      <c r="FMU383" s="252"/>
      <c r="FMV383" s="252"/>
      <c r="FMW383" s="252"/>
      <c r="FMX383" s="252"/>
      <c r="FMY383" s="252"/>
      <c r="FMZ383" s="252"/>
      <c r="FNA383" s="252"/>
      <c r="FNB383" s="252"/>
      <c r="FNC383" s="252"/>
      <c r="FND383" s="252"/>
      <c r="FNE383" s="252"/>
      <c r="FNF383" s="252"/>
      <c r="FNG383" s="252"/>
      <c r="FNH383" s="252"/>
      <c r="FNI383" s="252"/>
      <c r="FNJ383" s="252"/>
      <c r="FNK383" s="252"/>
      <c r="FNL383" s="252"/>
      <c r="FNM383" s="252"/>
      <c r="FNN383" s="252"/>
      <c r="FNO383" s="252"/>
      <c r="FNP383" s="252"/>
      <c r="FNQ383" s="252"/>
      <c r="FNR383" s="252"/>
      <c r="FNS383" s="252"/>
      <c r="FNT383" s="252"/>
      <c r="FNU383" s="252"/>
      <c r="FNV383" s="252"/>
      <c r="FNW383" s="252"/>
      <c r="FNX383" s="252"/>
      <c r="FNY383" s="252"/>
      <c r="FNZ383" s="252"/>
      <c r="FOA383" s="252"/>
      <c r="FOB383" s="252"/>
      <c r="FOC383" s="252"/>
      <c r="FOD383" s="252"/>
      <c r="FOE383" s="252"/>
      <c r="FOF383" s="252"/>
      <c r="FOG383" s="252"/>
      <c r="FOH383" s="252"/>
      <c r="FOI383" s="252"/>
      <c r="FOJ383" s="252"/>
      <c r="FOK383" s="252"/>
      <c r="FOL383" s="252"/>
      <c r="FOM383" s="252"/>
      <c r="FON383" s="252"/>
      <c r="FOO383" s="252"/>
      <c r="FOP383" s="252"/>
      <c r="FOQ383" s="252"/>
      <c r="FOR383" s="252"/>
      <c r="FOS383" s="252"/>
      <c r="FOT383" s="252"/>
      <c r="FOU383" s="252"/>
      <c r="FOV383" s="252"/>
      <c r="FOW383" s="252"/>
      <c r="FOX383" s="252"/>
      <c r="FOY383" s="252"/>
      <c r="FOZ383" s="252"/>
      <c r="FPA383" s="252"/>
      <c r="FPB383" s="252"/>
      <c r="FPC383" s="252"/>
      <c r="FPD383" s="252"/>
      <c r="FPE383" s="252"/>
      <c r="FPF383" s="252"/>
      <c r="FPG383" s="252"/>
      <c r="FPH383" s="252"/>
      <c r="FPI383" s="252"/>
      <c r="FPJ383" s="252"/>
      <c r="FPK383" s="252"/>
      <c r="FPL383" s="252"/>
      <c r="FPM383" s="252"/>
      <c r="FPN383" s="252"/>
      <c r="FPO383" s="252"/>
      <c r="FPP383" s="252"/>
      <c r="FPQ383" s="252"/>
      <c r="FPR383" s="252"/>
      <c r="FPS383" s="252"/>
      <c r="FPT383" s="252"/>
      <c r="FPU383" s="252"/>
      <c r="FPV383" s="252"/>
      <c r="FPW383" s="252"/>
      <c r="FPX383" s="252"/>
      <c r="FPY383" s="252"/>
      <c r="FPZ383" s="252"/>
      <c r="FQA383" s="252"/>
      <c r="FQB383" s="252"/>
      <c r="FQC383" s="252"/>
      <c r="FQD383" s="252"/>
      <c r="FQE383" s="252"/>
      <c r="FQF383" s="252"/>
      <c r="FQG383" s="252"/>
      <c r="FQH383" s="252"/>
      <c r="FQI383" s="252"/>
      <c r="FQJ383" s="252"/>
      <c r="FQK383" s="252"/>
      <c r="FQL383" s="252"/>
      <c r="FQM383" s="252"/>
      <c r="FQN383" s="252"/>
      <c r="FQO383" s="252"/>
      <c r="FQP383" s="252"/>
      <c r="FQQ383" s="252"/>
      <c r="FQR383" s="252"/>
      <c r="FQS383" s="252"/>
      <c r="FQT383" s="252"/>
      <c r="FQU383" s="252"/>
      <c r="FQV383" s="252"/>
      <c r="FQW383" s="252"/>
      <c r="FQX383" s="252"/>
      <c r="FQY383" s="252"/>
      <c r="FQZ383" s="252"/>
      <c r="FRA383" s="252"/>
      <c r="FRB383" s="252"/>
      <c r="FRC383" s="252"/>
      <c r="FRD383" s="252"/>
      <c r="FRE383" s="252"/>
      <c r="FRF383" s="252"/>
      <c r="FRG383" s="252"/>
      <c r="FRH383" s="252"/>
      <c r="FRI383" s="252"/>
      <c r="FRJ383" s="252"/>
      <c r="FRK383" s="252"/>
      <c r="FRL383" s="252"/>
      <c r="FRM383" s="252"/>
      <c r="FRN383" s="252"/>
      <c r="FRO383" s="252"/>
      <c r="FRP383" s="252"/>
      <c r="FRQ383" s="252"/>
      <c r="FRR383" s="252"/>
      <c r="FRS383" s="252"/>
      <c r="FRT383" s="252"/>
      <c r="FRU383" s="252"/>
      <c r="FRV383" s="252"/>
      <c r="FRW383" s="252"/>
      <c r="FRX383" s="252"/>
      <c r="FRY383" s="252"/>
      <c r="FRZ383" s="252"/>
      <c r="FSA383" s="252"/>
      <c r="FSB383" s="252"/>
      <c r="FSC383" s="252"/>
      <c r="FSD383" s="252"/>
      <c r="FSE383" s="252"/>
      <c r="FSF383" s="252"/>
      <c r="FSG383" s="252"/>
      <c r="FSH383" s="252"/>
      <c r="FSI383" s="252"/>
      <c r="FSJ383" s="252"/>
      <c r="FSK383" s="252"/>
      <c r="FSL383" s="252"/>
      <c r="FSM383" s="252"/>
      <c r="FSN383" s="252"/>
      <c r="FSO383" s="252"/>
      <c r="FSP383" s="252"/>
      <c r="FSQ383" s="252"/>
      <c r="FSR383" s="252"/>
      <c r="FSS383" s="252"/>
      <c r="FST383" s="252"/>
      <c r="FSU383" s="252"/>
      <c r="FSV383" s="252"/>
      <c r="FSW383" s="252"/>
      <c r="FSX383" s="252"/>
      <c r="FSY383" s="252"/>
      <c r="FSZ383" s="252"/>
      <c r="FTA383" s="252"/>
      <c r="FTB383" s="252"/>
      <c r="FTC383" s="252"/>
      <c r="FTD383" s="252"/>
      <c r="FTE383" s="252"/>
      <c r="FTF383" s="252"/>
      <c r="FTG383" s="252"/>
      <c r="FTH383" s="252"/>
      <c r="FTI383" s="252"/>
      <c r="FTJ383" s="252"/>
      <c r="FTK383" s="252"/>
      <c r="FTL383" s="252"/>
      <c r="FTM383" s="252"/>
      <c r="FTN383" s="252"/>
      <c r="FTO383" s="252"/>
      <c r="FTP383" s="252"/>
      <c r="FTQ383" s="252"/>
      <c r="FTR383" s="252"/>
      <c r="FTS383" s="252"/>
      <c r="FTT383" s="252"/>
      <c r="FTU383" s="252"/>
      <c r="FTV383" s="252"/>
      <c r="FTW383" s="252"/>
      <c r="FTX383" s="252"/>
      <c r="FTY383" s="252"/>
      <c r="FTZ383" s="252"/>
      <c r="FUA383" s="252"/>
      <c r="FUB383" s="252"/>
      <c r="FUC383" s="252"/>
      <c r="FUD383" s="252"/>
      <c r="FUE383" s="252"/>
      <c r="FUF383" s="252"/>
      <c r="FUG383" s="252"/>
      <c r="FUH383" s="252"/>
      <c r="FUI383" s="252"/>
      <c r="FUJ383" s="252"/>
      <c r="FUK383" s="252"/>
      <c r="FUL383" s="252"/>
      <c r="FUM383" s="252"/>
      <c r="FUN383" s="252"/>
      <c r="FUO383" s="252"/>
      <c r="FUP383" s="252"/>
      <c r="FUQ383" s="252"/>
      <c r="FUR383" s="252"/>
      <c r="FUS383" s="252"/>
      <c r="FUT383" s="252"/>
      <c r="FUU383" s="252"/>
      <c r="FUV383" s="252"/>
      <c r="FUW383" s="252"/>
      <c r="FUX383" s="252"/>
      <c r="FUY383" s="252"/>
      <c r="FUZ383" s="252"/>
      <c r="FVA383" s="252"/>
      <c r="FVB383" s="252"/>
      <c r="FVC383" s="252"/>
      <c r="FVD383" s="252"/>
      <c r="FVE383" s="252"/>
      <c r="FVF383" s="252"/>
      <c r="FVG383" s="252"/>
      <c r="FVH383" s="252"/>
      <c r="FVI383" s="252"/>
      <c r="FVJ383" s="252"/>
      <c r="FVK383" s="252"/>
      <c r="FVL383" s="252"/>
      <c r="FVM383" s="252"/>
      <c r="FVN383" s="252"/>
      <c r="FVO383" s="252"/>
      <c r="FVP383" s="252"/>
      <c r="FVQ383" s="252"/>
      <c r="FVR383" s="252"/>
      <c r="FVS383" s="252"/>
      <c r="FVT383" s="252"/>
      <c r="FVU383" s="252"/>
      <c r="FVV383" s="252"/>
      <c r="FVW383" s="252"/>
      <c r="FVX383" s="252"/>
      <c r="FVY383" s="252"/>
      <c r="FVZ383" s="252"/>
      <c r="FWA383" s="252"/>
      <c r="FWB383" s="252"/>
      <c r="FWC383" s="252"/>
      <c r="FWD383" s="252"/>
      <c r="FWE383" s="252"/>
      <c r="FWF383" s="252"/>
      <c r="FWG383" s="252"/>
      <c r="FWH383" s="252"/>
      <c r="FWI383" s="252"/>
      <c r="FWJ383" s="252"/>
      <c r="FWK383" s="252"/>
      <c r="FWL383" s="252"/>
      <c r="FWM383" s="252"/>
      <c r="FWN383" s="252"/>
      <c r="FWO383" s="252"/>
      <c r="FWP383" s="252"/>
      <c r="FWQ383" s="252"/>
      <c r="FWR383" s="252"/>
      <c r="FWS383" s="252"/>
      <c r="FWT383" s="252"/>
      <c r="FWU383" s="252"/>
      <c r="FWV383" s="252"/>
      <c r="FWW383" s="252"/>
      <c r="FWX383" s="252"/>
      <c r="FWY383" s="252"/>
      <c r="FWZ383" s="252"/>
      <c r="FXA383" s="252"/>
      <c r="FXB383" s="252"/>
      <c r="FXC383" s="252"/>
      <c r="FXD383" s="252"/>
      <c r="FXE383" s="252"/>
      <c r="FXF383" s="252"/>
      <c r="FXG383" s="252"/>
      <c r="FXH383" s="252"/>
      <c r="FXI383" s="252"/>
      <c r="FXJ383" s="252"/>
      <c r="FXK383" s="252"/>
      <c r="FXL383" s="252"/>
      <c r="FXM383" s="252"/>
      <c r="FXN383" s="252"/>
      <c r="FXO383" s="252"/>
      <c r="FXP383" s="252"/>
      <c r="FXQ383" s="252"/>
      <c r="FXR383" s="252"/>
      <c r="FXS383" s="252"/>
      <c r="FXT383" s="252"/>
      <c r="FXU383" s="252"/>
      <c r="FXV383" s="252"/>
      <c r="FXW383" s="252"/>
      <c r="FXX383" s="252"/>
      <c r="FXY383" s="252"/>
      <c r="FXZ383" s="252"/>
      <c r="FYA383" s="252"/>
      <c r="FYB383" s="252"/>
      <c r="FYC383" s="252"/>
      <c r="FYD383" s="252"/>
      <c r="FYE383" s="252"/>
      <c r="FYF383" s="252"/>
      <c r="FYG383" s="252"/>
      <c r="FYH383" s="252"/>
      <c r="FYI383" s="252"/>
      <c r="FYJ383" s="252"/>
      <c r="FYK383" s="252"/>
      <c r="FYL383" s="252"/>
      <c r="FYM383" s="252"/>
      <c r="FYN383" s="252"/>
      <c r="FYO383" s="252"/>
      <c r="FYP383" s="252"/>
      <c r="FYQ383" s="252"/>
      <c r="FYR383" s="252"/>
      <c r="FYS383" s="252"/>
      <c r="FYT383" s="252"/>
      <c r="FYU383" s="252"/>
      <c r="FYV383" s="252"/>
      <c r="FYW383" s="252"/>
      <c r="FYX383" s="252"/>
      <c r="FYY383" s="252"/>
      <c r="FYZ383" s="252"/>
      <c r="FZA383" s="252"/>
      <c r="FZB383" s="252"/>
      <c r="FZC383" s="252"/>
      <c r="FZD383" s="252"/>
      <c r="FZE383" s="252"/>
      <c r="FZF383" s="252"/>
      <c r="FZG383" s="252"/>
      <c r="FZH383" s="252"/>
      <c r="FZI383" s="252"/>
      <c r="FZJ383" s="252"/>
      <c r="FZK383" s="252"/>
      <c r="FZL383" s="252"/>
      <c r="FZM383" s="252"/>
      <c r="FZN383" s="252"/>
      <c r="FZO383" s="252"/>
      <c r="FZP383" s="252"/>
      <c r="FZQ383" s="252"/>
      <c r="FZR383" s="252"/>
      <c r="FZS383" s="252"/>
      <c r="FZT383" s="252"/>
      <c r="FZU383" s="252"/>
      <c r="FZV383" s="252"/>
      <c r="FZW383" s="252"/>
      <c r="FZX383" s="252"/>
      <c r="FZY383" s="252"/>
      <c r="FZZ383" s="252"/>
      <c r="GAA383" s="252"/>
      <c r="GAB383" s="252"/>
      <c r="GAC383" s="252"/>
      <c r="GAD383" s="252"/>
      <c r="GAE383" s="252"/>
      <c r="GAF383" s="252"/>
      <c r="GAG383" s="252"/>
      <c r="GAH383" s="252"/>
      <c r="GAI383" s="252"/>
      <c r="GAJ383" s="252"/>
      <c r="GAK383" s="252"/>
      <c r="GAL383" s="252"/>
      <c r="GAM383" s="252"/>
      <c r="GAN383" s="252"/>
      <c r="GAO383" s="252"/>
      <c r="GAP383" s="252"/>
      <c r="GAQ383" s="252"/>
      <c r="GAR383" s="252"/>
      <c r="GAS383" s="252"/>
      <c r="GAT383" s="252"/>
      <c r="GAU383" s="252"/>
      <c r="GAV383" s="252"/>
      <c r="GAW383" s="252"/>
      <c r="GAX383" s="252"/>
      <c r="GAY383" s="252"/>
      <c r="GAZ383" s="252"/>
      <c r="GBA383" s="252"/>
      <c r="GBB383" s="252"/>
      <c r="GBC383" s="252"/>
      <c r="GBD383" s="252"/>
      <c r="GBE383" s="252"/>
      <c r="GBF383" s="252"/>
      <c r="GBG383" s="252"/>
      <c r="GBH383" s="252"/>
      <c r="GBI383" s="252"/>
      <c r="GBJ383" s="252"/>
      <c r="GBK383" s="252"/>
      <c r="GBL383" s="252"/>
      <c r="GBM383" s="252"/>
      <c r="GBN383" s="252"/>
      <c r="GBO383" s="252"/>
      <c r="GBP383" s="252"/>
      <c r="GBQ383" s="252"/>
      <c r="GBR383" s="252"/>
      <c r="GBS383" s="252"/>
      <c r="GBT383" s="252"/>
      <c r="GBU383" s="252"/>
      <c r="GBV383" s="252"/>
      <c r="GBW383" s="252"/>
      <c r="GBX383" s="252"/>
      <c r="GBY383" s="252"/>
      <c r="GBZ383" s="252"/>
      <c r="GCA383" s="252"/>
      <c r="GCB383" s="252"/>
      <c r="GCC383" s="252"/>
      <c r="GCD383" s="252"/>
      <c r="GCE383" s="252"/>
      <c r="GCF383" s="252"/>
      <c r="GCG383" s="252"/>
      <c r="GCH383" s="252"/>
      <c r="GCI383" s="252"/>
      <c r="GCJ383" s="252"/>
      <c r="GCK383" s="252"/>
      <c r="GCL383" s="252"/>
      <c r="GCM383" s="252"/>
      <c r="GCN383" s="252"/>
      <c r="GCO383" s="252"/>
      <c r="GCP383" s="252"/>
      <c r="GCQ383" s="252"/>
      <c r="GCR383" s="252"/>
      <c r="GCS383" s="252"/>
      <c r="GCT383" s="252"/>
      <c r="GCU383" s="252"/>
      <c r="GCV383" s="252"/>
      <c r="GCW383" s="252"/>
      <c r="GCX383" s="252"/>
      <c r="GCY383" s="252"/>
      <c r="GCZ383" s="252"/>
      <c r="GDA383" s="252"/>
      <c r="GDB383" s="252"/>
      <c r="GDC383" s="252"/>
      <c r="GDD383" s="252"/>
      <c r="GDE383" s="252"/>
      <c r="GDF383" s="252"/>
      <c r="GDG383" s="252"/>
      <c r="GDH383" s="252"/>
      <c r="GDI383" s="252"/>
      <c r="GDJ383" s="252"/>
      <c r="GDK383" s="252"/>
      <c r="GDL383" s="252"/>
      <c r="GDM383" s="252"/>
      <c r="GDN383" s="252"/>
      <c r="GDO383" s="252"/>
      <c r="GDP383" s="252"/>
      <c r="GDQ383" s="252"/>
      <c r="GDR383" s="252"/>
      <c r="GDS383" s="252"/>
      <c r="GDT383" s="252"/>
      <c r="GDU383" s="252"/>
      <c r="GDV383" s="252"/>
      <c r="GDW383" s="252"/>
      <c r="GDX383" s="252"/>
      <c r="GDY383" s="252"/>
      <c r="GDZ383" s="252"/>
      <c r="GEA383" s="252"/>
      <c r="GEB383" s="252"/>
      <c r="GEC383" s="252"/>
      <c r="GED383" s="252"/>
      <c r="GEE383" s="252"/>
      <c r="GEF383" s="252"/>
      <c r="GEG383" s="252"/>
      <c r="GEH383" s="252"/>
      <c r="GEI383" s="252"/>
      <c r="GEJ383" s="252"/>
      <c r="GEK383" s="252"/>
      <c r="GEL383" s="252"/>
      <c r="GEM383" s="252"/>
      <c r="GEN383" s="252"/>
      <c r="GEO383" s="252"/>
      <c r="GEP383" s="252"/>
      <c r="GEQ383" s="252"/>
      <c r="GER383" s="252"/>
      <c r="GES383" s="252"/>
      <c r="GET383" s="252"/>
      <c r="GEU383" s="252"/>
      <c r="GEV383" s="252"/>
      <c r="GEW383" s="252"/>
      <c r="GEX383" s="252"/>
      <c r="GEY383" s="252"/>
      <c r="GEZ383" s="252"/>
      <c r="GFA383" s="252"/>
      <c r="GFB383" s="252"/>
      <c r="GFC383" s="252"/>
      <c r="GFD383" s="252"/>
      <c r="GFE383" s="252"/>
      <c r="GFF383" s="252"/>
      <c r="GFG383" s="252"/>
      <c r="GFH383" s="252"/>
      <c r="GFI383" s="252"/>
      <c r="GFJ383" s="252"/>
      <c r="GFK383" s="252"/>
      <c r="GFL383" s="252"/>
      <c r="GFM383" s="252"/>
      <c r="GFN383" s="252"/>
      <c r="GFO383" s="252"/>
      <c r="GFP383" s="252"/>
      <c r="GFQ383" s="252"/>
      <c r="GFR383" s="252"/>
      <c r="GFS383" s="252"/>
      <c r="GFT383" s="252"/>
      <c r="GFU383" s="252"/>
      <c r="GFV383" s="252"/>
      <c r="GFW383" s="252"/>
      <c r="GFX383" s="252"/>
      <c r="GFY383" s="252"/>
      <c r="GFZ383" s="252"/>
      <c r="GGA383" s="252"/>
      <c r="GGB383" s="252"/>
      <c r="GGC383" s="252"/>
      <c r="GGD383" s="252"/>
      <c r="GGE383" s="252"/>
      <c r="GGF383" s="252"/>
      <c r="GGG383" s="252"/>
      <c r="GGH383" s="252"/>
      <c r="GGI383" s="252"/>
      <c r="GGJ383" s="252"/>
      <c r="GGK383" s="252"/>
      <c r="GGL383" s="252"/>
      <c r="GGM383" s="252"/>
      <c r="GGN383" s="252"/>
      <c r="GGO383" s="252"/>
      <c r="GGP383" s="252"/>
      <c r="GGQ383" s="252"/>
      <c r="GGR383" s="252"/>
      <c r="GGS383" s="252"/>
      <c r="GGT383" s="252"/>
      <c r="GGU383" s="252"/>
      <c r="GGV383" s="252"/>
      <c r="GGW383" s="252"/>
      <c r="GGX383" s="252"/>
      <c r="GGY383" s="252"/>
      <c r="GGZ383" s="252"/>
      <c r="GHA383" s="252"/>
      <c r="GHB383" s="252"/>
      <c r="GHC383" s="252"/>
      <c r="GHD383" s="252"/>
      <c r="GHE383" s="252"/>
      <c r="GHF383" s="252"/>
      <c r="GHG383" s="252"/>
      <c r="GHH383" s="252"/>
      <c r="GHI383" s="252"/>
      <c r="GHJ383" s="252"/>
      <c r="GHK383" s="252"/>
      <c r="GHL383" s="252"/>
      <c r="GHM383" s="252"/>
      <c r="GHN383" s="252"/>
      <c r="GHO383" s="252"/>
      <c r="GHP383" s="252"/>
      <c r="GHQ383" s="252"/>
      <c r="GHR383" s="252"/>
      <c r="GHS383" s="252"/>
      <c r="GHT383" s="252"/>
      <c r="GHU383" s="252"/>
      <c r="GHV383" s="252"/>
      <c r="GHW383" s="252"/>
      <c r="GHX383" s="252"/>
      <c r="GHY383" s="252"/>
      <c r="GHZ383" s="252"/>
      <c r="GIA383" s="252"/>
      <c r="GIB383" s="252"/>
      <c r="GIC383" s="252"/>
      <c r="GID383" s="252"/>
      <c r="GIE383" s="252"/>
      <c r="GIF383" s="252"/>
      <c r="GIG383" s="252"/>
      <c r="GIH383" s="252"/>
      <c r="GII383" s="252"/>
      <c r="GIJ383" s="252"/>
      <c r="GIK383" s="252"/>
      <c r="GIL383" s="252"/>
      <c r="GIM383" s="252"/>
      <c r="GIN383" s="252"/>
      <c r="GIO383" s="252"/>
      <c r="GIP383" s="252"/>
      <c r="GIQ383" s="252"/>
      <c r="GIR383" s="252"/>
      <c r="GIS383" s="252"/>
      <c r="GIT383" s="252"/>
      <c r="GIU383" s="252"/>
      <c r="GIV383" s="252"/>
      <c r="GIW383" s="252"/>
      <c r="GIX383" s="252"/>
      <c r="GIY383" s="252"/>
      <c r="GIZ383" s="252"/>
      <c r="GJA383" s="252"/>
      <c r="GJB383" s="252"/>
      <c r="GJC383" s="252"/>
      <c r="GJD383" s="252"/>
      <c r="GJE383" s="252"/>
      <c r="GJF383" s="252"/>
      <c r="GJG383" s="252"/>
      <c r="GJH383" s="252"/>
      <c r="GJI383" s="252"/>
      <c r="GJJ383" s="252"/>
      <c r="GJK383" s="252"/>
      <c r="GJL383" s="252"/>
      <c r="GJM383" s="252"/>
      <c r="GJN383" s="252"/>
      <c r="GJO383" s="252"/>
      <c r="GJP383" s="252"/>
      <c r="GJQ383" s="252"/>
      <c r="GJR383" s="252"/>
      <c r="GJS383" s="252"/>
      <c r="GJT383" s="252"/>
      <c r="GJU383" s="252"/>
      <c r="GJV383" s="252"/>
      <c r="GJW383" s="252"/>
      <c r="GJX383" s="252"/>
      <c r="GJY383" s="252"/>
      <c r="GJZ383" s="252"/>
      <c r="GKA383" s="252"/>
      <c r="GKB383" s="252"/>
      <c r="GKC383" s="252"/>
      <c r="GKD383" s="252"/>
      <c r="GKE383" s="252"/>
      <c r="GKF383" s="252"/>
      <c r="GKG383" s="252"/>
      <c r="GKH383" s="252"/>
      <c r="GKI383" s="252"/>
      <c r="GKJ383" s="252"/>
      <c r="GKK383" s="252"/>
      <c r="GKL383" s="252"/>
      <c r="GKM383" s="252"/>
      <c r="GKN383" s="252"/>
      <c r="GKO383" s="252"/>
      <c r="GKP383" s="252"/>
      <c r="GKQ383" s="252"/>
      <c r="GKR383" s="252"/>
      <c r="GKS383" s="252"/>
      <c r="GKT383" s="252"/>
      <c r="GKU383" s="252"/>
      <c r="GKV383" s="252"/>
      <c r="GKW383" s="252"/>
      <c r="GKX383" s="252"/>
      <c r="GKY383" s="252"/>
      <c r="GKZ383" s="252"/>
      <c r="GLA383" s="252"/>
      <c r="GLB383" s="252"/>
      <c r="GLC383" s="252"/>
      <c r="GLD383" s="252"/>
      <c r="GLE383" s="252"/>
      <c r="GLF383" s="252"/>
      <c r="GLG383" s="252"/>
      <c r="GLH383" s="252"/>
      <c r="GLI383" s="252"/>
      <c r="GLJ383" s="252"/>
      <c r="GLK383" s="252"/>
      <c r="GLL383" s="252"/>
      <c r="GLM383" s="252"/>
      <c r="GLN383" s="252"/>
      <c r="GLO383" s="252"/>
      <c r="GLP383" s="252"/>
      <c r="GLQ383" s="252"/>
      <c r="GLR383" s="252"/>
      <c r="GLS383" s="252"/>
      <c r="GLT383" s="252"/>
      <c r="GLU383" s="252"/>
      <c r="GLV383" s="252"/>
      <c r="GLW383" s="252"/>
      <c r="GLX383" s="252"/>
      <c r="GLY383" s="252"/>
      <c r="GLZ383" s="252"/>
      <c r="GMA383" s="252"/>
      <c r="GMB383" s="252"/>
      <c r="GMC383" s="252"/>
      <c r="GMD383" s="252"/>
      <c r="GME383" s="252"/>
      <c r="GMF383" s="252"/>
      <c r="GMG383" s="252"/>
      <c r="GMH383" s="252"/>
      <c r="GMI383" s="252"/>
      <c r="GMJ383" s="252"/>
      <c r="GMK383" s="252"/>
      <c r="GML383" s="252"/>
      <c r="GMM383" s="252"/>
      <c r="GMN383" s="252"/>
      <c r="GMO383" s="252"/>
      <c r="GMP383" s="252"/>
      <c r="GMQ383" s="252"/>
      <c r="GMR383" s="252"/>
      <c r="GMS383" s="252"/>
      <c r="GMT383" s="252"/>
      <c r="GMU383" s="252"/>
      <c r="GMV383" s="252"/>
      <c r="GMW383" s="252"/>
      <c r="GMX383" s="252"/>
      <c r="GMY383" s="252"/>
      <c r="GMZ383" s="252"/>
      <c r="GNA383" s="252"/>
      <c r="GNB383" s="252"/>
      <c r="GNC383" s="252"/>
      <c r="GND383" s="252"/>
      <c r="GNE383" s="252"/>
      <c r="GNF383" s="252"/>
      <c r="GNG383" s="252"/>
      <c r="GNH383" s="252"/>
      <c r="GNI383" s="252"/>
      <c r="GNJ383" s="252"/>
      <c r="GNK383" s="252"/>
      <c r="GNL383" s="252"/>
      <c r="GNM383" s="252"/>
      <c r="GNN383" s="252"/>
      <c r="GNO383" s="252"/>
      <c r="GNP383" s="252"/>
      <c r="GNQ383" s="252"/>
      <c r="GNR383" s="252"/>
      <c r="GNS383" s="252"/>
      <c r="GNT383" s="252"/>
      <c r="GNU383" s="252"/>
      <c r="GNV383" s="252"/>
      <c r="GNW383" s="252"/>
      <c r="GNX383" s="252"/>
      <c r="GNY383" s="252"/>
      <c r="GNZ383" s="252"/>
      <c r="GOA383" s="252"/>
      <c r="GOB383" s="252"/>
      <c r="GOC383" s="252"/>
      <c r="GOD383" s="252"/>
      <c r="GOE383" s="252"/>
      <c r="GOF383" s="252"/>
      <c r="GOG383" s="252"/>
      <c r="GOH383" s="252"/>
      <c r="GOI383" s="252"/>
      <c r="GOJ383" s="252"/>
      <c r="GOK383" s="252"/>
      <c r="GOL383" s="252"/>
      <c r="GOM383" s="252"/>
      <c r="GON383" s="252"/>
      <c r="GOO383" s="252"/>
      <c r="GOP383" s="252"/>
      <c r="GOQ383" s="252"/>
      <c r="GOR383" s="252"/>
      <c r="GOS383" s="252"/>
      <c r="GOT383" s="252"/>
      <c r="GOU383" s="252"/>
      <c r="GOV383" s="252"/>
      <c r="GOW383" s="252"/>
      <c r="GOX383" s="252"/>
      <c r="GOY383" s="252"/>
      <c r="GOZ383" s="252"/>
      <c r="GPA383" s="252"/>
      <c r="GPB383" s="252"/>
      <c r="GPC383" s="252"/>
      <c r="GPD383" s="252"/>
      <c r="GPE383" s="252"/>
      <c r="GPF383" s="252"/>
      <c r="GPG383" s="252"/>
      <c r="GPH383" s="252"/>
      <c r="GPI383" s="252"/>
      <c r="GPJ383" s="252"/>
      <c r="GPK383" s="252"/>
      <c r="GPL383" s="252"/>
      <c r="GPM383" s="252"/>
      <c r="GPN383" s="252"/>
      <c r="GPO383" s="252"/>
      <c r="GPP383" s="252"/>
      <c r="GPQ383" s="252"/>
      <c r="GPR383" s="252"/>
      <c r="GPS383" s="252"/>
      <c r="GPT383" s="252"/>
      <c r="GPU383" s="252"/>
      <c r="GPV383" s="252"/>
      <c r="GPW383" s="252"/>
      <c r="GPX383" s="252"/>
      <c r="GPY383" s="252"/>
      <c r="GPZ383" s="252"/>
      <c r="GQA383" s="252"/>
      <c r="GQB383" s="252"/>
      <c r="GQC383" s="252"/>
      <c r="GQD383" s="252"/>
      <c r="GQE383" s="252"/>
      <c r="GQF383" s="252"/>
      <c r="GQG383" s="252"/>
      <c r="GQH383" s="252"/>
      <c r="GQI383" s="252"/>
      <c r="GQJ383" s="252"/>
      <c r="GQK383" s="252"/>
      <c r="GQL383" s="252"/>
      <c r="GQM383" s="252"/>
      <c r="GQN383" s="252"/>
      <c r="GQO383" s="252"/>
      <c r="GQP383" s="252"/>
      <c r="GQQ383" s="252"/>
      <c r="GQR383" s="252"/>
      <c r="GQS383" s="252"/>
      <c r="GQT383" s="252"/>
      <c r="GQU383" s="252"/>
      <c r="GQV383" s="252"/>
      <c r="GQW383" s="252"/>
      <c r="GQX383" s="252"/>
      <c r="GQY383" s="252"/>
      <c r="GQZ383" s="252"/>
      <c r="GRA383" s="252"/>
      <c r="GRB383" s="252"/>
      <c r="GRC383" s="252"/>
      <c r="GRD383" s="252"/>
      <c r="GRE383" s="252"/>
      <c r="GRF383" s="252"/>
      <c r="GRG383" s="252"/>
      <c r="GRH383" s="252"/>
      <c r="GRI383" s="252"/>
      <c r="GRJ383" s="252"/>
      <c r="GRK383" s="252"/>
      <c r="GRL383" s="252"/>
      <c r="GRM383" s="252"/>
      <c r="GRN383" s="252"/>
      <c r="GRO383" s="252"/>
      <c r="GRP383" s="252"/>
      <c r="GRQ383" s="252"/>
      <c r="GRR383" s="252"/>
      <c r="GRS383" s="252"/>
      <c r="GRT383" s="252"/>
      <c r="GRU383" s="252"/>
      <c r="GRV383" s="252"/>
      <c r="GRW383" s="252"/>
      <c r="GRX383" s="252"/>
      <c r="GRY383" s="252"/>
      <c r="GRZ383" s="252"/>
      <c r="GSA383" s="252"/>
      <c r="GSB383" s="252"/>
      <c r="GSC383" s="252"/>
      <c r="GSD383" s="252"/>
      <c r="GSE383" s="252"/>
      <c r="GSF383" s="252"/>
      <c r="GSG383" s="252"/>
      <c r="GSH383" s="252"/>
      <c r="GSI383" s="252"/>
      <c r="GSJ383" s="252"/>
      <c r="GSK383" s="252"/>
      <c r="GSL383" s="252"/>
      <c r="GSM383" s="252"/>
      <c r="GSN383" s="252"/>
      <c r="GSO383" s="252"/>
      <c r="GSP383" s="252"/>
      <c r="GSQ383" s="252"/>
      <c r="GSR383" s="252"/>
      <c r="GSS383" s="252"/>
      <c r="GST383" s="252"/>
      <c r="GSU383" s="252"/>
      <c r="GSV383" s="252"/>
      <c r="GSW383" s="252"/>
      <c r="GSX383" s="252"/>
      <c r="GSY383" s="252"/>
      <c r="GSZ383" s="252"/>
      <c r="GTA383" s="252"/>
      <c r="GTB383" s="252"/>
      <c r="GTC383" s="252"/>
      <c r="GTD383" s="252"/>
      <c r="GTE383" s="252"/>
      <c r="GTF383" s="252"/>
      <c r="GTG383" s="252"/>
      <c r="GTH383" s="252"/>
      <c r="GTI383" s="252"/>
      <c r="GTJ383" s="252"/>
      <c r="GTK383" s="252"/>
      <c r="GTL383" s="252"/>
      <c r="GTM383" s="252"/>
      <c r="GTN383" s="252"/>
      <c r="GTO383" s="252"/>
      <c r="GTP383" s="252"/>
      <c r="GTQ383" s="252"/>
      <c r="GTR383" s="252"/>
      <c r="GTS383" s="252"/>
      <c r="GTT383" s="252"/>
      <c r="GTU383" s="252"/>
      <c r="GTV383" s="252"/>
      <c r="GTW383" s="252"/>
      <c r="GTX383" s="252"/>
      <c r="GTY383" s="252"/>
      <c r="GTZ383" s="252"/>
      <c r="GUA383" s="252"/>
      <c r="GUB383" s="252"/>
      <c r="GUC383" s="252"/>
      <c r="GUD383" s="252"/>
      <c r="GUE383" s="252"/>
      <c r="GUF383" s="252"/>
      <c r="GUG383" s="252"/>
      <c r="GUH383" s="252"/>
      <c r="GUI383" s="252"/>
      <c r="GUJ383" s="252"/>
      <c r="GUK383" s="252"/>
      <c r="GUL383" s="252"/>
      <c r="GUM383" s="252"/>
      <c r="GUN383" s="252"/>
      <c r="GUO383" s="252"/>
      <c r="GUP383" s="252"/>
      <c r="GUQ383" s="252"/>
      <c r="GUR383" s="252"/>
      <c r="GUS383" s="252"/>
      <c r="GUT383" s="252"/>
      <c r="GUU383" s="252"/>
      <c r="GUV383" s="252"/>
      <c r="GUW383" s="252"/>
      <c r="GUX383" s="252"/>
      <c r="GUY383" s="252"/>
      <c r="GUZ383" s="252"/>
      <c r="GVA383" s="252"/>
      <c r="GVB383" s="252"/>
      <c r="GVC383" s="252"/>
      <c r="GVD383" s="252"/>
      <c r="GVE383" s="252"/>
      <c r="GVF383" s="252"/>
      <c r="GVG383" s="252"/>
      <c r="GVH383" s="252"/>
      <c r="GVI383" s="252"/>
      <c r="GVJ383" s="252"/>
      <c r="GVK383" s="252"/>
      <c r="GVL383" s="252"/>
      <c r="GVM383" s="252"/>
      <c r="GVN383" s="252"/>
      <c r="GVO383" s="252"/>
      <c r="GVP383" s="252"/>
      <c r="GVQ383" s="252"/>
      <c r="GVR383" s="252"/>
      <c r="GVS383" s="252"/>
      <c r="GVT383" s="252"/>
      <c r="GVU383" s="252"/>
      <c r="GVV383" s="252"/>
      <c r="GVW383" s="252"/>
      <c r="GVX383" s="252"/>
      <c r="GVY383" s="252"/>
      <c r="GVZ383" s="252"/>
      <c r="GWA383" s="252"/>
      <c r="GWB383" s="252"/>
      <c r="GWC383" s="252"/>
      <c r="GWD383" s="252"/>
      <c r="GWE383" s="252"/>
      <c r="GWF383" s="252"/>
      <c r="GWG383" s="252"/>
      <c r="GWH383" s="252"/>
      <c r="GWI383" s="252"/>
      <c r="GWJ383" s="252"/>
      <c r="GWK383" s="252"/>
      <c r="GWL383" s="252"/>
      <c r="GWM383" s="252"/>
      <c r="GWN383" s="252"/>
      <c r="GWO383" s="252"/>
      <c r="GWP383" s="252"/>
      <c r="GWQ383" s="252"/>
      <c r="GWR383" s="252"/>
      <c r="GWS383" s="252"/>
      <c r="GWT383" s="252"/>
      <c r="GWU383" s="252"/>
      <c r="GWV383" s="252"/>
      <c r="GWW383" s="252"/>
      <c r="GWX383" s="252"/>
      <c r="GWY383" s="252"/>
      <c r="GWZ383" s="252"/>
      <c r="GXA383" s="252"/>
      <c r="GXB383" s="252"/>
      <c r="GXC383" s="252"/>
      <c r="GXD383" s="252"/>
      <c r="GXE383" s="252"/>
      <c r="GXF383" s="252"/>
      <c r="GXG383" s="252"/>
      <c r="GXH383" s="252"/>
      <c r="GXI383" s="252"/>
      <c r="GXJ383" s="252"/>
      <c r="GXK383" s="252"/>
      <c r="GXL383" s="252"/>
      <c r="GXM383" s="252"/>
      <c r="GXN383" s="252"/>
      <c r="GXO383" s="252"/>
      <c r="GXP383" s="252"/>
      <c r="GXQ383" s="252"/>
      <c r="GXR383" s="252"/>
      <c r="GXS383" s="252"/>
      <c r="GXT383" s="252"/>
      <c r="GXU383" s="252"/>
      <c r="GXV383" s="252"/>
      <c r="GXW383" s="252"/>
      <c r="GXX383" s="252"/>
      <c r="GXY383" s="252"/>
      <c r="GXZ383" s="252"/>
      <c r="GYA383" s="252"/>
      <c r="GYB383" s="252"/>
      <c r="GYC383" s="252"/>
      <c r="GYD383" s="252"/>
      <c r="GYE383" s="252"/>
      <c r="GYF383" s="252"/>
      <c r="GYG383" s="252"/>
      <c r="GYH383" s="252"/>
      <c r="GYI383" s="252"/>
      <c r="GYJ383" s="252"/>
      <c r="GYK383" s="252"/>
      <c r="GYL383" s="252"/>
      <c r="GYM383" s="252"/>
      <c r="GYN383" s="252"/>
      <c r="GYO383" s="252"/>
      <c r="GYP383" s="252"/>
      <c r="GYQ383" s="252"/>
      <c r="GYR383" s="252"/>
      <c r="GYS383" s="252"/>
      <c r="GYT383" s="252"/>
      <c r="GYU383" s="252"/>
      <c r="GYV383" s="252"/>
      <c r="GYW383" s="252"/>
      <c r="GYX383" s="252"/>
      <c r="GYY383" s="252"/>
      <c r="GYZ383" s="252"/>
      <c r="GZA383" s="252"/>
      <c r="GZB383" s="252"/>
      <c r="GZC383" s="252"/>
      <c r="GZD383" s="252"/>
      <c r="GZE383" s="252"/>
      <c r="GZF383" s="252"/>
      <c r="GZG383" s="252"/>
      <c r="GZH383" s="252"/>
      <c r="GZI383" s="252"/>
      <c r="GZJ383" s="252"/>
      <c r="GZK383" s="252"/>
      <c r="GZL383" s="252"/>
      <c r="GZM383" s="252"/>
      <c r="GZN383" s="252"/>
      <c r="GZO383" s="252"/>
      <c r="GZP383" s="252"/>
      <c r="GZQ383" s="252"/>
      <c r="GZR383" s="252"/>
      <c r="GZS383" s="252"/>
      <c r="GZT383" s="252"/>
      <c r="GZU383" s="252"/>
      <c r="GZV383" s="252"/>
      <c r="GZW383" s="252"/>
      <c r="GZX383" s="252"/>
      <c r="GZY383" s="252"/>
      <c r="GZZ383" s="252"/>
      <c r="HAA383" s="252"/>
      <c r="HAB383" s="252"/>
      <c r="HAC383" s="252"/>
      <c r="HAD383" s="252"/>
      <c r="HAE383" s="252"/>
      <c r="HAF383" s="252"/>
      <c r="HAG383" s="252"/>
      <c r="HAH383" s="252"/>
      <c r="HAI383" s="252"/>
      <c r="HAJ383" s="252"/>
      <c r="HAK383" s="252"/>
      <c r="HAL383" s="252"/>
      <c r="HAM383" s="252"/>
      <c r="HAN383" s="252"/>
      <c r="HAO383" s="252"/>
      <c r="HAP383" s="252"/>
      <c r="HAQ383" s="252"/>
      <c r="HAR383" s="252"/>
      <c r="HAS383" s="252"/>
      <c r="HAT383" s="252"/>
      <c r="HAU383" s="252"/>
      <c r="HAV383" s="252"/>
      <c r="HAW383" s="252"/>
      <c r="HAX383" s="252"/>
      <c r="HAY383" s="252"/>
      <c r="HAZ383" s="252"/>
      <c r="HBA383" s="252"/>
      <c r="HBB383" s="252"/>
      <c r="HBC383" s="252"/>
      <c r="HBD383" s="252"/>
      <c r="HBE383" s="252"/>
      <c r="HBF383" s="252"/>
      <c r="HBG383" s="252"/>
      <c r="HBH383" s="252"/>
      <c r="HBI383" s="252"/>
      <c r="HBJ383" s="252"/>
      <c r="HBK383" s="252"/>
      <c r="HBL383" s="252"/>
      <c r="HBM383" s="252"/>
      <c r="HBN383" s="252"/>
      <c r="HBO383" s="252"/>
      <c r="HBP383" s="252"/>
      <c r="HBQ383" s="252"/>
      <c r="HBR383" s="252"/>
      <c r="HBS383" s="252"/>
      <c r="HBT383" s="252"/>
      <c r="HBU383" s="252"/>
      <c r="HBV383" s="252"/>
      <c r="HBW383" s="252"/>
      <c r="HBX383" s="252"/>
      <c r="HBY383" s="252"/>
      <c r="HBZ383" s="252"/>
      <c r="HCA383" s="252"/>
      <c r="HCB383" s="252"/>
      <c r="HCC383" s="252"/>
      <c r="HCD383" s="252"/>
      <c r="HCE383" s="252"/>
      <c r="HCF383" s="252"/>
      <c r="HCG383" s="252"/>
      <c r="HCH383" s="252"/>
      <c r="HCI383" s="252"/>
      <c r="HCJ383" s="252"/>
      <c r="HCK383" s="252"/>
      <c r="HCL383" s="252"/>
      <c r="HCM383" s="252"/>
      <c r="HCN383" s="252"/>
      <c r="HCO383" s="252"/>
      <c r="HCP383" s="252"/>
      <c r="HCQ383" s="252"/>
      <c r="HCR383" s="252"/>
      <c r="HCS383" s="252"/>
      <c r="HCT383" s="252"/>
      <c r="HCU383" s="252"/>
      <c r="HCV383" s="252"/>
      <c r="HCW383" s="252"/>
      <c r="HCX383" s="252"/>
      <c r="HCY383" s="252"/>
      <c r="HCZ383" s="252"/>
      <c r="HDA383" s="252"/>
      <c r="HDB383" s="252"/>
      <c r="HDC383" s="252"/>
      <c r="HDD383" s="252"/>
      <c r="HDE383" s="252"/>
      <c r="HDF383" s="252"/>
      <c r="HDG383" s="252"/>
      <c r="HDH383" s="252"/>
      <c r="HDI383" s="252"/>
      <c r="HDJ383" s="252"/>
      <c r="HDK383" s="252"/>
      <c r="HDL383" s="252"/>
      <c r="HDM383" s="252"/>
      <c r="HDN383" s="252"/>
      <c r="HDO383" s="252"/>
      <c r="HDP383" s="252"/>
      <c r="HDQ383" s="252"/>
      <c r="HDR383" s="252"/>
      <c r="HDS383" s="252"/>
      <c r="HDT383" s="252"/>
      <c r="HDU383" s="252"/>
      <c r="HDV383" s="252"/>
      <c r="HDW383" s="252"/>
      <c r="HDX383" s="252"/>
      <c r="HDY383" s="252"/>
      <c r="HDZ383" s="252"/>
      <c r="HEA383" s="252"/>
      <c r="HEB383" s="252"/>
      <c r="HEC383" s="252"/>
      <c r="HED383" s="252"/>
      <c r="HEE383" s="252"/>
      <c r="HEF383" s="252"/>
      <c r="HEG383" s="252"/>
      <c r="HEH383" s="252"/>
      <c r="HEI383" s="252"/>
      <c r="HEJ383" s="252"/>
      <c r="HEK383" s="252"/>
      <c r="HEL383" s="252"/>
      <c r="HEM383" s="252"/>
      <c r="HEN383" s="252"/>
      <c r="HEO383" s="252"/>
      <c r="HEP383" s="252"/>
      <c r="HEQ383" s="252"/>
      <c r="HER383" s="252"/>
      <c r="HES383" s="252"/>
      <c r="HET383" s="252"/>
      <c r="HEU383" s="252"/>
      <c r="HEV383" s="252"/>
      <c r="HEW383" s="252"/>
      <c r="HEX383" s="252"/>
      <c r="HEY383" s="252"/>
      <c r="HEZ383" s="252"/>
      <c r="HFA383" s="252"/>
      <c r="HFB383" s="252"/>
      <c r="HFC383" s="252"/>
      <c r="HFD383" s="252"/>
      <c r="HFE383" s="252"/>
      <c r="HFF383" s="252"/>
      <c r="HFG383" s="252"/>
      <c r="HFH383" s="252"/>
      <c r="HFI383" s="252"/>
      <c r="HFJ383" s="252"/>
      <c r="HFK383" s="252"/>
      <c r="HFL383" s="252"/>
      <c r="HFM383" s="252"/>
      <c r="HFN383" s="252"/>
      <c r="HFO383" s="252"/>
      <c r="HFP383" s="252"/>
      <c r="HFQ383" s="252"/>
      <c r="HFR383" s="252"/>
      <c r="HFS383" s="252"/>
      <c r="HFT383" s="252"/>
      <c r="HFU383" s="252"/>
      <c r="HFV383" s="252"/>
      <c r="HFW383" s="252"/>
      <c r="HFX383" s="252"/>
      <c r="HFY383" s="252"/>
      <c r="HFZ383" s="252"/>
      <c r="HGA383" s="252"/>
      <c r="HGB383" s="252"/>
      <c r="HGC383" s="252"/>
      <c r="HGD383" s="252"/>
      <c r="HGE383" s="252"/>
      <c r="HGF383" s="252"/>
      <c r="HGG383" s="252"/>
      <c r="HGH383" s="252"/>
      <c r="HGI383" s="252"/>
      <c r="HGJ383" s="252"/>
      <c r="HGK383" s="252"/>
      <c r="HGL383" s="252"/>
      <c r="HGM383" s="252"/>
      <c r="HGN383" s="252"/>
      <c r="HGO383" s="252"/>
      <c r="HGP383" s="252"/>
      <c r="HGQ383" s="252"/>
      <c r="HGR383" s="252"/>
      <c r="HGS383" s="252"/>
      <c r="HGT383" s="252"/>
      <c r="HGU383" s="252"/>
      <c r="HGV383" s="252"/>
      <c r="HGW383" s="252"/>
      <c r="HGX383" s="252"/>
      <c r="HGY383" s="252"/>
      <c r="HGZ383" s="252"/>
      <c r="HHA383" s="252"/>
      <c r="HHB383" s="252"/>
      <c r="HHC383" s="252"/>
      <c r="HHD383" s="252"/>
      <c r="HHE383" s="252"/>
      <c r="HHF383" s="252"/>
      <c r="HHG383" s="252"/>
      <c r="HHH383" s="252"/>
      <c r="HHI383" s="252"/>
      <c r="HHJ383" s="252"/>
      <c r="HHK383" s="252"/>
      <c r="HHL383" s="252"/>
      <c r="HHM383" s="252"/>
      <c r="HHN383" s="252"/>
      <c r="HHO383" s="252"/>
      <c r="HHP383" s="252"/>
      <c r="HHQ383" s="252"/>
      <c r="HHR383" s="252"/>
      <c r="HHS383" s="252"/>
      <c r="HHT383" s="252"/>
      <c r="HHU383" s="252"/>
      <c r="HHV383" s="252"/>
      <c r="HHW383" s="252"/>
      <c r="HHX383" s="252"/>
      <c r="HHY383" s="252"/>
      <c r="HHZ383" s="252"/>
      <c r="HIA383" s="252"/>
      <c r="HIB383" s="252"/>
      <c r="HIC383" s="252"/>
      <c r="HID383" s="252"/>
      <c r="HIE383" s="252"/>
      <c r="HIF383" s="252"/>
      <c r="HIG383" s="252"/>
      <c r="HIH383" s="252"/>
      <c r="HII383" s="252"/>
      <c r="HIJ383" s="252"/>
      <c r="HIK383" s="252"/>
      <c r="HIL383" s="252"/>
      <c r="HIM383" s="252"/>
      <c r="HIN383" s="252"/>
      <c r="HIO383" s="252"/>
      <c r="HIP383" s="252"/>
      <c r="HIQ383" s="252"/>
      <c r="HIR383" s="252"/>
      <c r="HIS383" s="252"/>
      <c r="HIT383" s="252"/>
      <c r="HIU383" s="252"/>
      <c r="HIV383" s="252"/>
      <c r="HIW383" s="252"/>
      <c r="HIX383" s="252"/>
      <c r="HIY383" s="252"/>
      <c r="HIZ383" s="252"/>
      <c r="HJA383" s="252"/>
      <c r="HJB383" s="252"/>
      <c r="HJC383" s="252"/>
      <c r="HJD383" s="252"/>
      <c r="HJE383" s="252"/>
      <c r="HJF383" s="252"/>
      <c r="HJG383" s="252"/>
      <c r="HJH383" s="252"/>
      <c r="HJI383" s="252"/>
      <c r="HJJ383" s="252"/>
      <c r="HJK383" s="252"/>
      <c r="HJL383" s="252"/>
      <c r="HJM383" s="252"/>
      <c r="HJN383" s="252"/>
      <c r="HJO383" s="252"/>
      <c r="HJP383" s="252"/>
      <c r="HJQ383" s="252"/>
      <c r="HJR383" s="252"/>
      <c r="HJS383" s="252"/>
      <c r="HJT383" s="252"/>
      <c r="HJU383" s="252"/>
      <c r="HJV383" s="252"/>
      <c r="HJW383" s="252"/>
      <c r="HJX383" s="252"/>
      <c r="HJY383" s="252"/>
      <c r="HJZ383" s="252"/>
      <c r="HKA383" s="252"/>
      <c r="HKB383" s="252"/>
      <c r="HKC383" s="252"/>
      <c r="HKD383" s="252"/>
      <c r="HKE383" s="252"/>
      <c r="HKF383" s="252"/>
      <c r="HKG383" s="252"/>
      <c r="HKH383" s="252"/>
      <c r="HKI383" s="252"/>
      <c r="HKJ383" s="252"/>
      <c r="HKK383" s="252"/>
      <c r="HKL383" s="252"/>
      <c r="HKM383" s="252"/>
      <c r="HKN383" s="252"/>
      <c r="HKO383" s="252"/>
      <c r="HKP383" s="252"/>
      <c r="HKQ383" s="252"/>
      <c r="HKR383" s="252"/>
      <c r="HKS383" s="252"/>
      <c r="HKT383" s="252"/>
      <c r="HKU383" s="252"/>
      <c r="HKV383" s="252"/>
      <c r="HKW383" s="252"/>
      <c r="HKX383" s="252"/>
      <c r="HKY383" s="252"/>
      <c r="HKZ383" s="252"/>
      <c r="HLA383" s="252"/>
      <c r="HLB383" s="252"/>
      <c r="HLC383" s="252"/>
      <c r="HLD383" s="252"/>
      <c r="HLE383" s="252"/>
      <c r="HLF383" s="252"/>
      <c r="HLG383" s="252"/>
      <c r="HLH383" s="252"/>
      <c r="HLI383" s="252"/>
      <c r="HLJ383" s="252"/>
      <c r="HLK383" s="252"/>
      <c r="HLL383" s="252"/>
      <c r="HLM383" s="252"/>
      <c r="HLN383" s="252"/>
      <c r="HLO383" s="252"/>
      <c r="HLP383" s="252"/>
      <c r="HLQ383" s="252"/>
      <c r="HLR383" s="252"/>
      <c r="HLS383" s="252"/>
      <c r="HLT383" s="252"/>
      <c r="HLU383" s="252"/>
      <c r="HLV383" s="252"/>
      <c r="HLW383" s="252"/>
      <c r="HLX383" s="252"/>
      <c r="HLY383" s="252"/>
      <c r="HLZ383" s="252"/>
      <c r="HMA383" s="252"/>
      <c r="HMB383" s="252"/>
      <c r="HMC383" s="252"/>
      <c r="HMD383" s="252"/>
      <c r="HME383" s="252"/>
      <c r="HMF383" s="252"/>
      <c r="HMG383" s="252"/>
      <c r="HMH383" s="252"/>
      <c r="HMI383" s="252"/>
      <c r="HMJ383" s="252"/>
      <c r="HMK383" s="252"/>
      <c r="HML383" s="252"/>
      <c r="HMM383" s="252"/>
      <c r="HMN383" s="252"/>
      <c r="HMO383" s="252"/>
      <c r="HMP383" s="252"/>
      <c r="HMQ383" s="252"/>
      <c r="HMR383" s="252"/>
      <c r="HMS383" s="252"/>
      <c r="HMT383" s="252"/>
      <c r="HMU383" s="252"/>
      <c r="HMV383" s="252"/>
      <c r="HMW383" s="252"/>
      <c r="HMX383" s="252"/>
      <c r="HMY383" s="252"/>
      <c r="HMZ383" s="252"/>
      <c r="HNA383" s="252"/>
      <c r="HNB383" s="252"/>
      <c r="HNC383" s="252"/>
      <c r="HND383" s="252"/>
      <c r="HNE383" s="252"/>
      <c r="HNF383" s="252"/>
      <c r="HNG383" s="252"/>
      <c r="HNH383" s="252"/>
      <c r="HNI383" s="252"/>
      <c r="HNJ383" s="252"/>
      <c r="HNK383" s="252"/>
      <c r="HNL383" s="252"/>
      <c r="HNM383" s="252"/>
      <c r="HNN383" s="252"/>
      <c r="HNO383" s="252"/>
      <c r="HNP383" s="252"/>
      <c r="HNQ383" s="252"/>
      <c r="HNR383" s="252"/>
      <c r="HNS383" s="252"/>
      <c r="HNT383" s="252"/>
      <c r="HNU383" s="252"/>
      <c r="HNV383" s="252"/>
      <c r="HNW383" s="252"/>
      <c r="HNX383" s="252"/>
      <c r="HNY383" s="252"/>
      <c r="HNZ383" s="252"/>
      <c r="HOA383" s="252"/>
      <c r="HOB383" s="252"/>
      <c r="HOC383" s="252"/>
      <c r="HOD383" s="252"/>
      <c r="HOE383" s="252"/>
      <c r="HOF383" s="252"/>
      <c r="HOG383" s="252"/>
      <c r="HOH383" s="252"/>
      <c r="HOI383" s="252"/>
      <c r="HOJ383" s="252"/>
      <c r="HOK383" s="252"/>
      <c r="HOL383" s="252"/>
      <c r="HOM383" s="252"/>
      <c r="HON383" s="252"/>
      <c r="HOO383" s="252"/>
      <c r="HOP383" s="252"/>
      <c r="HOQ383" s="252"/>
      <c r="HOR383" s="252"/>
      <c r="HOS383" s="252"/>
      <c r="HOT383" s="252"/>
      <c r="HOU383" s="252"/>
      <c r="HOV383" s="252"/>
      <c r="HOW383" s="252"/>
      <c r="HOX383" s="252"/>
      <c r="HOY383" s="252"/>
      <c r="HOZ383" s="252"/>
      <c r="HPA383" s="252"/>
      <c r="HPB383" s="252"/>
      <c r="HPC383" s="252"/>
      <c r="HPD383" s="252"/>
      <c r="HPE383" s="252"/>
      <c r="HPF383" s="252"/>
      <c r="HPG383" s="252"/>
      <c r="HPH383" s="252"/>
      <c r="HPI383" s="252"/>
      <c r="HPJ383" s="252"/>
      <c r="HPK383" s="252"/>
      <c r="HPL383" s="252"/>
      <c r="HPM383" s="252"/>
      <c r="HPN383" s="252"/>
      <c r="HPO383" s="252"/>
      <c r="HPP383" s="252"/>
      <c r="HPQ383" s="252"/>
      <c r="HPR383" s="252"/>
      <c r="HPS383" s="252"/>
      <c r="HPT383" s="252"/>
      <c r="HPU383" s="252"/>
      <c r="HPV383" s="252"/>
      <c r="HPW383" s="252"/>
      <c r="HPX383" s="252"/>
      <c r="HPY383" s="252"/>
      <c r="HPZ383" s="252"/>
      <c r="HQA383" s="252"/>
      <c r="HQB383" s="252"/>
      <c r="HQC383" s="252"/>
      <c r="HQD383" s="252"/>
      <c r="HQE383" s="252"/>
      <c r="HQF383" s="252"/>
      <c r="HQG383" s="252"/>
      <c r="HQH383" s="252"/>
      <c r="HQI383" s="252"/>
      <c r="HQJ383" s="252"/>
      <c r="HQK383" s="252"/>
      <c r="HQL383" s="252"/>
      <c r="HQM383" s="252"/>
      <c r="HQN383" s="252"/>
      <c r="HQO383" s="252"/>
      <c r="HQP383" s="252"/>
      <c r="HQQ383" s="252"/>
      <c r="HQR383" s="252"/>
      <c r="HQS383" s="252"/>
      <c r="HQT383" s="252"/>
      <c r="HQU383" s="252"/>
      <c r="HQV383" s="252"/>
      <c r="HQW383" s="252"/>
      <c r="HQX383" s="252"/>
      <c r="HQY383" s="252"/>
      <c r="HQZ383" s="252"/>
      <c r="HRA383" s="252"/>
      <c r="HRB383" s="252"/>
      <c r="HRC383" s="252"/>
      <c r="HRD383" s="252"/>
      <c r="HRE383" s="252"/>
      <c r="HRF383" s="252"/>
      <c r="HRG383" s="252"/>
      <c r="HRH383" s="252"/>
      <c r="HRI383" s="252"/>
      <c r="HRJ383" s="252"/>
      <c r="HRK383" s="252"/>
      <c r="HRL383" s="252"/>
      <c r="HRM383" s="252"/>
      <c r="HRN383" s="252"/>
      <c r="HRO383" s="252"/>
      <c r="HRP383" s="252"/>
      <c r="HRQ383" s="252"/>
      <c r="HRR383" s="252"/>
      <c r="HRS383" s="252"/>
      <c r="HRT383" s="252"/>
      <c r="HRU383" s="252"/>
      <c r="HRV383" s="252"/>
      <c r="HRW383" s="252"/>
      <c r="HRX383" s="252"/>
      <c r="HRY383" s="252"/>
      <c r="HRZ383" s="252"/>
      <c r="HSA383" s="252"/>
      <c r="HSB383" s="252"/>
      <c r="HSC383" s="252"/>
      <c r="HSD383" s="252"/>
      <c r="HSE383" s="252"/>
      <c r="HSF383" s="252"/>
      <c r="HSG383" s="252"/>
      <c r="HSH383" s="252"/>
      <c r="HSI383" s="252"/>
      <c r="HSJ383" s="252"/>
      <c r="HSK383" s="252"/>
      <c r="HSL383" s="252"/>
      <c r="HSM383" s="252"/>
      <c r="HSN383" s="252"/>
      <c r="HSO383" s="252"/>
      <c r="HSP383" s="252"/>
      <c r="HSQ383" s="252"/>
      <c r="HSR383" s="252"/>
      <c r="HSS383" s="252"/>
      <c r="HST383" s="252"/>
      <c r="HSU383" s="252"/>
      <c r="HSV383" s="252"/>
      <c r="HSW383" s="252"/>
      <c r="HSX383" s="252"/>
      <c r="HSY383" s="252"/>
      <c r="HSZ383" s="252"/>
      <c r="HTA383" s="252"/>
      <c r="HTB383" s="252"/>
      <c r="HTC383" s="252"/>
      <c r="HTD383" s="252"/>
      <c r="HTE383" s="252"/>
      <c r="HTF383" s="252"/>
      <c r="HTG383" s="252"/>
      <c r="HTH383" s="252"/>
      <c r="HTI383" s="252"/>
      <c r="HTJ383" s="252"/>
      <c r="HTK383" s="252"/>
      <c r="HTL383" s="252"/>
      <c r="HTM383" s="252"/>
      <c r="HTN383" s="252"/>
      <c r="HTO383" s="252"/>
      <c r="HTP383" s="252"/>
      <c r="HTQ383" s="252"/>
      <c r="HTR383" s="252"/>
      <c r="HTS383" s="252"/>
      <c r="HTT383" s="252"/>
      <c r="HTU383" s="252"/>
      <c r="HTV383" s="252"/>
      <c r="HTW383" s="252"/>
      <c r="HTX383" s="252"/>
      <c r="HTY383" s="252"/>
      <c r="HTZ383" s="252"/>
      <c r="HUA383" s="252"/>
      <c r="HUB383" s="252"/>
      <c r="HUC383" s="252"/>
      <c r="HUD383" s="252"/>
      <c r="HUE383" s="252"/>
      <c r="HUF383" s="252"/>
      <c r="HUG383" s="252"/>
      <c r="HUH383" s="252"/>
      <c r="HUI383" s="252"/>
      <c r="HUJ383" s="252"/>
      <c r="HUK383" s="252"/>
      <c r="HUL383" s="252"/>
      <c r="HUM383" s="252"/>
      <c r="HUN383" s="252"/>
      <c r="HUO383" s="252"/>
      <c r="HUP383" s="252"/>
      <c r="HUQ383" s="252"/>
      <c r="HUR383" s="252"/>
      <c r="HUS383" s="252"/>
      <c r="HUT383" s="252"/>
      <c r="HUU383" s="252"/>
      <c r="HUV383" s="252"/>
      <c r="HUW383" s="252"/>
      <c r="HUX383" s="252"/>
      <c r="HUY383" s="252"/>
      <c r="HUZ383" s="252"/>
      <c r="HVA383" s="252"/>
      <c r="HVB383" s="252"/>
      <c r="HVC383" s="252"/>
      <c r="HVD383" s="252"/>
      <c r="HVE383" s="252"/>
      <c r="HVF383" s="252"/>
      <c r="HVG383" s="252"/>
      <c r="HVH383" s="252"/>
      <c r="HVI383" s="252"/>
      <c r="HVJ383" s="252"/>
      <c r="HVK383" s="252"/>
      <c r="HVL383" s="252"/>
      <c r="HVM383" s="252"/>
      <c r="HVN383" s="252"/>
      <c r="HVO383" s="252"/>
      <c r="HVP383" s="252"/>
      <c r="HVQ383" s="252"/>
      <c r="HVR383" s="252"/>
      <c r="HVS383" s="252"/>
      <c r="HVT383" s="252"/>
      <c r="HVU383" s="252"/>
      <c r="HVV383" s="252"/>
      <c r="HVW383" s="252"/>
      <c r="HVX383" s="252"/>
      <c r="HVY383" s="252"/>
      <c r="HVZ383" s="252"/>
      <c r="HWA383" s="252"/>
      <c r="HWB383" s="252"/>
      <c r="HWC383" s="252"/>
      <c r="HWD383" s="252"/>
      <c r="HWE383" s="252"/>
      <c r="HWF383" s="252"/>
      <c r="HWG383" s="252"/>
      <c r="HWH383" s="252"/>
      <c r="HWI383" s="252"/>
      <c r="HWJ383" s="252"/>
      <c r="HWK383" s="252"/>
      <c r="HWL383" s="252"/>
      <c r="HWM383" s="252"/>
      <c r="HWN383" s="252"/>
      <c r="HWO383" s="252"/>
      <c r="HWP383" s="252"/>
      <c r="HWQ383" s="252"/>
      <c r="HWR383" s="252"/>
      <c r="HWS383" s="252"/>
      <c r="HWT383" s="252"/>
      <c r="HWU383" s="252"/>
      <c r="HWV383" s="252"/>
      <c r="HWW383" s="252"/>
      <c r="HWX383" s="252"/>
      <c r="HWY383" s="252"/>
      <c r="HWZ383" s="252"/>
      <c r="HXA383" s="252"/>
      <c r="HXB383" s="252"/>
      <c r="HXC383" s="252"/>
      <c r="HXD383" s="252"/>
      <c r="HXE383" s="252"/>
      <c r="HXF383" s="252"/>
      <c r="HXG383" s="252"/>
      <c r="HXH383" s="252"/>
      <c r="HXI383" s="252"/>
      <c r="HXJ383" s="252"/>
      <c r="HXK383" s="252"/>
      <c r="HXL383" s="252"/>
      <c r="HXM383" s="252"/>
      <c r="HXN383" s="252"/>
      <c r="HXO383" s="252"/>
      <c r="HXP383" s="252"/>
      <c r="HXQ383" s="252"/>
      <c r="HXR383" s="252"/>
      <c r="HXS383" s="252"/>
      <c r="HXT383" s="252"/>
      <c r="HXU383" s="252"/>
      <c r="HXV383" s="252"/>
      <c r="HXW383" s="252"/>
      <c r="HXX383" s="252"/>
      <c r="HXY383" s="252"/>
      <c r="HXZ383" s="252"/>
      <c r="HYA383" s="252"/>
      <c r="HYB383" s="252"/>
      <c r="HYC383" s="252"/>
      <c r="HYD383" s="252"/>
      <c r="HYE383" s="252"/>
      <c r="HYF383" s="252"/>
      <c r="HYG383" s="252"/>
      <c r="HYH383" s="252"/>
      <c r="HYI383" s="252"/>
      <c r="HYJ383" s="252"/>
      <c r="HYK383" s="252"/>
      <c r="HYL383" s="252"/>
      <c r="HYM383" s="252"/>
      <c r="HYN383" s="252"/>
      <c r="HYO383" s="252"/>
      <c r="HYP383" s="252"/>
      <c r="HYQ383" s="252"/>
      <c r="HYR383" s="252"/>
      <c r="HYS383" s="252"/>
      <c r="HYT383" s="252"/>
      <c r="HYU383" s="252"/>
      <c r="HYV383" s="252"/>
      <c r="HYW383" s="252"/>
      <c r="HYX383" s="252"/>
      <c r="HYY383" s="252"/>
      <c r="HYZ383" s="252"/>
      <c r="HZA383" s="252"/>
      <c r="HZB383" s="252"/>
      <c r="HZC383" s="252"/>
      <c r="HZD383" s="252"/>
      <c r="HZE383" s="252"/>
      <c r="HZF383" s="252"/>
      <c r="HZG383" s="252"/>
      <c r="HZH383" s="252"/>
      <c r="HZI383" s="252"/>
      <c r="HZJ383" s="252"/>
      <c r="HZK383" s="252"/>
      <c r="HZL383" s="252"/>
      <c r="HZM383" s="252"/>
      <c r="HZN383" s="252"/>
      <c r="HZO383" s="252"/>
      <c r="HZP383" s="252"/>
      <c r="HZQ383" s="252"/>
      <c r="HZR383" s="252"/>
      <c r="HZS383" s="252"/>
      <c r="HZT383" s="252"/>
      <c r="HZU383" s="252"/>
      <c r="HZV383" s="252"/>
      <c r="HZW383" s="252"/>
      <c r="HZX383" s="252"/>
      <c r="HZY383" s="252"/>
      <c r="HZZ383" s="252"/>
      <c r="IAA383" s="252"/>
      <c r="IAB383" s="252"/>
      <c r="IAC383" s="252"/>
      <c r="IAD383" s="252"/>
      <c r="IAE383" s="252"/>
      <c r="IAF383" s="252"/>
      <c r="IAG383" s="252"/>
      <c r="IAH383" s="252"/>
      <c r="IAI383" s="252"/>
      <c r="IAJ383" s="252"/>
      <c r="IAK383" s="252"/>
      <c r="IAL383" s="252"/>
      <c r="IAM383" s="252"/>
      <c r="IAN383" s="252"/>
      <c r="IAO383" s="252"/>
      <c r="IAP383" s="252"/>
      <c r="IAQ383" s="252"/>
      <c r="IAR383" s="252"/>
      <c r="IAS383" s="252"/>
      <c r="IAT383" s="252"/>
      <c r="IAU383" s="252"/>
      <c r="IAV383" s="252"/>
      <c r="IAW383" s="252"/>
      <c r="IAX383" s="252"/>
      <c r="IAY383" s="252"/>
      <c r="IAZ383" s="252"/>
      <c r="IBA383" s="252"/>
      <c r="IBB383" s="252"/>
      <c r="IBC383" s="252"/>
      <c r="IBD383" s="252"/>
      <c r="IBE383" s="252"/>
      <c r="IBF383" s="252"/>
      <c r="IBG383" s="252"/>
      <c r="IBH383" s="252"/>
      <c r="IBI383" s="252"/>
      <c r="IBJ383" s="252"/>
      <c r="IBK383" s="252"/>
      <c r="IBL383" s="252"/>
      <c r="IBM383" s="252"/>
      <c r="IBN383" s="252"/>
      <c r="IBO383" s="252"/>
      <c r="IBP383" s="252"/>
      <c r="IBQ383" s="252"/>
      <c r="IBR383" s="252"/>
      <c r="IBS383" s="252"/>
      <c r="IBT383" s="252"/>
      <c r="IBU383" s="252"/>
      <c r="IBV383" s="252"/>
      <c r="IBW383" s="252"/>
      <c r="IBX383" s="252"/>
      <c r="IBY383" s="252"/>
      <c r="IBZ383" s="252"/>
      <c r="ICA383" s="252"/>
      <c r="ICB383" s="252"/>
      <c r="ICC383" s="252"/>
      <c r="ICD383" s="252"/>
      <c r="ICE383" s="252"/>
      <c r="ICF383" s="252"/>
      <c r="ICG383" s="252"/>
      <c r="ICH383" s="252"/>
      <c r="ICI383" s="252"/>
      <c r="ICJ383" s="252"/>
      <c r="ICK383" s="252"/>
      <c r="ICL383" s="252"/>
      <c r="ICM383" s="252"/>
      <c r="ICN383" s="252"/>
      <c r="ICO383" s="252"/>
      <c r="ICP383" s="252"/>
      <c r="ICQ383" s="252"/>
      <c r="ICR383" s="252"/>
      <c r="ICS383" s="252"/>
      <c r="ICT383" s="252"/>
      <c r="ICU383" s="252"/>
      <c r="ICV383" s="252"/>
      <c r="ICW383" s="252"/>
      <c r="ICX383" s="252"/>
      <c r="ICY383" s="252"/>
      <c r="ICZ383" s="252"/>
      <c r="IDA383" s="252"/>
      <c r="IDB383" s="252"/>
      <c r="IDC383" s="252"/>
      <c r="IDD383" s="252"/>
      <c r="IDE383" s="252"/>
      <c r="IDF383" s="252"/>
      <c r="IDG383" s="252"/>
      <c r="IDH383" s="252"/>
      <c r="IDI383" s="252"/>
      <c r="IDJ383" s="252"/>
      <c r="IDK383" s="252"/>
      <c r="IDL383" s="252"/>
      <c r="IDM383" s="252"/>
      <c r="IDN383" s="252"/>
      <c r="IDO383" s="252"/>
      <c r="IDP383" s="252"/>
      <c r="IDQ383" s="252"/>
      <c r="IDR383" s="252"/>
      <c r="IDS383" s="252"/>
      <c r="IDT383" s="252"/>
      <c r="IDU383" s="252"/>
      <c r="IDV383" s="252"/>
      <c r="IDW383" s="252"/>
      <c r="IDX383" s="252"/>
      <c r="IDY383" s="252"/>
      <c r="IDZ383" s="252"/>
      <c r="IEA383" s="252"/>
      <c r="IEB383" s="252"/>
      <c r="IEC383" s="252"/>
      <c r="IED383" s="252"/>
      <c r="IEE383" s="252"/>
      <c r="IEF383" s="252"/>
      <c r="IEG383" s="252"/>
      <c r="IEH383" s="252"/>
      <c r="IEI383" s="252"/>
      <c r="IEJ383" s="252"/>
      <c r="IEK383" s="252"/>
      <c r="IEL383" s="252"/>
      <c r="IEM383" s="252"/>
      <c r="IEN383" s="252"/>
      <c r="IEO383" s="252"/>
      <c r="IEP383" s="252"/>
      <c r="IEQ383" s="252"/>
      <c r="IER383" s="252"/>
      <c r="IES383" s="252"/>
      <c r="IET383" s="252"/>
      <c r="IEU383" s="252"/>
      <c r="IEV383" s="252"/>
      <c r="IEW383" s="252"/>
      <c r="IEX383" s="252"/>
      <c r="IEY383" s="252"/>
      <c r="IEZ383" s="252"/>
      <c r="IFA383" s="252"/>
      <c r="IFB383" s="252"/>
      <c r="IFC383" s="252"/>
      <c r="IFD383" s="252"/>
      <c r="IFE383" s="252"/>
      <c r="IFF383" s="252"/>
      <c r="IFG383" s="252"/>
      <c r="IFH383" s="252"/>
      <c r="IFI383" s="252"/>
      <c r="IFJ383" s="252"/>
      <c r="IFK383" s="252"/>
      <c r="IFL383" s="252"/>
      <c r="IFM383" s="252"/>
      <c r="IFN383" s="252"/>
      <c r="IFO383" s="252"/>
      <c r="IFP383" s="252"/>
      <c r="IFQ383" s="252"/>
      <c r="IFR383" s="252"/>
      <c r="IFS383" s="252"/>
      <c r="IFT383" s="252"/>
      <c r="IFU383" s="252"/>
      <c r="IFV383" s="252"/>
      <c r="IFW383" s="252"/>
      <c r="IFX383" s="252"/>
      <c r="IFY383" s="252"/>
      <c r="IFZ383" s="252"/>
      <c r="IGA383" s="252"/>
      <c r="IGB383" s="252"/>
      <c r="IGC383" s="252"/>
      <c r="IGD383" s="252"/>
      <c r="IGE383" s="252"/>
      <c r="IGF383" s="252"/>
      <c r="IGG383" s="252"/>
      <c r="IGH383" s="252"/>
      <c r="IGI383" s="252"/>
      <c r="IGJ383" s="252"/>
      <c r="IGK383" s="252"/>
      <c r="IGL383" s="252"/>
      <c r="IGM383" s="252"/>
      <c r="IGN383" s="252"/>
      <c r="IGO383" s="252"/>
      <c r="IGP383" s="252"/>
      <c r="IGQ383" s="252"/>
      <c r="IGR383" s="252"/>
      <c r="IGS383" s="252"/>
      <c r="IGT383" s="252"/>
      <c r="IGU383" s="252"/>
      <c r="IGV383" s="252"/>
      <c r="IGW383" s="252"/>
      <c r="IGX383" s="252"/>
      <c r="IGY383" s="252"/>
      <c r="IGZ383" s="252"/>
      <c r="IHA383" s="252"/>
      <c r="IHB383" s="252"/>
      <c r="IHC383" s="252"/>
      <c r="IHD383" s="252"/>
      <c r="IHE383" s="252"/>
      <c r="IHF383" s="252"/>
      <c r="IHG383" s="252"/>
      <c r="IHH383" s="252"/>
      <c r="IHI383" s="252"/>
      <c r="IHJ383" s="252"/>
      <c r="IHK383" s="252"/>
      <c r="IHL383" s="252"/>
      <c r="IHM383" s="252"/>
      <c r="IHN383" s="252"/>
      <c r="IHO383" s="252"/>
      <c r="IHP383" s="252"/>
      <c r="IHQ383" s="252"/>
      <c r="IHR383" s="252"/>
      <c r="IHS383" s="252"/>
      <c r="IHT383" s="252"/>
      <c r="IHU383" s="252"/>
      <c r="IHV383" s="252"/>
      <c r="IHW383" s="252"/>
      <c r="IHX383" s="252"/>
      <c r="IHY383" s="252"/>
      <c r="IHZ383" s="252"/>
      <c r="IIA383" s="252"/>
      <c r="IIB383" s="252"/>
      <c r="IIC383" s="252"/>
      <c r="IID383" s="252"/>
      <c r="IIE383" s="252"/>
      <c r="IIF383" s="252"/>
      <c r="IIG383" s="252"/>
      <c r="IIH383" s="252"/>
      <c r="III383" s="252"/>
      <c r="IIJ383" s="252"/>
      <c r="IIK383" s="252"/>
      <c r="IIL383" s="252"/>
      <c r="IIM383" s="252"/>
      <c r="IIN383" s="252"/>
      <c r="IIO383" s="252"/>
      <c r="IIP383" s="252"/>
      <c r="IIQ383" s="252"/>
      <c r="IIR383" s="252"/>
      <c r="IIS383" s="252"/>
      <c r="IIT383" s="252"/>
      <c r="IIU383" s="252"/>
      <c r="IIV383" s="252"/>
      <c r="IIW383" s="252"/>
      <c r="IIX383" s="252"/>
      <c r="IIY383" s="252"/>
      <c r="IIZ383" s="252"/>
      <c r="IJA383" s="252"/>
      <c r="IJB383" s="252"/>
      <c r="IJC383" s="252"/>
      <c r="IJD383" s="252"/>
      <c r="IJE383" s="252"/>
      <c r="IJF383" s="252"/>
      <c r="IJG383" s="252"/>
      <c r="IJH383" s="252"/>
      <c r="IJI383" s="252"/>
      <c r="IJJ383" s="252"/>
      <c r="IJK383" s="252"/>
      <c r="IJL383" s="252"/>
      <c r="IJM383" s="252"/>
      <c r="IJN383" s="252"/>
      <c r="IJO383" s="252"/>
      <c r="IJP383" s="252"/>
      <c r="IJQ383" s="252"/>
      <c r="IJR383" s="252"/>
      <c r="IJS383" s="252"/>
      <c r="IJT383" s="252"/>
      <c r="IJU383" s="252"/>
      <c r="IJV383" s="252"/>
      <c r="IJW383" s="252"/>
      <c r="IJX383" s="252"/>
      <c r="IJY383" s="252"/>
      <c r="IJZ383" s="252"/>
      <c r="IKA383" s="252"/>
      <c r="IKB383" s="252"/>
      <c r="IKC383" s="252"/>
      <c r="IKD383" s="252"/>
      <c r="IKE383" s="252"/>
      <c r="IKF383" s="252"/>
      <c r="IKG383" s="252"/>
      <c r="IKH383" s="252"/>
      <c r="IKI383" s="252"/>
      <c r="IKJ383" s="252"/>
      <c r="IKK383" s="252"/>
      <c r="IKL383" s="252"/>
      <c r="IKM383" s="252"/>
      <c r="IKN383" s="252"/>
      <c r="IKO383" s="252"/>
      <c r="IKP383" s="252"/>
      <c r="IKQ383" s="252"/>
      <c r="IKR383" s="252"/>
      <c r="IKS383" s="252"/>
      <c r="IKT383" s="252"/>
      <c r="IKU383" s="252"/>
      <c r="IKV383" s="252"/>
      <c r="IKW383" s="252"/>
      <c r="IKX383" s="252"/>
      <c r="IKY383" s="252"/>
      <c r="IKZ383" s="252"/>
      <c r="ILA383" s="252"/>
      <c r="ILB383" s="252"/>
      <c r="ILC383" s="252"/>
      <c r="ILD383" s="252"/>
      <c r="ILE383" s="252"/>
      <c r="ILF383" s="252"/>
      <c r="ILG383" s="252"/>
      <c r="ILH383" s="252"/>
      <c r="ILI383" s="252"/>
      <c r="ILJ383" s="252"/>
      <c r="ILK383" s="252"/>
      <c r="ILL383" s="252"/>
      <c r="ILM383" s="252"/>
      <c r="ILN383" s="252"/>
      <c r="ILO383" s="252"/>
      <c r="ILP383" s="252"/>
      <c r="ILQ383" s="252"/>
      <c r="ILR383" s="252"/>
      <c r="ILS383" s="252"/>
      <c r="ILT383" s="252"/>
      <c r="ILU383" s="252"/>
      <c r="ILV383" s="252"/>
      <c r="ILW383" s="252"/>
      <c r="ILX383" s="252"/>
      <c r="ILY383" s="252"/>
      <c r="ILZ383" s="252"/>
      <c r="IMA383" s="252"/>
      <c r="IMB383" s="252"/>
      <c r="IMC383" s="252"/>
      <c r="IMD383" s="252"/>
      <c r="IME383" s="252"/>
      <c r="IMF383" s="252"/>
      <c r="IMG383" s="252"/>
      <c r="IMH383" s="252"/>
      <c r="IMI383" s="252"/>
      <c r="IMJ383" s="252"/>
      <c r="IMK383" s="252"/>
      <c r="IML383" s="252"/>
      <c r="IMM383" s="252"/>
      <c r="IMN383" s="252"/>
      <c r="IMO383" s="252"/>
      <c r="IMP383" s="252"/>
      <c r="IMQ383" s="252"/>
      <c r="IMR383" s="252"/>
      <c r="IMS383" s="252"/>
      <c r="IMT383" s="252"/>
      <c r="IMU383" s="252"/>
      <c r="IMV383" s="252"/>
      <c r="IMW383" s="252"/>
      <c r="IMX383" s="252"/>
      <c r="IMY383" s="252"/>
      <c r="IMZ383" s="252"/>
      <c r="INA383" s="252"/>
      <c r="INB383" s="252"/>
      <c r="INC383" s="252"/>
      <c r="IND383" s="252"/>
      <c r="INE383" s="252"/>
      <c r="INF383" s="252"/>
      <c r="ING383" s="252"/>
      <c r="INH383" s="252"/>
      <c r="INI383" s="252"/>
      <c r="INJ383" s="252"/>
      <c r="INK383" s="252"/>
      <c r="INL383" s="252"/>
      <c r="INM383" s="252"/>
      <c r="INN383" s="252"/>
      <c r="INO383" s="252"/>
      <c r="INP383" s="252"/>
      <c r="INQ383" s="252"/>
      <c r="INR383" s="252"/>
      <c r="INS383" s="252"/>
      <c r="INT383" s="252"/>
      <c r="INU383" s="252"/>
      <c r="INV383" s="252"/>
      <c r="INW383" s="252"/>
      <c r="INX383" s="252"/>
      <c r="INY383" s="252"/>
      <c r="INZ383" s="252"/>
      <c r="IOA383" s="252"/>
      <c r="IOB383" s="252"/>
      <c r="IOC383" s="252"/>
      <c r="IOD383" s="252"/>
      <c r="IOE383" s="252"/>
      <c r="IOF383" s="252"/>
      <c r="IOG383" s="252"/>
      <c r="IOH383" s="252"/>
      <c r="IOI383" s="252"/>
      <c r="IOJ383" s="252"/>
      <c r="IOK383" s="252"/>
      <c r="IOL383" s="252"/>
      <c r="IOM383" s="252"/>
      <c r="ION383" s="252"/>
      <c r="IOO383" s="252"/>
      <c r="IOP383" s="252"/>
      <c r="IOQ383" s="252"/>
      <c r="IOR383" s="252"/>
      <c r="IOS383" s="252"/>
      <c r="IOT383" s="252"/>
      <c r="IOU383" s="252"/>
      <c r="IOV383" s="252"/>
      <c r="IOW383" s="252"/>
      <c r="IOX383" s="252"/>
      <c r="IOY383" s="252"/>
      <c r="IOZ383" s="252"/>
      <c r="IPA383" s="252"/>
      <c r="IPB383" s="252"/>
      <c r="IPC383" s="252"/>
      <c r="IPD383" s="252"/>
      <c r="IPE383" s="252"/>
      <c r="IPF383" s="252"/>
      <c r="IPG383" s="252"/>
      <c r="IPH383" s="252"/>
      <c r="IPI383" s="252"/>
      <c r="IPJ383" s="252"/>
      <c r="IPK383" s="252"/>
      <c r="IPL383" s="252"/>
      <c r="IPM383" s="252"/>
      <c r="IPN383" s="252"/>
      <c r="IPO383" s="252"/>
      <c r="IPP383" s="252"/>
      <c r="IPQ383" s="252"/>
      <c r="IPR383" s="252"/>
      <c r="IPS383" s="252"/>
      <c r="IPT383" s="252"/>
      <c r="IPU383" s="252"/>
      <c r="IPV383" s="252"/>
      <c r="IPW383" s="252"/>
      <c r="IPX383" s="252"/>
      <c r="IPY383" s="252"/>
      <c r="IPZ383" s="252"/>
      <c r="IQA383" s="252"/>
      <c r="IQB383" s="252"/>
      <c r="IQC383" s="252"/>
      <c r="IQD383" s="252"/>
      <c r="IQE383" s="252"/>
      <c r="IQF383" s="252"/>
      <c r="IQG383" s="252"/>
      <c r="IQH383" s="252"/>
      <c r="IQI383" s="252"/>
      <c r="IQJ383" s="252"/>
      <c r="IQK383" s="252"/>
      <c r="IQL383" s="252"/>
      <c r="IQM383" s="252"/>
      <c r="IQN383" s="252"/>
      <c r="IQO383" s="252"/>
      <c r="IQP383" s="252"/>
      <c r="IQQ383" s="252"/>
      <c r="IQR383" s="252"/>
      <c r="IQS383" s="252"/>
      <c r="IQT383" s="252"/>
      <c r="IQU383" s="252"/>
      <c r="IQV383" s="252"/>
      <c r="IQW383" s="252"/>
      <c r="IQX383" s="252"/>
      <c r="IQY383" s="252"/>
      <c r="IQZ383" s="252"/>
      <c r="IRA383" s="252"/>
      <c r="IRB383" s="252"/>
      <c r="IRC383" s="252"/>
      <c r="IRD383" s="252"/>
      <c r="IRE383" s="252"/>
      <c r="IRF383" s="252"/>
      <c r="IRG383" s="252"/>
      <c r="IRH383" s="252"/>
      <c r="IRI383" s="252"/>
      <c r="IRJ383" s="252"/>
      <c r="IRK383" s="252"/>
      <c r="IRL383" s="252"/>
      <c r="IRM383" s="252"/>
      <c r="IRN383" s="252"/>
      <c r="IRO383" s="252"/>
      <c r="IRP383" s="252"/>
      <c r="IRQ383" s="252"/>
      <c r="IRR383" s="252"/>
      <c r="IRS383" s="252"/>
      <c r="IRT383" s="252"/>
      <c r="IRU383" s="252"/>
      <c r="IRV383" s="252"/>
      <c r="IRW383" s="252"/>
      <c r="IRX383" s="252"/>
      <c r="IRY383" s="252"/>
      <c r="IRZ383" s="252"/>
      <c r="ISA383" s="252"/>
      <c r="ISB383" s="252"/>
      <c r="ISC383" s="252"/>
      <c r="ISD383" s="252"/>
      <c r="ISE383" s="252"/>
      <c r="ISF383" s="252"/>
      <c r="ISG383" s="252"/>
      <c r="ISH383" s="252"/>
      <c r="ISI383" s="252"/>
      <c r="ISJ383" s="252"/>
      <c r="ISK383" s="252"/>
      <c r="ISL383" s="252"/>
      <c r="ISM383" s="252"/>
      <c r="ISN383" s="252"/>
      <c r="ISO383" s="252"/>
      <c r="ISP383" s="252"/>
      <c r="ISQ383" s="252"/>
      <c r="ISR383" s="252"/>
      <c r="ISS383" s="252"/>
      <c r="IST383" s="252"/>
      <c r="ISU383" s="252"/>
      <c r="ISV383" s="252"/>
      <c r="ISW383" s="252"/>
      <c r="ISX383" s="252"/>
      <c r="ISY383" s="252"/>
      <c r="ISZ383" s="252"/>
      <c r="ITA383" s="252"/>
      <c r="ITB383" s="252"/>
      <c r="ITC383" s="252"/>
      <c r="ITD383" s="252"/>
      <c r="ITE383" s="252"/>
      <c r="ITF383" s="252"/>
      <c r="ITG383" s="252"/>
      <c r="ITH383" s="252"/>
      <c r="ITI383" s="252"/>
      <c r="ITJ383" s="252"/>
      <c r="ITK383" s="252"/>
      <c r="ITL383" s="252"/>
      <c r="ITM383" s="252"/>
      <c r="ITN383" s="252"/>
      <c r="ITO383" s="252"/>
      <c r="ITP383" s="252"/>
      <c r="ITQ383" s="252"/>
      <c r="ITR383" s="252"/>
      <c r="ITS383" s="252"/>
      <c r="ITT383" s="252"/>
      <c r="ITU383" s="252"/>
      <c r="ITV383" s="252"/>
      <c r="ITW383" s="252"/>
      <c r="ITX383" s="252"/>
      <c r="ITY383" s="252"/>
      <c r="ITZ383" s="252"/>
      <c r="IUA383" s="252"/>
      <c r="IUB383" s="252"/>
      <c r="IUC383" s="252"/>
      <c r="IUD383" s="252"/>
      <c r="IUE383" s="252"/>
      <c r="IUF383" s="252"/>
      <c r="IUG383" s="252"/>
      <c r="IUH383" s="252"/>
      <c r="IUI383" s="252"/>
      <c r="IUJ383" s="252"/>
      <c r="IUK383" s="252"/>
      <c r="IUL383" s="252"/>
      <c r="IUM383" s="252"/>
      <c r="IUN383" s="252"/>
      <c r="IUO383" s="252"/>
      <c r="IUP383" s="252"/>
      <c r="IUQ383" s="252"/>
      <c r="IUR383" s="252"/>
      <c r="IUS383" s="252"/>
      <c r="IUT383" s="252"/>
      <c r="IUU383" s="252"/>
      <c r="IUV383" s="252"/>
      <c r="IUW383" s="252"/>
      <c r="IUX383" s="252"/>
      <c r="IUY383" s="252"/>
      <c r="IUZ383" s="252"/>
      <c r="IVA383" s="252"/>
      <c r="IVB383" s="252"/>
      <c r="IVC383" s="252"/>
      <c r="IVD383" s="252"/>
      <c r="IVE383" s="252"/>
      <c r="IVF383" s="252"/>
      <c r="IVG383" s="252"/>
      <c r="IVH383" s="252"/>
      <c r="IVI383" s="252"/>
      <c r="IVJ383" s="252"/>
      <c r="IVK383" s="252"/>
      <c r="IVL383" s="252"/>
      <c r="IVM383" s="252"/>
      <c r="IVN383" s="252"/>
      <c r="IVO383" s="252"/>
      <c r="IVP383" s="252"/>
      <c r="IVQ383" s="252"/>
      <c r="IVR383" s="252"/>
      <c r="IVS383" s="252"/>
      <c r="IVT383" s="252"/>
      <c r="IVU383" s="252"/>
      <c r="IVV383" s="252"/>
      <c r="IVW383" s="252"/>
      <c r="IVX383" s="252"/>
      <c r="IVY383" s="252"/>
      <c r="IVZ383" s="252"/>
      <c r="IWA383" s="252"/>
      <c r="IWB383" s="252"/>
      <c r="IWC383" s="252"/>
      <c r="IWD383" s="252"/>
      <c r="IWE383" s="252"/>
      <c r="IWF383" s="252"/>
      <c r="IWG383" s="252"/>
      <c r="IWH383" s="252"/>
      <c r="IWI383" s="252"/>
      <c r="IWJ383" s="252"/>
      <c r="IWK383" s="252"/>
      <c r="IWL383" s="252"/>
      <c r="IWM383" s="252"/>
      <c r="IWN383" s="252"/>
      <c r="IWO383" s="252"/>
      <c r="IWP383" s="252"/>
      <c r="IWQ383" s="252"/>
      <c r="IWR383" s="252"/>
      <c r="IWS383" s="252"/>
      <c r="IWT383" s="252"/>
      <c r="IWU383" s="252"/>
      <c r="IWV383" s="252"/>
      <c r="IWW383" s="252"/>
      <c r="IWX383" s="252"/>
      <c r="IWY383" s="252"/>
      <c r="IWZ383" s="252"/>
      <c r="IXA383" s="252"/>
      <c r="IXB383" s="252"/>
      <c r="IXC383" s="252"/>
      <c r="IXD383" s="252"/>
      <c r="IXE383" s="252"/>
      <c r="IXF383" s="252"/>
      <c r="IXG383" s="252"/>
      <c r="IXH383" s="252"/>
      <c r="IXI383" s="252"/>
      <c r="IXJ383" s="252"/>
      <c r="IXK383" s="252"/>
      <c r="IXL383" s="252"/>
      <c r="IXM383" s="252"/>
      <c r="IXN383" s="252"/>
      <c r="IXO383" s="252"/>
      <c r="IXP383" s="252"/>
      <c r="IXQ383" s="252"/>
      <c r="IXR383" s="252"/>
      <c r="IXS383" s="252"/>
      <c r="IXT383" s="252"/>
      <c r="IXU383" s="252"/>
      <c r="IXV383" s="252"/>
      <c r="IXW383" s="252"/>
      <c r="IXX383" s="252"/>
      <c r="IXY383" s="252"/>
      <c r="IXZ383" s="252"/>
      <c r="IYA383" s="252"/>
      <c r="IYB383" s="252"/>
      <c r="IYC383" s="252"/>
      <c r="IYD383" s="252"/>
      <c r="IYE383" s="252"/>
      <c r="IYF383" s="252"/>
      <c r="IYG383" s="252"/>
      <c r="IYH383" s="252"/>
      <c r="IYI383" s="252"/>
      <c r="IYJ383" s="252"/>
      <c r="IYK383" s="252"/>
      <c r="IYL383" s="252"/>
      <c r="IYM383" s="252"/>
      <c r="IYN383" s="252"/>
      <c r="IYO383" s="252"/>
      <c r="IYP383" s="252"/>
      <c r="IYQ383" s="252"/>
      <c r="IYR383" s="252"/>
      <c r="IYS383" s="252"/>
      <c r="IYT383" s="252"/>
      <c r="IYU383" s="252"/>
      <c r="IYV383" s="252"/>
      <c r="IYW383" s="252"/>
      <c r="IYX383" s="252"/>
      <c r="IYY383" s="252"/>
      <c r="IYZ383" s="252"/>
      <c r="IZA383" s="252"/>
      <c r="IZB383" s="252"/>
      <c r="IZC383" s="252"/>
      <c r="IZD383" s="252"/>
      <c r="IZE383" s="252"/>
      <c r="IZF383" s="252"/>
      <c r="IZG383" s="252"/>
      <c r="IZH383" s="252"/>
      <c r="IZI383" s="252"/>
      <c r="IZJ383" s="252"/>
      <c r="IZK383" s="252"/>
      <c r="IZL383" s="252"/>
      <c r="IZM383" s="252"/>
      <c r="IZN383" s="252"/>
      <c r="IZO383" s="252"/>
      <c r="IZP383" s="252"/>
      <c r="IZQ383" s="252"/>
      <c r="IZR383" s="252"/>
      <c r="IZS383" s="252"/>
      <c r="IZT383" s="252"/>
      <c r="IZU383" s="252"/>
      <c r="IZV383" s="252"/>
      <c r="IZW383" s="252"/>
      <c r="IZX383" s="252"/>
      <c r="IZY383" s="252"/>
      <c r="IZZ383" s="252"/>
      <c r="JAA383" s="252"/>
      <c r="JAB383" s="252"/>
      <c r="JAC383" s="252"/>
      <c r="JAD383" s="252"/>
      <c r="JAE383" s="252"/>
      <c r="JAF383" s="252"/>
      <c r="JAG383" s="252"/>
      <c r="JAH383" s="252"/>
      <c r="JAI383" s="252"/>
      <c r="JAJ383" s="252"/>
      <c r="JAK383" s="252"/>
      <c r="JAL383" s="252"/>
      <c r="JAM383" s="252"/>
      <c r="JAN383" s="252"/>
      <c r="JAO383" s="252"/>
      <c r="JAP383" s="252"/>
      <c r="JAQ383" s="252"/>
      <c r="JAR383" s="252"/>
      <c r="JAS383" s="252"/>
      <c r="JAT383" s="252"/>
      <c r="JAU383" s="252"/>
      <c r="JAV383" s="252"/>
      <c r="JAW383" s="252"/>
      <c r="JAX383" s="252"/>
      <c r="JAY383" s="252"/>
      <c r="JAZ383" s="252"/>
      <c r="JBA383" s="252"/>
      <c r="JBB383" s="252"/>
      <c r="JBC383" s="252"/>
      <c r="JBD383" s="252"/>
      <c r="JBE383" s="252"/>
      <c r="JBF383" s="252"/>
      <c r="JBG383" s="252"/>
      <c r="JBH383" s="252"/>
      <c r="JBI383" s="252"/>
      <c r="JBJ383" s="252"/>
      <c r="JBK383" s="252"/>
      <c r="JBL383" s="252"/>
      <c r="JBM383" s="252"/>
      <c r="JBN383" s="252"/>
      <c r="JBO383" s="252"/>
      <c r="JBP383" s="252"/>
      <c r="JBQ383" s="252"/>
      <c r="JBR383" s="252"/>
      <c r="JBS383" s="252"/>
      <c r="JBT383" s="252"/>
      <c r="JBU383" s="252"/>
      <c r="JBV383" s="252"/>
      <c r="JBW383" s="252"/>
      <c r="JBX383" s="252"/>
      <c r="JBY383" s="252"/>
      <c r="JBZ383" s="252"/>
      <c r="JCA383" s="252"/>
      <c r="JCB383" s="252"/>
      <c r="JCC383" s="252"/>
      <c r="JCD383" s="252"/>
      <c r="JCE383" s="252"/>
      <c r="JCF383" s="252"/>
      <c r="JCG383" s="252"/>
      <c r="JCH383" s="252"/>
      <c r="JCI383" s="252"/>
      <c r="JCJ383" s="252"/>
      <c r="JCK383" s="252"/>
      <c r="JCL383" s="252"/>
      <c r="JCM383" s="252"/>
      <c r="JCN383" s="252"/>
      <c r="JCO383" s="252"/>
      <c r="JCP383" s="252"/>
      <c r="JCQ383" s="252"/>
      <c r="JCR383" s="252"/>
      <c r="JCS383" s="252"/>
      <c r="JCT383" s="252"/>
      <c r="JCU383" s="252"/>
      <c r="JCV383" s="252"/>
      <c r="JCW383" s="252"/>
      <c r="JCX383" s="252"/>
      <c r="JCY383" s="252"/>
      <c r="JCZ383" s="252"/>
      <c r="JDA383" s="252"/>
      <c r="JDB383" s="252"/>
      <c r="JDC383" s="252"/>
      <c r="JDD383" s="252"/>
      <c r="JDE383" s="252"/>
      <c r="JDF383" s="252"/>
      <c r="JDG383" s="252"/>
      <c r="JDH383" s="252"/>
      <c r="JDI383" s="252"/>
      <c r="JDJ383" s="252"/>
      <c r="JDK383" s="252"/>
      <c r="JDL383" s="252"/>
      <c r="JDM383" s="252"/>
      <c r="JDN383" s="252"/>
      <c r="JDO383" s="252"/>
      <c r="JDP383" s="252"/>
      <c r="JDQ383" s="252"/>
      <c r="JDR383" s="252"/>
      <c r="JDS383" s="252"/>
      <c r="JDT383" s="252"/>
      <c r="JDU383" s="252"/>
      <c r="JDV383" s="252"/>
      <c r="JDW383" s="252"/>
      <c r="JDX383" s="252"/>
      <c r="JDY383" s="252"/>
      <c r="JDZ383" s="252"/>
      <c r="JEA383" s="252"/>
      <c r="JEB383" s="252"/>
      <c r="JEC383" s="252"/>
      <c r="JED383" s="252"/>
      <c r="JEE383" s="252"/>
      <c r="JEF383" s="252"/>
      <c r="JEG383" s="252"/>
      <c r="JEH383" s="252"/>
      <c r="JEI383" s="252"/>
      <c r="JEJ383" s="252"/>
      <c r="JEK383" s="252"/>
      <c r="JEL383" s="252"/>
      <c r="JEM383" s="252"/>
      <c r="JEN383" s="252"/>
      <c r="JEO383" s="252"/>
      <c r="JEP383" s="252"/>
      <c r="JEQ383" s="252"/>
      <c r="JER383" s="252"/>
      <c r="JES383" s="252"/>
      <c r="JET383" s="252"/>
      <c r="JEU383" s="252"/>
      <c r="JEV383" s="252"/>
      <c r="JEW383" s="252"/>
      <c r="JEX383" s="252"/>
      <c r="JEY383" s="252"/>
      <c r="JEZ383" s="252"/>
      <c r="JFA383" s="252"/>
      <c r="JFB383" s="252"/>
      <c r="JFC383" s="252"/>
      <c r="JFD383" s="252"/>
      <c r="JFE383" s="252"/>
      <c r="JFF383" s="252"/>
      <c r="JFG383" s="252"/>
      <c r="JFH383" s="252"/>
      <c r="JFI383" s="252"/>
      <c r="JFJ383" s="252"/>
      <c r="JFK383" s="252"/>
      <c r="JFL383" s="252"/>
      <c r="JFM383" s="252"/>
      <c r="JFN383" s="252"/>
      <c r="JFO383" s="252"/>
      <c r="JFP383" s="252"/>
      <c r="JFQ383" s="252"/>
      <c r="JFR383" s="252"/>
      <c r="JFS383" s="252"/>
      <c r="JFT383" s="252"/>
      <c r="JFU383" s="252"/>
      <c r="JFV383" s="252"/>
      <c r="JFW383" s="252"/>
      <c r="JFX383" s="252"/>
      <c r="JFY383" s="252"/>
      <c r="JFZ383" s="252"/>
      <c r="JGA383" s="252"/>
      <c r="JGB383" s="252"/>
      <c r="JGC383" s="252"/>
      <c r="JGD383" s="252"/>
      <c r="JGE383" s="252"/>
      <c r="JGF383" s="252"/>
      <c r="JGG383" s="252"/>
      <c r="JGH383" s="252"/>
      <c r="JGI383" s="252"/>
      <c r="JGJ383" s="252"/>
      <c r="JGK383" s="252"/>
      <c r="JGL383" s="252"/>
      <c r="JGM383" s="252"/>
      <c r="JGN383" s="252"/>
      <c r="JGO383" s="252"/>
      <c r="JGP383" s="252"/>
      <c r="JGQ383" s="252"/>
      <c r="JGR383" s="252"/>
      <c r="JGS383" s="252"/>
      <c r="JGT383" s="252"/>
      <c r="JGU383" s="252"/>
      <c r="JGV383" s="252"/>
      <c r="JGW383" s="252"/>
      <c r="JGX383" s="252"/>
      <c r="JGY383" s="252"/>
      <c r="JGZ383" s="252"/>
      <c r="JHA383" s="252"/>
      <c r="JHB383" s="252"/>
      <c r="JHC383" s="252"/>
      <c r="JHD383" s="252"/>
      <c r="JHE383" s="252"/>
      <c r="JHF383" s="252"/>
      <c r="JHG383" s="252"/>
      <c r="JHH383" s="252"/>
      <c r="JHI383" s="252"/>
      <c r="JHJ383" s="252"/>
      <c r="JHK383" s="252"/>
      <c r="JHL383" s="252"/>
      <c r="JHM383" s="252"/>
      <c r="JHN383" s="252"/>
      <c r="JHO383" s="252"/>
      <c r="JHP383" s="252"/>
      <c r="JHQ383" s="252"/>
      <c r="JHR383" s="252"/>
      <c r="JHS383" s="252"/>
      <c r="JHT383" s="252"/>
      <c r="JHU383" s="252"/>
      <c r="JHV383" s="252"/>
      <c r="JHW383" s="252"/>
      <c r="JHX383" s="252"/>
      <c r="JHY383" s="252"/>
      <c r="JHZ383" s="252"/>
      <c r="JIA383" s="252"/>
      <c r="JIB383" s="252"/>
      <c r="JIC383" s="252"/>
      <c r="JID383" s="252"/>
      <c r="JIE383" s="252"/>
      <c r="JIF383" s="252"/>
      <c r="JIG383" s="252"/>
      <c r="JIH383" s="252"/>
      <c r="JII383" s="252"/>
      <c r="JIJ383" s="252"/>
      <c r="JIK383" s="252"/>
      <c r="JIL383" s="252"/>
      <c r="JIM383" s="252"/>
      <c r="JIN383" s="252"/>
      <c r="JIO383" s="252"/>
      <c r="JIP383" s="252"/>
      <c r="JIQ383" s="252"/>
      <c r="JIR383" s="252"/>
      <c r="JIS383" s="252"/>
      <c r="JIT383" s="252"/>
      <c r="JIU383" s="252"/>
      <c r="JIV383" s="252"/>
      <c r="JIW383" s="252"/>
      <c r="JIX383" s="252"/>
      <c r="JIY383" s="252"/>
      <c r="JIZ383" s="252"/>
      <c r="JJA383" s="252"/>
      <c r="JJB383" s="252"/>
      <c r="JJC383" s="252"/>
      <c r="JJD383" s="252"/>
      <c r="JJE383" s="252"/>
      <c r="JJF383" s="252"/>
      <c r="JJG383" s="252"/>
      <c r="JJH383" s="252"/>
      <c r="JJI383" s="252"/>
      <c r="JJJ383" s="252"/>
      <c r="JJK383" s="252"/>
      <c r="JJL383" s="252"/>
      <c r="JJM383" s="252"/>
      <c r="JJN383" s="252"/>
      <c r="JJO383" s="252"/>
      <c r="JJP383" s="252"/>
      <c r="JJQ383" s="252"/>
      <c r="JJR383" s="252"/>
      <c r="JJS383" s="252"/>
      <c r="JJT383" s="252"/>
      <c r="JJU383" s="252"/>
      <c r="JJV383" s="252"/>
      <c r="JJW383" s="252"/>
      <c r="JJX383" s="252"/>
      <c r="JJY383" s="252"/>
      <c r="JJZ383" s="252"/>
      <c r="JKA383" s="252"/>
      <c r="JKB383" s="252"/>
      <c r="JKC383" s="252"/>
      <c r="JKD383" s="252"/>
      <c r="JKE383" s="252"/>
      <c r="JKF383" s="252"/>
      <c r="JKG383" s="252"/>
      <c r="JKH383" s="252"/>
      <c r="JKI383" s="252"/>
      <c r="JKJ383" s="252"/>
      <c r="JKK383" s="252"/>
      <c r="JKL383" s="252"/>
      <c r="JKM383" s="252"/>
      <c r="JKN383" s="252"/>
      <c r="JKO383" s="252"/>
      <c r="JKP383" s="252"/>
      <c r="JKQ383" s="252"/>
      <c r="JKR383" s="252"/>
      <c r="JKS383" s="252"/>
      <c r="JKT383" s="252"/>
      <c r="JKU383" s="252"/>
      <c r="JKV383" s="252"/>
      <c r="JKW383" s="252"/>
      <c r="JKX383" s="252"/>
      <c r="JKY383" s="252"/>
      <c r="JKZ383" s="252"/>
      <c r="JLA383" s="252"/>
      <c r="JLB383" s="252"/>
      <c r="JLC383" s="252"/>
      <c r="JLD383" s="252"/>
      <c r="JLE383" s="252"/>
      <c r="JLF383" s="252"/>
      <c r="JLG383" s="252"/>
      <c r="JLH383" s="252"/>
      <c r="JLI383" s="252"/>
      <c r="JLJ383" s="252"/>
      <c r="JLK383" s="252"/>
      <c r="JLL383" s="252"/>
      <c r="JLM383" s="252"/>
      <c r="JLN383" s="252"/>
      <c r="JLO383" s="252"/>
      <c r="JLP383" s="252"/>
      <c r="JLQ383" s="252"/>
      <c r="JLR383" s="252"/>
      <c r="JLS383" s="252"/>
      <c r="JLT383" s="252"/>
      <c r="JLU383" s="252"/>
      <c r="JLV383" s="252"/>
      <c r="JLW383" s="252"/>
      <c r="JLX383" s="252"/>
      <c r="JLY383" s="252"/>
      <c r="JLZ383" s="252"/>
      <c r="JMA383" s="252"/>
      <c r="JMB383" s="252"/>
      <c r="JMC383" s="252"/>
      <c r="JMD383" s="252"/>
      <c r="JME383" s="252"/>
      <c r="JMF383" s="252"/>
      <c r="JMG383" s="252"/>
      <c r="JMH383" s="252"/>
      <c r="JMI383" s="252"/>
      <c r="JMJ383" s="252"/>
      <c r="JMK383" s="252"/>
      <c r="JML383" s="252"/>
      <c r="JMM383" s="252"/>
      <c r="JMN383" s="252"/>
      <c r="JMO383" s="252"/>
      <c r="JMP383" s="252"/>
      <c r="JMQ383" s="252"/>
      <c r="JMR383" s="252"/>
      <c r="JMS383" s="252"/>
      <c r="JMT383" s="252"/>
      <c r="JMU383" s="252"/>
      <c r="JMV383" s="252"/>
      <c r="JMW383" s="252"/>
      <c r="JMX383" s="252"/>
      <c r="JMY383" s="252"/>
      <c r="JMZ383" s="252"/>
      <c r="JNA383" s="252"/>
      <c r="JNB383" s="252"/>
      <c r="JNC383" s="252"/>
      <c r="JND383" s="252"/>
      <c r="JNE383" s="252"/>
      <c r="JNF383" s="252"/>
      <c r="JNG383" s="252"/>
      <c r="JNH383" s="252"/>
      <c r="JNI383" s="252"/>
      <c r="JNJ383" s="252"/>
      <c r="JNK383" s="252"/>
      <c r="JNL383" s="252"/>
      <c r="JNM383" s="252"/>
      <c r="JNN383" s="252"/>
      <c r="JNO383" s="252"/>
      <c r="JNP383" s="252"/>
      <c r="JNQ383" s="252"/>
      <c r="JNR383" s="252"/>
      <c r="JNS383" s="252"/>
      <c r="JNT383" s="252"/>
      <c r="JNU383" s="252"/>
      <c r="JNV383" s="252"/>
      <c r="JNW383" s="252"/>
      <c r="JNX383" s="252"/>
      <c r="JNY383" s="252"/>
      <c r="JNZ383" s="252"/>
      <c r="JOA383" s="252"/>
      <c r="JOB383" s="252"/>
      <c r="JOC383" s="252"/>
      <c r="JOD383" s="252"/>
      <c r="JOE383" s="252"/>
      <c r="JOF383" s="252"/>
      <c r="JOG383" s="252"/>
      <c r="JOH383" s="252"/>
      <c r="JOI383" s="252"/>
      <c r="JOJ383" s="252"/>
      <c r="JOK383" s="252"/>
      <c r="JOL383" s="252"/>
      <c r="JOM383" s="252"/>
      <c r="JON383" s="252"/>
      <c r="JOO383" s="252"/>
      <c r="JOP383" s="252"/>
      <c r="JOQ383" s="252"/>
      <c r="JOR383" s="252"/>
      <c r="JOS383" s="252"/>
      <c r="JOT383" s="252"/>
      <c r="JOU383" s="252"/>
      <c r="JOV383" s="252"/>
      <c r="JOW383" s="252"/>
      <c r="JOX383" s="252"/>
      <c r="JOY383" s="252"/>
      <c r="JOZ383" s="252"/>
      <c r="JPA383" s="252"/>
      <c r="JPB383" s="252"/>
      <c r="JPC383" s="252"/>
      <c r="JPD383" s="252"/>
      <c r="JPE383" s="252"/>
      <c r="JPF383" s="252"/>
      <c r="JPG383" s="252"/>
      <c r="JPH383" s="252"/>
      <c r="JPI383" s="252"/>
      <c r="JPJ383" s="252"/>
      <c r="JPK383" s="252"/>
      <c r="JPL383" s="252"/>
      <c r="JPM383" s="252"/>
      <c r="JPN383" s="252"/>
      <c r="JPO383" s="252"/>
      <c r="JPP383" s="252"/>
      <c r="JPQ383" s="252"/>
      <c r="JPR383" s="252"/>
      <c r="JPS383" s="252"/>
      <c r="JPT383" s="252"/>
      <c r="JPU383" s="252"/>
      <c r="JPV383" s="252"/>
      <c r="JPW383" s="252"/>
      <c r="JPX383" s="252"/>
      <c r="JPY383" s="252"/>
      <c r="JPZ383" s="252"/>
      <c r="JQA383" s="252"/>
      <c r="JQB383" s="252"/>
      <c r="JQC383" s="252"/>
      <c r="JQD383" s="252"/>
      <c r="JQE383" s="252"/>
      <c r="JQF383" s="252"/>
      <c r="JQG383" s="252"/>
      <c r="JQH383" s="252"/>
      <c r="JQI383" s="252"/>
      <c r="JQJ383" s="252"/>
      <c r="JQK383" s="252"/>
      <c r="JQL383" s="252"/>
      <c r="JQM383" s="252"/>
      <c r="JQN383" s="252"/>
      <c r="JQO383" s="252"/>
      <c r="JQP383" s="252"/>
      <c r="JQQ383" s="252"/>
      <c r="JQR383" s="252"/>
      <c r="JQS383" s="252"/>
      <c r="JQT383" s="252"/>
      <c r="JQU383" s="252"/>
      <c r="JQV383" s="252"/>
      <c r="JQW383" s="252"/>
      <c r="JQX383" s="252"/>
      <c r="JQY383" s="252"/>
      <c r="JQZ383" s="252"/>
      <c r="JRA383" s="252"/>
      <c r="JRB383" s="252"/>
      <c r="JRC383" s="252"/>
      <c r="JRD383" s="252"/>
      <c r="JRE383" s="252"/>
      <c r="JRF383" s="252"/>
      <c r="JRG383" s="252"/>
      <c r="JRH383" s="252"/>
      <c r="JRI383" s="252"/>
      <c r="JRJ383" s="252"/>
      <c r="JRK383" s="252"/>
      <c r="JRL383" s="252"/>
      <c r="JRM383" s="252"/>
      <c r="JRN383" s="252"/>
      <c r="JRO383" s="252"/>
      <c r="JRP383" s="252"/>
      <c r="JRQ383" s="252"/>
      <c r="JRR383" s="252"/>
      <c r="JRS383" s="252"/>
      <c r="JRT383" s="252"/>
      <c r="JRU383" s="252"/>
      <c r="JRV383" s="252"/>
      <c r="JRW383" s="252"/>
      <c r="JRX383" s="252"/>
      <c r="JRY383" s="252"/>
      <c r="JRZ383" s="252"/>
      <c r="JSA383" s="252"/>
      <c r="JSB383" s="252"/>
      <c r="JSC383" s="252"/>
      <c r="JSD383" s="252"/>
      <c r="JSE383" s="252"/>
      <c r="JSF383" s="252"/>
      <c r="JSG383" s="252"/>
      <c r="JSH383" s="252"/>
      <c r="JSI383" s="252"/>
      <c r="JSJ383" s="252"/>
      <c r="JSK383" s="252"/>
      <c r="JSL383" s="252"/>
      <c r="JSM383" s="252"/>
      <c r="JSN383" s="252"/>
      <c r="JSO383" s="252"/>
      <c r="JSP383" s="252"/>
      <c r="JSQ383" s="252"/>
      <c r="JSR383" s="252"/>
      <c r="JSS383" s="252"/>
      <c r="JST383" s="252"/>
      <c r="JSU383" s="252"/>
      <c r="JSV383" s="252"/>
      <c r="JSW383" s="252"/>
      <c r="JSX383" s="252"/>
      <c r="JSY383" s="252"/>
      <c r="JSZ383" s="252"/>
      <c r="JTA383" s="252"/>
      <c r="JTB383" s="252"/>
      <c r="JTC383" s="252"/>
      <c r="JTD383" s="252"/>
      <c r="JTE383" s="252"/>
      <c r="JTF383" s="252"/>
      <c r="JTG383" s="252"/>
      <c r="JTH383" s="252"/>
      <c r="JTI383" s="252"/>
      <c r="JTJ383" s="252"/>
      <c r="JTK383" s="252"/>
      <c r="JTL383" s="252"/>
      <c r="JTM383" s="252"/>
      <c r="JTN383" s="252"/>
      <c r="JTO383" s="252"/>
      <c r="JTP383" s="252"/>
      <c r="JTQ383" s="252"/>
      <c r="JTR383" s="252"/>
      <c r="JTS383" s="252"/>
      <c r="JTT383" s="252"/>
      <c r="JTU383" s="252"/>
      <c r="JTV383" s="252"/>
      <c r="JTW383" s="252"/>
      <c r="JTX383" s="252"/>
      <c r="JTY383" s="252"/>
      <c r="JTZ383" s="252"/>
      <c r="JUA383" s="252"/>
      <c r="JUB383" s="252"/>
      <c r="JUC383" s="252"/>
      <c r="JUD383" s="252"/>
      <c r="JUE383" s="252"/>
      <c r="JUF383" s="252"/>
      <c r="JUG383" s="252"/>
      <c r="JUH383" s="252"/>
      <c r="JUI383" s="252"/>
      <c r="JUJ383" s="252"/>
      <c r="JUK383" s="252"/>
      <c r="JUL383" s="252"/>
      <c r="JUM383" s="252"/>
      <c r="JUN383" s="252"/>
      <c r="JUO383" s="252"/>
      <c r="JUP383" s="252"/>
      <c r="JUQ383" s="252"/>
      <c r="JUR383" s="252"/>
      <c r="JUS383" s="252"/>
      <c r="JUT383" s="252"/>
      <c r="JUU383" s="252"/>
      <c r="JUV383" s="252"/>
      <c r="JUW383" s="252"/>
      <c r="JUX383" s="252"/>
      <c r="JUY383" s="252"/>
      <c r="JUZ383" s="252"/>
      <c r="JVA383" s="252"/>
      <c r="JVB383" s="252"/>
      <c r="JVC383" s="252"/>
      <c r="JVD383" s="252"/>
      <c r="JVE383" s="252"/>
      <c r="JVF383" s="252"/>
      <c r="JVG383" s="252"/>
      <c r="JVH383" s="252"/>
      <c r="JVI383" s="252"/>
      <c r="JVJ383" s="252"/>
      <c r="JVK383" s="252"/>
      <c r="JVL383" s="252"/>
      <c r="JVM383" s="252"/>
      <c r="JVN383" s="252"/>
      <c r="JVO383" s="252"/>
      <c r="JVP383" s="252"/>
      <c r="JVQ383" s="252"/>
      <c r="JVR383" s="252"/>
      <c r="JVS383" s="252"/>
      <c r="JVT383" s="252"/>
      <c r="JVU383" s="252"/>
      <c r="JVV383" s="252"/>
      <c r="JVW383" s="252"/>
      <c r="JVX383" s="252"/>
      <c r="JVY383" s="252"/>
      <c r="JVZ383" s="252"/>
      <c r="JWA383" s="252"/>
      <c r="JWB383" s="252"/>
      <c r="JWC383" s="252"/>
      <c r="JWD383" s="252"/>
      <c r="JWE383" s="252"/>
      <c r="JWF383" s="252"/>
      <c r="JWG383" s="252"/>
      <c r="JWH383" s="252"/>
      <c r="JWI383" s="252"/>
      <c r="JWJ383" s="252"/>
      <c r="JWK383" s="252"/>
      <c r="JWL383" s="252"/>
      <c r="JWM383" s="252"/>
      <c r="JWN383" s="252"/>
      <c r="JWO383" s="252"/>
      <c r="JWP383" s="252"/>
      <c r="JWQ383" s="252"/>
      <c r="JWR383" s="252"/>
      <c r="JWS383" s="252"/>
      <c r="JWT383" s="252"/>
      <c r="JWU383" s="252"/>
      <c r="JWV383" s="252"/>
      <c r="JWW383" s="252"/>
      <c r="JWX383" s="252"/>
      <c r="JWY383" s="252"/>
      <c r="JWZ383" s="252"/>
      <c r="JXA383" s="252"/>
      <c r="JXB383" s="252"/>
      <c r="JXC383" s="252"/>
      <c r="JXD383" s="252"/>
      <c r="JXE383" s="252"/>
      <c r="JXF383" s="252"/>
      <c r="JXG383" s="252"/>
      <c r="JXH383" s="252"/>
      <c r="JXI383" s="252"/>
      <c r="JXJ383" s="252"/>
      <c r="JXK383" s="252"/>
      <c r="JXL383" s="252"/>
      <c r="JXM383" s="252"/>
      <c r="JXN383" s="252"/>
      <c r="JXO383" s="252"/>
      <c r="JXP383" s="252"/>
      <c r="JXQ383" s="252"/>
      <c r="JXR383" s="252"/>
      <c r="JXS383" s="252"/>
      <c r="JXT383" s="252"/>
      <c r="JXU383" s="252"/>
      <c r="JXV383" s="252"/>
      <c r="JXW383" s="252"/>
      <c r="JXX383" s="252"/>
      <c r="JXY383" s="252"/>
      <c r="JXZ383" s="252"/>
      <c r="JYA383" s="252"/>
      <c r="JYB383" s="252"/>
      <c r="JYC383" s="252"/>
      <c r="JYD383" s="252"/>
      <c r="JYE383" s="252"/>
      <c r="JYF383" s="252"/>
      <c r="JYG383" s="252"/>
      <c r="JYH383" s="252"/>
      <c r="JYI383" s="252"/>
      <c r="JYJ383" s="252"/>
      <c r="JYK383" s="252"/>
      <c r="JYL383" s="252"/>
      <c r="JYM383" s="252"/>
      <c r="JYN383" s="252"/>
      <c r="JYO383" s="252"/>
      <c r="JYP383" s="252"/>
      <c r="JYQ383" s="252"/>
      <c r="JYR383" s="252"/>
      <c r="JYS383" s="252"/>
      <c r="JYT383" s="252"/>
      <c r="JYU383" s="252"/>
      <c r="JYV383" s="252"/>
      <c r="JYW383" s="252"/>
      <c r="JYX383" s="252"/>
      <c r="JYY383" s="252"/>
      <c r="JYZ383" s="252"/>
      <c r="JZA383" s="252"/>
      <c r="JZB383" s="252"/>
      <c r="JZC383" s="252"/>
      <c r="JZD383" s="252"/>
      <c r="JZE383" s="252"/>
      <c r="JZF383" s="252"/>
      <c r="JZG383" s="252"/>
      <c r="JZH383" s="252"/>
      <c r="JZI383" s="252"/>
      <c r="JZJ383" s="252"/>
      <c r="JZK383" s="252"/>
      <c r="JZL383" s="252"/>
      <c r="JZM383" s="252"/>
      <c r="JZN383" s="252"/>
      <c r="JZO383" s="252"/>
      <c r="JZP383" s="252"/>
      <c r="JZQ383" s="252"/>
      <c r="JZR383" s="252"/>
      <c r="JZS383" s="252"/>
      <c r="JZT383" s="252"/>
      <c r="JZU383" s="252"/>
      <c r="JZV383" s="252"/>
      <c r="JZW383" s="252"/>
      <c r="JZX383" s="252"/>
      <c r="JZY383" s="252"/>
      <c r="JZZ383" s="252"/>
      <c r="KAA383" s="252"/>
      <c r="KAB383" s="252"/>
      <c r="KAC383" s="252"/>
      <c r="KAD383" s="252"/>
      <c r="KAE383" s="252"/>
      <c r="KAF383" s="252"/>
      <c r="KAG383" s="252"/>
      <c r="KAH383" s="252"/>
      <c r="KAI383" s="252"/>
      <c r="KAJ383" s="252"/>
      <c r="KAK383" s="252"/>
      <c r="KAL383" s="252"/>
      <c r="KAM383" s="252"/>
      <c r="KAN383" s="252"/>
      <c r="KAO383" s="252"/>
      <c r="KAP383" s="252"/>
      <c r="KAQ383" s="252"/>
      <c r="KAR383" s="252"/>
      <c r="KAS383" s="252"/>
      <c r="KAT383" s="252"/>
      <c r="KAU383" s="252"/>
      <c r="KAV383" s="252"/>
      <c r="KAW383" s="252"/>
      <c r="KAX383" s="252"/>
      <c r="KAY383" s="252"/>
      <c r="KAZ383" s="252"/>
      <c r="KBA383" s="252"/>
      <c r="KBB383" s="252"/>
      <c r="KBC383" s="252"/>
      <c r="KBD383" s="252"/>
      <c r="KBE383" s="252"/>
      <c r="KBF383" s="252"/>
      <c r="KBG383" s="252"/>
      <c r="KBH383" s="252"/>
      <c r="KBI383" s="252"/>
      <c r="KBJ383" s="252"/>
      <c r="KBK383" s="252"/>
      <c r="KBL383" s="252"/>
      <c r="KBM383" s="252"/>
      <c r="KBN383" s="252"/>
      <c r="KBO383" s="252"/>
      <c r="KBP383" s="252"/>
      <c r="KBQ383" s="252"/>
      <c r="KBR383" s="252"/>
      <c r="KBS383" s="252"/>
      <c r="KBT383" s="252"/>
      <c r="KBU383" s="252"/>
      <c r="KBV383" s="252"/>
      <c r="KBW383" s="252"/>
      <c r="KBX383" s="252"/>
      <c r="KBY383" s="252"/>
      <c r="KBZ383" s="252"/>
      <c r="KCA383" s="252"/>
      <c r="KCB383" s="252"/>
      <c r="KCC383" s="252"/>
      <c r="KCD383" s="252"/>
      <c r="KCE383" s="252"/>
      <c r="KCF383" s="252"/>
      <c r="KCG383" s="252"/>
      <c r="KCH383" s="252"/>
      <c r="KCI383" s="252"/>
      <c r="KCJ383" s="252"/>
      <c r="KCK383" s="252"/>
      <c r="KCL383" s="252"/>
      <c r="KCM383" s="252"/>
      <c r="KCN383" s="252"/>
      <c r="KCO383" s="252"/>
      <c r="KCP383" s="252"/>
      <c r="KCQ383" s="252"/>
      <c r="KCR383" s="252"/>
      <c r="KCS383" s="252"/>
      <c r="KCT383" s="252"/>
      <c r="KCU383" s="252"/>
      <c r="KCV383" s="252"/>
      <c r="KCW383" s="252"/>
      <c r="KCX383" s="252"/>
      <c r="KCY383" s="252"/>
      <c r="KCZ383" s="252"/>
      <c r="KDA383" s="252"/>
      <c r="KDB383" s="252"/>
      <c r="KDC383" s="252"/>
      <c r="KDD383" s="252"/>
      <c r="KDE383" s="252"/>
      <c r="KDF383" s="252"/>
      <c r="KDG383" s="252"/>
      <c r="KDH383" s="252"/>
      <c r="KDI383" s="252"/>
      <c r="KDJ383" s="252"/>
      <c r="KDK383" s="252"/>
      <c r="KDL383" s="252"/>
      <c r="KDM383" s="252"/>
      <c r="KDN383" s="252"/>
      <c r="KDO383" s="252"/>
      <c r="KDP383" s="252"/>
      <c r="KDQ383" s="252"/>
      <c r="KDR383" s="252"/>
      <c r="KDS383" s="252"/>
      <c r="KDT383" s="252"/>
      <c r="KDU383" s="252"/>
      <c r="KDV383" s="252"/>
      <c r="KDW383" s="252"/>
      <c r="KDX383" s="252"/>
      <c r="KDY383" s="252"/>
      <c r="KDZ383" s="252"/>
      <c r="KEA383" s="252"/>
      <c r="KEB383" s="252"/>
      <c r="KEC383" s="252"/>
      <c r="KED383" s="252"/>
      <c r="KEE383" s="252"/>
      <c r="KEF383" s="252"/>
      <c r="KEG383" s="252"/>
      <c r="KEH383" s="252"/>
      <c r="KEI383" s="252"/>
      <c r="KEJ383" s="252"/>
      <c r="KEK383" s="252"/>
      <c r="KEL383" s="252"/>
      <c r="KEM383" s="252"/>
      <c r="KEN383" s="252"/>
      <c r="KEO383" s="252"/>
      <c r="KEP383" s="252"/>
      <c r="KEQ383" s="252"/>
      <c r="KER383" s="252"/>
      <c r="KES383" s="252"/>
      <c r="KET383" s="252"/>
      <c r="KEU383" s="252"/>
      <c r="KEV383" s="252"/>
      <c r="KEW383" s="252"/>
      <c r="KEX383" s="252"/>
      <c r="KEY383" s="252"/>
      <c r="KEZ383" s="252"/>
      <c r="KFA383" s="252"/>
      <c r="KFB383" s="252"/>
      <c r="KFC383" s="252"/>
      <c r="KFD383" s="252"/>
      <c r="KFE383" s="252"/>
      <c r="KFF383" s="252"/>
      <c r="KFG383" s="252"/>
      <c r="KFH383" s="252"/>
      <c r="KFI383" s="252"/>
      <c r="KFJ383" s="252"/>
      <c r="KFK383" s="252"/>
      <c r="KFL383" s="252"/>
      <c r="KFM383" s="252"/>
      <c r="KFN383" s="252"/>
      <c r="KFO383" s="252"/>
      <c r="KFP383" s="252"/>
      <c r="KFQ383" s="252"/>
      <c r="KFR383" s="252"/>
      <c r="KFS383" s="252"/>
      <c r="KFT383" s="252"/>
      <c r="KFU383" s="252"/>
      <c r="KFV383" s="252"/>
      <c r="KFW383" s="252"/>
      <c r="KFX383" s="252"/>
      <c r="KFY383" s="252"/>
      <c r="KFZ383" s="252"/>
      <c r="KGA383" s="252"/>
      <c r="KGB383" s="252"/>
      <c r="KGC383" s="252"/>
      <c r="KGD383" s="252"/>
      <c r="KGE383" s="252"/>
      <c r="KGF383" s="252"/>
      <c r="KGG383" s="252"/>
      <c r="KGH383" s="252"/>
      <c r="KGI383" s="252"/>
      <c r="KGJ383" s="252"/>
      <c r="KGK383" s="252"/>
      <c r="KGL383" s="252"/>
      <c r="KGM383" s="252"/>
      <c r="KGN383" s="252"/>
      <c r="KGO383" s="252"/>
      <c r="KGP383" s="252"/>
      <c r="KGQ383" s="252"/>
      <c r="KGR383" s="252"/>
      <c r="KGS383" s="252"/>
      <c r="KGT383" s="252"/>
      <c r="KGU383" s="252"/>
      <c r="KGV383" s="252"/>
      <c r="KGW383" s="252"/>
      <c r="KGX383" s="252"/>
      <c r="KGY383" s="252"/>
      <c r="KGZ383" s="252"/>
      <c r="KHA383" s="252"/>
      <c r="KHB383" s="252"/>
      <c r="KHC383" s="252"/>
      <c r="KHD383" s="252"/>
      <c r="KHE383" s="252"/>
      <c r="KHF383" s="252"/>
      <c r="KHG383" s="252"/>
      <c r="KHH383" s="252"/>
      <c r="KHI383" s="252"/>
      <c r="KHJ383" s="252"/>
      <c r="KHK383" s="252"/>
      <c r="KHL383" s="252"/>
      <c r="KHM383" s="252"/>
      <c r="KHN383" s="252"/>
      <c r="KHO383" s="252"/>
      <c r="KHP383" s="252"/>
      <c r="KHQ383" s="252"/>
      <c r="KHR383" s="252"/>
      <c r="KHS383" s="252"/>
      <c r="KHT383" s="252"/>
      <c r="KHU383" s="252"/>
      <c r="KHV383" s="252"/>
      <c r="KHW383" s="252"/>
      <c r="KHX383" s="252"/>
      <c r="KHY383" s="252"/>
      <c r="KHZ383" s="252"/>
      <c r="KIA383" s="252"/>
      <c r="KIB383" s="252"/>
      <c r="KIC383" s="252"/>
      <c r="KID383" s="252"/>
      <c r="KIE383" s="252"/>
      <c r="KIF383" s="252"/>
      <c r="KIG383" s="252"/>
      <c r="KIH383" s="252"/>
      <c r="KII383" s="252"/>
      <c r="KIJ383" s="252"/>
      <c r="KIK383" s="252"/>
      <c r="KIL383" s="252"/>
      <c r="KIM383" s="252"/>
      <c r="KIN383" s="252"/>
      <c r="KIO383" s="252"/>
      <c r="KIP383" s="252"/>
      <c r="KIQ383" s="252"/>
      <c r="KIR383" s="252"/>
      <c r="KIS383" s="252"/>
      <c r="KIT383" s="252"/>
      <c r="KIU383" s="252"/>
      <c r="KIV383" s="252"/>
      <c r="KIW383" s="252"/>
      <c r="KIX383" s="252"/>
      <c r="KIY383" s="252"/>
      <c r="KIZ383" s="252"/>
      <c r="KJA383" s="252"/>
      <c r="KJB383" s="252"/>
      <c r="KJC383" s="252"/>
      <c r="KJD383" s="252"/>
      <c r="KJE383" s="252"/>
      <c r="KJF383" s="252"/>
      <c r="KJG383" s="252"/>
      <c r="KJH383" s="252"/>
      <c r="KJI383" s="252"/>
      <c r="KJJ383" s="252"/>
      <c r="KJK383" s="252"/>
      <c r="KJL383" s="252"/>
      <c r="KJM383" s="252"/>
      <c r="KJN383" s="252"/>
      <c r="KJO383" s="252"/>
      <c r="KJP383" s="252"/>
      <c r="KJQ383" s="252"/>
      <c r="KJR383" s="252"/>
      <c r="KJS383" s="252"/>
      <c r="KJT383" s="252"/>
      <c r="KJU383" s="252"/>
      <c r="KJV383" s="252"/>
      <c r="KJW383" s="252"/>
      <c r="KJX383" s="252"/>
      <c r="KJY383" s="252"/>
      <c r="KJZ383" s="252"/>
      <c r="KKA383" s="252"/>
      <c r="KKB383" s="252"/>
      <c r="KKC383" s="252"/>
      <c r="KKD383" s="252"/>
      <c r="KKE383" s="252"/>
      <c r="KKF383" s="252"/>
      <c r="KKG383" s="252"/>
      <c r="KKH383" s="252"/>
      <c r="KKI383" s="252"/>
      <c r="KKJ383" s="252"/>
      <c r="KKK383" s="252"/>
      <c r="KKL383" s="252"/>
      <c r="KKM383" s="252"/>
      <c r="KKN383" s="252"/>
      <c r="KKO383" s="252"/>
      <c r="KKP383" s="252"/>
      <c r="KKQ383" s="252"/>
      <c r="KKR383" s="252"/>
      <c r="KKS383" s="252"/>
      <c r="KKT383" s="252"/>
      <c r="KKU383" s="252"/>
      <c r="KKV383" s="252"/>
      <c r="KKW383" s="252"/>
      <c r="KKX383" s="252"/>
      <c r="KKY383" s="252"/>
      <c r="KKZ383" s="252"/>
      <c r="KLA383" s="252"/>
      <c r="KLB383" s="252"/>
      <c r="KLC383" s="252"/>
      <c r="KLD383" s="252"/>
      <c r="KLE383" s="252"/>
      <c r="KLF383" s="252"/>
      <c r="KLG383" s="252"/>
      <c r="KLH383" s="252"/>
      <c r="KLI383" s="252"/>
      <c r="KLJ383" s="252"/>
      <c r="KLK383" s="252"/>
      <c r="KLL383" s="252"/>
      <c r="KLM383" s="252"/>
      <c r="KLN383" s="252"/>
      <c r="KLO383" s="252"/>
      <c r="KLP383" s="252"/>
      <c r="KLQ383" s="252"/>
      <c r="KLR383" s="252"/>
      <c r="KLS383" s="252"/>
      <c r="KLT383" s="252"/>
      <c r="KLU383" s="252"/>
      <c r="KLV383" s="252"/>
      <c r="KLW383" s="252"/>
      <c r="KLX383" s="252"/>
      <c r="KLY383" s="252"/>
      <c r="KLZ383" s="252"/>
      <c r="KMA383" s="252"/>
      <c r="KMB383" s="252"/>
      <c r="KMC383" s="252"/>
      <c r="KMD383" s="252"/>
      <c r="KME383" s="252"/>
      <c r="KMF383" s="252"/>
      <c r="KMG383" s="252"/>
      <c r="KMH383" s="252"/>
      <c r="KMI383" s="252"/>
      <c r="KMJ383" s="252"/>
      <c r="KMK383" s="252"/>
      <c r="KML383" s="252"/>
      <c r="KMM383" s="252"/>
      <c r="KMN383" s="252"/>
      <c r="KMO383" s="252"/>
      <c r="KMP383" s="252"/>
      <c r="KMQ383" s="252"/>
      <c r="KMR383" s="252"/>
      <c r="KMS383" s="252"/>
      <c r="KMT383" s="252"/>
      <c r="KMU383" s="252"/>
      <c r="KMV383" s="252"/>
      <c r="KMW383" s="252"/>
      <c r="KMX383" s="252"/>
      <c r="KMY383" s="252"/>
      <c r="KMZ383" s="252"/>
      <c r="KNA383" s="252"/>
      <c r="KNB383" s="252"/>
      <c r="KNC383" s="252"/>
      <c r="KND383" s="252"/>
      <c r="KNE383" s="252"/>
      <c r="KNF383" s="252"/>
      <c r="KNG383" s="252"/>
      <c r="KNH383" s="252"/>
      <c r="KNI383" s="252"/>
      <c r="KNJ383" s="252"/>
      <c r="KNK383" s="252"/>
      <c r="KNL383" s="252"/>
      <c r="KNM383" s="252"/>
      <c r="KNN383" s="252"/>
      <c r="KNO383" s="252"/>
      <c r="KNP383" s="252"/>
      <c r="KNQ383" s="252"/>
      <c r="KNR383" s="252"/>
      <c r="KNS383" s="252"/>
      <c r="KNT383" s="252"/>
      <c r="KNU383" s="252"/>
      <c r="KNV383" s="252"/>
      <c r="KNW383" s="252"/>
      <c r="KNX383" s="252"/>
      <c r="KNY383" s="252"/>
      <c r="KNZ383" s="252"/>
      <c r="KOA383" s="252"/>
      <c r="KOB383" s="252"/>
      <c r="KOC383" s="252"/>
      <c r="KOD383" s="252"/>
      <c r="KOE383" s="252"/>
      <c r="KOF383" s="252"/>
      <c r="KOG383" s="252"/>
      <c r="KOH383" s="252"/>
      <c r="KOI383" s="252"/>
      <c r="KOJ383" s="252"/>
      <c r="KOK383" s="252"/>
      <c r="KOL383" s="252"/>
      <c r="KOM383" s="252"/>
      <c r="KON383" s="252"/>
      <c r="KOO383" s="252"/>
      <c r="KOP383" s="252"/>
      <c r="KOQ383" s="252"/>
      <c r="KOR383" s="252"/>
      <c r="KOS383" s="252"/>
      <c r="KOT383" s="252"/>
      <c r="KOU383" s="252"/>
      <c r="KOV383" s="252"/>
      <c r="KOW383" s="252"/>
      <c r="KOX383" s="252"/>
      <c r="KOY383" s="252"/>
      <c r="KOZ383" s="252"/>
      <c r="KPA383" s="252"/>
      <c r="KPB383" s="252"/>
      <c r="KPC383" s="252"/>
      <c r="KPD383" s="252"/>
      <c r="KPE383" s="252"/>
      <c r="KPF383" s="252"/>
      <c r="KPG383" s="252"/>
      <c r="KPH383" s="252"/>
      <c r="KPI383" s="252"/>
      <c r="KPJ383" s="252"/>
      <c r="KPK383" s="252"/>
      <c r="KPL383" s="252"/>
      <c r="KPM383" s="252"/>
      <c r="KPN383" s="252"/>
      <c r="KPO383" s="252"/>
      <c r="KPP383" s="252"/>
      <c r="KPQ383" s="252"/>
      <c r="KPR383" s="252"/>
      <c r="KPS383" s="252"/>
      <c r="KPT383" s="252"/>
      <c r="KPU383" s="252"/>
      <c r="KPV383" s="252"/>
      <c r="KPW383" s="252"/>
      <c r="KPX383" s="252"/>
      <c r="KPY383" s="252"/>
      <c r="KPZ383" s="252"/>
      <c r="KQA383" s="252"/>
      <c r="KQB383" s="252"/>
      <c r="KQC383" s="252"/>
      <c r="KQD383" s="252"/>
      <c r="KQE383" s="252"/>
      <c r="KQF383" s="252"/>
      <c r="KQG383" s="252"/>
      <c r="KQH383" s="252"/>
      <c r="KQI383" s="252"/>
      <c r="KQJ383" s="252"/>
      <c r="KQK383" s="252"/>
      <c r="KQL383" s="252"/>
      <c r="KQM383" s="252"/>
      <c r="KQN383" s="252"/>
      <c r="KQO383" s="252"/>
      <c r="KQP383" s="252"/>
      <c r="KQQ383" s="252"/>
      <c r="KQR383" s="252"/>
      <c r="KQS383" s="252"/>
      <c r="KQT383" s="252"/>
      <c r="KQU383" s="252"/>
      <c r="KQV383" s="252"/>
      <c r="KQW383" s="252"/>
      <c r="KQX383" s="252"/>
      <c r="KQY383" s="252"/>
      <c r="KQZ383" s="252"/>
      <c r="KRA383" s="252"/>
      <c r="KRB383" s="252"/>
      <c r="KRC383" s="252"/>
      <c r="KRD383" s="252"/>
      <c r="KRE383" s="252"/>
      <c r="KRF383" s="252"/>
      <c r="KRG383" s="252"/>
      <c r="KRH383" s="252"/>
      <c r="KRI383" s="252"/>
      <c r="KRJ383" s="252"/>
      <c r="KRK383" s="252"/>
      <c r="KRL383" s="252"/>
      <c r="KRM383" s="252"/>
      <c r="KRN383" s="252"/>
      <c r="KRO383" s="252"/>
      <c r="KRP383" s="252"/>
      <c r="KRQ383" s="252"/>
      <c r="KRR383" s="252"/>
      <c r="KRS383" s="252"/>
      <c r="KRT383" s="252"/>
      <c r="KRU383" s="252"/>
      <c r="KRV383" s="252"/>
      <c r="KRW383" s="252"/>
      <c r="KRX383" s="252"/>
      <c r="KRY383" s="252"/>
      <c r="KRZ383" s="252"/>
      <c r="KSA383" s="252"/>
      <c r="KSB383" s="252"/>
      <c r="KSC383" s="252"/>
      <c r="KSD383" s="252"/>
      <c r="KSE383" s="252"/>
      <c r="KSF383" s="252"/>
      <c r="KSG383" s="252"/>
      <c r="KSH383" s="252"/>
      <c r="KSI383" s="252"/>
      <c r="KSJ383" s="252"/>
      <c r="KSK383" s="252"/>
      <c r="KSL383" s="252"/>
      <c r="KSM383" s="252"/>
      <c r="KSN383" s="252"/>
      <c r="KSO383" s="252"/>
      <c r="KSP383" s="252"/>
      <c r="KSQ383" s="252"/>
      <c r="KSR383" s="252"/>
      <c r="KSS383" s="252"/>
      <c r="KST383" s="252"/>
      <c r="KSU383" s="252"/>
      <c r="KSV383" s="252"/>
      <c r="KSW383" s="252"/>
      <c r="KSX383" s="252"/>
      <c r="KSY383" s="252"/>
      <c r="KSZ383" s="252"/>
      <c r="KTA383" s="252"/>
      <c r="KTB383" s="252"/>
      <c r="KTC383" s="252"/>
      <c r="KTD383" s="252"/>
      <c r="KTE383" s="252"/>
      <c r="KTF383" s="252"/>
      <c r="KTG383" s="252"/>
      <c r="KTH383" s="252"/>
      <c r="KTI383" s="252"/>
      <c r="KTJ383" s="252"/>
      <c r="KTK383" s="252"/>
      <c r="KTL383" s="252"/>
      <c r="KTM383" s="252"/>
      <c r="KTN383" s="252"/>
      <c r="KTO383" s="252"/>
      <c r="KTP383" s="252"/>
      <c r="KTQ383" s="252"/>
      <c r="KTR383" s="252"/>
      <c r="KTS383" s="252"/>
      <c r="KTT383" s="252"/>
      <c r="KTU383" s="252"/>
      <c r="KTV383" s="252"/>
      <c r="KTW383" s="252"/>
      <c r="KTX383" s="252"/>
      <c r="KTY383" s="252"/>
      <c r="KTZ383" s="252"/>
      <c r="KUA383" s="252"/>
      <c r="KUB383" s="252"/>
      <c r="KUC383" s="252"/>
      <c r="KUD383" s="252"/>
      <c r="KUE383" s="252"/>
      <c r="KUF383" s="252"/>
      <c r="KUG383" s="252"/>
      <c r="KUH383" s="252"/>
      <c r="KUI383" s="252"/>
      <c r="KUJ383" s="252"/>
      <c r="KUK383" s="252"/>
      <c r="KUL383" s="252"/>
      <c r="KUM383" s="252"/>
      <c r="KUN383" s="252"/>
      <c r="KUO383" s="252"/>
      <c r="KUP383" s="252"/>
      <c r="KUQ383" s="252"/>
      <c r="KUR383" s="252"/>
      <c r="KUS383" s="252"/>
      <c r="KUT383" s="252"/>
      <c r="KUU383" s="252"/>
      <c r="KUV383" s="252"/>
      <c r="KUW383" s="252"/>
      <c r="KUX383" s="252"/>
      <c r="KUY383" s="252"/>
      <c r="KUZ383" s="252"/>
      <c r="KVA383" s="252"/>
      <c r="KVB383" s="252"/>
      <c r="KVC383" s="252"/>
      <c r="KVD383" s="252"/>
      <c r="KVE383" s="252"/>
      <c r="KVF383" s="252"/>
      <c r="KVG383" s="252"/>
      <c r="KVH383" s="252"/>
      <c r="KVI383" s="252"/>
      <c r="KVJ383" s="252"/>
      <c r="KVK383" s="252"/>
      <c r="KVL383" s="252"/>
      <c r="KVM383" s="252"/>
      <c r="KVN383" s="252"/>
      <c r="KVO383" s="252"/>
      <c r="KVP383" s="252"/>
      <c r="KVQ383" s="252"/>
      <c r="KVR383" s="252"/>
      <c r="KVS383" s="252"/>
      <c r="KVT383" s="252"/>
      <c r="KVU383" s="252"/>
      <c r="KVV383" s="252"/>
      <c r="KVW383" s="252"/>
      <c r="KVX383" s="252"/>
      <c r="KVY383" s="252"/>
      <c r="KVZ383" s="252"/>
      <c r="KWA383" s="252"/>
      <c r="KWB383" s="252"/>
      <c r="KWC383" s="252"/>
      <c r="KWD383" s="252"/>
      <c r="KWE383" s="252"/>
      <c r="KWF383" s="252"/>
      <c r="KWG383" s="252"/>
      <c r="KWH383" s="252"/>
      <c r="KWI383" s="252"/>
      <c r="KWJ383" s="252"/>
      <c r="KWK383" s="252"/>
      <c r="KWL383" s="252"/>
      <c r="KWM383" s="252"/>
      <c r="KWN383" s="252"/>
      <c r="KWO383" s="252"/>
      <c r="KWP383" s="252"/>
      <c r="KWQ383" s="252"/>
      <c r="KWR383" s="252"/>
      <c r="KWS383" s="252"/>
      <c r="KWT383" s="252"/>
      <c r="KWU383" s="252"/>
      <c r="KWV383" s="252"/>
      <c r="KWW383" s="252"/>
      <c r="KWX383" s="252"/>
      <c r="KWY383" s="252"/>
      <c r="KWZ383" s="252"/>
      <c r="KXA383" s="252"/>
      <c r="KXB383" s="252"/>
      <c r="KXC383" s="252"/>
      <c r="KXD383" s="252"/>
      <c r="KXE383" s="252"/>
      <c r="KXF383" s="252"/>
      <c r="KXG383" s="252"/>
      <c r="KXH383" s="252"/>
      <c r="KXI383" s="252"/>
      <c r="KXJ383" s="252"/>
      <c r="KXK383" s="252"/>
      <c r="KXL383" s="252"/>
      <c r="KXM383" s="252"/>
      <c r="KXN383" s="252"/>
      <c r="KXO383" s="252"/>
      <c r="KXP383" s="252"/>
      <c r="KXQ383" s="252"/>
      <c r="KXR383" s="252"/>
      <c r="KXS383" s="252"/>
      <c r="KXT383" s="252"/>
      <c r="KXU383" s="252"/>
      <c r="KXV383" s="252"/>
      <c r="KXW383" s="252"/>
      <c r="KXX383" s="252"/>
      <c r="KXY383" s="252"/>
      <c r="KXZ383" s="252"/>
      <c r="KYA383" s="252"/>
      <c r="KYB383" s="252"/>
      <c r="KYC383" s="252"/>
      <c r="KYD383" s="252"/>
      <c r="KYE383" s="252"/>
      <c r="KYF383" s="252"/>
      <c r="KYG383" s="252"/>
      <c r="KYH383" s="252"/>
      <c r="KYI383" s="252"/>
      <c r="KYJ383" s="252"/>
      <c r="KYK383" s="252"/>
      <c r="KYL383" s="252"/>
      <c r="KYM383" s="252"/>
      <c r="KYN383" s="252"/>
      <c r="KYO383" s="252"/>
      <c r="KYP383" s="252"/>
      <c r="KYQ383" s="252"/>
      <c r="KYR383" s="252"/>
      <c r="KYS383" s="252"/>
      <c r="KYT383" s="252"/>
      <c r="KYU383" s="252"/>
      <c r="KYV383" s="252"/>
      <c r="KYW383" s="252"/>
      <c r="KYX383" s="252"/>
      <c r="KYY383" s="252"/>
      <c r="KYZ383" s="252"/>
      <c r="KZA383" s="252"/>
      <c r="KZB383" s="252"/>
      <c r="KZC383" s="252"/>
      <c r="KZD383" s="252"/>
      <c r="KZE383" s="252"/>
      <c r="KZF383" s="252"/>
      <c r="KZG383" s="252"/>
      <c r="KZH383" s="252"/>
      <c r="KZI383" s="252"/>
      <c r="KZJ383" s="252"/>
      <c r="KZK383" s="252"/>
      <c r="KZL383" s="252"/>
      <c r="KZM383" s="252"/>
      <c r="KZN383" s="252"/>
      <c r="KZO383" s="252"/>
      <c r="KZP383" s="252"/>
      <c r="KZQ383" s="252"/>
      <c r="KZR383" s="252"/>
      <c r="KZS383" s="252"/>
      <c r="KZT383" s="252"/>
      <c r="KZU383" s="252"/>
      <c r="KZV383" s="252"/>
      <c r="KZW383" s="252"/>
      <c r="KZX383" s="252"/>
      <c r="KZY383" s="252"/>
      <c r="KZZ383" s="252"/>
      <c r="LAA383" s="252"/>
      <c r="LAB383" s="252"/>
      <c r="LAC383" s="252"/>
      <c r="LAD383" s="252"/>
      <c r="LAE383" s="252"/>
      <c r="LAF383" s="252"/>
      <c r="LAG383" s="252"/>
      <c r="LAH383" s="252"/>
      <c r="LAI383" s="252"/>
      <c r="LAJ383" s="252"/>
      <c r="LAK383" s="252"/>
      <c r="LAL383" s="252"/>
      <c r="LAM383" s="252"/>
      <c r="LAN383" s="252"/>
      <c r="LAO383" s="252"/>
      <c r="LAP383" s="252"/>
      <c r="LAQ383" s="252"/>
      <c r="LAR383" s="252"/>
      <c r="LAS383" s="252"/>
      <c r="LAT383" s="252"/>
      <c r="LAU383" s="252"/>
      <c r="LAV383" s="252"/>
      <c r="LAW383" s="252"/>
      <c r="LAX383" s="252"/>
      <c r="LAY383" s="252"/>
      <c r="LAZ383" s="252"/>
      <c r="LBA383" s="252"/>
      <c r="LBB383" s="252"/>
      <c r="LBC383" s="252"/>
      <c r="LBD383" s="252"/>
      <c r="LBE383" s="252"/>
      <c r="LBF383" s="252"/>
      <c r="LBG383" s="252"/>
      <c r="LBH383" s="252"/>
      <c r="LBI383" s="252"/>
      <c r="LBJ383" s="252"/>
      <c r="LBK383" s="252"/>
      <c r="LBL383" s="252"/>
      <c r="LBM383" s="252"/>
      <c r="LBN383" s="252"/>
      <c r="LBO383" s="252"/>
      <c r="LBP383" s="252"/>
      <c r="LBQ383" s="252"/>
      <c r="LBR383" s="252"/>
      <c r="LBS383" s="252"/>
      <c r="LBT383" s="252"/>
      <c r="LBU383" s="252"/>
      <c r="LBV383" s="252"/>
      <c r="LBW383" s="252"/>
      <c r="LBX383" s="252"/>
      <c r="LBY383" s="252"/>
      <c r="LBZ383" s="252"/>
      <c r="LCA383" s="252"/>
      <c r="LCB383" s="252"/>
      <c r="LCC383" s="252"/>
      <c r="LCD383" s="252"/>
      <c r="LCE383" s="252"/>
      <c r="LCF383" s="252"/>
      <c r="LCG383" s="252"/>
      <c r="LCH383" s="252"/>
      <c r="LCI383" s="252"/>
      <c r="LCJ383" s="252"/>
      <c r="LCK383" s="252"/>
      <c r="LCL383" s="252"/>
      <c r="LCM383" s="252"/>
      <c r="LCN383" s="252"/>
      <c r="LCO383" s="252"/>
      <c r="LCP383" s="252"/>
      <c r="LCQ383" s="252"/>
      <c r="LCR383" s="252"/>
      <c r="LCS383" s="252"/>
      <c r="LCT383" s="252"/>
      <c r="LCU383" s="252"/>
      <c r="LCV383" s="252"/>
      <c r="LCW383" s="252"/>
      <c r="LCX383" s="252"/>
      <c r="LCY383" s="252"/>
      <c r="LCZ383" s="252"/>
      <c r="LDA383" s="252"/>
      <c r="LDB383" s="252"/>
      <c r="LDC383" s="252"/>
      <c r="LDD383" s="252"/>
      <c r="LDE383" s="252"/>
      <c r="LDF383" s="252"/>
      <c r="LDG383" s="252"/>
      <c r="LDH383" s="252"/>
      <c r="LDI383" s="252"/>
      <c r="LDJ383" s="252"/>
      <c r="LDK383" s="252"/>
      <c r="LDL383" s="252"/>
      <c r="LDM383" s="252"/>
      <c r="LDN383" s="252"/>
      <c r="LDO383" s="252"/>
      <c r="LDP383" s="252"/>
      <c r="LDQ383" s="252"/>
      <c r="LDR383" s="252"/>
      <c r="LDS383" s="252"/>
      <c r="LDT383" s="252"/>
      <c r="LDU383" s="252"/>
      <c r="LDV383" s="252"/>
      <c r="LDW383" s="252"/>
      <c r="LDX383" s="252"/>
      <c r="LDY383" s="252"/>
      <c r="LDZ383" s="252"/>
      <c r="LEA383" s="252"/>
      <c r="LEB383" s="252"/>
      <c r="LEC383" s="252"/>
      <c r="LED383" s="252"/>
      <c r="LEE383" s="252"/>
      <c r="LEF383" s="252"/>
      <c r="LEG383" s="252"/>
      <c r="LEH383" s="252"/>
      <c r="LEI383" s="252"/>
      <c r="LEJ383" s="252"/>
      <c r="LEK383" s="252"/>
      <c r="LEL383" s="252"/>
      <c r="LEM383" s="252"/>
      <c r="LEN383" s="252"/>
      <c r="LEO383" s="252"/>
      <c r="LEP383" s="252"/>
      <c r="LEQ383" s="252"/>
      <c r="LER383" s="252"/>
      <c r="LES383" s="252"/>
      <c r="LET383" s="252"/>
      <c r="LEU383" s="252"/>
      <c r="LEV383" s="252"/>
      <c r="LEW383" s="252"/>
      <c r="LEX383" s="252"/>
      <c r="LEY383" s="252"/>
      <c r="LEZ383" s="252"/>
      <c r="LFA383" s="252"/>
      <c r="LFB383" s="252"/>
      <c r="LFC383" s="252"/>
      <c r="LFD383" s="252"/>
      <c r="LFE383" s="252"/>
      <c r="LFF383" s="252"/>
      <c r="LFG383" s="252"/>
      <c r="LFH383" s="252"/>
      <c r="LFI383" s="252"/>
      <c r="LFJ383" s="252"/>
      <c r="LFK383" s="252"/>
      <c r="LFL383" s="252"/>
      <c r="LFM383" s="252"/>
      <c r="LFN383" s="252"/>
      <c r="LFO383" s="252"/>
      <c r="LFP383" s="252"/>
      <c r="LFQ383" s="252"/>
      <c r="LFR383" s="252"/>
      <c r="LFS383" s="252"/>
      <c r="LFT383" s="252"/>
      <c r="LFU383" s="252"/>
      <c r="LFV383" s="252"/>
      <c r="LFW383" s="252"/>
      <c r="LFX383" s="252"/>
      <c r="LFY383" s="252"/>
      <c r="LFZ383" s="252"/>
      <c r="LGA383" s="252"/>
      <c r="LGB383" s="252"/>
      <c r="LGC383" s="252"/>
      <c r="LGD383" s="252"/>
      <c r="LGE383" s="252"/>
      <c r="LGF383" s="252"/>
      <c r="LGG383" s="252"/>
      <c r="LGH383" s="252"/>
      <c r="LGI383" s="252"/>
      <c r="LGJ383" s="252"/>
      <c r="LGK383" s="252"/>
      <c r="LGL383" s="252"/>
      <c r="LGM383" s="252"/>
      <c r="LGN383" s="252"/>
      <c r="LGO383" s="252"/>
      <c r="LGP383" s="252"/>
      <c r="LGQ383" s="252"/>
      <c r="LGR383" s="252"/>
      <c r="LGS383" s="252"/>
      <c r="LGT383" s="252"/>
      <c r="LGU383" s="252"/>
      <c r="LGV383" s="252"/>
      <c r="LGW383" s="252"/>
      <c r="LGX383" s="252"/>
      <c r="LGY383" s="252"/>
      <c r="LGZ383" s="252"/>
      <c r="LHA383" s="252"/>
      <c r="LHB383" s="252"/>
      <c r="LHC383" s="252"/>
      <c r="LHD383" s="252"/>
      <c r="LHE383" s="252"/>
      <c r="LHF383" s="252"/>
      <c r="LHG383" s="252"/>
      <c r="LHH383" s="252"/>
      <c r="LHI383" s="252"/>
      <c r="LHJ383" s="252"/>
      <c r="LHK383" s="252"/>
      <c r="LHL383" s="252"/>
      <c r="LHM383" s="252"/>
      <c r="LHN383" s="252"/>
      <c r="LHO383" s="252"/>
      <c r="LHP383" s="252"/>
      <c r="LHQ383" s="252"/>
      <c r="LHR383" s="252"/>
      <c r="LHS383" s="252"/>
      <c r="LHT383" s="252"/>
      <c r="LHU383" s="252"/>
      <c r="LHV383" s="252"/>
      <c r="LHW383" s="252"/>
      <c r="LHX383" s="252"/>
      <c r="LHY383" s="252"/>
      <c r="LHZ383" s="252"/>
      <c r="LIA383" s="252"/>
      <c r="LIB383" s="252"/>
      <c r="LIC383" s="252"/>
      <c r="LID383" s="252"/>
      <c r="LIE383" s="252"/>
      <c r="LIF383" s="252"/>
      <c r="LIG383" s="252"/>
      <c r="LIH383" s="252"/>
      <c r="LII383" s="252"/>
      <c r="LIJ383" s="252"/>
      <c r="LIK383" s="252"/>
      <c r="LIL383" s="252"/>
      <c r="LIM383" s="252"/>
      <c r="LIN383" s="252"/>
      <c r="LIO383" s="252"/>
      <c r="LIP383" s="252"/>
      <c r="LIQ383" s="252"/>
      <c r="LIR383" s="252"/>
      <c r="LIS383" s="252"/>
      <c r="LIT383" s="252"/>
      <c r="LIU383" s="252"/>
      <c r="LIV383" s="252"/>
      <c r="LIW383" s="252"/>
      <c r="LIX383" s="252"/>
      <c r="LIY383" s="252"/>
      <c r="LIZ383" s="252"/>
      <c r="LJA383" s="252"/>
      <c r="LJB383" s="252"/>
      <c r="LJC383" s="252"/>
      <c r="LJD383" s="252"/>
      <c r="LJE383" s="252"/>
      <c r="LJF383" s="252"/>
      <c r="LJG383" s="252"/>
      <c r="LJH383" s="252"/>
      <c r="LJI383" s="252"/>
      <c r="LJJ383" s="252"/>
      <c r="LJK383" s="252"/>
      <c r="LJL383" s="252"/>
      <c r="LJM383" s="252"/>
      <c r="LJN383" s="252"/>
      <c r="LJO383" s="252"/>
      <c r="LJP383" s="252"/>
      <c r="LJQ383" s="252"/>
      <c r="LJR383" s="252"/>
      <c r="LJS383" s="252"/>
      <c r="LJT383" s="252"/>
      <c r="LJU383" s="252"/>
      <c r="LJV383" s="252"/>
      <c r="LJW383" s="252"/>
      <c r="LJX383" s="252"/>
      <c r="LJY383" s="252"/>
      <c r="LJZ383" s="252"/>
      <c r="LKA383" s="252"/>
      <c r="LKB383" s="252"/>
      <c r="LKC383" s="252"/>
      <c r="LKD383" s="252"/>
      <c r="LKE383" s="252"/>
      <c r="LKF383" s="252"/>
      <c r="LKG383" s="252"/>
      <c r="LKH383" s="252"/>
      <c r="LKI383" s="252"/>
      <c r="LKJ383" s="252"/>
      <c r="LKK383" s="252"/>
      <c r="LKL383" s="252"/>
      <c r="LKM383" s="252"/>
      <c r="LKN383" s="252"/>
      <c r="LKO383" s="252"/>
      <c r="LKP383" s="252"/>
      <c r="LKQ383" s="252"/>
      <c r="LKR383" s="252"/>
      <c r="LKS383" s="252"/>
      <c r="LKT383" s="252"/>
      <c r="LKU383" s="252"/>
      <c r="LKV383" s="252"/>
      <c r="LKW383" s="252"/>
      <c r="LKX383" s="252"/>
      <c r="LKY383" s="252"/>
      <c r="LKZ383" s="252"/>
      <c r="LLA383" s="252"/>
      <c r="LLB383" s="252"/>
      <c r="LLC383" s="252"/>
      <c r="LLD383" s="252"/>
      <c r="LLE383" s="252"/>
      <c r="LLF383" s="252"/>
      <c r="LLG383" s="252"/>
      <c r="LLH383" s="252"/>
      <c r="LLI383" s="252"/>
      <c r="LLJ383" s="252"/>
      <c r="LLK383" s="252"/>
      <c r="LLL383" s="252"/>
      <c r="LLM383" s="252"/>
      <c r="LLN383" s="252"/>
      <c r="LLO383" s="252"/>
      <c r="LLP383" s="252"/>
      <c r="LLQ383" s="252"/>
      <c r="LLR383" s="252"/>
      <c r="LLS383" s="252"/>
      <c r="LLT383" s="252"/>
      <c r="LLU383" s="252"/>
      <c r="LLV383" s="252"/>
      <c r="LLW383" s="252"/>
      <c r="LLX383" s="252"/>
      <c r="LLY383" s="252"/>
      <c r="LLZ383" s="252"/>
      <c r="LMA383" s="252"/>
      <c r="LMB383" s="252"/>
      <c r="LMC383" s="252"/>
      <c r="LMD383" s="252"/>
      <c r="LME383" s="252"/>
      <c r="LMF383" s="252"/>
      <c r="LMG383" s="252"/>
      <c r="LMH383" s="252"/>
      <c r="LMI383" s="252"/>
      <c r="LMJ383" s="252"/>
      <c r="LMK383" s="252"/>
      <c r="LML383" s="252"/>
      <c r="LMM383" s="252"/>
      <c r="LMN383" s="252"/>
      <c r="LMO383" s="252"/>
      <c r="LMP383" s="252"/>
      <c r="LMQ383" s="252"/>
      <c r="LMR383" s="252"/>
      <c r="LMS383" s="252"/>
      <c r="LMT383" s="252"/>
      <c r="LMU383" s="252"/>
      <c r="LMV383" s="252"/>
      <c r="LMW383" s="252"/>
      <c r="LMX383" s="252"/>
      <c r="LMY383" s="252"/>
      <c r="LMZ383" s="252"/>
      <c r="LNA383" s="252"/>
      <c r="LNB383" s="252"/>
      <c r="LNC383" s="252"/>
      <c r="LND383" s="252"/>
      <c r="LNE383" s="252"/>
      <c r="LNF383" s="252"/>
      <c r="LNG383" s="252"/>
      <c r="LNH383" s="252"/>
      <c r="LNI383" s="252"/>
      <c r="LNJ383" s="252"/>
      <c r="LNK383" s="252"/>
      <c r="LNL383" s="252"/>
      <c r="LNM383" s="252"/>
      <c r="LNN383" s="252"/>
      <c r="LNO383" s="252"/>
      <c r="LNP383" s="252"/>
      <c r="LNQ383" s="252"/>
      <c r="LNR383" s="252"/>
      <c r="LNS383" s="252"/>
      <c r="LNT383" s="252"/>
      <c r="LNU383" s="252"/>
      <c r="LNV383" s="252"/>
      <c r="LNW383" s="252"/>
      <c r="LNX383" s="252"/>
      <c r="LNY383" s="252"/>
      <c r="LNZ383" s="252"/>
      <c r="LOA383" s="252"/>
      <c r="LOB383" s="252"/>
      <c r="LOC383" s="252"/>
      <c r="LOD383" s="252"/>
      <c r="LOE383" s="252"/>
      <c r="LOF383" s="252"/>
      <c r="LOG383" s="252"/>
      <c r="LOH383" s="252"/>
      <c r="LOI383" s="252"/>
      <c r="LOJ383" s="252"/>
      <c r="LOK383" s="252"/>
      <c r="LOL383" s="252"/>
      <c r="LOM383" s="252"/>
      <c r="LON383" s="252"/>
      <c r="LOO383" s="252"/>
      <c r="LOP383" s="252"/>
      <c r="LOQ383" s="252"/>
      <c r="LOR383" s="252"/>
      <c r="LOS383" s="252"/>
      <c r="LOT383" s="252"/>
      <c r="LOU383" s="252"/>
      <c r="LOV383" s="252"/>
      <c r="LOW383" s="252"/>
      <c r="LOX383" s="252"/>
      <c r="LOY383" s="252"/>
      <c r="LOZ383" s="252"/>
      <c r="LPA383" s="252"/>
      <c r="LPB383" s="252"/>
      <c r="LPC383" s="252"/>
      <c r="LPD383" s="252"/>
      <c r="LPE383" s="252"/>
      <c r="LPF383" s="252"/>
      <c r="LPG383" s="252"/>
      <c r="LPH383" s="252"/>
      <c r="LPI383" s="252"/>
      <c r="LPJ383" s="252"/>
      <c r="LPK383" s="252"/>
      <c r="LPL383" s="252"/>
      <c r="LPM383" s="252"/>
      <c r="LPN383" s="252"/>
      <c r="LPO383" s="252"/>
      <c r="LPP383" s="252"/>
      <c r="LPQ383" s="252"/>
      <c r="LPR383" s="252"/>
      <c r="LPS383" s="252"/>
      <c r="LPT383" s="252"/>
      <c r="LPU383" s="252"/>
      <c r="LPV383" s="252"/>
      <c r="LPW383" s="252"/>
      <c r="LPX383" s="252"/>
      <c r="LPY383" s="252"/>
      <c r="LPZ383" s="252"/>
      <c r="LQA383" s="252"/>
      <c r="LQB383" s="252"/>
      <c r="LQC383" s="252"/>
      <c r="LQD383" s="252"/>
      <c r="LQE383" s="252"/>
      <c r="LQF383" s="252"/>
      <c r="LQG383" s="252"/>
      <c r="LQH383" s="252"/>
      <c r="LQI383" s="252"/>
      <c r="LQJ383" s="252"/>
      <c r="LQK383" s="252"/>
      <c r="LQL383" s="252"/>
      <c r="LQM383" s="252"/>
      <c r="LQN383" s="252"/>
      <c r="LQO383" s="252"/>
      <c r="LQP383" s="252"/>
      <c r="LQQ383" s="252"/>
      <c r="LQR383" s="252"/>
      <c r="LQS383" s="252"/>
      <c r="LQT383" s="252"/>
      <c r="LQU383" s="252"/>
      <c r="LQV383" s="252"/>
      <c r="LQW383" s="252"/>
      <c r="LQX383" s="252"/>
      <c r="LQY383" s="252"/>
      <c r="LQZ383" s="252"/>
      <c r="LRA383" s="252"/>
      <c r="LRB383" s="252"/>
      <c r="LRC383" s="252"/>
      <c r="LRD383" s="252"/>
      <c r="LRE383" s="252"/>
      <c r="LRF383" s="252"/>
      <c r="LRG383" s="252"/>
      <c r="LRH383" s="252"/>
      <c r="LRI383" s="252"/>
      <c r="LRJ383" s="252"/>
      <c r="LRK383" s="252"/>
      <c r="LRL383" s="252"/>
      <c r="LRM383" s="252"/>
      <c r="LRN383" s="252"/>
      <c r="LRO383" s="252"/>
      <c r="LRP383" s="252"/>
      <c r="LRQ383" s="252"/>
      <c r="LRR383" s="252"/>
      <c r="LRS383" s="252"/>
      <c r="LRT383" s="252"/>
      <c r="LRU383" s="252"/>
      <c r="LRV383" s="252"/>
      <c r="LRW383" s="252"/>
      <c r="LRX383" s="252"/>
      <c r="LRY383" s="252"/>
      <c r="LRZ383" s="252"/>
      <c r="LSA383" s="252"/>
      <c r="LSB383" s="252"/>
      <c r="LSC383" s="252"/>
      <c r="LSD383" s="252"/>
      <c r="LSE383" s="252"/>
      <c r="LSF383" s="252"/>
      <c r="LSG383" s="252"/>
      <c r="LSH383" s="252"/>
      <c r="LSI383" s="252"/>
      <c r="LSJ383" s="252"/>
      <c r="LSK383" s="252"/>
      <c r="LSL383" s="252"/>
      <c r="LSM383" s="252"/>
      <c r="LSN383" s="252"/>
      <c r="LSO383" s="252"/>
      <c r="LSP383" s="252"/>
      <c r="LSQ383" s="252"/>
      <c r="LSR383" s="252"/>
      <c r="LSS383" s="252"/>
      <c r="LST383" s="252"/>
      <c r="LSU383" s="252"/>
      <c r="LSV383" s="252"/>
      <c r="LSW383" s="252"/>
      <c r="LSX383" s="252"/>
      <c r="LSY383" s="252"/>
      <c r="LSZ383" s="252"/>
      <c r="LTA383" s="252"/>
      <c r="LTB383" s="252"/>
      <c r="LTC383" s="252"/>
      <c r="LTD383" s="252"/>
      <c r="LTE383" s="252"/>
      <c r="LTF383" s="252"/>
      <c r="LTG383" s="252"/>
      <c r="LTH383" s="252"/>
      <c r="LTI383" s="252"/>
      <c r="LTJ383" s="252"/>
      <c r="LTK383" s="252"/>
      <c r="LTL383" s="252"/>
      <c r="LTM383" s="252"/>
      <c r="LTN383" s="252"/>
      <c r="LTO383" s="252"/>
      <c r="LTP383" s="252"/>
      <c r="LTQ383" s="252"/>
      <c r="LTR383" s="252"/>
      <c r="LTS383" s="252"/>
      <c r="LTT383" s="252"/>
      <c r="LTU383" s="252"/>
      <c r="LTV383" s="252"/>
      <c r="LTW383" s="252"/>
      <c r="LTX383" s="252"/>
      <c r="LTY383" s="252"/>
      <c r="LTZ383" s="252"/>
      <c r="LUA383" s="252"/>
      <c r="LUB383" s="252"/>
      <c r="LUC383" s="252"/>
      <c r="LUD383" s="252"/>
      <c r="LUE383" s="252"/>
      <c r="LUF383" s="252"/>
      <c r="LUG383" s="252"/>
      <c r="LUH383" s="252"/>
      <c r="LUI383" s="252"/>
      <c r="LUJ383" s="252"/>
      <c r="LUK383" s="252"/>
      <c r="LUL383" s="252"/>
      <c r="LUM383" s="252"/>
      <c r="LUN383" s="252"/>
      <c r="LUO383" s="252"/>
      <c r="LUP383" s="252"/>
      <c r="LUQ383" s="252"/>
      <c r="LUR383" s="252"/>
      <c r="LUS383" s="252"/>
      <c r="LUT383" s="252"/>
      <c r="LUU383" s="252"/>
      <c r="LUV383" s="252"/>
      <c r="LUW383" s="252"/>
      <c r="LUX383" s="252"/>
      <c r="LUY383" s="252"/>
      <c r="LUZ383" s="252"/>
      <c r="LVA383" s="252"/>
      <c r="LVB383" s="252"/>
      <c r="LVC383" s="252"/>
      <c r="LVD383" s="252"/>
      <c r="LVE383" s="252"/>
      <c r="LVF383" s="252"/>
      <c r="LVG383" s="252"/>
      <c r="LVH383" s="252"/>
      <c r="LVI383" s="252"/>
      <c r="LVJ383" s="252"/>
      <c r="LVK383" s="252"/>
      <c r="LVL383" s="252"/>
      <c r="LVM383" s="252"/>
      <c r="LVN383" s="252"/>
      <c r="LVO383" s="252"/>
      <c r="LVP383" s="252"/>
      <c r="LVQ383" s="252"/>
      <c r="LVR383" s="252"/>
      <c r="LVS383" s="252"/>
      <c r="LVT383" s="252"/>
      <c r="LVU383" s="252"/>
      <c r="LVV383" s="252"/>
      <c r="LVW383" s="252"/>
      <c r="LVX383" s="252"/>
      <c r="LVY383" s="252"/>
      <c r="LVZ383" s="252"/>
      <c r="LWA383" s="252"/>
      <c r="LWB383" s="252"/>
      <c r="LWC383" s="252"/>
      <c r="LWD383" s="252"/>
      <c r="LWE383" s="252"/>
      <c r="LWF383" s="252"/>
      <c r="LWG383" s="252"/>
      <c r="LWH383" s="252"/>
      <c r="LWI383" s="252"/>
      <c r="LWJ383" s="252"/>
      <c r="LWK383" s="252"/>
      <c r="LWL383" s="252"/>
      <c r="LWM383" s="252"/>
      <c r="LWN383" s="252"/>
      <c r="LWO383" s="252"/>
      <c r="LWP383" s="252"/>
      <c r="LWQ383" s="252"/>
      <c r="LWR383" s="252"/>
      <c r="LWS383" s="252"/>
      <c r="LWT383" s="252"/>
      <c r="LWU383" s="252"/>
      <c r="LWV383" s="252"/>
      <c r="LWW383" s="252"/>
      <c r="LWX383" s="252"/>
      <c r="LWY383" s="252"/>
      <c r="LWZ383" s="252"/>
      <c r="LXA383" s="252"/>
      <c r="LXB383" s="252"/>
      <c r="LXC383" s="252"/>
      <c r="LXD383" s="252"/>
      <c r="LXE383" s="252"/>
      <c r="LXF383" s="252"/>
      <c r="LXG383" s="252"/>
      <c r="LXH383" s="252"/>
      <c r="LXI383" s="252"/>
      <c r="LXJ383" s="252"/>
      <c r="LXK383" s="252"/>
      <c r="LXL383" s="252"/>
      <c r="LXM383" s="252"/>
      <c r="LXN383" s="252"/>
      <c r="LXO383" s="252"/>
      <c r="LXP383" s="252"/>
      <c r="LXQ383" s="252"/>
      <c r="LXR383" s="252"/>
      <c r="LXS383" s="252"/>
      <c r="LXT383" s="252"/>
      <c r="LXU383" s="252"/>
      <c r="LXV383" s="252"/>
      <c r="LXW383" s="252"/>
      <c r="LXX383" s="252"/>
      <c r="LXY383" s="252"/>
      <c r="LXZ383" s="252"/>
      <c r="LYA383" s="252"/>
      <c r="LYB383" s="252"/>
      <c r="LYC383" s="252"/>
      <c r="LYD383" s="252"/>
      <c r="LYE383" s="252"/>
      <c r="LYF383" s="252"/>
      <c r="LYG383" s="252"/>
      <c r="LYH383" s="252"/>
      <c r="LYI383" s="252"/>
      <c r="LYJ383" s="252"/>
      <c r="LYK383" s="252"/>
      <c r="LYL383" s="252"/>
      <c r="LYM383" s="252"/>
      <c r="LYN383" s="252"/>
      <c r="LYO383" s="252"/>
      <c r="LYP383" s="252"/>
      <c r="LYQ383" s="252"/>
      <c r="LYR383" s="252"/>
      <c r="LYS383" s="252"/>
      <c r="LYT383" s="252"/>
      <c r="LYU383" s="252"/>
      <c r="LYV383" s="252"/>
      <c r="LYW383" s="252"/>
      <c r="LYX383" s="252"/>
      <c r="LYY383" s="252"/>
      <c r="LYZ383" s="252"/>
      <c r="LZA383" s="252"/>
      <c r="LZB383" s="252"/>
      <c r="LZC383" s="252"/>
      <c r="LZD383" s="252"/>
      <c r="LZE383" s="252"/>
      <c r="LZF383" s="252"/>
      <c r="LZG383" s="252"/>
      <c r="LZH383" s="252"/>
      <c r="LZI383" s="252"/>
      <c r="LZJ383" s="252"/>
      <c r="LZK383" s="252"/>
      <c r="LZL383" s="252"/>
      <c r="LZM383" s="252"/>
      <c r="LZN383" s="252"/>
      <c r="LZO383" s="252"/>
      <c r="LZP383" s="252"/>
      <c r="LZQ383" s="252"/>
      <c r="LZR383" s="252"/>
      <c r="LZS383" s="252"/>
      <c r="LZT383" s="252"/>
      <c r="LZU383" s="252"/>
      <c r="LZV383" s="252"/>
      <c r="LZW383" s="252"/>
      <c r="LZX383" s="252"/>
      <c r="LZY383" s="252"/>
      <c r="LZZ383" s="252"/>
      <c r="MAA383" s="252"/>
      <c r="MAB383" s="252"/>
      <c r="MAC383" s="252"/>
      <c r="MAD383" s="252"/>
      <c r="MAE383" s="252"/>
      <c r="MAF383" s="252"/>
      <c r="MAG383" s="252"/>
      <c r="MAH383" s="252"/>
      <c r="MAI383" s="252"/>
      <c r="MAJ383" s="252"/>
      <c r="MAK383" s="252"/>
      <c r="MAL383" s="252"/>
      <c r="MAM383" s="252"/>
      <c r="MAN383" s="252"/>
      <c r="MAO383" s="252"/>
      <c r="MAP383" s="252"/>
      <c r="MAQ383" s="252"/>
      <c r="MAR383" s="252"/>
      <c r="MAS383" s="252"/>
      <c r="MAT383" s="252"/>
      <c r="MAU383" s="252"/>
      <c r="MAV383" s="252"/>
      <c r="MAW383" s="252"/>
      <c r="MAX383" s="252"/>
      <c r="MAY383" s="252"/>
      <c r="MAZ383" s="252"/>
      <c r="MBA383" s="252"/>
      <c r="MBB383" s="252"/>
      <c r="MBC383" s="252"/>
      <c r="MBD383" s="252"/>
      <c r="MBE383" s="252"/>
      <c r="MBF383" s="252"/>
      <c r="MBG383" s="252"/>
      <c r="MBH383" s="252"/>
      <c r="MBI383" s="252"/>
      <c r="MBJ383" s="252"/>
      <c r="MBK383" s="252"/>
      <c r="MBL383" s="252"/>
      <c r="MBM383" s="252"/>
      <c r="MBN383" s="252"/>
      <c r="MBO383" s="252"/>
      <c r="MBP383" s="252"/>
      <c r="MBQ383" s="252"/>
      <c r="MBR383" s="252"/>
      <c r="MBS383" s="252"/>
      <c r="MBT383" s="252"/>
      <c r="MBU383" s="252"/>
      <c r="MBV383" s="252"/>
      <c r="MBW383" s="252"/>
      <c r="MBX383" s="252"/>
      <c r="MBY383" s="252"/>
      <c r="MBZ383" s="252"/>
      <c r="MCA383" s="252"/>
      <c r="MCB383" s="252"/>
      <c r="MCC383" s="252"/>
      <c r="MCD383" s="252"/>
      <c r="MCE383" s="252"/>
      <c r="MCF383" s="252"/>
      <c r="MCG383" s="252"/>
      <c r="MCH383" s="252"/>
      <c r="MCI383" s="252"/>
      <c r="MCJ383" s="252"/>
      <c r="MCK383" s="252"/>
      <c r="MCL383" s="252"/>
      <c r="MCM383" s="252"/>
      <c r="MCN383" s="252"/>
      <c r="MCO383" s="252"/>
      <c r="MCP383" s="252"/>
      <c r="MCQ383" s="252"/>
      <c r="MCR383" s="252"/>
      <c r="MCS383" s="252"/>
      <c r="MCT383" s="252"/>
      <c r="MCU383" s="252"/>
      <c r="MCV383" s="252"/>
      <c r="MCW383" s="252"/>
      <c r="MCX383" s="252"/>
      <c r="MCY383" s="252"/>
      <c r="MCZ383" s="252"/>
      <c r="MDA383" s="252"/>
      <c r="MDB383" s="252"/>
      <c r="MDC383" s="252"/>
      <c r="MDD383" s="252"/>
      <c r="MDE383" s="252"/>
      <c r="MDF383" s="252"/>
      <c r="MDG383" s="252"/>
      <c r="MDH383" s="252"/>
      <c r="MDI383" s="252"/>
      <c r="MDJ383" s="252"/>
      <c r="MDK383" s="252"/>
      <c r="MDL383" s="252"/>
      <c r="MDM383" s="252"/>
      <c r="MDN383" s="252"/>
      <c r="MDO383" s="252"/>
      <c r="MDP383" s="252"/>
      <c r="MDQ383" s="252"/>
      <c r="MDR383" s="252"/>
      <c r="MDS383" s="252"/>
      <c r="MDT383" s="252"/>
      <c r="MDU383" s="252"/>
      <c r="MDV383" s="252"/>
      <c r="MDW383" s="252"/>
      <c r="MDX383" s="252"/>
      <c r="MDY383" s="252"/>
      <c r="MDZ383" s="252"/>
      <c r="MEA383" s="252"/>
      <c r="MEB383" s="252"/>
      <c r="MEC383" s="252"/>
      <c r="MED383" s="252"/>
      <c r="MEE383" s="252"/>
      <c r="MEF383" s="252"/>
      <c r="MEG383" s="252"/>
      <c r="MEH383" s="252"/>
      <c r="MEI383" s="252"/>
      <c r="MEJ383" s="252"/>
      <c r="MEK383" s="252"/>
      <c r="MEL383" s="252"/>
      <c r="MEM383" s="252"/>
      <c r="MEN383" s="252"/>
      <c r="MEO383" s="252"/>
      <c r="MEP383" s="252"/>
      <c r="MEQ383" s="252"/>
      <c r="MER383" s="252"/>
      <c r="MES383" s="252"/>
      <c r="MET383" s="252"/>
      <c r="MEU383" s="252"/>
      <c r="MEV383" s="252"/>
      <c r="MEW383" s="252"/>
      <c r="MEX383" s="252"/>
      <c r="MEY383" s="252"/>
      <c r="MEZ383" s="252"/>
      <c r="MFA383" s="252"/>
      <c r="MFB383" s="252"/>
      <c r="MFC383" s="252"/>
      <c r="MFD383" s="252"/>
      <c r="MFE383" s="252"/>
      <c r="MFF383" s="252"/>
      <c r="MFG383" s="252"/>
      <c r="MFH383" s="252"/>
      <c r="MFI383" s="252"/>
      <c r="MFJ383" s="252"/>
      <c r="MFK383" s="252"/>
      <c r="MFL383" s="252"/>
      <c r="MFM383" s="252"/>
      <c r="MFN383" s="252"/>
      <c r="MFO383" s="252"/>
      <c r="MFP383" s="252"/>
      <c r="MFQ383" s="252"/>
      <c r="MFR383" s="252"/>
      <c r="MFS383" s="252"/>
      <c r="MFT383" s="252"/>
      <c r="MFU383" s="252"/>
      <c r="MFV383" s="252"/>
      <c r="MFW383" s="252"/>
      <c r="MFX383" s="252"/>
      <c r="MFY383" s="252"/>
      <c r="MFZ383" s="252"/>
      <c r="MGA383" s="252"/>
      <c r="MGB383" s="252"/>
      <c r="MGC383" s="252"/>
      <c r="MGD383" s="252"/>
      <c r="MGE383" s="252"/>
      <c r="MGF383" s="252"/>
      <c r="MGG383" s="252"/>
      <c r="MGH383" s="252"/>
      <c r="MGI383" s="252"/>
      <c r="MGJ383" s="252"/>
      <c r="MGK383" s="252"/>
      <c r="MGL383" s="252"/>
      <c r="MGM383" s="252"/>
      <c r="MGN383" s="252"/>
      <c r="MGO383" s="252"/>
      <c r="MGP383" s="252"/>
      <c r="MGQ383" s="252"/>
      <c r="MGR383" s="252"/>
      <c r="MGS383" s="252"/>
      <c r="MGT383" s="252"/>
      <c r="MGU383" s="252"/>
      <c r="MGV383" s="252"/>
      <c r="MGW383" s="252"/>
      <c r="MGX383" s="252"/>
      <c r="MGY383" s="252"/>
      <c r="MGZ383" s="252"/>
      <c r="MHA383" s="252"/>
      <c r="MHB383" s="252"/>
      <c r="MHC383" s="252"/>
      <c r="MHD383" s="252"/>
      <c r="MHE383" s="252"/>
      <c r="MHF383" s="252"/>
      <c r="MHG383" s="252"/>
      <c r="MHH383" s="252"/>
      <c r="MHI383" s="252"/>
      <c r="MHJ383" s="252"/>
      <c r="MHK383" s="252"/>
      <c r="MHL383" s="252"/>
      <c r="MHM383" s="252"/>
      <c r="MHN383" s="252"/>
      <c r="MHO383" s="252"/>
      <c r="MHP383" s="252"/>
      <c r="MHQ383" s="252"/>
      <c r="MHR383" s="252"/>
      <c r="MHS383" s="252"/>
      <c r="MHT383" s="252"/>
      <c r="MHU383" s="252"/>
      <c r="MHV383" s="252"/>
      <c r="MHW383" s="252"/>
      <c r="MHX383" s="252"/>
      <c r="MHY383" s="252"/>
      <c r="MHZ383" s="252"/>
      <c r="MIA383" s="252"/>
      <c r="MIB383" s="252"/>
      <c r="MIC383" s="252"/>
      <c r="MID383" s="252"/>
      <c r="MIE383" s="252"/>
      <c r="MIF383" s="252"/>
      <c r="MIG383" s="252"/>
      <c r="MIH383" s="252"/>
      <c r="MII383" s="252"/>
      <c r="MIJ383" s="252"/>
      <c r="MIK383" s="252"/>
      <c r="MIL383" s="252"/>
      <c r="MIM383" s="252"/>
      <c r="MIN383" s="252"/>
      <c r="MIO383" s="252"/>
      <c r="MIP383" s="252"/>
      <c r="MIQ383" s="252"/>
      <c r="MIR383" s="252"/>
      <c r="MIS383" s="252"/>
      <c r="MIT383" s="252"/>
      <c r="MIU383" s="252"/>
      <c r="MIV383" s="252"/>
      <c r="MIW383" s="252"/>
      <c r="MIX383" s="252"/>
      <c r="MIY383" s="252"/>
      <c r="MIZ383" s="252"/>
      <c r="MJA383" s="252"/>
      <c r="MJB383" s="252"/>
      <c r="MJC383" s="252"/>
      <c r="MJD383" s="252"/>
      <c r="MJE383" s="252"/>
      <c r="MJF383" s="252"/>
      <c r="MJG383" s="252"/>
      <c r="MJH383" s="252"/>
      <c r="MJI383" s="252"/>
      <c r="MJJ383" s="252"/>
      <c r="MJK383" s="252"/>
      <c r="MJL383" s="252"/>
      <c r="MJM383" s="252"/>
      <c r="MJN383" s="252"/>
      <c r="MJO383" s="252"/>
      <c r="MJP383" s="252"/>
      <c r="MJQ383" s="252"/>
      <c r="MJR383" s="252"/>
      <c r="MJS383" s="252"/>
      <c r="MJT383" s="252"/>
      <c r="MJU383" s="252"/>
      <c r="MJV383" s="252"/>
      <c r="MJW383" s="252"/>
      <c r="MJX383" s="252"/>
      <c r="MJY383" s="252"/>
      <c r="MJZ383" s="252"/>
      <c r="MKA383" s="252"/>
      <c r="MKB383" s="252"/>
      <c r="MKC383" s="252"/>
      <c r="MKD383" s="252"/>
      <c r="MKE383" s="252"/>
      <c r="MKF383" s="252"/>
      <c r="MKG383" s="252"/>
      <c r="MKH383" s="252"/>
      <c r="MKI383" s="252"/>
      <c r="MKJ383" s="252"/>
      <c r="MKK383" s="252"/>
      <c r="MKL383" s="252"/>
      <c r="MKM383" s="252"/>
      <c r="MKN383" s="252"/>
      <c r="MKO383" s="252"/>
      <c r="MKP383" s="252"/>
      <c r="MKQ383" s="252"/>
      <c r="MKR383" s="252"/>
      <c r="MKS383" s="252"/>
      <c r="MKT383" s="252"/>
      <c r="MKU383" s="252"/>
      <c r="MKV383" s="252"/>
      <c r="MKW383" s="252"/>
      <c r="MKX383" s="252"/>
      <c r="MKY383" s="252"/>
      <c r="MKZ383" s="252"/>
      <c r="MLA383" s="252"/>
      <c r="MLB383" s="252"/>
      <c r="MLC383" s="252"/>
      <c r="MLD383" s="252"/>
      <c r="MLE383" s="252"/>
      <c r="MLF383" s="252"/>
      <c r="MLG383" s="252"/>
      <c r="MLH383" s="252"/>
      <c r="MLI383" s="252"/>
      <c r="MLJ383" s="252"/>
      <c r="MLK383" s="252"/>
      <c r="MLL383" s="252"/>
      <c r="MLM383" s="252"/>
      <c r="MLN383" s="252"/>
      <c r="MLO383" s="252"/>
      <c r="MLP383" s="252"/>
      <c r="MLQ383" s="252"/>
      <c r="MLR383" s="252"/>
      <c r="MLS383" s="252"/>
      <c r="MLT383" s="252"/>
      <c r="MLU383" s="252"/>
      <c r="MLV383" s="252"/>
      <c r="MLW383" s="252"/>
      <c r="MLX383" s="252"/>
      <c r="MLY383" s="252"/>
      <c r="MLZ383" s="252"/>
      <c r="MMA383" s="252"/>
      <c r="MMB383" s="252"/>
      <c r="MMC383" s="252"/>
      <c r="MMD383" s="252"/>
      <c r="MME383" s="252"/>
      <c r="MMF383" s="252"/>
      <c r="MMG383" s="252"/>
      <c r="MMH383" s="252"/>
      <c r="MMI383" s="252"/>
      <c r="MMJ383" s="252"/>
      <c r="MMK383" s="252"/>
      <c r="MML383" s="252"/>
      <c r="MMM383" s="252"/>
      <c r="MMN383" s="252"/>
      <c r="MMO383" s="252"/>
      <c r="MMP383" s="252"/>
      <c r="MMQ383" s="252"/>
      <c r="MMR383" s="252"/>
      <c r="MMS383" s="252"/>
      <c r="MMT383" s="252"/>
      <c r="MMU383" s="252"/>
      <c r="MMV383" s="252"/>
      <c r="MMW383" s="252"/>
      <c r="MMX383" s="252"/>
      <c r="MMY383" s="252"/>
      <c r="MMZ383" s="252"/>
      <c r="MNA383" s="252"/>
      <c r="MNB383" s="252"/>
      <c r="MNC383" s="252"/>
      <c r="MND383" s="252"/>
      <c r="MNE383" s="252"/>
      <c r="MNF383" s="252"/>
      <c r="MNG383" s="252"/>
      <c r="MNH383" s="252"/>
      <c r="MNI383" s="252"/>
      <c r="MNJ383" s="252"/>
      <c r="MNK383" s="252"/>
      <c r="MNL383" s="252"/>
      <c r="MNM383" s="252"/>
      <c r="MNN383" s="252"/>
      <c r="MNO383" s="252"/>
      <c r="MNP383" s="252"/>
      <c r="MNQ383" s="252"/>
      <c r="MNR383" s="252"/>
      <c r="MNS383" s="252"/>
      <c r="MNT383" s="252"/>
      <c r="MNU383" s="252"/>
      <c r="MNV383" s="252"/>
      <c r="MNW383" s="252"/>
      <c r="MNX383" s="252"/>
      <c r="MNY383" s="252"/>
      <c r="MNZ383" s="252"/>
      <c r="MOA383" s="252"/>
      <c r="MOB383" s="252"/>
      <c r="MOC383" s="252"/>
      <c r="MOD383" s="252"/>
      <c r="MOE383" s="252"/>
      <c r="MOF383" s="252"/>
      <c r="MOG383" s="252"/>
      <c r="MOH383" s="252"/>
      <c r="MOI383" s="252"/>
      <c r="MOJ383" s="252"/>
      <c r="MOK383" s="252"/>
      <c r="MOL383" s="252"/>
      <c r="MOM383" s="252"/>
      <c r="MON383" s="252"/>
      <c r="MOO383" s="252"/>
      <c r="MOP383" s="252"/>
      <c r="MOQ383" s="252"/>
      <c r="MOR383" s="252"/>
      <c r="MOS383" s="252"/>
      <c r="MOT383" s="252"/>
      <c r="MOU383" s="252"/>
      <c r="MOV383" s="252"/>
      <c r="MOW383" s="252"/>
      <c r="MOX383" s="252"/>
      <c r="MOY383" s="252"/>
      <c r="MOZ383" s="252"/>
      <c r="MPA383" s="252"/>
      <c r="MPB383" s="252"/>
      <c r="MPC383" s="252"/>
      <c r="MPD383" s="252"/>
      <c r="MPE383" s="252"/>
      <c r="MPF383" s="252"/>
      <c r="MPG383" s="252"/>
      <c r="MPH383" s="252"/>
      <c r="MPI383" s="252"/>
      <c r="MPJ383" s="252"/>
      <c r="MPK383" s="252"/>
      <c r="MPL383" s="252"/>
      <c r="MPM383" s="252"/>
      <c r="MPN383" s="252"/>
      <c r="MPO383" s="252"/>
      <c r="MPP383" s="252"/>
      <c r="MPQ383" s="252"/>
      <c r="MPR383" s="252"/>
      <c r="MPS383" s="252"/>
      <c r="MPT383" s="252"/>
      <c r="MPU383" s="252"/>
      <c r="MPV383" s="252"/>
      <c r="MPW383" s="252"/>
      <c r="MPX383" s="252"/>
      <c r="MPY383" s="252"/>
      <c r="MPZ383" s="252"/>
      <c r="MQA383" s="252"/>
      <c r="MQB383" s="252"/>
      <c r="MQC383" s="252"/>
      <c r="MQD383" s="252"/>
      <c r="MQE383" s="252"/>
      <c r="MQF383" s="252"/>
      <c r="MQG383" s="252"/>
      <c r="MQH383" s="252"/>
      <c r="MQI383" s="252"/>
      <c r="MQJ383" s="252"/>
      <c r="MQK383" s="252"/>
      <c r="MQL383" s="252"/>
      <c r="MQM383" s="252"/>
      <c r="MQN383" s="252"/>
      <c r="MQO383" s="252"/>
      <c r="MQP383" s="252"/>
      <c r="MQQ383" s="252"/>
      <c r="MQR383" s="252"/>
      <c r="MQS383" s="252"/>
      <c r="MQT383" s="252"/>
      <c r="MQU383" s="252"/>
      <c r="MQV383" s="252"/>
      <c r="MQW383" s="252"/>
      <c r="MQX383" s="252"/>
      <c r="MQY383" s="252"/>
      <c r="MQZ383" s="252"/>
      <c r="MRA383" s="252"/>
      <c r="MRB383" s="252"/>
      <c r="MRC383" s="252"/>
      <c r="MRD383" s="252"/>
      <c r="MRE383" s="252"/>
      <c r="MRF383" s="252"/>
      <c r="MRG383" s="252"/>
      <c r="MRH383" s="252"/>
      <c r="MRI383" s="252"/>
      <c r="MRJ383" s="252"/>
      <c r="MRK383" s="252"/>
      <c r="MRL383" s="252"/>
      <c r="MRM383" s="252"/>
      <c r="MRN383" s="252"/>
      <c r="MRO383" s="252"/>
      <c r="MRP383" s="252"/>
      <c r="MRQ383" s="252"/>
      <c r="MRR383" s="252"/>
      <c r="MRS383" s="252"/>
      <c r="MRT383" s="252"/>
      <c r="MRU383" s="252"/>
      <c r="MRV383" s="252"/>
      <c r="MRW383" s="252"/>
      <c r="MRX383" s="252"/>
      <c r="MRY383" s="252"/>
      <c r="MRZ383" s="252"/>
      <c r="MSA383" s="252"/>
      <c r="MSB383" s="252"/>
      <c r="MSC383" s="252"/>
      <c r="MSD383" s="252"/>
      <c r="MSE383" s="252"/>
      <c r="MSF383" s="252"/>
      <c r="MSG383" s="252"/>
      <c r="MSH383" s="252"/>
      <c r="MSI383" s="252"/>
      <c r="MSJ383" s="252"/>
      <c r="MSK383" s="252"/>
      <c r="MSL383" s="252"/>
      <c r="MSM383" s="252"/>
      <c r="MSN383" s="252"/>
      <c r="MSO383" s="252"/>
      <c r="MSP383" s="252"/>
      <c r="MSQ383" s="252"/>
      <c r="MSR383" s="252"/>
      <c r="MSS383" s="252"/>
      <c r="MST383" s="252"/>
      <c r="MSU383" s="252"/>
      <c r="MSV383" s="252"/>
      <c r="MSW383" s="252"/>
      <c r="MSX383" s="252"/>
      <c r="MSY383" s="252"/>
      <c r="MSZ383" s="252"/>
      <c r="MTA383" s="252"/>
      <c r="MTB383" s="252"/>
      <c r="MTC383" s="252"/>
      <c r="MTD383" s="252"/>
      <c r="MTE383" s="252"/>
      <c r="MTF383" s="252"/>
      <c r="MTG383" s="252"/>
      <c r="MTH383" s="252"/>
      <c r="MTI383" s="252"/>
      <c r="MTJ383" s="252"/>
      <c r="MTK383" s="252"/>
      <c r="MTL383" s="252"/>
      <c r="MTM383" s="252"/>
      <c r="MTN383" s="252"/>
      <c r="MTO383" s="252"/>
      <c r="MTP383" s="252"/>
      <c r="MTQ383" s="252"/>
      <c r="MTR383" s="252"/>
      <c r="MTS383" s="252"/>
      <c r="MTT383" s="252"/>
      <c r="MTU383" s="252"/>
      <c r="MTV383" s="252"/>
      <c r="MTW383" s="252"/>
      <c r="MTX383" s="252"/>
      <c r="MTY383" s="252"/>
      <c r="MTZ383" s="252"/>
      <c r="MUA383" s="252"/>
      <c r="MUB383" s="252"/>
      <c r="MUC383" s="252"/>
      <c r="MUD383" s="252"/>
      <c r="MUE383" s="252"/>
      <c r="MUF383" s="252"/>
      <c r="MUG383" s="252"/>
      <c r="MUH383" s="252"/>
      <c r="MUI383" s="252"/>
      <c r="MUJ383" s="252"/>
      <c r="MUK383" s="252"/>
      <c r="MUL383" s="252"/>
      <c r="MUM383" s="252"/>
      <c r="MUN383" s="252"/>
      <c r="MUO383" s="252"/>
      <c r="MUP383" s="252"/>
      <c r="MUQ383" s="252"/>
      <c r="MUR383" s="252"/>
      <c r="MUS383" s="252"/>
      <c r="MUT383" s="252"/>
      <c r="MUU383" s="252"/>
      <c r="MUV383" s="252"/>
      <c r="MUW383" s="252"/>
      <c r="MUX383" s="252"/>
      <c r="MUY383" s="252"/>
      <c r="MUZ383" s="252"/>
      <c r="MVA383" s="252"/>
      <c r="MVB383" s="252"/>
      <c r="MVC383" s="252"/>
      <c r="MVD383" s="252"/>
      <c r="MVE383" s="252"/>
      <c r="MVF383" s="252"/>
      <c r="MVG383" s="252"/>
      <c r="MVH383" s="252"/>
      <c r="MVI383" s="252"/>
      <c r="MVJ383" s="252"/>
      <c r="MVK383" s="252"/>
      <c r="MVL383" s="252"/>
      <c r="MVM383" s="252"/>
      <c r="MVN383" s="252"/>
      <c r="MVO383" s="252"/>
      <c r="MVP383" s="252"/>
      <c r="MVQ383" s="252"/>
      <c r="MVR383" s="252"/>
      <c r="MVS383" s="252"/>
      <c r="MVT383" s="252"/>
      <c r="MVU383" s="252"/>
      <c r="MVV383" s="252"/>
      <c r="MVW383" s="252"/>
      <c r="MVX383" s="252"/>
      <c r="MVY383" s="252"/>
      <c r="MVZ383" s="252"/>
      <c r="MWA383" s="252"/>
      <c r="MWB383" s="252"/>
      <c r="MWC383" s="252"/>
      <c r="MWD383" s="252"/>
      <c r="MWE383" s="252"/>
      <c r="MWF383" s="252"/>
      <c r="MWG383" s="252"/>
      <c r="MWH383" s="252"/>
      <c r="MWI383" s="252"/>
      <c r="MWJ383" s="252"/>
      <c r="MWK383" s="252"/>
      <c r="MWL383" s="252"/>
      <c r="MWM383" s="252"/>
      <c r="MWN383" s="252"/>
      <c r="MWO383" s="252"/>
      <c r="MWP383" s="252"/>
      <c r="MWQ383" s="252"/>
      <c r="MWR383" s="252"/>
      <c r="MWS383" s="252"/>
      <c r="MWT383" s="252"/>
      <c r="MWU383" s="252"/>
      <c r="MWV383" s="252"/>
      <c r="MWW383" s="252"/>
      <c r="MWX383" s="252"/>
      <c r="MWY383" s="252"/>
      <c r="MWZ383" s="252"/>
      <c r="MXA383" s="252"/>
      <c r="MXB383" s="252"/>
      <c r="MXC383" s="252"/>
      <c r="MXD383" s="252"/>
      <c r="MXE383" s="252"/>
      <c r="MXF383" s="252"/>
      <c r="MXG383" s="252"/>
      <c r="MXH383" s="252"/>
      <c r="MXI383" s="252"/>
      <c r="MXJ383" s="252"/>
      <c r="MXK383" s="252"/>
      <c r="MXL383" s="252"/>
      <c r="MXM383" s="252"/>
      <c r="MXN383" s="252"/>
      <c r="MXO383" s="252"/>
      <c r="MXP383" s="252"/>
      <c r="MXQ383" s="252"/>
      <c r="MXR383" s="252"/>
      <c r="MXS383" s="252"/>
      <c r="MXT383" s="252"/>
      <c r="MXU383" s="252"/>
      <c r="MXV383" s="252"/>
      <c r="MXW383" s="252"/>
      <c r="MXX383" s="252"/>
      <c r="MXY383" s="252"/>
      <c r="MXZ383" s="252"/>
      <c r="MYA383" s="252"/>
      <c r="MYB383" s="252"/>
      <c r="MYC383" s="252"/>
      <c r="MYD383" s="252"/>
      <c r="MYE383" s="252"/>
      <c r="MYF383" s="252"/>
      <c r="MYG383" s="252"/>
      <c r="MYH383" s="252"/>
      <c r="MYI383" s="252"/>
      <c r="MYJ383" s="252"/>
      <c r="MYK383" s="252"/>
      <c r="MYL383" s="252"/>
      <c r="MYM383" s="252"/>
      <c r="MYN383" s="252"/>
      <c r="MYO383" s="252"/>
      <c r="MYP383" s="252"/>
      <c r="MYQ383" s="252"/>
      <c r="MYR383" s="252"/>
      <c r="MYS383" s="252"/>
      <c r="MYT383" s="252"/>
      <c r="MYU383" s="252"/>
      <c r="MYV383" s="252"/>
      <c r="MYW383" s="252"/>
      <c r="MYX383" s="252"/>
      <c r="MYY383" s="252"/>
      <c r="MYZ383" s="252"/>
      <c r="MZA383" s="252"/>
      <c r="MZB383" s="252"/>
      <c r="MZC383" s="252"/>
      <c r="MZD383" s="252"/>
      <c r="MZE383" s="252"/>
      <c r="MZF383" s="252"/>
      <c r="MZG383" s="252"/>
      <c r="MZH383" s="252"/>
      <c r="MZI383" s="252"/>
      <c r="MZJ383" s="252"/>
      <c r="MZK383" s="252"/>
      <c r="MZL383" s="252"/>
      <c r="MZM383" s="252"/>
      <c r="MZN383" s="252"/>
      <c r="MZO383" s="252"/>
      <c r="MZP383" s="252"/>
      <c r="MZQ383" s="252"/>
      <c r="MZR383" s="252"/>
      <c r="MZS383" s="252"/>
      <c r="MZT383" s="252"/>
      <c r="MZU383" s="252"/>
      <c r="MZV383" s="252"/>
      <c r="MZW383" s="252"/>
      <c r="MZX383" s="252"/>
      <c r="MZY383" s="252"/>
      <c r="MZZ383" s="252"/>
      <c r="NAA383" s="252"/>
      <c r="NAB383" s="252"/>
      <c r="NAC383" s="252"/>
      <c r="NAD383" s="252"/>
      <c r="NAE383" s="252"/>
      <c r="NAF383" s="252"/>
      <c r="NAG383" s="252"/>
      <c r="NAH383" s="252"/>
      <c r="NAI383" s="252"/>
      <c r="NAJ383" s="252"/>
      <c r="NAK383" s="252"/>
      <c r="NAL383" s="252"/>
      <c r="NAM383" s="252"/>
      <c r="NAN383" s="252"/>
      <c r="NAO383" s="252"/>
      <c r="NAP383" s="252"/>
      <c r="NAQ383" s="252"/>
      <c r="NAR383" s="252"/>
      <c r="NAS383" s="252"/>
      <c r="NAT383" s="252"/>
      <c r="NAU383" s="252"/>
      <c r="NAV383" s="252"/>
      <c r="NAW383" s="252"/>
      <c r="NAX383" s="252"/>
      <c r="NAY383" s="252"/>
      <c r="NAZ383" s="252"/>
      <c r="NBA383" s="252"/>
      <c r="NBB383" s="252"/>
      <c r="NBC383" s="252"/>
      <c r="NBD383" s="252"/>
      <c r="NBE383" s="252"/>
      <c r="NBF383" s="252"/>
      <c r="NBG383" s="252"/>
      <c r="NBH383" s="252"/>
      <c r="NBI383" s="252"/>
      <c r="NBJ383" s="252"/>
      <c r="NBK383" s="252"/>
      <c r="NBL383" s="252"/>
      <c r="NBM383" s="252"/>
      <c r="NBN383" s="252"/>
      <c r="NBO383" s="252"/>
      <c r="NBP383" s="252"/>
      <c r="NBQ383" s="252"/>
      <c r="NBR383" s="252"/>
      <c r="NBS383" s="252"/>
      <c r="NBT383" s="252"/>
      <c r="NBU383" s="252"/>
      <c r="NBV383" s="252"/>
      <c r="NBW383" s="252"/>
      <c r="NBX383" s="252"/>
      <c r="NBY383" s="252"/>
      <c r="NBZ383" s="252"/>
      <c r="NCA383" s="252"/>
      <c r="NCB383" s="252"/>
      <c r="NCC383" s="252"/>
      <c r="NCD383" s="252"/>
      <c r="NCE383" s="252"/>
      <c r="NCF383" s="252"/>
      <c r="NCG383" s="252"/>
      <c r="NCH383" s="252"/>
      <c r="NCI383" s="252"/>
      <c r="NCJ383" s="252"/>
      <c r="NCK383" s="252"/>
      <c r="NCL383" s="252"/>
      <c r="NCM383" s="252"/>
      <c r="NCN383" s="252"/>
      <c r="NCO383" s="252"/>
      <c r="NCP383" s="252"/>
      <c r="NCQ383" s="252"/>
      <c r="NCR383" s="252"/>
      <c r="NCS383" s="252"/>
      <c r="NCT383" s="252"/>
      <c r="NCU383" s="252"/>
      <c r="NCV383" s="252"/>
      <c r="NCW383" s="252"/>
      <c r="NCX383" s="252"/>
      <c r="NCY383" s="252"/>
      <c r="NCZ383" s="252"/>
      <c r="NDA383" s="252"/>
      <c r="NDB383" s="252"/>
      <c r="NDC383" s="252"/>
      <c r="NDD383" s="252"/>
      <c r="NDE383" s="252"/>
      <c r="NDF383" s="252"/>
      <c r="NDG383" s="252"/>
      <c r="NDH383" s="252"/>
      <c r="NDI383" s="252"/>
      <c r="NDJ383" s="252"/>
      <c r="NDK383" s="252"/>
      <c r="NDL383" s="252"/>
      <c r="NDM383" s="252"/>
      <c r="NDN383" s="252"/>
      <c r="NDO383" s="252"/>
      <c r="NDP383" s="252"/>
      <c r="NDQ383" s="252"/>
      <c r="NDR383" s="252"/>
      <c r="NDS383" s="252"/>
      <c r="NDT383" s="252"/>
      <c r="NDU383" s="252"/>
      <c r="NDV383" s="252"/>
      <c r="NDW383" s="252"/>
      <c r="NDX383" s="252"/>
      <c r="NDY383" s="252"/>
      <c r="NDZ383" s="252"/>
      <c r="NEA383" s="252"/>
      <c r="NEB383" s="252"/>
      <c r="NEC383" s="252"/>
      <c r="NED383" s="252"/>
      <c r="NEE383" s="252"/>
      <c r="NEF383" s="252"/>
      <c r="NEG383" s="252"/>
      <c r="NEH383" s="252"/>
      <c r="NEI383" s="252"/>
      <c r="NEJ383" s="252"/>
      <c r="NEK383" s="252"/>
      <c r="NEL383" s="252"/>
      <c r="NEM383" s="252"/>
      <c r="NEN383" s="252"/>
      <c r="NEO383" s="252"/>
      <c r="NEP383" s="252"/>
      <c r="NEQ383" s="252"/>
      <c r="NER383" s="252"/>
      <c r="NES383" s="252"/>
      <c r="NET383" s="252"/>
      <c r="NEU383" s="252"/>
      <c r="NEV383" s="252"/>
      <c r="NEW383" s="252"/>
      <c r="NEX383" s="252"/>
      <c r="NEY383" s="252"/>
      <c r="NEZ383" s="252"/>
      <c r="NFA383" s="252"/>
      <c r="NFB383" s="252"/>
      <c r="NFC383" s="252"/>
      <c r="NFD383" s="252"/>
      <c r="NFE383" s="252"/>
      <c r="NFF383" s="252"/>
      <c r="NFG383" s="252"/>
      <c r="NFH383" s="252"/>
      <c r="NFI383" s="252"/>
      <c r="NFJ383" s="252"/>
      <c r="NFK383" s="252"/>
      <c r="NFL383" s="252"/>
      <c r="NFM383" s="252"/>
      <c r="NFN383" s="252"/>
      <c r="NFO383" s="252"/>
      <c r="NFP383" s="252"/>
      <c r="NFQ383" s="252"/>
      <c r="NFR383" s="252"/>
      <c r="NFS383" s="252"/>
      <c r="NFT383" s="252"/>
      <c r="NFU383" s="252"/>
      <c r="NFV383" s="252"/>
      <c r="NFW383" s="252"/>
      <c r="NFX383" s="252"/>
      <c r="NFY383" s="252"/>
      <c r="NFZ383" s="252"/>
      <c r="NGA383" s="252"/>
      <c r="NGB383" s="252"/>
      <c r="NGC383" s="252"/>
      <c r="NGD383" s="252"/>
      <c r="NGE383" s="252"/>
      <c r="NGF383" s="252"/>
      <c r="NGG383" s="252"/>
      <c r="NGH383" s="252"/>
      <c r="NGI383" s="252"/>
      <c r="NGJ383" s="252"/>
      <c r="NGK383" s="252"/>
      <c r="NGL383" s="252"/>
      <c r="NGM383" s="252"/>
      <c r="NGN383" s="252"/>
      <c r="NGO383" s="252"/>
      <c r="NGP383" s="252"/>
      <c r="NGQ383" s="252"/>
      <c r="NGR383" s="252"/>
      <c r="NGS383" s="252"/>
      <c r="NGT383" s="252"/>
      <c r="NGU383" s="252"/>
      <c r="NGV383" s="252"/>
      <c r="NGW383" s="252"/>
      <c r="NGX383" s="252"/>
      <c r="NGY383" s="252"/>
      <c r="NGZ383" s="252"/>
      <c r="NHA383" s="252"/>
      <c r="NHB383" s="252"/>
      <c r="NHC383" s="252"/>
      <c r="NHD383" s="252"/>
      <c r="NHE383" s="252"/>
      <c r="NHF383" s="252"/>
      <c r="NHG383" s="252"/>
      <c r="NHH383" s="252"/>
      <c r="NHI383" s="252"/>
      <c r="NHJ383" s="252"/>
      <c r="NHK383" s="252"/>
      <c r="NHL383" s="252"/>
      <c r="NHM383" s="252"/>
      <c r="NHN383" s="252"/>
      <c r="NHO383" s="252"/>
      <c r="NHP383" s="252"/>
      <c r="NHQ383" s="252"/>
      <c r="NHR383" s="252"/>
      <c r="NHS383" s="252"/>
      <c r="NHT383" s="252"/>
      <c r="NHU383" s="252"/>
      <c r="NHV383" s="252"/>
      <c r="NHW383" s="252"/>
      <c r="NHX383" s="252"/>
      <c r="NHY383" s="252"/>
      <c r="NHZ383" s="252"/>
      <c r="NIA383" s="252"/>
      <c r="NIB383" s="252"/>
      <c r="NIC383" s="252"/>
      <c r="NID383" s="252"/>
      <c r="NIE383" s="252"/>
      <c r="NIF383" s="252"/>
      <c r="NIG383" s="252"/>
      <c r="NIH383" s="252"/>
      <c r="NII383" s="252"/>
      <c r="NIJ383" s="252"/>
      <c r="NIK383" s="252"/>
      <c r="NIL383" s="252"/>
      <c r="NIM383" s="252"/>
      <c r="NIN383" s="252"/>
      <c r="NIO383" s="252"/>
      <c r="NIP383" s="252"/>
      <c r="NIQ383" s="252"/>
      <c r="NIR383" s="252"/>
      <c r="NIS383" s="252"/>
      <c r="NIT383" s="252"/>
      <c r="NIU383" s="252"/>
      <c r="NIV383" s="252"/>
      <c r="NIW383" s="252"/>
      <c r="NIX383" s="252"/>
      <c r="NIY383" s="252"/>
      <c r="NIZ383" s="252"/>
      <c r="NJA383" s="252"/>
      <c r="NJB383" s="252"/>
      <c r="NJC383" s="252"/>
      <c r="NJD383" s="252"/>
      <c r="NJE383" s="252"/>
      <c r="NJF383" s="252"/>
      <c r="NJG383" s="252"/>
      <c r="NJH383" s="252"/>
      <c r="NJI383" s="252"/>
      <c r="NJJ383" s="252"/>
      <c r="NJK383" s="252"/>
      <c r="NJL383" s="252"/>
      <c r="NJM383" s="252"/>
      <c r="NJN383" s="252"/>
      <c r="NJO383" s="252"/>
      <c r="NJP383" s="252"/>
      <c r="NJQ383" s="252"/>
      <c r="NJR383" s="252"/>
      <c r="NJS383" s="252"/>
      <c r="NJT383" s="252"/>
      <c r="NJU383" s="252"/>
      <c r="NJV383" s="252"/>
      <c r="NJW383" s="252"/>
      <c r="NJX383" s="252"/>
      <c r="NJY383" s="252"/>
      <c r="NJZ383" s="252"/>
      <c r="NKA383" s="252"/>
      <c r="NKB383" s="252"/>
      <c r="NKC383" s="252"/>
      <c r="NKD383" s="252"/>
      <c r="NKE383" s="252"/>
      <c r="NKF383" s="252"/>
      <c r="NKG383" s="252"/>
      <c r="NKH383" s="252"/>
      <c r="NKI383" s="252"/>
      <c r="NKJ383" s="252"/>
      <c r="NKK383" s="252"/>
      <c r="NKL383" s="252"/>
      <c r="NKM383" s="252"/>
      <c r="NKN383" s="252"/>
      <c r="NKO383" s="252"/>
      <c r="NKP383" s="252"/>
      <c r="NKQ383" s="252"/>
      <c r="NKR383" s="252"/>
      <c r="NKS383" s="252"/>
      <c r="NKT383" s="252"/>
      <c r="NKU383" s="252"/>
      <c r="NKV383" s="252"/>
      <c r="NKW383" s="252"/>
      <c r="NKX383" s="252"/>
      <c r="NKY383" s="252"/>
      <c r="NKZ383" s="252"/>
      <c r="NLA383" s="252"/>
      <c r="NLB383" s="252"/>
      <c r="NLC383" s="252"/>
      <c r="NLD383" s="252"/>
      <c r="NLE383" s="252"/>
      <c r="NLF383" s="252"/>
      <c r="NLG383" s="252"/>
      <c r="NLH383" s="252"/>
      <c r="NLI383" s="252"/>
      <c r="NLJ383" s="252"/>
      <c r="NLK383" s="252"/>
      <c r="NLL383" s="252"/>
      <c r="NLM383" s="252"/>
      <c r="NLN383" s="252"/>
      <c r="NLO383" s="252"/>
      <c r="NLP383" s="252"/>
      <c r="NLQ383" s="252"/>
      <c r="NLR383" s="252"/>
      <c r="NLS383" s="252"/>
      <c r="NLT383" s="252"/>
      <c r="NLU383" s="252"/>
      <c r="NLV383" s="252"/>
      <c r="NLW383" s="252"/>
      <c r="NLX383" s="252"/>
      <c r="NLY383" s="252"/>
      <c r="NLZ383" s="252"/>
      <c r="NMA383" s="252"/>
      <c r="NMB383" s="252"/>
      <c r="NMC383" s="252"/>
      <c r="NMD383" s="252"/>
      <c r="NME383" s="252"/>
      <c r="NMF383" s="252"/>
      <c r="NMG383" s="252"/>
      <c r="NMH383" s="252"/>
      <c r="NMI383" s="252"/>
      <c r="NMJ383" s="252"/>
      <c r="NMK383" s="252"/>
      <c r="NML383" s="252"/>
      <c r="NMM383" s="252"/>
      <c r="NMN383" s="252"/>
      <c r="NMO383" s="252"/>
      <c r="NMP383" s="252"/>
      <c r="NMQ383" s="252"/>
      <c r="NMR383" s="252"/>
      <c r="NMS383" s="252"/>
      <c r="NMT383" s="252"/>
      <c r="NMU383" s="252"/>
      <c r="NMV383" s="252"/>
      <c r="NMW383" s="252"/>
      <c r="NMX383" s="252"/>
      <c r="NMY383" s="252"/>
      <c r="NMZ383" s="252"/>
      <c r="NNA383" s="252"/>
      <c r="NNB383" s="252"/>
      <c r="NNC383" s="252"/>
      <c r="NND383" s="252"/>
      <c r="NNE383" s="252"/>
      <c r="NNF383" s="252"/>
      <c r="NNG383" s="252"/>
      <c r="NNH383" s="252"/>
      <c r="NNI383" s="252"/>
      <c r="NNJ383" s="252"/>
      <c r="NNK383" s="252"/>
      <c r="NNL383" s="252"/>
      <c r="NNM383" s="252"/>
      <c r="NNN383" s="252"/>
      <c r="NNO383" s="252"/>
      <c r="NNP383" s="252"/>
      <c r="NNQ383" s="252"/>
      <c r="NNR383" s="252"/>
      <c r="NNS383" s="252"/>
      <c r="NNT383" s="252"/>
      <c r="NNU383" s="252"/>
      <c r="NNV383" s="252"/>
      <c r="NNW383" s="252"/>
      <c r="NNX383" s="252"/>
      <c r="NNY383" s="252"/>
      <c r="NNZ383" s="252"/>
      <c r="NOA383" s="252"/>
      <c r="NOB383" s="252"/>
      <c r="NOC383" s="252"/>
      <c r="NOD383" s="252"/>
      <c r="NOE383" s="252"/>
      <c r="NOF383" s="252"/>
      <c r="NOG383" s="252"/>
      <c r="NOH383" s="252"/>
      <c r="NOI383" s="252"/>
      <c r="NOJ383" s="252"/>
      <c r="NOK383" s="252"/>
      <c r="NOL383" s="252"/>
      <c r="NOM383" s="252"/>
      <c r="NON383" s="252"/>
      <c r="NOO383" s="252"/>
      <c r="NOP383" s="252"/>
      <c r="NOQ383" s="252"/>
      <c r="NOR383" s="252"/>
      <c r="NOS383" s="252"/>
      <c r="NOT383" s="252"/>
      <c r="NOU383" s="252"/>
      <c r="NOV383" s="252"/>
      <c r="NOW383" s="252"/>
      <c r="NOX383" s="252"/>
      <c r="NOY383" s="252"/>
      <c r="NOZ383" s="252"/>
      <c r="NPA383" s="252"/>
      <c r="NPB383" s="252"/>
      <c r="NPC383" s="252"/>
      <c r="NPD383" s="252"/>
      <c r="NPE383" s="252"/>
      <c r="NPF383" s="252"/>
      <c r="NPG383" s="252"/>
      <c r="NPH383" s="252"/>
      <c r="NPI383" s="252"/>
      <c r="NPJ383" s="252"/>
      <c r="NPK383" s="252"/>
      <c r="NPL383" s="252"/>
      <c r="NPM383" s="252"/>
      <c r="NPN383" s="252"/>
      <c r="NPO383" s="252"/>
      <c r="NPP383" s="252"/>
      <c r="NPQ383" s="252"/>
      <c r="NPR383" s="252"/>
      <c r="NPS383" s="252"/>
      <c r="NPT383" s="252"/>
      <c r="NPU383" s="252"/>
      <c r="NPV383" s="252"/>
      <c r="NPW383" s="252"/>
      <c r="NPX383" s="252"/>
      <c r="NPY383" s="252"/>
      <c r="NPZ383" s="252"/>
      <c r="NQA383" s="252"/>
      <c r="NQB383" s="252"/>
      <c r="NQC383" s="252"/>
      <c r="NQD383" s="252"/>
      <c r="NQE383" s="252"/>
      <c r="NQF383" s="252"/>
      <c r="NQG383" s="252"/>
      <c r="NQH383" s="252"/>
      <c r="NQI383" s="252"/>
      <c r="NQJ383" s="252"/>
      <c r="NQK383" s="252"/>
      <c r="NQL383" s="252"/>
      <c r="NQM383" s="252"/>
      <c r="NQN383" s="252"/>
      <c r="NQO383" s="252"/>
      <c r="NQP383" s="252"/>
      <c r="NQQ383" s="252"/>
      <c r="NQR383" s="252"/>
      <c r="NQS383" s="252"/>
      <c r="NQT383" s="252"/>
      <c r="NQU383" s="252"/>
      <c r="NQV383" s="252"/>
      <c r="NQW383" s="252"/>
      <c r="NQX383" s="252"/>
      <c r="NQY383" s="252"/>
      <c r="NQZ383" s="252"/>
      <c r="NRA383" s="252"/>
      <c r="NRB383" s="252"/>
      <c r="NRC383" s="252"/>
      <c r="NRD383" s="252"/>
      <c r="NRE383" s="252"/>
      <c r="NRF383" s="252"/>
      <c r="NRG383" s="252"/>
      <c r="NRH383" s="252"/>
      <c r="NRI383" s="252"/>
      <c r="NRJ383" s="252"/>
      <c r="NRK383" s="252"/>
      <c r="NRL383" s="252"/>
      <c r="NRM383" s="252"/>
      <c r="NRN383" s="252"/>
      <c r="NRO383" s="252"/>
      <c r="NRP383" s="252"/>
      <c r="NRQ383" s="252"/>
      <c r="NRR383" s="252"/>
      <c r="NRS383" s="252"/>
      <c r="NRT383" s="252"/>
      <c r="NRU383" s="252"/>
      <c r="NRV383" s="252"/>
      <c r="NRW383" s="252"/>
      <c r="NRX383" s="252"/>
      <c r="NRY383" s="252"/>
      <c r="NRZ383" s="252"/>
      <c r="NSA383" s="252"/>
      <c r="NSB383" s="252"/>
      <c r="NSC383" s="252"/>
      <c r="NSD383" s="252"/>
      <c r="NSE383" s="252"/>
      <c r="NSF383" s="252"/>
      <c r="NSG383" s="252"/>
      <c r="NSH383" s="252"/>
      <c r="NSI383" s="252"/>
      <c r="NSJ383" s="252"/>
      <c r="NSK383" s="252"/>
      <c r="NSL383" s="252"/>
      <c r="NSM383" s="252"/>
      <c r="NSN383" s="252"/>
      <c r="NSO383" s="252"/>
      <c r="NSP383" s="252"/>
      <c r="NSQ383" s="252"/>
      <c r="NSR383" s="252"/>
      <c r="NSS383" s="252"/>
      <c r="NST383" s="252"/>
      <c r="NSU383" s="252"/>
      <c r="NSV383" s="252"/>
      <c r="NSW383" s="252"/>
      <c r="NSX383" s="252"/>
      <c r="NSY383" s="252"/>
      <c r="NSZ383" s="252"/>
      <c r="NTA383" s="252"/>
      <c r="NTB383" s="252"/>
      <c r="NTC383" s="252"/>
      <c r="NTD383" s="252"/>
      <c r="NTE383" s="252"/>
      <c r="NTF383" s="252"/>
      <c r="NTG383" s="252"/>
      <c r="NTH383" s="252"/>
      <c r="NTI383" s="252"/>
      <c r="NTJ383" s="252"/>
      <c r="NTK383" s="252"/>
      <c r="NTL383" s="252"/>
      <c r="NTM383" s="252"/>
      <c r="NTN383" s="252"/>
      <c r="NTO383" s="252"/>
      <c r="NTP383" s="252"/>
      <c r="NTQ383" s="252"/>
      <c r="NTR383" s="252"/>
      <c r="NTS383" s="252"/>
      <c r="NTT383" s="252"/>
      <c r="NTU383" s="252"/>
      <c r="NTV383" s="252"/>
      <c r="NTW383" s="252"/>
      <c r="NTX383" s="252"/>
      <c r="NTY383" s="252"/>
      <c r="NTZ383" s="252"/>
      <c r="NUA383" s="252"/>
      <c r="NUB383" s="252"/>
      <c r="NUC383" s="252"/>
      <c r="NUD383" s="252"/>
      <c r="NUE383" s="252"/>
      <c r="NUF383" s="252"/>
      <c r="NUG383" s="252"/>
      <c r="NUH383" s="252"/>
      <c r="NUI383" s="252"/>
      <c r="NUJ383" s="252"/>
      <c r="NUK383" s="252"/>
      <c r="NUL383" s="252"/>
      <c r="NUM383" s="252"/>
      <c r="NUN383" s="252"/>
      <c r="NUO383" s="252"/>
      <c r="NUP383" s="252"/>
      <c r="NUQ383" s="252"/>
      <c r="NUR383" s="252"/>
      <c r="NUS383" s="252"/>
      <c r="NUT383" s="252"/>
      <c r="NUU383" s="252"/>
      <c r="NUV383" s="252"/>
      <c r="NUW383" s="252"/>
      <c r="NUX383" s="252"/>
      <c r="NUY383" s="252"/>
      <c r="NUZ383" s="252"/>
      <c r="NVA383" s="252"/>
      <c r="NVB383" s="252"/>
      <c r="NVC383" s="252"/>
      <c r="NVD383" s="252"/>
      <c r="NVE383" s="252"/>
      <c r="NVF383" s="252"/>
      <c r="NVG383" s="252"/>
      <c r="NVH383" s="252"/>
      <c r="NVI383" s="252"/>
      <c r="NVJ383" s="252"/>
      <c r="NVK383" s="252"/>
      <c r="NVL383" s="252"/>
      <c r="NVM383" s="252"/>
      <c r="NVN383" s="252"/>
      <c r="NVO383" s="252"/>
      <c r="NVP383" s="252"/>
      <c r="NVQ383" s="252"/>
      <c r="NVR383" s="252"/>
      <c r="NVS383" s="252"/>
      <c r="NVT383" s="252"/>
      <c r="NVU383" s="252"/>
      <c r="NVV383" s="252"/>
      <c r="NVW383" s="252"/>
      <c r="NVX383" s="252"/>
      <c r="NVY383" s="252"/>
      <c r="NVZ383" s="252"/>
      <c r="NWA383" s="252"/>
      <c r="NWB383" s="252"/>
      <c r="NWC383" s="252"/>
      <c r="NWD383" s="252"/>
      <c r="NWE383" s="252"/>
      <c r="NWF383" s="252"/>
      <c r="NWG383" s="252"/>
      <c r="NWH383" s="252"/>
      <c r="NWI383" s="252"/>
      <c r="NWJ383" s="252"/>
      <c r="NWK383" s="252"/>
      <c r="NWL383" s="252"/>
      <c r="NWM383" s="252"/>
      <c r="NWN383" s="252"/>
      <c r="NWO383" s="252"/>
      <c r="NWP383" s="252"/>
      <c r="NWQ383" s="252"/>
      <c r="NWR383" s="252"/>
      <c r="NWS383" s="252"/>
      <c r="NWT383" s="252"/>
      <c r="NWU383" s="252"/>
      <c r="NWV383" s="252"/>
      <c r="NWW383" s="252"/>
      <c r="NWX383" s="252"/>
      <c r="NWY383" s="252"/>
      <c r="NWZ383" s="252"/>
      <c r="NXA383" s="252"/>
      <c r="NXB383" s="252"/>
      <c r="NXC383" s="252"/>
      <c r="NXD383" s="252"/>
      <c r="NXE383" s="252"/>
      <c r="NXF383" s="252"/>
      <c r="NXG383" s="252"/>
      <c r="NXH383" s="252"/>
      <c r="NXI383" s="252"/>
      <c r="NXJ383" s="252"/>
      <c r="NXK383" s="252"/>
      <c r="NXL383" s="252"/>
      <c r="NXM383" s="252"/>
      <c r="NXN383" s="252"/>
      <c r="NXO383" s="252"/>
      <c r="NXP383" s="252"/>
      <c r="NXQ383" s="252"/>
      <c r="NXR383" s="252"/>
      <c r="NXS383" s="252"/>
      <c r="NXT383" s="252"/>
      <c r="NXU383" s="252"/>
      <c r="NXV383" s="252"/>
      <c r="NXW383" s="252"/>
      <c r="NXX383" s="252"/>
      <c r="NXY383" s="252"/>
      <c r="NXZ383" s="252"/>
      <c r="NYA383" s="252"/>
      <c r="NYB383" s="252"/>
      <c r="NYC383" s="252"/>
      <c r="NYD383" s="252"/>
      <c r="NYE383" s="252"/>
      <c r="NYF383" s="252"/>
      <c r="NYG383" s="252"/>
      <c r="NYH383" s="252"/>
      <c r="NYI383" s="252"/>
      <c r="NYJ383" s="252"/>
      <c r="NYK383" s="252"/>
      <c r="NYL383" s="252"/>
      <c r="NYM383" s="252"/>
      <c r="NYN383" s="252"/>
      <c r="NYO383" s="252"/>
      <c r="NYP383" s="252"/>
      <c r="NYQ383" s="252"/>
      <c r="NYR383" s="252"/>
      <c r="NYS383" s="252"/>
      <c r="NYT383" s="252"/>
      <c r="NYU383" s="252"/>
      <c r="NYV383" s="252"/>
      <c r="NYW383" s="252"/>
      <c r="NYX383" s="252"/>
      <c r="NYY383" s="252"/>
      <c r="NYZ383" s="252"/>
      <c r="NZA383" s="252"/>
      <c r="NZB383" s="252"/>
      <c r="NZC383" s="252"/>
      <c r="NZD383" s="252"/>
      <c r="NZE383" s="252"/>
      <c r="NZF383" s="252"/>
      <c r="NZG383" s="252"/>
      <c r="NZH383" s="252"/>
      <c r="NZI383" s="252"/>
      <c r="NZJ383" s="252"/>
      <c r="NZK383" s="252"/>
      <c r="NZL383" s="252"/>
      <c r="NZM383" s="252"/>
      <c r="NZN383" s="252"/>
      <c r="NZO383" s="252"/>
      <c r="NZP383" s="252"/>
      <c r="NZQ383" s="252"/>
      <c r="NZR383" s="252"/>
      <c r="NZS383" s="252"/>
      <c r="NZT383" s="252"/>
      <c r="NZU383" s="252"/>
      <c r="NZV383" s="252"/>
      <c r="NZW383" s="252"/>
      <c r="NZX383" s="252"/>
      <c r="NZY383" s="252"/>
      <c r="NZZ383" s="252"/>
      <c r="OAA383" s="252"/>
      <c r="OAB383" s="252"/>
      <c r="OAC383" s="252"/>
      <c r="OAD383" s="252"/>
      <c r="OAE383" s="252"/>
      <c r="OAF383" s="252"/>
      <c r="OAG383" s="252"/>
      <c r="OAH383" s="252"/>
      <c r="OAI383" s="252"/>
      <c r="OAJ383" s="252"/>
      <c r="OAK383" s="252"/>
      <c r="OAL383" s="252"/>
      <c r="OAM383" s="252"/>
      <c r="OAN383" s="252"/>
      <c r="OAO383" s="252"/>
      <c r="OAP383" s="252"/>
      <c r="OAQ383" s="252"/>
      <c r="OAR383" s="252"/>
      <c r="OAS383" s="252"/>
      <c r="OAT383" s="252"/>
      <c r="OAU383" s="252"/>
      <c r="OAV383" s="252"/>
      <c r="OAW383" s="252"/>
      <c r="OAX383" s="252"/>
      <c r="OAY383" s="252"/>
      <c r="OAZ383" s="252"/>
      <c r="OBA383" s="252"/>
      <c r="OBB383" s="252"/>
      <c r="OBC383" s="252"/>
      <c r="OBD383" s="252"/>
      <c r="OBE383" s="252"/>
      <c r="OBF383" s="252"/>
      <c r="OBG383" s="252"/>
      <c r="OBH383" s="252"/>
      <c r="OBI383" s="252"/>
      <c r="OBJ383" s="252"/>
      <c r="OBK383" s="252"/>
      <c r="OBL383" s="252"/>
      <c r="OBM383" s="252"/>
      <c r="OBN383" s="252"/>
      <c r="OBO383" s="252"/>
      <c r="OBP383" s="252"/>
      <c r="OBQ383" s="252"/>
      <c r="OBR383" s="252"/>
      <c r="OBS383" s="252"/>
      <c r="OBT383" s="252"/>
      <c r="OBU383" s="252"/>
      <c r="OBV383" s="252"/>
      <c r="OBW383" s="252"/>
      <c r="OBX383" s="252"/>
      <c r="OBY383" s="252"/>
      <c r="OBZ383" s="252"/>
      <c r="OCA383" s="252"/>
      <c r="OCB383" s="252"/>
      <c r="OCC383" s="252"/>
      <c r="OCD383" s="252"/>
      <c r="OCE383" s="252"/>
      <c r="OCF383" s="252"/>
      <c r="OCG383" s="252"/>
      <c r="OCH383" s="252"/>
      <c r="OCI383" s="252"/>
      <c r="OCJ383" s="252"/>
      <c r="OCK383" s="252"/>
      <c r="OCL383" s="252"/>
      <c r="OCM383" s="252"/>
      <c r="OCN383" s="252"/>
      <c r="OCO383" s="252"/>
      <c r="OCP383" s="252"/>
      <c r="OCQ383" s="252"/>
      <c r="OCR383" s="252"/>
      <c r="OCS383" s="252"/>
      <c r="OCT383" s="252"/>
      <c r="OCU383" s="252"/>
      <c r="OCV383" s="252"/>
      <c r="OCW383" s="252"/>
      <c r="OCX383" s="252"/>
      <c r="OCY383" s="252"/>
      <c r="OCZ383" s="252"/>
      <c r="ODA383" s="252"/>
      <c r="ODB383" s="252"/>
      <c r="ODC383" s="252"/>
      <c r="ODD383" s="252"/>
      <c r="ODE383" s="252"/>
      <c r="ODF383" s="252"/>
      <c r="ODG383" s="252"/>
      <c r="ODH383" s="252"/>
      <c r="ODI383" s="252"/>
      <c r="ODJ383" s="252"/>
      <c r="ODK383" s="252"/>
      <c r="ODL383" s="252"/>
      <c r="ODM383" s="252"/>
      <c r="ODN383" s="252"/>
      <c r="ODO383" s="252"/>
      <c r="ODP383" s="252"/>
      <c r="ODQ383" s="252"/>
      <c r="ODR383" s="252"/>
      <c r="ODS383" s="252"/>
      <c r="ODT383" s="252"/>
      <c r="ODU383" s="252"/>
      <c r="ODV383" s="252"/>
      <c r="ODW383" s="252"/>
      <c r="ODX383" s="252"/>
      <c r="ODY383" s="252"/>
      <c r="ODZ383" s="252"/>
      <c r="OEA383" s="252"/>
      <c r="OEB383" s="252"/>
      <c r="OEC383" s="252"/>
      <c r="OED383" s="252"/>
      <c r="OEE383" s="252"/>
      <c r="OEF383" s="252"/>
      <c r="OEG383" s="252"/>
      <c r="OEH383" s="252"/>
      <c r="OEI383" s="252"/>
      <c r="OEJ383" s="252"/>
      <c r="OEK383" s="252"/>
      <c r="OEL383" s="252"/>
      <c r="OEM383" s="252"/>
      <c r="OEN383" s="252"/>
      <c r="OEO383" s="252"/>
      <c r="OEP383" s="252"/>
      <c r="OEQ383" s="252"/>
      <c r="OER383" s="252"/>
      <c r="OES383" s="252"/>
      <c r="OET383" s="252"/>
      <c r="OEU383" s="252"/>
      <c r="OEV383" s="252"/>
      <c r="OEW383" s="252"/>
      <c r="OEX383" s="252"/>
      <c r="OEY383" s="252"/>
      <c r="OEZ383" s="252"/>
      <c r="OFA383" s="252"/>
      <c r="OFB383" s="252"/>
      <c r="OFC383" s="252"/>
      <c r="OFD383" s="252"/>
      <c r="OFE383" s="252"/>
      <c r="OFF383" s="252"/>
      <c r="OFG383" s="252"/>
      <c r="OFH383" s="252"/>
      <c r="OFI383" s="252"/>
      <c r="OFJ383" s="252"/>
      <c r="OFK383" s="252"/>
      <c r="OFL383" s="252"/>
      <c r="OFM383" s="252"/>
      <c r="OFN383" s="252"/>
      <c r="OFO383" s="252"/>
      <c r="OFP383" s="252"/>
      <c r="OFQ383" s="252"/>
      <c r="OFR383" s="252"/>
      <c r="OFS383" s="252"/>
      <c r="OFT383" s="252"/>
      <c r="OFU383" s="252"/>
      <c r="OFV383" s="252"/>
      <c r="OFW383" s="252"/>
      <c r="OFX383" s="252"/>
      <c r="OFY383" s="252"/>
      <c r="OFZ383" s="252"/>
      <c r="OGA383" s="252"/>
      <c r="OGB383" s="252"/>
      <c r="OGC383" s="252"/>
      <c r="OGD383" s="252"/>
      <c r="OGE383" s="252"/>
      <c r="OGF383" s="252"/>
      <c r="OGG383" s="252"/>
      <c r="OGH383" s="252"/>
      <c r="OGI383" s="252"/>
      <c r="OGJ383" s="252"/>
      <c r="OGK383" s="252"/>
      <c r="OGL383" s="252"/>
      <c r="OGM383" s="252"/>
      <c r="OGN383" s="252"/>
      <c r="OGO383" s="252"/>
      <c r="OGP383" s="252"/>
      <c r="OGQ383" s="252"/>
      <c r="OGR383" s="252"/>
      <c r="OGS383" s="252"/>
      <c r="OGT383" s="252"/>
      <c r="OGU383" s="252"/>
      <c r="OGV383" s="252"/>
      <c r="OGW383" s="252"/>
      <c r="OGX383" s="252"/>
      <c r="OGY383" s="252"/>
      <c r="OGZ383" s="252"/>
      <c r="OHA383" s="252"/>
      <c r="OHB383" s="252"/>
      <c r="OHC383" s="252"/>
      <c r="OHD383" s="252"/>
      <c r="OHE383" s="252"/>
      <c r="OHF383" s="252"/>
      <c r="OHG383" s="252"/>
      <c r="OHH383" s="252"/>
      <c r="OHI383" s="252"/>
      <c r="OHJ383" s="252"/>
      <c r="OHK383" s="252"/>
      <c r="OHL383" s="252"/>
      <c r="OHM383" s="252"/>
      <c r="OHN383" s="252"/>
      <c r="OHO383" s="252"/>
      <c r="OHP383" s="252"/>
      <c r="OHQ383" s="252"/>
      <c r="OHR383" s="252"/>
      <c r="OHS383" s="252"/>
      <c r="OHT383" s="252"/>
      <c r="OHU383" s="252"/>
      <c r="OHV383" s="252"/>
      <c r="OHW383" s="252"/>
      <c r="OHX383" s="252"/>
      <c r="OHY383" s="252"/>
      <c r="OHZ383" s="252"/>
      <c r="OIA383" s="252"/>
      <c r="OIB383" s="252"/>
      <c r="OIC383" s="252"/>
      <c r="OID383" s="252"/>
      <c r="OIE383" s="252"/>
      <c r="OIF383" s="252"/>
      <c r="OIG383" s="252"/>
      <c r="OIH383" s="252"/>
      <c r="OII383" s="252"/>
      <c r="OIJ383" s="252"/>
      <c r="OIK383" s="252"/>
      <c r="OIL383" s="252"/>
      <c r="OIM383" s="252"/>
      <c r="OIN383" s="252"/>
      <c r="OIO383" s="252"/>
      <c r="OIP383" s="252"/>
      <c r="OIQ383" s="252"/>
      <c r="OIR383" s="252"/>
      <c r="OIS383" s="252"/>
      <c r="OIT383" s="252"/>
      <c r="OIU383" s="252"/>
      <c r="OIV383" s="252"/>
      <c r="OIW383" s="252"/>
      <c r="OIX383" s="252"/>
      <c r="OIY383" s="252"/>
      <c r="OIZ383" s="252"/>
      <c r="OJA383" s="252"/>
      <c r="OJB383" s="252"/>
      <c r="OJC383" s="252"/>
      <c r="OJD383" s="252"/>
      <c r="OJE383" s="252"/>
      <c r="OJF383" s="252"/>
      <c r="OJG383" s="252"/>
      <c r="OJH383" s="252"/>
      <c r="OJI383" s="252"/>
      <c r="OJJ383" s="252"/>
      <c r="OJK383" s="252"/>
      <c r="OJL383" s="252"/>
      <c r="OJM383" s="252"/>
      <c r="OJN383" s="252"/>
      <c r="OJO383" s="252"/>
      <c r="OJP383" s="252"/>
      <c r="OJQ383" s="252"/>
      <c r="OJR383" s="252"/>
      <c r="OJS383" s="252"/>
      <c r="OJT383" s="252"/>
      <c r="OJU383" s="252"/>
      <c r="OJV383" s="252"/>
      <c r="OJW383" s="252"/>
      <c r="OJX383" s="252"/>
      <c r="OJY383" s="252"/>
      <c r="OJZ383" s="252"/>
      <c r="OKA383" s="252"/>
      <c r="OKB383" s="252"/>
      <c r="OKC383" s="252"/>
      <c r="OKD383" s="252"/>
      <c r="OKE383" s="252"/>
      <c r="OKF383" s="252"/>
      <c r="OKG383" s="252"/>
      <c r="OKH383" s="252"/>
      <c r="OKI383" s="252"/>
      <c r="OKJ383" s="252"/>
      <c r="OKK383" s="252"/>
      <c r="OKL383" s="252"/>
      <c r="OKM383" s="252"/>
      <c r="OKN383" s="252"/>
      <c r="OKO383" s="252"/>
      <c r="OKP383" s="252"/>
      <c r="OKQ383" s="252"/>
      <c r="OKR383" s="252"/>
      <c r="OKS383" s="252"/>
      <c r="OKT383" s="252"/>
      <c r="OKU383" s="252"/>
      <c r="OKV383" s="252"/>
      <c r="OKW383" s="252"/>
      <c r="OKX383" s="252"/>
      <c r="OKY383" s="252"/>
      <c r="OKZ383" s="252"/>
      <c r="OLA383" s="252"/>
      <c r="OLB383" s="252"/>
      <c r="OLC383" s="252"/>
      <c r="OLD383" s="252"/>
      <c r="OLE383" s="252"/>
      <c r="OLF383" s="252"/>
      <c r="OLG383" s="252"/>
      <c r="OLH383" s="252"/>
      <c r="OLI383" s="252"/>
      <c r="OLJ383" s="252"/>
      <c r="OLK383" s="252"/>
      <c r="OLL383" s="252"/>
      <c r="OLM383" s="252"/>
      <c r="OLN383" s="252"/>
      <c r="OLO383" s="252"/>
      <c r="OLP383" s="252"/>
      <c r="OLQ383" s="252"/>
      <c r="OLR383" s="252"/>
      <c r="OLS383" s="252"/>
      <c r="OLT383" s="252"/>
      <c r="OLU383" s="252"/>
      <c r="OLV383" s="252"/>
      <c r="OLW383" s="252"/>
      <c r="OLX383" s="252"/>
      <c r="OLY383" s="252"/>
      <c r="OLZ383" s="252"/>
      <c r="OMA383" s="252"/>
      <c r="OMB383" s="252"/>
      <c r="OMC383" s="252"/>
      <c r="OMD383" s="252"/>
      <c r="OME383" s="252"/>
      <c r="OMF383" s="252"/>
      <c r="OMG383" s="252"/>
      <c r="OMH383" s="252"/>
      <c r="OMI383" s="252"/>
      <c r="OMJ383" s="252"/>
      <c r="OMK383" s="252"/>
      <c r="OML383" s="252"/>
      <c r="OMM383" s="252"/>
      <c r="OMN383" s="252"/>
      <c r="OMO383" s="252"/>
      <c r="OMP383" s="252"/>
      <c r="OMQ383" s="252"/>
      <c r="OMR383" s="252"/>
      <c r="OMS383" s="252"/>
      <c r="OMT383" s="252"/>
      <c r="OMU383" s="252"/>
      <c r="OMV383" s="252"/>
      <c r="OMW383" s="252"/>
      <c r="OMX383" s="252"/>
      <c r="OMY383" s="252"/>
      <c r="OMZ383" s="252"/>
      <c r="ONA383" s="252"/>
      <c r="ONB383" s="252"/>
      <c r="ONC383" s="252"/>
      <c r="OND383" s="252"/>
      <c r="ONE383" s="252"/>
      <c r="ONF383" s="252"/>
      <c r="ONG383" s="252"/>
      <c r="ONH383" s="252"/>
      <c r="ONI383" s="252"/>
      <c r="ONJ383" s="252"/>
      <c r="ONK383" s="252"/>
      <c r="ONL383" s="252"/>
      <c r="ONM383" s="252"/>
      <c r="ONN383" s="252"/>
      <c r="ONO383" s="252"/>
      <c r="ONP383" s="252"/>
      <c r="ONQ383" s="252"/>
      <c r="ONR383" s="252"/>
      <c r="ONS383" s="252"/>
      <c r="ONT383" s="252"/>
      <c r="ONU383" s="252"/>
      <c r="ONV383" s="252"/>
      <c r="ONW383" s="252"/>
      <c r="ONX383" s="252"/>
      <c r="ONY383" s="252"/>
      <c r="ONZ383" s="252"/>
      <c r="OOA383" s="252"/>
      <c r="OOB383" s="252"/>
      <c r="OOC383" s="252"/>
      <c r="OOD383" s="252"/>
      <c r="OOE383" s="252"/>
      <c r="OOF383" s="252"/>
      <c r="OOG383" s="252"/>
      <c r="OOH383" s="252"/>
      <c r="OOI383" s="252"/>
      <c r="OOJ383" s="252"/>
      <c r="OOK383" s="252"/>
      <c r="OOL383" s="252"/>
      <c r="OOM383" s="252"/>
      <c r="OON383" s="252"/>
      <c r="OOO383" s="252"/>
      <c r="OOP383" s="252"/>
      <c r="OOQ383" s="252"/>
      <c r="OOR383" s="252"/>
      <c r="OOS383" s="252"/>
      <c r="OOT383" s="252"/>
      <c r="OOU383" s="252"/>
      <c r="OOV383" s="252"/>
      <c r="OOW383" s="252"/>
      <c r="OOX383" s="252"/>
      <c r="OOY383" s="252"/>
      <c r="OOZ383" s="252"/>
      <c r="OPA383" s="252"/>
      <c r="OPB383" s="252"/>
      <c r="OPC383" s="252"/>
      <c r="OPD383" s="252"/>
      <c r="OPE383" s="252"/>
      <c r="OPF383" s="252"/>
      <c r="OPG383" s="252"/>
      <c r="OPH383" s="252"/>
      <c r="OPI383" s="252"/>
      <c r="OPJ383" s="252"/>
      <c r="OPK383" s="252"/>
      <c r="OPL383" s="252"/>
      <c r="OPM383" s="252"/>
      <c r="OPN383" s="252"/>
      <c r="OPO383" s="252"/>
      <c r="OPP383" s="252"/>
      <c r="OPQ383" s="252"/>
      <c r="OPR383" s="252"/>
      <c r="OPS383" s="252"/>
      <c r="OPT383" s="252"/>
      <c r="OPU383" s="252"/>
      <c r="OPV383" s="252"/>
      <c r="OPW383" s="252"/>
      <c r="OPX383" s="252"/>
      <c r="OPY383" s="252"/>
      <c r="OPZ383" s="252"/>
      <c r="OQA383" s="252"/>
      <c r="OQB383" s="252"/>
      <c r="OQC383" s="252"/>
      <c r="OQD383" s="252"/>
      <c r="OQE383" s="252"/>
      <c r="OQF383" s="252"/>
      <c r="OQG383" s="252"/>
      <c r="OQH383" s="252"/>
      <c r="OQI383" s="252"/>
      <c r="OQJ383" s="252"/>
      <c r="OQK383" s="252"/>
      <c r="OQL383" s="252"/>
      <c r="OQM383" s="252"/>
      <c r="OQN383" s="252"/>
      <c r="OQO383" s="252"/>
      <c r="OQP383" s="252"/>
      <c r="OQQ383" s="252"/>
      <c r="OQR383" s="252"/>
      <c r="OQS383" s="252"/>
      <c r="OQT383" s="252"/>
      <c r="OQU383" s="252"/>
      <c r="OQV383" s="252"/>
      <c r="OQW383" s="252"/>
      <c r="OQX383" s="252"/>
      <c r="OQY383" s="252"/>
      <c r="OQZ383" s="252"/>
      <c r="ORA383" s="252"/>
      <c r="ORB383" s="252"/>
      <c r="ORC383" s="252"/>
      <c r="ORD383" s="252"/>
      <c r="ORE383" s="252"/>
      <c r="ORF383" s="252"/>
      <c r="ORG383" s="252"/>
      <c r="ORH383" s="252"/>
      <c r="ORI383" s="252"/>
      <c r="ORJ383" s="252"/>
      <c r="ORK383" s="252"/>
      <c r="ORL383" s="252"/>
      <c r="ORM383" s="252"/>
      <c r="ORN383" s="252"/>
      <c r="ORO383" s="252"/>
      <c r="ORP383" s="252"/>
      <c r="ORQ383" s="252"/>
      <c r="ORR383" s="252"/>
      <c r="ORS383" s="252"/>
      <c r="ORT383" s="252"/>
      <c r="ORU383" s="252"/>
      <c r="ORV383" s="252"/>
      <c r="ORW383" s="252"/>
      <c r="ORX383" s="252"/>
      <c r="ORY383" s="252"/>
      <c r="ORZ383" s="252"/>
      <c r="OSA383" s="252"/>
      <c r="OSB383" s="252"/>
      <c r="OSC383" s="252"/>
      <c r="OSD383" s="252"/>
      <c r="OSE383" s="252"/>
      <c r="OSF383" s="252"/>
      <c r="OSG383" s="252"/>
      <c r="OSH383" s="252"/>
      <c r="OSI383" s="252"/>
      <c r="OSJ383" s="252"/>
      <c r="OSK383" s="252"/>
      <c r="OSL383" s="252"/>
      <c r="OSM383" s="252"/>
      <c r="OSN383" s="252"/>
      <c r="OSO383" s="252"/>
      <c r="OSP383" s="252"/>
      <c r="OSQ383" s="252"/>
      <c r="OSR383" s="252"/>
      <c r="OSS383" s="252"/>
      <c r="OST383" s="252"/>
      <c r="OSU383" s="252"/>
      <c r="OSV383" s="252"/>
      <c r="OSW383" s="252"/>
      <c r="OSX383" s="252"/>
      <c r="OSY383" s="252"/>
      <c r="OSZ383" s="252"/>
      <c r="OTA383" s="252"/>
      <c r="OTB383" s="252"/>
      <c r="OTC383" s="252"/>
      <c r="OTD383" s="252"/>
      <c r="OTE383" s="252"/>
      <c r="OTF383" s="252"/>
      <c r="OTG383" s="252"/>
      <c r="OTH383" s="252"/>
      <c r="OTI383" s="252"/>
      <c r="OTJ383" s="252"/>
      <c r="OTK383" s="252"/>
      <c r="OTL383" s="252"/>
      <c r="OTM383" s="252"/>
      <c r="OTN383" s="252"/>
      <c r="OTO383" s="252"/>
      <c r="OTP383" s="252"/>
      <c r="OTQ383" s="252"/>
      <c r="OTR383" s="252"/>
      <c r="OTS383" s="252"/>
      <c r="OTT383" s="252"/>
      <c r="OTU383" s="252"/>
      <c r="OTV383" s="252"/>
      <c r="OTW383" s="252"/>
      <c r="OTX383" s="252"/>
      <c r="OTY383" s="252"/>
      <c r="OTZ383" s="252"/>
      <c r="OUA383" s="252"/>
      <c r="OUB383" s="252"/>
      <c r="OUC383" s="252"/>
      <c r="OUD383" s="252"/>
      <c r="OUE383" s="252"/>
      <c r="OUF383" s="252"/>
      <c r="OUG383" s="252"/>
      <c r="OUH383" s="252"/>
      <c r="OUI383" s="252"/>
      <c r="OUJ383" s="252"/>
      <c r="OUK383" s="252"/>
      <c r="OUL383" s="252"/>
      <c r="OUM383" s="252"/>
      <c r="OUN383" s="252"/>
      <c r="OUO383" s="252"/>
      <c r="OUP383" s="252"/>
      <c r="OUQ383" s="252"/>
      <c r="OUR383" s="252"/>
      <c r="OUS383" s="252"/>
      <c r="OUT383" s="252"/>
      <c r="OUU383" s="252"/>
      <c r="OUV383" s="252"/>
      <c r="OUW383" s="252"/>
      <c r="OUX383" s="252"/>
      <c r="OUY383" s="252"/>
      <c r="OUZ383" s="252"/>
      <c r="OVA383" s="252"/>
      <c r="OVB383" s="252"/>
      <c r="OVC383" s="252"/>
      <c r="OVD383" s="252"/>
      <c r="OVE383" s="252"/>
      <c r="OVF383" s="252"/>
      <c r="OVG383" s="252"/>
      <c r="OVH383" s="252"/>
      <c r="OVI383" s="252"/>
      <c r="OVJ383" s="252"/>
      <c r="OVK383" s="252"/>
      <c r="OVL383" s="252"/>
      <c r="OVM383" s="252"/>
      <c r="OVN383" s="252"/>
      <c r="OVO383" s="252"/>
      <c r="OVP383" s="252"/>
      <c r="OVQ383" s="252"/>
      <c r="OVR383" s="252"/>
      <c r="OVS383" s="252"/>
      <c r="OVT383" s="252"/>
      <c r="OVU383" s="252"/>
      <c r="OVV383" s="252"/>
      <c r="OVW383" s="252"/>
      <c r="OVX383" s="252"/>
      <c r="OVY383" s="252"/>
      <c r="OVZ383" s="252"/>
      <c r="OWA383" s="252"/>
      <c r="OWB383" s="252"/>
      <c r="OWC383" s="252"/>
      <c r="OWD383" s="252"/>
      <c r="OWE383" s="252"/>
      <c r="OWF383" s="252"/>
      <c r="OWG383" s="252"/>
      <c r="OWH383" s="252"/>
      <c r="OWI383" s="252"/>
      <c r="OWJ383" s="252"/>
      <c r="OWK383" s="252"/>
      <c r="OWL383" s="252"/>
      <c r="OWM383" s="252"/>
      <c r="OWN383" s="252"/>
      <c r="OWO383" s="252"/>
      <c r="OWP383" s="252"/>
      <c r="OWQ383" s="252"/>
      <c r="OWR383" s="252"/>
      <c r="OWS383" s="252"/>
      <c r="OWT383" s="252"/>
      <c r="OWU383" s="252"/>
      <c r="OWV383" s="252"/>
      <c r="OWW383" s="252"/>
      <c r="OWX383" s="252"/>
      <c r="OWY383" s="252"/>
      <c r="OWZ383" s="252"/>
      <c r="OXA383" s="252"/>
      <c r="OXB383" s="252"/>
      <c r="OXC383" s="252"/>
      <c r="OXD383" s="252"/>
      <c r="OXE383" s="252"/>
      <c r="OXF383" s="252"/>
      <c r="OXG383" s="252"/>
      <c r="OXH383" s="252"/>
      <c r="OXI383" s="252"/>
      <c r="OXJ383" s="252"/>
      <c r="OXK383" s="252"/>
      <c r="OXL383" s="252"/>
      <c r="OXM383" s="252"/>
      <c r="OXN383" s="252"/>
      <c r="OXO383" s="252"/>
      <c r="OXP383" s="252"/>
      <c r="OXQ383" s="252"/>
      <c r="OXR383" s="252"/>
      <c r="OXS383" s="252"/>
      <c r="OXT383" s="252"/>
      <c r="OXU383" s="252"/>
      <c r="OXV383" s="252"/>
      <c r="OXW383" s="252"/>
      <c r="OXX383" s="252"/>
      <c r="OXY383" s="252"/>
      <c r="OXZ383" s="252"/>
      <c r="OYA383" s="252"/>
      <c r="OYB383" s="252"/>
      <c r="OYC383" s="252"/>
      <c r="OYD383" s="252"/>
      <c r="OYE383" s="252"/>
      <c r="OYF383" s="252"/>
      <c r="OYG383" s="252"/>
      <c r="OYH383" s="252"/>
      <c r="OYI383" s="252"/>
      <c r="OYJ383" s="252"/>
      <c r="OYK383" s="252"/>
      <c r="OYL383" s="252"/>
      <c r="OYM383" s="252"/>
      <c r="OYN383" s="252"/>
      <c r="OYO383" s="252"/>
      <c r="OYP383" s="252"/>
      <c r="OYQ383" s="252"/>
      <c r="OYR383" s="252"/>
      <c r="OYS383" s="252"/>
      <c r="OYT383" s="252"/>
      <c r="OYU383" s="252"/>
      <c r="OYV383" s="252"/>
      <c r="OYW383" s="252"/>
      <c r="OYX383" s="252"/>
      <c r="OYY383" s="252"/>
      <c r="OYZ383" s="252"/>
      <c r="OZA383" s="252"/>
      <c r="OZB383" s="252"/>
      <c r="OZC383" s="252"/>
      <c r="OZD383" s="252"/>
      <c r="OZE383" s="252"/>
      <c r="OZF383" s="252"/>
      <c r="OZG383" s="252"/>
      <c r="OZH383" s="252"/>
      <c r="OZI383" s="252"/>
      <c r="OZJ383" s="252"/>
      <c r="OZK383" s="252"/>
      <c r="OZL383" s="252"/>
      <c r="OZM383" s="252"/>
      <c r="OZN383" s="252"/>
      <c r="OZO383" s="252"/>
      <c r="OZP383" s="252"/>
      <c r="OZQ383" s="252"/>
      <c r="OZR383" s="252"/>
      <c r="OZS383" s="252"/>
      <c r="OZT383" s="252"/>
      <c r="OZU383" s="252"/>
      <c r="OZV383" s="252"/>
      <c r="OZW383" s="252"/>
      <c r="OZX383" s="252"/>
      <c r="OZY383" s="252"/>
      <c r="OZZ383" s="252"/>
      <c r="PAA383" s="252"/>
      <c r="PAB383" s="252"/>
      <c r="PAC383" s="252"/>
      <c r="PAD383" s="252"/>
      <c r="PAE383" s="252"/>
      <c r="PAF383" s="252"/>
      <c r="PAG383" s="252"/>
      <c r="PAH383" s="252"/>
      <c r="PAI383" s="252"/>
      <c r="PAJ383" s="252"/>
      <c r="PAK383" s="252"/>
      <c r="PAL383" s="252"/>
      <c r="PAM383" s="252"/>
      <c r="PAN383" s="252"/>
      <c r="PAO383" s="252"/>
      <c r="PAP383" s="252"/>
      <c r="PAQ383" s="252"/>
      <c r="PAR383" s="252"/>
      <c r="PAS383" s="252"/>
      <c r="PAT383" s="252"/>
      <c r="PAU383" s="252"/>
      <c r="PAV383" s="252"/>
      <c r="PAW383" s="252"/>
      <c r="PAX383" s="252"/>
      <c r="PAY383" s="252"/>
      <c r="PAZ383" s="252"/>
      <c r="PBA383" s="252"/>
      <c r="PBB383" s="252"/>
      <c r="PBC383" s="252"/>
      <c r="PBD383" s="252"/>
      <c r="PBE383" s="252"/>
      <c r="PBF383" s="252"/>
      <c r="PBG383" s="252"/>
      <c r="PBH383" s="252"/>
      <c r="PBI383" s="252"/>
      <c r="PBJ383" s="252"/>
      <c r="PBK383" s="252"/>
      <c r="PBL383" s="252"/>
      <c r="PBM383" s="252"/>
      <c r="PBN383" s="252"/>
      <c r="PBO383" s="252"/>
      <c r="PBP383" s="252"/>
      <c r="PBQ383" s="252"/>
      <c r="PBR383" s="252"/>
      <c r="PBS383" s="252"/>
      <c r="PBT383" s="252"/>
      <c r="PBU383" s="252"/>
      <c r="PBV383" s="252"/>
      <c r="PBW383" s="252"/>
      <c r="PBX383" s="252"/>
      <c r="PBY383" s="252"/>
      <c r="PBZ383" s="252"/>
      <c r="PCA383" s="252"/>
      <c r="PCB383" s="252"/>
      <c r="PCC383" s="252"/>
      <c r="PCD383" s="252"/>
      <c r="PCE383" s="252"/>
      <c r="PCF383" s="252"/>
      <c r="PCG383" s="252"/>
      <c r="PCH383" s="252"/>
      <c r="PCI383" s="252"/>
      <c r="PCJ383" s="252"/>
      <c r="PCK383" s="252"/>
      <c r="PCL383" s="252"/>
      <c r="PCM383" s="252"/>
      <c r="PCN383" s="252"/>
      <c r="PCO383" s="252"/>
      <c r="PCP383" s="252"/>
      <c r="PCQ383" s="252"/>
      <c r="PCR383" s="252"/>
      <c r="PCS383" s="252"/>
      <c r="PCT383" s="252"/>
      <c r="PCU383" s="252"/>
      <c r="PCV383" s="252"/>
      <c r="PCW383" s="252"/>
      <c r="PCX383" s="252"/>
      <c r="PCY383" s="252"/>
      <c r="PCZ383" s="252"/>
      <c r="PDA383" s="252"/>
      <c r="PDB383" s="252"/>
      <c r="PDC383" s="252"/>
      <c r="PDD383" s="252"/>
      <c r="PDE383" s="252"/>
      <c r="PDF383" s="252"/>
      <c r="PDG383" s="252"/>
      <c r="PDH383" s="252"/>
      <c r="PDI383" s="252"/>
      <c r="PDJ383" s="252"/>
      <c r="PDK383" s="252"/>
      <c r="PDL383" s="252"/>
      <c r="PDM383" s="252"/>
      <c r="PDN383" s="252"/>
      <c r="PDO383" s="252"/>
      <c r="PDP383" s="252"/>
      <c r="PDQ383" s="252"/>
      <c r="PDR383" s="252"/>
      <c r="PDS383" s="252"/>
      <c r="PDT383" s="252"/>
      <c r="PDU383" s="252"/>
      <c r="PDV383" s="252"/>
      <c r="PDW383" s="252"/>
      <c r="PDX383" s="252"/>
      <c r="PDY383" s="252"/>
      <c r="PDZ383" s="252"/>
      <c r="PEA383" s="252"/>
      <c r="PEB383" s="252"/>
      <c r="PEC383" s="252"/>
      <c r="PED383" s="252"/>
      <c r="PEE383" s="252"/>
      <c r="PEF383" s="252"/>
      <c r="PEG383" s="252"/>
      <c r="PEH383" s="252"/>
      <c r="PEI383" s="252"/>
      <c r="PEJ383" s="252"/>
      <c r="PEK383" s="252"/>
      <c r="PEL383" s="252"/>
      <c r="PEM383" s="252"/>
      <c r="PEN383" s="252"/>
      <c r="PEO383" s="252"/>
      <c r="PEP383" s="252"/>
      <c r="PEQ383" s="252"/>
      <c r="PER383" s="252"/>
      <c r="PES383" s="252"/>
      <c r="PET383" s="252"/>
      <c r="PEU383" s="252"/>
      <c r="PEV383" s="252"/>
      <c r="PEW383" s="252"/>
      <c r="PEX383" s="252"/>
      <c r="PEY383" s="252"/>
      <c r="PEZ383" s="252"/>
      <c r="PFA383" s="252"/>
      <c r="PFB383" s="252"/>
      <c r="PFC383" s="252"/>
      <c r="PFD383" s="252"/>
      <c r="PFE383" s="252"/>
      <c r="PFF383" s="252"/>
      <c r="PFG383" s="252"/>
      <c r="PFH383" s="252"/>
      <c r="PFI383" s="252"/>
      <c r="PFJ383" s="252"/>
      <c r="PFK383" s="252"/>
      <c r="PFL383" s="252"/>
      <c r="PFM383" s="252"/>
      <c r="PFN383" s="252"/>
      <c r="PFO383" s="252"/>
      <c r="PFP383" s="252"/>
      <c r="PFQ383" s="252"/>
      <c r="PFR383" s="252"/>
      <c r="PFS383" s="252"/>
      <c r="PFT383" s="252"/>
      <c r="PFU383" s="252"/>
      <c r="PFV383" s="252"/>
      <c r="PFW383" s="252"/>
      <c r="PFX383" s="252"/>
      <c r="PFY383" s="252"/>
      <c r="PFZ383" s="252"/>
      <c r="PGA383" s="252"/>
      <c r="PGB383" s="252"/>
      <c r="PGC383" s="252"/>
      <c r="PGD383" s="252"/>
      <c r="PGE383" s="252"/>
      <c r="PGF383" s="252"/>
      <c r="PGG383" s="252"/>
      <c r="PGH383" s="252"/>
      <c r="PGI383" s="252"/>
      <c r="PGJ383" s="252"/>
      <c r="PGK383" s="252"/>
      <c r="PGL383" s="252"/>
      <c r="PGM383" s="252"/>
      <c r="PGN383" s="252"/>
      <c r="PGO383" s="252"/>
      <c r="PGP383" s="252"/>
      <c r="PGQ383" s="252"/>
      <c r="PGR383" s="252"/>
      <c r="PGS383" s="252"/>
      <c r="PGT383" s="252"/>
      <c r="PGU383" s="252"/>
      <c r="PGV383" s="252"/>
      <c r="PGW383" s="252"/>
      <c r="PGX383" s="252"/>
      <c r="PGY383" s="252"/>
      <c r="PGZ383" s="252"/>
      <c r="PHA383" s="252"/>
      <c r="PHB383" s="252"/>
      <c r="PHC383" s="252"/>
      <c r="PHD383" s="252"/>
      <c r="PHE383" s="252"/>
      <c r="PHF383" s="252"/>
      <c r="PHG383" s="252"/>
      <c r="PHH383" s="252"/>
      <c r="PHI383" s="252"/>
      <c r="PHJ383" s="252"/>
      <c r="PHK383" s="252"/>
      <c r="PHL383" s="252"/>
      <c r="PHM383" s="252"/>
      <c r="PHN383" s="252"/>
      <c r="PHO383" s="252"/>
      <c r="PHP383" s="252"/>
      <c r="PHQ383" s="252"/>
      <c r="PHR383" s="252"/>
      <c r="PHS383" s="252"/>
      <c r="PHT383" s="252"/>
      <c r="PHU383" s="252"/>
      <c r="PHV383" s="252"/>
      <c r="PHW383" s="252"/>
      <c r="PHX383" s="252"/>
      <c r="PHY383" s="252"/>
      <c r="PHZ383" s="252"/>
      <c r="PIA383" s="252"/>
      <c r="PIB383" s="252"/>
      <c r="PIC383" s="252"/>
      <c r="PID383" s="252"/>
      <c r="PIE383" s="252"/>
      <c r="PIF383" s="252"/>
      <c r="PIG383" s="252"/>
      <c r="PIH383" s="252"/>
      <c r="PII383" s="252"/>
      <c r="PIJ383" s="252"/>
      <c r="PIK383" s="252"/>
      <c r="PIL383" s="252"/>
      <c r="PIM383" s="252"/>
      <c r="PIN383" s="252"/>
      <c r="PIO383" s="252"/>
      <c r="PIP383" s="252"/>
      <c r="PIQ383" s="252"/>
      <c r="PIR383" s="252"/>
      <c r="PIS383" s="252"/>
      <c r="PIT383" s="252"/>
      <c r="PIU383" s="252"/>
      <c r="PIV383" s="252"/>
      <c r="PIW383" s="252"/>
      <c r="PIX383" s="252"/>
      <c r="PIY383" s="252"/>
      <c r="PIZ383" s="252"/>
      <c r="PJA383" s="252"/>
      <c r="PJB383" s="252"/>
      <c r="PJC383" s="252"/>
      <c r="PJD383" s="252"/>
      <c r="PJE383" s="252"/>
      <c r="PJF383" s="252"/>
      <c r="PJG383" s="252"/>
      <c r="PJH383" s="252"/>
      <c r="PJI383" s="252"/>
      <c r="PJJ383" s="252"/>
      <c r="PJK383" s="252"/>
      <c r="PJL383" s="252"/>
      <c r="PJM383" s="252"/>
      <c r="PJN383" s="252"/>
      <c r="PJO383" s="252"/>
      <c r="PJP383" s="252"/>
      <c r="PJQ383" s="252"/>
      <c r="PJR383" s="252"/>
      <c r="PJS383" s="252"/>
      <c r="PJT383" s="252"/>
      <c r="PJU383" s="252"/>
      <c r="PJV383" s="252"/>
      <c r="PJW383" s="252"/>
      <c r="PJX383" s="252"/>
      <c r="PJY383" s="252"/>
      <c r="PJZ383" s="252"/>
      <c r="PKA383" s="252"/>
      <c r="PKB383" s="252"/>
      <c r="PKC383" s="252"/>
      <c r="PKD383" s="252"/>
      <c r="PKE383" s="252"/>
      <c r="PKF383" s="252"/>
      <c r="PKG383" s="252"/>
      <c r="PKH383" s="252"/>
      <c r="PKI383" s="252"/>
      <c r="PKJ383" s="252"/>
      <c r="PKK383" s="252"/>
      <c r="PKL383" s="252"/>
      <c r="PKM383" s="252"/>
      <c r="PKN383" s="252"/>
      <c r="PKO383" s="252"/>
      <c r="PKP383" s="252"/>
      <c r="PKQ383" s="252"/>
      <c r="PKR383" s="252"/>
      <c r="PKS383" s="252"/>
      <c r="PKT383" s="252"/>
      <c r="PKU383" s="252"/>
      <c r="PKV383" s="252"/>
      <c r="PKW383" s="252"/>
      <c r="PKX383" s="252"/>
      <c r="PKY383" s="252"/>
      <c r="PKZ383" s="252"/>
      <c r="PLA383" s="252"/>
      <c r="PLB383" s="252"/>
      <c r="PLC383" s="252"/>
      <c r="PLD383" s="252"/>
      <c r="PLE383" s="252"/>
      <c r="PLF383" s="252"/>
      <c r="PLG383" s="252"/>
      <c r="PLH383" s="252"/>
      <c r="PLI383" s="252"/>
      <c r="PLJ383" s="252"/>
      <c r="PLK383" s="252"/>
      <c r="PLL383" s="252"/>
      <c r="PLM383" s="252"/>
      <c r="PLN383" s="252"/>
      <c r="PLO383" s="252"/>
      <c r="PLP383" s="252"/>
      <c r="PLQ383" s="252"/>
      <c r="PLR383" s="252"/>
      <c r="PLS383" s="252"/>
      <c r="PLT383" s="252"/>
      <c r="PLU383" s="252"/>
      <c r="PLV383" s="252"/>
      <c r="PLW383" s="252"/>
      <c r="PLX383" s="252"/>
      <c r="PLY383" s="252"/>
      <c r="PLZ383" s="252"/>
      <c r="PMA383" s="252"/>
      <c r="PMB383" s="252"/>
      <c r="PMC383" s="252"/>
      <c r="PMD383" s="252"/>
      <c r="PME383" s="252"/>
      <c r="PMF383" s="252"/>
      <c r="PMG383" s="252"/>
      <c r="PMH383" s="252"/>
      <c r="PMI383" s="252"/>
      <c r="PMJ383" s="252"/>
      <c r="PMK383" s="252"/>
      <c r="PML383" s="252"/>
      <c r="PMM383" s="252"/>
      <c r="PMN383" s="252"/>
      <c r="PMO383" s="252"/>
      <c r="PMP383" s="252"/>
      <c r="PMQ383" s="252"/>
      <c r="PMR383" s="252"/>
      <c r="PMS383" s="252"/>
      <c r="PMT383" s="252"/>
      <c r="PMU383" s="252"/>
      <c r="PMV383" s="252"/>
      <c r="PMW383" s="252"/>
      <c r="PMX383" s="252"/>
      <c r="PMY383" s="252"/>
      <c r="PMZ383" s="252"/>
      <c r="PNA383" s="252"/>
      <c r="PNB383" s="252"/>
      <c r="PNC383" s="252"/>
      <c r="PND383" s="252"/>
      <c r="PNE383" s="252"/>
      <c r="PNF383" s="252"/>
      <c r="PNG383" s="252"/>
      <c r="PNH383" s="252"/>
      <c r="PNI383" s="252"/>
      <c r="PNJ383" s="252"/>
      <c r="PNK383" s="252"/>
      <c r="PNL383" s="252"/>
      <c r="PNM383" s="252"/>
      <c r="PNN383" s="252"/>
      <c r="PNO383" s="252"/>
      <c r="PNP383" s="252"/>
      <c r="PNQ383" s="252"/>
      <c r="PNR383" s="252"/>
      <c r="PNS383" s="252"/>
      <c r="PNT383" s="252"/>
      <c r="PNU383" s="252"/>
      <c r="PNV383" s="252"/>
      <c r="PNW383" s="252"/>
      <c r="PNX383" s="252"/>
      <c r="PNY383" s="252"/>
      <c r="PNZ383" s="252"/>
      <c r="POA383" s="252"/>
      <c r="POB383" s="252"/>
      <c r="POC383" s="252"/>
      <c r="POD383" s="252"/>
      <c r="POE383" s="252"/>
      <c r="POF383" s="252"/>
      <c r="POG383" s="252"/>
      <c r="POH383" s="252"/>
      <c r="POI383" s="252"/>
      <c r="POJ383" s="252"/>
      <c r="POK383" s="252"/>
      <c r="POL383" s="252"/>
      <c r="POM383" s="252"/>
      <c r="PON383" s="252"/>
      <c r="POO383" s="252"/>
      <c r="POP383" s="252"/>
      <c r="POQ383" s="252"/>
      <c r="POR383" s="252"/>
      <c r="POS383" s="252"/>
      <c r="POT383" s="252"/>
      <c r="POU383" s="252"/>
      <c r="POV383" s="252"/>
      <c r="POW383" s="252"/>
      <c r="POX383" s="252"/>
      <c r="POY383" s="252"/>
      <c r="POZ383" s="252"/>
      <c r="PPA383" s="252"/>
      <c r="PPB383" s="252"/>
      <c r="PPC383" s="252"/>
      <c r="PPD383" s="252"/>
      <c r="PPE383" s="252"/>
      <c r="PPF383" s="252"/>
      <c r="PPG383" s="252"/>
      <c r="PPH383" s="252"/>
      <c r="PPI383" s="252"/>
      <c r="PPJ383" s="252"/>
      <c r="PPK383" s="252"/>
      <c r="PPL383" s="252"/>
      <c r="PPM383" s="252"/>
      <c r="PPN383" s="252"/>
      <c r="PPO383" s="252"/>
      <c r="PPP383" s="252"/>
      <c r="PPQ383" s="252"/>
      <c r="PPR383" s="252"/>
      <c r="PPS383" s="252"/>
      <c r="PPT383" s="252"/>
      <c r="PPU383" s="252"/>
      <c r="PPV383" s="252"/>
      <c r="PPW383" s="252"/>
      <c r="PPX383" s="252"/>
      <c r="PPY383" s="252"/>
      <c r="PPZ383" s="252"/>
      <c r="PQA383" s="252"/>
      <c r="PQB383" s="252"/>
      <c r="PQC383" s="252"/>
      <c r="PQD383" s="252"/>
      <c r="PQE383" s="252"/>
      <c r="PQF383" s="252"/>
      <c r="PQG383" s="252"/>
      <c r="PQH383" s="252"/>
      <c r="PQI383" s="252"/>
      <c r="PQJ383" s="252"/>
      <c r="PQK383" s="252"/>
      <c r="PQL383" s="252"/>
      <c r="PQM383" s="252"/>
      <c r="PQN383" s="252"/>
      <c r="PQO383" s="252"/>
      <c r="PQP383" s="252"/>
      <c r="PQQ383" s="252"/>
      <c r="PQR383" s="252"/>
      <c r="PQS383" s="252"/>
      <c r="PQT383" s="252"/>
      <c r="PQU383" s="252"/>
      <c r="PQV383" s="252"/>
      <c r="PQW383" s="252"/>
      <c r="PQX383" s="252"/>
      <c r="PQY383" s="252"/>
      <c r="PQZ383" s="252"/>
      <c r="PRA383" s="252"/>
      <c r="PRB383" s="252"/>
      <c r="PRC383" s="252"/>
      <c r="PRD383" s="252"/>
      <c r="PRE383" s="252"/>
      <c r="PRF383" s="252"/>
      <c r="PRG383" s="252"/>
      <c r="PRH383" s="252"/>
      <c r="PRI383" s="252"/>
      <c r="PRJ383" s="252"/>
      <c r="PRK383" s="252"/>
      <c r="PRL383" s="252"/>
      <c r="PRM383" s="252"/>
      <c r="PRN383" s="252"/>
      <c r="PRO383" s="252"/>
      <c r="PRP383" s="252"/>
      <c r="PRQ383" s="252"/>
      <c r="PRR383" s="252"/>
      <c r="PRS383" s="252"/>
      <c r="PRT383" s="252"/>
      <c r="PRU383" s="252"/>
      <c r="PRV383" s="252"/>
      <c r="PRW383" s="252"/>
      <c r="PRX383" s="252"/>
      <c r="PRY383" s="252"/>
      <c r="PRZ383" s="252"/>
      <c r="PSA383" s="252"/>
      <c r="PSB383" s="252"/>
      <c r="PSC383" s="252"/>
      <c r="PSD383" s="252"/>
      <c r="PSE383" s="252"/>
      <c r="PSF383" s="252"/>
      <c r="PSG383" s="252"/>
      <c r="PSH383" s="252"/>
      <c r="PSI383" s="252"/>
      <c r="PSJ383" s="252"/>
      <c r="PSK383" s="252"/>
      <c r="PSL383" s="252"/>
      <c r="PSM383" s="252"/>
      <c r="PSN383" s="252"/>
      <c r="PSO383" s="252"/>
      <c r="PSP383" s="252"/>
      <c r="PSQ383" s="252"/>
      <c r="PSR383" s="252"/>
      <c r="PSS383" s="252"/>
      <c r="PST383" s="252"/>
      <c r="PSU383" s="252"/>
      <c r="PSV383" s="252"/>
      <c r="PSW383" s="252"/>
      <c r="PSX383" s="252"/>
      <c r="PSY383" s="252"/>
      <c r="PSZ383" s="252"/>
      <c r="PTA383" s="252"/>
      <c r="PTB383" s="252"/>
      <c r="PTC383" s="252"/>
      <c r="PTD383" s="252"/>
      <c r="PTE383" s="252"/>
      <c r="PTF383" s="252"/>
      <c r="PTG383" s="252"/>
      <c r="PTH383" s="252"/>
      <c r="PTI383" s="252"/>
      <c r="PTJ383" s="252"/>
      <c r="PTK383" s="252"/>
      <c r="PTL383" s="252"/>
      <c r="PTM383" s="252"/>
      <c r="PTN383" s="252"/>
      <c r="PTO383" s="252"/>
      <c r="PTP383" s="252"/>
      <c r="PTQ383" s="252"/>
      <c r="PTR383" s="252"/>
      <c r="PTS383" s="252"/>
      <c r="PTT383" s="252"/>
      <c r="PTU383" s="252"/>
      <c r="PTV383" s="252"/>
      <c r="PTW383" s="252"/>
      <c r="PTX383" s="252"/>
      <c r="PTY383" s="252"/>
      <c r="PTZ383" s="252"/>
      <c r="PUA383" s="252"/>
      <c r="PUB383" s="252"/>
      <c r="PUC383" s="252"/>
      <c r="PUD383" s="252"/>
      <c r="PUE383" s="252"/>
      <c r="PUF383" s="252"/>
      <c r="PUG383" s="252"/>
      <c r="PUH383" s="252"/>
      <c r="PUI383" s="252"/>
      <c r="PUJ383" s="252"/>
      <c r="PUK383" s="252"/>
      <c r="PUL383" s="252"/>
      <c r="PUM383" s="252"/>
      <c r="PUN383" s="252"/>
      <c r="PUO383" s="252"/>
      <c r="PUP383" s="252"/>
      <c r="PUQ383" s="252"/>
      <c r="PUR383" s="252"/>
      <c r="PUS383" s="252"/>
      <c r="PUT383" s="252"/>
      <c r="PUU383" s="252"/>
      <c r="PUV383" s="252"/>
      <c r="PUW383" s="252"/>
      <c r="PUX383" s="252"/>
      <c r="PUY383" s="252"/>
      <c r="PUZ383" s="252"/>
      <c r="PVA383" s="252"/>
      <c r="PVB383" s="252"/>
      <c r="PVC383" s="252"/>
      <c r="PVD383" s="252"/>
      <c r="PVE383" s="252"/>
      <c r="PVF383" s="252"/>
      <c r="PVG383" s="252"/>
      <c r="PVH383" s="252"/>
      <c r="PVI383" s="252"/>
      <c r="PVJ383" s="252"/>
      <c r="PVK383" s="252"/>
      <c r="PVL383" s="252"/>
      <c r="PVM383" s="252"/>
      <c r="PVN383" s="252"/>
      <c r="PVO383" s="252"/>
      <c r="PVP383" s="252"/>
      <c r="PVQ383" s="252"/>
      <c r="PVR383" s="252"/>
      <c r="PVS383" s="252"/>
      <c r="PVT383" s="252"/>
      <c r="PVU383" s="252"/>
      <c r="PVV383" s="252"/>
      <c r="PVW383" s="252"/>
      <c r="PVX383" s="252"/>
      <c r="PVY383" s="252"/>
      <c r="PVZ383" s="252"/>
      <c r="PWA383" s="252"/>
      <c r="PWB383" s="252"/>
      <c r="PWC383" s="252"/>
      <c r="PWD383" s="252"/>
      <c r="PWE383" s="252"/>
      <c r="PWF383" s="252"/>
      <c r="PWG383" s="252"/>
      <c r="PWH383" s="252"/>
      <c r="PWI383" s="252"/>
      <c r="PWJ383" s="252"/>
      <c r="PWK383" s="252"/>
      <c r="PWL383" s="252"/>
      <c r="PWM383" s="252"/>
      <c r="PWN383" s="252"/>
      <c r="PWO383" s="252"/>
      <c r="PWP383" s="252"/>
      <c r="PWQ383" s="252"/>
      <c r="PWR383" s="252"/>
      <c r="PWS383" s="252"/>
      <c r="PWT383" s="252"/>
      <c r="PWU383" s="252"/>
      <c r="PWV383" s="252"/>
      <c r="PWW383" s="252"/>
      <c r="PWX383" s="252"/>
      <c r="PWY383" s="252"/>
      <c r="PWZ383" s="252"/>
      <c r="PXA383" s="252"/>
      <c r="PXB383" s="252"/>
      <c r="PXC383" s="252"/>
      <c r="PXD383" s="252"/>
      <c r="PXE383" s="252"/>
      <c r="PXF383" s="252"/>
      <c r="PXG383" s="252"/>
      <c r="PXH383" s="252"/>
      <c r="PXI383" s="252"/>
      <c r="PXJ383" s="252"/>
      <c r="PXK383" s="252"/>
      <c r="PXL383" s="252"/>
      <c r="PXM383" s="252"/>
      <c r="PXN383" s="252"/>
      <c r="PXO383" s="252"/>
      <c r="PXP383" s="252"/>
      <c r="PXQ383" s="252"/>
      <c r="PXR383" s="252"/>
      <c r="PXS383" s="252"/>
      <c r="PXT383" s="252"/>
      <c r="PXU383" s="252"/>
      <c r="PXV383" s="252"/>
      <c r="PXW383" s="252"/>
      <c r="PXX383" s="252"/>
      <c r="PXY383" s="252"/>
      <c r="PXZ383" s="252"/>
      <c r="PYA383" s="252"/>
      <c r="PYB383" s="252"/>
      <c r="PYC383" s="252"/>
      <c r="PYD383" s="252"/>
      <c r="PYE383" s="252"/>
      <c r="PYF383" s="252"/>
      <c r="PYG383" s="252"/>
      <c r="PYH383" s="252"/>
      <c r="PYI383" s="252"/>
      <c r="PYJ383" s="252"/>
      <c r="PYK383" s="252"/>
      <c r="PYL383" s="252"/>
      <c r="PYM383" s="252"/>
      <c r="PYN383" s="252"/>
      <c r="PYO383" s="252"/>
      <c r="PYP383" s="252"/>
      <c r="PYQ383" s="252"/>
      <c r="PYR383" s="252"/>
      <c r="PYS383" s="252"/>
      <c r="PYT383" s="252"/>
      <c r="PYU383" s="252"/>
      <c r="PYV383" s="252"/>
      <c r="PYW383" s="252"/>
      <c r="PYX383" s="252"/>
      <c r="PYY383" s="252"/>
      <c r="PYZ383" s="252"/>
      <c r="PZA383" s="252"/>
      <c r="PZB383" s="252"/>
      <c r="PZC383" s="252"/>
      <c r="PZD383" s="252"/>
      <c r="PZE383" s="252"/>
      <c r="PZF383" s="252"/>
      <c r="PZG383" s="252"/>
      <c r="PZH383" s="252"/>
      <c r="PZI383" s="252"/>
      <c r="PZJ383" s="252"/>
      <c r="PZK383" s="252"/>
      <c r="PZL383" s="252"/>
      <c r="PZM383" s="252"/>
      <c r="PZN383" s="252"/>
      <c r="PZO383" s="252"/>
      <c r="PZP383" s="252"/>
      <c r="PZQ383" s="252"/>
      <c r="PZR383" s="252"/>
      <c r="PZS383" s="252"/>
      <c r="PZT383" s="252"/>
      <c r="PZU383" s="252"/>
      <c r="PZV383" s="252"/>
      <c r="PZW383" s="252"/>
      <c r="PZX383" s="252"/>
      <c r="PZY383" s="252"/>
      <c r="PZZ383" s="252"/>
      <c r="QAA383" s="252"/>
      <c r="QAB383" s="252"/>
      <c r="QAC383" s="252"/>
      <c r="QAD383" s="252"/>
      <c r="QAE383" s="252"/>
      <c r="QAF383" s="252"/>
      <c r="QAG383" s="252"/>
      <c r="QAH383" s="252"/>
      <c r="QAI383" s="252"/>
      <c r="QAJ383" s="252"/>
      <c r="QAK383" s="252"/>
      <c r="QAL383" s="252"/>
      <c r="QAM383" s="252"/>
      <c r="QAN383" s="252"/>
      <c r="QAO383" s="252"/>
      <c r="QAP383" s="252"/>
      <c r="QAQ383" s="252"/>
      <c r="QAR383" s="252"/>
      <c r="QAS383" s="252"/>
      <c r="QAT383" s="252"/>
      <c r="QAU383" s="252"/>
      <c r="QAV383" s="252"/>
      <c r="QAW383" s="252"/>
      <c r="QAX383" s="252"/>
      <c r="QAY383" s="252"/>
      <c r="QAZ383" s="252"/>
      <c r="QBA383" s="252"/>
      <c r="QBB383" s="252"/>
      <c r="QBC383" s="252"/>
      <c r="QBD383" s="252"/>
      <c r="QBE383" s="252"/>
      <c r="QBF383" s="252"/>
      <c r="QBG383" s="252"/>
      <c r="QBH383" s="252"/>
      <c r="QBI383" s="252"/>
      <c r="QBJ383" s="252"/>
      <c r="QBK383" s="252"/>
      <c r="QBL383" s="252"/>
      <c r="QBM383" s="252"/>
      <c r="QBN383" s="252"/>
      <c r="QBO383" s="252"/>
      <c r="QBP383" s="252"/>
      <c r="QBQ383" s="252"/>
      <c r="QBR383" s="252"/>
      <c r="QBS383" s="252"/>
      <c r="QBT383" s="252"/>
      <c r="QBU383" s="252"/>
      <c r="QBV383" s="252"/>
      <c r="QBW383" s="252"/>
      <c r="QBX383" s="252"/>
      <c r="QBY383" s="252"/>
      <c r="QBZ383" s="252"/>
      <c r="QCA383" s="252"/>
      <c r="QCB383" s="252"/>
      <c r="QCC383" s="252"/>
      <c r="QCD383" s="252"/>
      <c r="QCE383" s="252"/>
      <c r="QCF383" s="252"/>
      <c r="QCG383" s="252"/>
      <c r="QCH383" s="252"/>
      <c r="QCI383" s="252"/>
      <c r="QCJ383" s="252"/>
      <c r="QCK383" s="252"/>
      <c r="QCL383" s="252"/>
      <c r="QCM383" s="252"/>
      <c r="QCN383" s="252"/>
      <c r="QCO383" s="252"/>
      <c r="QCP383" s="252"/>
      <c r="QCQ383" s="252"/>
      <c r="QCR383" s="252"/>
      <c r="QCS383" s="252"/>
      <c r="QCT383" s="252"/>
      <c r="QCU383" s="252"/>
      <c r="QCV383" s="252"/>
      <c r="QCW383" s="252"/>
      <c r="QCX383" s="252"/>
      <c r="QCY383" s="252"/>
      <c r="QCZ383" s="252"/>
      <c r="QDA383" s="252"/>
      <c r="QDB383" s="252"/>
      <c r="QDC383" s="252"/>
      <c r="QDD383" s="252"/>
      <c r="QDE383" s="252"/>
      <c r="QDF383" s="252"/>
      <c r="QDG383" s="252"/>
      <c r="QDH383" s="252"/>
      <c r="QDI383" s="252"/>
      <c r="QDJ383" s="252"/>
      <c r="QDK383" s="252"/>
      <c r="QDL383" s="252"/>
      <c r="QDM383" s="252"/>
      <c r="QDN383" s="252"/>
      <c r="QDO383" s="252"/>
      <c r="QDP383" s="252"/>
      <c r="QDQ383" s="252"/>
      <c r="QDR383" s="252"/>
      <c r="QDS383" s="252"/>
      <c r="QDT383" s="252"/>
      <c r="QDU383" s="252"/>
      <c r="QDV383" s="252"/>
      <c r="QDW383" s="252"/>
      <c r="QDX383" s="252"/>
      <c r="QDY383" s="252"/>
      <c r="QDZ383" s="252"/>
      <c r="QEA383" s="252"/>
      <c r="QEB383" s="252"/>
      <c r="QEC383" s="252"/>
      <c r="QED383" s="252"/>
      <c r="QEE383" s="252"/>
      <c r="QEF383" s="252"/>
      <c r="QEG383" s="252"/>
      <c r="QEH383" s="252"/>
      <c r="QEI383" s="252"/>
      <c r="QEJ383" s="252"/>
      <c r="QEK383" s="252"/>
      <c r="QEL383" s="252"/>
      <c r="QEM383" s="252"/>
      <c r="QEN383" s="252"/>
      <c r="QEO383" s="252"/>
      <c r="QEP383" s="252"/>
      <c r="QEQ383" s="252"/>
      <c r="QER383" s="252"/>
      <c r="QES383" s="252"/>
      <c r="QET383" s="252"/>
      <c r="QEU383" s="252"/>
      <c r="QEV383" s="252"/>
      <c r="QEW383" s="252"/>
      <c r="QEX383" s="252"/>
      <c r="QEY383" s="252"/>
      <c r="QEZ383" s="252"/>
      <c r="QFA383" s="252"/>
      <c r="QFB383" s="252"/>
      <c r="QFC383" s="252"/>
      <c r="QFD383" s="252"/>
      <c r="QFE383" s="252"/>
      <c r="QFF383" s="252"/>
      <c r="QFG383" s="252"/>
      <c r="QFH383" s="252"/>
      <c r="QFI383" s="252"/>
      <c r="QFJ383" s="252"/>
      <c r="QFK383" s="252"/>
      <c r="QFL383" s="252"/>
      <c r="QFM383" s="252"/>
      <c r="QFN383" s="252"/>
      <c r="QFO383" s="252"/>
      <c r="QFP383" s="252"/>
      <c r="QFQ383" s="252"/>
      <c r="QFR383" s="252"/>
      <c r="QFS383" s="252"/>
      <c r="QFT383" s="252"/>
      <c r="QFU383" s="252"/>
      <c r="QFV383" s="252"/>
      <c r="QFW383" s="252"/>
      <c r="QFX383" s="252"/>
      <c r="QFY383" s="252"/>
      <c r="QFZ383" s="252"/>
      <c r="QGA383" s="252"/>
      <c r="QGB383" s="252"/>
      <c r="QGC383" s="252"/>
      <c r="QGD383" s="252"/>
      <c r="QGE383" s="252"/>
      <c r="QGF383" s="252"/>
      <c r="QGG383" s="252"/>
      <c r="QGH383" s="252"/>
      <c r="QGI383" s="252"/>
      <c r="QGJ383" s="252"/>
      <c r="QGK383" s="252"/>
      <c r="QGL383" s="252"/>
      <c r="QGM383" s="252"/>
      <c r="QGN383" s="252"/>
      <c r="QGO383" s="252"/>
      <c r="QGP383" s="252"/>
      <c r="QGQ383" s="252"/>
      <c r="QGR383" s="252"/>
      <c r="QGS383" s="252"/>
      <c r="QGT383" s="252"/>
      <c r="QGU383" s="252"/>
      <c r="QGV383" s="252"/>
      <c r="QGW383" s="252"/>
      <c r="QGX383" s="252"/>
      <c r="QGY383" s="252"/>
      <c r="QGZ383" s="252"/>
      <c r="QHA383" s="252"/>
      <c r="QHB383" s="252"/>
      <c r="QHC383" s="252"/>
      <c r="QHD383" s="252"/>
      <c r="QHE383" s="252"/>
      <c r="QHF383" s="252"/>
      <c r="QHG383" s="252"/>
      <c r="QHH383" s="252"/>
      <c r="QHI383" s="252"/>
      <c r="QHJ383" s="252"/>
      <c r="QHK383" s="252"/>
      <c r="QHL383" s="252"/>
      <c r="QHM383" s="252"/>
      <c r="QHN383" s="252"/>
      <c r="QHO383" s="252"/>
      <c r="QHP383" s="252"/>
      <c r="QHQ383" s="252"/>
      <c r="QHR383" s="252"/>
      <c r="QHS383" s="252"/>
      <c r="QHT383" s="252"/>
      <c r="QHU383" s="252"/>
      <c r="QHV383" s="252"/>
      <c r="QHW383" s="252"/>
      <c r="QHX383" s="252"/>
      <c r="QHY383" s="252"/>
      <c r="QHZ383" s="252"/>
      <c r="QIA383" s="252"/>
      <c r="QIB383" s="252"/>
      <c r="QIC383" s="252"/>
      <c r="QID383" s="252"/>
      <c r="QIE383" s="252"/>
      <c r="QIF383" s="252"/>
      <c r="QIG383" s="252"/>
      <c r="QIH383" s="252"/>
      <c r="QII383" s="252"/>
      <c r="QIJ383" s="252"/>
      <c r="QIK383" s="252"/>
      <c r="QIL383" s="252"/>
      <c r="QIM383" s="252"/>
      <c r="QIN383" s="252"/>
      <c r="QIO383" s="252"/>
      <c r="QIP383" s="252"/>
      <c r="QIQ383" s="252"/>
      <c r="QIR383" s="252"/>
      <c r="QIS383" s="252"/>
      <c r="QIT383" s="252"/>
      <c r="QIU383" s="252"/>
      <c r="QIV383" s="252"/>
      <c r="QIW383" s="252"/>
      <c r="QIX383" s="252"/>
      <c r="QIY383" s="252"/>
      <c r="QIZ383" s="252"/>
      <c r="QJA383" s="252"/>
      <c r="QJB383" s="252"/>
      <c r="QJC383" s="252"/>
      <c r="QJD383" s="252"/>
      <c r="QJE383" s="252"/>
      <c r="QJF383" s="252"/>
      <c r="QJG383" s="252"/>
      <c r="QJH383" s="252"/>
      <c r="QJI383" s="252"/>
      <c r="QJJ383" s="252"/>
      <c r="QJK383" s="252"/>
      <c r="QJL383" s="252"/>
      <c r="QJM383" s="252"/>
      <c r="QJN383" s="252"/>
      <c r="QJO383" s="252"/>
      <c r="QJP383" s="252"/>
      <c r="QJQ383" s="252"/>
      <c r="QJR383" s="252"/>
      <c r="QJS383" s="252"/>
      <c r="QJT383" s="252"/>
      <c r="QJU383" s="252"/>
      <c r="QJV383" s="252"/>
      <c r="QJW383" s="252"/>
      <c r="QJX383" s="252"/>
      <c r="QJY383" s="252"/>
      <c r="QJZ383" s="252"/>
      <c r="QKA383" s="252"/>
      <c r="QKB383" s="252"/>
      <c r="QKC383" s="252"/>
      <c r="QKD383" s="252"/>
      <c r="QKE383" s="252"/>
      <c r="QKF383" s="252"/>
      <c r="QKG383" s="252"/>
      <c r="QKH383" s="252"/>
      <c r="QKI383" s="252"/>
      <c r="QKJ383" s="252"/>
      <c r="QKK383" s="252"/>
      <c r="QKL383" s="252"/>
      <c r="QKM383" s="252"/>
      <c r="QKN383" s="252"/>
      <c r="QKO383" s="252"/>
      <c r="QKP383" s="252"/>
      <c r="QKQ383" s="252"/>
      <c r="QKR383" s="252"/>
      <c r="QKS383" s="252"/>
      <c r="QKT383" s="252"/>
      <c r="QKU383" s="252"/>
      <c r="QKV383" s="252"/>
      <c r="QKW383" s="252"/>
      <c r="QKX383" s="252"/>
      <c r="QKY383" s="252"/>
      <c r="QKZ383" s="252"/>
      <c r="QLA383" s="252"/>
      <c r="QLB383" s="252"/>
      <c r="QLC383" s="252"/>
      <c r="QLD383" s="252"/>
      <c r="QLE383" s="252"/>
      <c r="QLF383" s="252"/>
      <c r="QLG383" s="252"/>
      <c r="QLH383" s="252"/>
      <c r="QLI383" s="252"/>
      <c r="QLJ383" s="252"/>
      <c r="QLK383" s="252"/>
      <c r="QLL383" s="252"/>
      <c r="QLM383" s="252"/>
      <c r="QLN383" s="252"/>
      <c r="QLO383" s="252"/>
      <c r="QLP383" s="252"/>
      <c r="QLQ383" s="252"/>
      <c r="QLR383" s="252"/>
      <c r="QLS383" s="252"/>
      <c r="QLT383" s="252"/>
      <c r="QLU383" s="252"/>
      <c r="QLV383" s="252"/>
      <c r="QLW383" s="252"/>
      <c r="QLX383" s="252"/>
      <c r="QLY383" s="252"/>
      <c r="QLZ383" s="252"/>
      <c r="QMA383" s="252"/>
      <c r="QMB383" s="252"/>
      <c r="QMC383" s="252"/>
      <c r="QMD383" s="252"/>
      <c r="QME383" s="252"/>
      <c r="QMF383" s="252"/>
      <c r="QMG383" s="252"/>
      <c r="QMH383" s="252"/>
      <c r="QMI383" s="252"/>
      <c r="QMJ383" s="252"/>
      <c r="QMK383" s="252"/>
      <c r="QML383" s="252"/>
      <c r="QMM383" s="252"/>
      <c r="QMN383" s="252"/>
      <c r="QMO383" s="252"/>
      <c r="QMP383" s="252"/>
      <c r="QMQ383" s="252"/>
      <c r="QMR383" s="252"/>
      <c r="QMS383" s="252"/>
      <c r="QMT383" s="252"/>
      <c r="QMU383" s="252"/>
      <c r="QMV383" s="252"/>
      <c r="QMW383" s="252"/>
      <c r="QMX383" s="252"/>
      <c r="QMY383" s="252"/>
      <c r="QMZ383" s="252"/>
      <c r="QNA383" s="252"/>
      <c r="QNB383" s="252"/>
      <c r="QNC383" s="252"/>
      <c r="QND383" s="252"/>
      <c r="QNE383" s="252"/>
      <c r="QNF383" s="252"/>
      <c r="QNG383" s="252"/>
      <c r="QNH383" s="252"/>
      <c r="QNI383" s="252"/>
      <c r="QNJ383" s="252"/>
      <c r="QNK383" s="252"/>
      <c r="QNL383" s="252"/>
      <c r="QNM383" s="252"/>
      <c r="QNN383" s="252"/>
      <c r="QNO383" s="252"/>
      <c r="QNP383" s="252"/>
      <c r="QNQ383" s="252"/>
      <c r="QNR383" s="252"/>
      <c r="QNS383" s="252"/>
      <c r="QNT383" s="252"/>
      <c r="QNU383" s="252"/>
      <c r="QNV383" s="252"/>
      <c r="QNW383" s="252"/>
      <c r="QNX383" s="252"/>
      <c r="QNY383" s="252"/>
      <c r="QNZ383" s="252"/>
      <c r="QOA383" s="252"/>
      <c r="QOB383" s="252"/>
      <c r="QOC383" s="252"/>
      <c r="QOD383" s="252"/>
      <c r="QOE383" s="252"/>
      <c r="QOF383" s="252"/>
      <c r="QOG383" s="252"/>
      <c r="QOH383" s="252"/>
      <c r="QOI383" s="252"/>
      <c r="QOJ383" s="252"/>
      <c r="QOK383" s="252"/>
      <c r="QOL383" s="252"/>
      <c r="QOM383" s="252"/>
      <c r="QON383" s="252"/>
      <c r="QOO383" s="252"/>
      <c r="QOP383" s="252"/>
      <c r="QOQ383" s="252"/>
      <c r="QOR383" s="252"/>
      <c r="QOS383" s="252"/>
      <c r="QOT383" s="252"/>
      <c r="QOU383" s="252"/>
      <c r="QOV383" s="252"/>
      <c r="QOW383" s="252"/>
      <c r="QOX383" s="252"/>
      <c r="QOY383" s="252"/>
      <c r="QOZ383" s="252"/>
      <c r="QPA383" s="252"/>
      <c r="QPB383" s="252"/>
      <c r="QPC383" s="252"/>
      <c r="QPD383" s="252"/>
      <c r="QPE383" s="252"/>
      <c r="QPF383" s="252"/>
      <c r="QPG383" s="252"/>
      <c r="QPH383" s="252"/>
      <c r="QPI383" s="252"/>
      <c r="QPJ383" s="252"/>
      <c r="QPK383" s="252"/>
      <c r="QPL383" s="252"/>
      <c r="QPM383" s="252"/>
      <c r="QPN383" s="252"/>
      <c r="QPO383" s="252"/>
      <c r="QPP383" s="252"/>
      <c r="QPQ383" s="252"/>
      <c r="QPR383" s="252"/>
      <c r="QPS383" s="252"/>
      <c r="QPT383" s="252"/>
      <c r="QPU383" s="252"/>
      <c r="QPV383" s="252"/>
      <c r="QPW383" s="252"/>
      <c r="QPX383" s="252"/>
      <c r="QPY383" s="252"/>
      <c r="QPZ383" s="252"/>
      <c r="QQA383" s="252"/>
      <c r="QQB383" s="252"/>
      <c r="QQC383" s="252"/>
      <c r="QQD383" s="252"/>
      <c r="QQE383" s="252"/>
      <c r="QQF383" s="252"/>
      <c r="QQG383" s="252"/>
      <c r="QQH383" s="252"/>
      <c r="QQI383" s="252"/>
      <c r="QQJ383" s="252"/>
      <c r="QQK383" s="252"/>
      <c r="QQL383" s="252"/>
      <c r="QQM383" s="252"/>
      <c r="QQN383" s="252"/>
      <c r="QQO383" s="252"/>
      <c r="QQP383" s="252"/>
      <c r="QQQ383" s="252"/>
      <c r="QQR383" s="252"/>
      <c r="QQS383" s="252"/>
      <c r="QQT383" s="252"/>
      <c r="QQU383" s="252"/>
      <c r="QQV383" s="252"/>
      <c r="QQW383" s="252"/>
      <c r="QQX383" s="252"/>
      <c r="QQY383" s="252"/>
      <c r="QQZ383" s="252"/>
      <c r="QRA383" s="252"/>
      <c r="QRB383" s="252"/>
      <c r="QRC383" s="252"/>
      <c r="QRD383" s="252"/>
      <c r="QRE383" s="252"/>
      <c r="QRF383" s="252"/>
      <c r="QRG383" s="252"/>
      <c r="QRH383" s="252"/>
      <c r="QRI383" s="252"/>
      <c r="QRJ383" s="252"/>
      <c r="QRK383" s="252"/>
      <c r="QRL383" s="252"/>
      <c r="QRM383" s="252"/>
      <c r="QRN383" s="252"/>
      <c r="QRO383" s="252"/>
      <c r="QRP383" s="252"/>
      <c r="QRQ383" s="252"/>
      <c r="QRR383" s="252"/>
      <c r="QRS383" s="252"/>
      <c r="QRT383" s="252"/>
      <c r="QRU383" s="252"/>
      <c r="QRV383" s="252"/>
      <c r="QRW383" s="252"/>
      <c r="QRX383" s="252"/>
      <c r="QRY383" s="252"/>
      <c r="QRZ383" s="252"/>
      <c r="QSA383" s="252"/>
      <c r="QSB383" s="252"/>
      <c r="QSC383" s="252"/>
      <c r="QSD383" s="252"/>
      <c r="QSE383" s="252"/>
      <c r="QSF383" s="252"/>
      <c r="QSG383" s="252"/>
      <c r="QSH383" s="252"/>
      <c r="QSI383" s="252"/>
      <c r="QSJ383" s="252"/>
      <c r="QSK383" s="252"/>
      <c r="QSL383" s="252"/>
      <c r="QSM383" s="252"/>
      <c r="QSN383" s="252"/>
      <c r="QSO383" s="252"/>
      <c r="QSP383" s="252"/>
      <c r="QSQ383" s="252"/>
      <c r="QSR383" s="252"/>
      <c r="QSS383" s="252"/>
      <c r="QST383" s="252"/>
      <c r="QSU383" s="252"/>
      <c r="QSV383" s="252"/>
      <c r="QSW383" s="252"/>
      <c r="QSX383" s="252"/>
      <c r="QSY383" s="252"/>
      <c r="QSZ383" s="252"/>
      <c r="QTA383" s="252"/>
      <c r="QTB383" s="252"/>
      <c r="QTC383" s="252"/>
      <c r="QTD383" s="252"/>
      <c r="QTE383" s="252"/>
      <c r="QTF383" s="252"/>
      <c r="QTG383" s="252"/>
      <c r="QTH383" s="252"/>
      <c r="QTI383" s="252"/>
      <c r="QTJ383" s="252"/>
      <c r="QTK383" s="252"/>
      <c r="QTL383" s="252"/>
      <c r="QTM383" s="252"/>
      <c r="QTN383" s="252"/>
      <c r="QTO383" s="252"/>
      <c r="QTP383" s="252"/>
      <c r="QTQ383" s="252"/>
      <c r="QTR383" s="252"/>
      <c r="QTS383" s="252"/>
      <c r="QTT383" s="252"/>
      <c r="QTU383" s="252"/>
      <c r="QTV383" s="252"/>
      <c r="QTW383" s="252"/>
      <c r="QTX383" s="252"/>
      <c r="QTY383" s="252"/>
      <c r="QTZ383" s="252"/>
      <c r="QUA383" s="252"/>
      <c r="QUB383" s="252"/>
      <c r="QUC383" s="252"/>
      <c r="QUD383" s="252"/>
      <c r="QUE383" s="252"/>
      <c r="QUF383" s="252"/>
      <c r="QUG383" s="252"/>
      <c r="QUH383" s="252"/>
      <c r="QUI383" s="252"/>
      <c r="QUJ383" s="252"/>
      <c r="QUK383" s="252"/>
      <c r="QUL383" s="252"/>
      <c r="QUM383" s="252"/>
      <c r="QUN383" s="252"/>
      <c r="QUO383" s="252"/>
      <c r="QUP383" s="252"/>
      <c r="QUQ383" s="252"/>
      <c r="QUR383" s="252"/>
      <c r="QUS383" s="252"/>
      <c r="QUT383" s="252"/>
      <c r="QUU383" s="252"/>
      <c r="QUV383" s="252"/>
      <c r="QUW383" s="252"/>
      <c r="QUX383" s="252"/>
      <c r="QUY383" s="252"/>
      <c r="QUZ383" s="252"/>
      <c r="QVA383" s="252"/>
      <c r="QVB383" s="252"/>
      <c r="QVC383" s="252"/>
      <c r="QVD383" s="252"/>
      <c r="QVE383" s="252"/>
      <c r="QVF383" s="252"/>
      <c r="QVG383" s="252"/>
      <c r="QVH383" s="252"/>
      <c r="QVI383" s="252"/>
      <c r="QVJ383" s="252"/>
      <c r="QVK383" s="252"/>
      <c r="QVL383" s="252"/>
      <c r="QVM383" s="252"/>
      <c r="QVN383" s="252"/>
      <c r="QVO383" s="252"/>
      <c r="QVP383" s="252"/>
      <c r="QVQ383" s="252"/>
      <c r="QVR383" s="252"/>
      <c r="QVS383" s="252"/>
      <c r="QVT383" s="252"/>
      <c r="QVU383" s="252"/>
      <c r="QVV383" s="252"/>
      <c r="QVW383" s="252"/>
      <c r="QVX383" s="252"/>
      <c r="QVY383" s="252"/>
      <c r="QVZ383" s="252"/>
      <c r="QWA383" s="252"/>
      <c r="QWB383" s="252"/>
      <c r="QWC383" s="252"/>
      <c r="QWD383" s="252"/>
      <c r="QWE383" s="252"/>
      <c r="QWF383" s="252"/>
      <c r="QWG383" s="252"/>
      <c r="QWH383" s="252"/>
      <c r="QWI383" s="252"/>
      <c r="QWJ383" s="252"/>
      <c r="QWK383" s="252"/>
      <c r="QWL383" s="252"/>
      <c r="QWM383" s="252"/>
      <c r="QWN383" s="252"/>
      <c r="QWO383" s="252"/>
      <c r="QWP383" s="252"/>
      <c r="QWQ383" s="252"/>
      <c r="QWR383" s="252"/>
      <c r="QWS383" s="252"/>
      <c r="QWT383" s="252"/>
      <c r="QWU383" s="252"/>
      <c r="QWV383" s="252"/>
      <c r="QWW383" s="252"/>
      <c r="QWX383" s="252"/>
      <c r="QWY383" s="252"/>
      <c r="QWZ383" s="252"/>
      <c r="QXA383" s="252"/>
      <c r="QXB383" s="252"/>
      <c r="QXC383" s="252"/>
      <c r="QXD383" s="252"/>
      <c r="QXE383" s="252"/>
      <c r="QXF383" s="252"/>
      <c r="QXG383" s="252"/>
      <c r="QXH383" s="252"/>
      <c r="QXI383" s="252"/>
      <c r="QXJ383" s="252"/>
      <c r="QXK383" s="252"/>
      <c r="QXL383" s="252"/>
      <c r="QXM383" s="252"/>
      <c r="QXN383" s="252"/>
      <c r="QXO383" s="252"/>
      <c r="QXP383" s="252"/>
      <c r="QXQ383" s="252"/>
      <c r="QXR383" s="252"/>
      <c r="QXS383" s="252"/>
      <c r="QXT383" s="252"/>
      <c r="QXU383" s="252"/>
      <c r="QXV383" s="252"/>
      <c r="QXW383" s="252"/>
      <c r="QXX383" s="252"/>
      <c r="QXY383" s="252"/>
      <c r="QXZ383" s="252"/>
      <c r="QYA383" s="252"/>
      <c r="QYB383" s="252"/>
      <c r="QYC383" s="252"/>
      <c r="QYD383" s="252"/>
      <c r="QYE383" s="252"/>
      <c r="QYF383" s="252"/>
      <c r="QYG383" s="252"/>
      <c r="QYH383" s="252"/>
      <c r="QYI383" s="252"/>
      <c r="QYJ383" s="252"/>
      <c r="QYK383" s="252"/>
      <c r="QYL383" s="252"/>
      <c r="QYM383" s="252"/>
      <c r="QYN383" s="252"/>
      <c r="QYO383" s="252"/>
      <c r="QYP383" s="252"/>
      <c r="QYQ383" s="252"/>
      <c r="QYR383" s="252"/>
      <c r="QYS383" s="252"/>
      <c r="QYT383" s="252"/>
      <c r="QYU383" s="252"/>
      <c r="QYV383" s="252"/>
      <c r="QYW383" s="252"/>
      <c r="QYX383" s="252"/>
      <c r="QYY383" s="252"/>
      <c r="QYZ383" s="252"/>
      <c r="QZA383" s="252"/>
      <c r="QZB383" s="252"/>
      <c r="QZC383" s="252"/>
      <c r="QZD383" s="252"/>
      <c r="QZE383" s="252"/>
      <c r="QZF383" s="252"/>
      <c r="QZG383" s="252"/>
      <c r="QZH383" s="252"/>
      <c r="QZI383" s="252"/>
      <c r="QZJ383" s="252"/>
      <c r="QZK383" s="252"/>
      <c r="QZL383" s="252"/>
      <c r="QZM383" s="252"/>
      <c r="QZN383" s="252"/>
      <c r="QZO383" s="252"/>
      <c r="QZP383" s="252"/>
      <c r="QZQ383" s="252"/>
      <c r="QZR383" s="252"/>
      <c r="QZS383" s="252"/>
      <c r="QZT383" s="252"/>
      <c r="QZU383" s="252"/>
      <c r="QZV383" s="252"/>
      <c r="QZW383" s="252"/>
      <c r="QZX383" s="252"/>
      <c r="QZY383" s="252"/>
      <c r="QZZ383" s="252"/>
      <c r="RAA383" s="252"/>
      <c r="RAB383" s="252"/>
      <c r="RAC383" s="252"/>
      <c r="RAD383" s="252"/>
      <c r="RAE383" s="252"/>
      <c r="RAF383" s="252"/>
      <c r="RAG383" s="252"/>
      <c r="RAH383" s="252"/>
      <c r="RAI383" s="252"/>
      <c r="RAJ383" s="252"/>
      <c r="RAK383" s="252"/>
      <c r="RAL383" s="252"/>
      <c r="RAM383" s="252"/>
      <c r="RAN383" s="252"/>
      <c r="RAO383" s="252"/>
      <c r="RAP383" s="252"/>
      <c r="RAQ383" s="252"/>
      <c r="RAR383" s="252"/>
      <c r="RAS383" s="252"/>
      <c r="RAT383" s="252"/>
      <c r="RAU383" s="252"/>
      <c r="RAV383" s="252"/>
      <c r="RAW383" s="252"/>
      <c r="RAX383" s="252"/>
      <c r="RAY383" s="252"/>
      <c r="RAZ383" s="252"/>
      <c r="RBA383" s="252"/>
      <c r="RBB383" s="252"/>
      <c r="RBC383" s="252"/>
      <c r="RBD383" s="252"/>
      <c r="RBE383" s="252"/>
      <c r="RBF383" s="252"/>
      <c r="RBG383" s="252"/>
      <c r="RBH383" s="252"/>
      <c r="RBI383" s="252"/>
      <c r="RBJ383" s="252"/>
      <c r="RBK383" s="252"/>
      <c r="RBL383" s="252"/>
      <c r="RBM383" s="252"/>
      <c r="RBN383" s="252"/>
      <c r="RBO383" s="252"/>
      <c r="RBP383" s="252"/>
      <c r="RBQ383" s="252"/>
      <c r="RBR383" s="252"/>
      <c r="RBS383" s="252"/>
      <c r="RBT383" s="252"/>
      <c r="RBU383" s="252"/>
      <c r="RBV383" s="252"/>
      <c r="RBW383" s="252"/>
      <c r="RBX383" s="252"/>
      <c r="RBY383" s="252"/>
      <c r="RBZ383" s="252"/>
      <c r="RCA383" s="252"/>
      <c r="RCB383" s="252"/>
      <c r="RCC383" s="252"/>
      <c r="RCD383" s="252"/>
      <c r="RCE383" s="252"/>
      <c r="RCF383" s="252"/>
      <c r="RCG383" s="252"/>
      <c r="RCH383" s="252"/>
      <c r="RCI383" s="252"/>
      <c r="RCJ383" s="252"/>
      <c r="RCK383" s="252"/>
      <c r="RCL383" s="252"/>
      <c r="RCM383" s="252"/>
      <c r="RCN383" s="252"/>
      <c r="RCO383" s="252"/>
      <c r="RCP383" s="252"/>
      <c r="RCQ383" s="252"/>
      <c r="RCR383" s="252"/>
      <c r="RCS383" s="252"/>
      <c r="RCT383" s="252"/>
      <c r="RCU383" s="252"/>
      <c r="RCV383" s="252"/>
      <c r="RCW383" s="252"/>
      <c r="RCX383" s="252"/>
      <c r="RCY383" s="252"/>
      <c r="RCZ383" s="252"/>
      <c r="RDA383" s="252"/>
      <c r="RDB383" s="252"/>
      <c r="RDC383" s="252"/>
      <c r="RDD383" s="252"/>
      <c r="RDE383" s="252"/>
      <c r="RDF383" s="252"/>
      <c r="RDG383" s="252"/>
      <c r="RDH383" s="252"/>
      <c r="RDI383" s="252"/>
      <c r="RDJ383" s="252"/>
      <c r="RDK383" s="252"/>
      <c r="RDL383" s="252"/>
      <c r="RDM383" s="252"/>
      <c r="RDN383" s="252"/>
      <c r="RDO383" s="252"/>
      <c r="RDP383" s="252"/>
      <c r="RDQ383" s="252"/>
      <c r="RDR383" s="252"/>
      <c r="RDS383" s="252"/>
      <c r="RDT383" s="252"/>
      <c r="RDU383" s="252"/>
      <c r="RDV383" s="252"/>
      <c r="RDW383" s="252"/>
      <c r="RDX383" s="252"/>
      <c r="RDY383" s="252"/>
      <c r="RDZ383" s="252"/>
      <c r="REA383" s="252"/>
      <c r="REB383" s="252"/>
      <c r="REC383" s="252"/>
      <c r="RED383" s="252"/>
      <c r="REE383" s="252"/>
      <c r="REF383" s="252"/>
      <c r="REG383" s="252"/>
      <c r="REH383" s="252"/>
      <c r="REI383" s="252"/>
      <c r="REJ383" s="252"/>
      <c r="REK383" s="252"/>
      <c r="REL383" s="252"/>
      <c r="REM383" s="252"/>
      <c r="REN383" s="252"/>
      <c r="REO383" s="252"/>
      <c r="REP383" s="252"/>
      <c r="REQ383" s="252"/>
      <c r="RER383" s="252"/>
      <c r="RES383" s="252"/>
      <c r="RET383" s="252"/>
      <c r="REU383" s="252"/>
      <c r="REV383" s="252"/>
      <c r="REW383" s="252"/>
      <c r="REX383" s="252"/>
      <c r="REY383" s="252"/>
      <c r="REZ383" s="252"/>
      <c r="RFA383" s="252"/>
      <c r="RFB383" s="252"/>
      <c r="RFC383" s="252"/>
      <c r="RFD383" s="252"/>
      <c r="RFE383" s="252"/>
      <c r="RFF383" s="252"/>
      <c r="RFG383" s="252"/>
      <c r="RFH383" s="252"/>
      <c r="RFI383" s="252"/>
      <c r="RFJ383" s="252"/>
      <c r="RFK383" s="252"/>
      <c r="RFL383" s="252"/>
      <c r="RFM383" s="252"/>
      <c r="RFN383" s="252"/>
      <c r="RFO383" s="252"/>
      <c r="RFP383" s="252"/>
      <c r="RFQ383" s="252"/>
      <c r="RFR383" s="252"/>
      <c r="RFS383" s="252"/>
      <c r="RFT383" s="252"/>
      <c r="RFU383" s="252"/>
      <c r="RFV383" s="252"/>
      <c r="RFW383" s="252"/>
      <c r="RFX383" s="252"/>
      <c r="RFY383" s="252"/>
      <c r="RFZ383" s="252"/>
      <c r="RGA383" s="252"/>
      <c r="RGB383" s="252"/>
      <c r="RGC383" s="252"/>
      <c r="RGD383" s="252"/>
      <c r="RGE383" s="252"/>
      <c r="RGF383" s="252"/>
      <c r="RGG383" s="252"/>
      <c r="RGH383" s="252"/>
      <c r="RGI383" s="252"/>
      <c r="RGJ383" s="252"/>
      <c r="RGK383" s="252"/>
      <c r="RGL383" s="252"/>
      <c r="RGM383" s="252"/>
      <c r="RGN383" s="252"/>
      <c r="RGO383" s="252"/>
      <c r="RGP383" s="252"/>
      <c r="RGQ383" s="252"/>
      <c r="RGR383" s="252"/>
      <c r="RGS383" s="252"/>
      <c r="RGT383" s="252"/>
      <c r="RGU383" s="252"/>
      <c r="RGV383" s="252"/>
      <c r="RGW383" s="252"/>
      <c r="RGX383" s="252"/>
      <c r="RGY383" s="252"/>
      <c r="RGZ383" s="252"/>
      <c r="RHA383" s="252"/>
      <c r="RHB383" s="252"/>
      <c r="RHC383" s="252"/>
      <c r="RHD383" s="252"/>
      <c r="RHE383" s="252"/>
      <c r="RHF383" s="252"/>
      <c r="RHG383" s="252"/>
      <c r="RHH383" s="252"/>
      <c r="RHI383" s="252"/>
      <c r="RHJ383" s="252"/>
      <c r="RHK383" s="252"/>
      <c r="RHL383" s="252"/>
      <c r="RHM383" s="252"/>
      <c r="RHN383" s="252"/>
      <c r="RHO383" s="252"/>
      <c r="RHP383" s="252"/>
      <c r="RHQ383" s="252"/>
      <c r="RHR383" s="252"/>
      <c r="RHS383" s="252"/>
      <c r="RHT383" s="252"/>
      <c r="RHU383" s="252"/>
      <c r="RHV383" s="252"/>
      <c r="RHW383" s="252"/>
      <c r="RHX383" s="252"/>
      <c r="RHY383" s="252"/>
      <c r="RHZ383" s="252"/>
      <c r="RIA383" s="252"/>
      <c r="RIB383" s="252"/>
      <c r="RIC383" s="252"/>
      <c r="RID383" s="252"/>
      <c r="RIE383" s="252"/>
      <c r="RIF383" s="252"/>
      <c r="RIG383" s="252"/>
      <c r="RIH383" s="252"/>
      <c r="RII383" s="252"/>
      <c r="RIJ383" s="252"/>
      <c r="RIK383" s="252"/>
      <c r="RIL383" s="252"/>
      <c r="RIM383" s="252"/>
      <c r="RIN383" s="252"/>
      <c r="RIO383" s="252"/>
      <c r="RIP383" s="252"/>
      <c r="RIQ383" s="252"/>
      <c r="RIR383" s="252"/>
      <c r="RIS383" s="252"/>
      <c r="RIT383" s="252"/>
      <c r="RIU383" s="252"/>
      <c r="RIV383" s="252"/>
      <c r="RIW383" s="252"/>
      <c r="RIX383" s="252"/>
      <c r="RIY383" s="252"/>
      <c r="RIZ383" s="252"/>
      <c r="RJA383" s="252"/>
      <c r="RJB383" s="252"/>
      <c r="RJC383" s="252"/>
      <c r="RJD383" s="252"/>
      <c r="RJE383" s="252"/>
      <c r="RJF383" s="252"/>
      <c r="RJG383" s="252"/>
      <c r="RJH383" s="252"/>
      <c r="RJI383" s="252"/>
      <c r="RJJ383" s="252"/>
      <c r="RJK383" s="252"/>
      <c r="RJL383" s="252"/>
      <c r="RJM383" s="252"/>
      <c r="RJN383" s="252"/>
      <c r="RJO383" s="252"/>
      <c r="RJP383" s="252"/>
      <c r="RJQ383" s="252"/>
      <c r="RJR383" s="252"/>
      <c r="RJS383" s="252"/>
      <c r="RJT383" s="252"/>
      <c r="RJU383" s="252"/>
      <c r="RJV383" s="252"/>
      <c r="RJW383" s="252"/>
      <c r="RJX383" s="252"/>
      <c r="RJY383" s="252"/>
      <c r="RJZ383" s="252"/>
      <c r="RKA383" s="252"/>
      <c r="RKB383" s="252"/>
      <c r="RKC383" s="252"/>
      <c r="RKD383" s="252"/>
      <c r="RKE383" s="252"/>
      <c r="RKF383" s="252"/>
      <c r="RKG383" s="252"/>
      <c r="RKH383" s="252"/>
      <c r="RKI383" s="252"/>
      <c r="RKJ383" s="252"/>
      <c r="RKK383" s="252"/>
      <c r="RKL383" s="252"/>
      <c r="RKM383" s="252"/>
      <c r="RKN383" s="252"/>
      <c r="RKO383" s="252"/>
      <c r="RKP383" s="252"/>
      <c r="RKQ383" s="252"/>
      <c r="RKR383" s="252"/>
      <c r="RKS383" s="252"/>
      <c r="RKT383" s="252"/>
      <c r="RKU383" s="252"/>
      <c r="RKV383" s="252"/>
      <c r="RKW383" s="252"/>
      <c r="RKX383" s="252"/>
      <c r="RKY383" s="252"/>
      <c r="RKZ383" s="252"/>
      <c r="RLA383" s="252"/>
      <c r="RLB383" s="252"/>
      <c r="RLC383" s="252"/>
      <c r="RLD383" s="252"/>
      <c r="RLE383" s="252"/>
      <c r="RLF383" s="252"/>
      <c r="RLG383" s="252"/>
      <c r="RLH383" s="252"/>
      <c r="RLI383" s="252"/>
      <c r="RLJ383" s="252"/>
      <c r="RLK383" s="252"/>
      <c r="RLL383" s="252"/>
      <c r="RLM383" s="252"/>
      <c r="RLN383" s="252"/>
      <c r="RLO383" s="252"/>
      <c r="RLP383" s="252"/>
      <c r="RLQ383" s="252"/>
      <c r="RLR383" s="252"/>
      <c r="RLS383" s="252"/>
      <c r="RLT383" s="252"/>
      <c r="RLU383" s="252"/>
      <c r="RLV383" s="252"/>
      <c r="RLW383" s="252"/>
      <c r="RLX383" s="252"/>
      <c r="RLY383" s="252"/>
      <c r="RLZ383" s="252"/>
      <c r="RMA383" s="252"/>
      <c r="RMB383" s="252"/>
      <c r="RMC383" s="252"/>
      <c r="RMD383" s="252"/>
      <c r="RME383" s="252"/>
      <c r="RMF383" s="252"/>
      <c r="RMG383" s="252"/>
      <c r="RMH383" s="252"/>
      <c r="RMI383" s="252"/>
      <c r="RMJ383" s="252"/>
      <c r="RMK383" s="252"/>
      <c r="RML383" s="252"/>
      <c r="RMM383" s="252"/>
      <c r="RMN383" s="252"/>
      <c r="RMO383" s="252"/>
      <c r="RMP383" s="252"/>
      <c r="RMQ383" s="252"/>
      <c r="RMR383" s="252"/>
      <c r="RMS383" s="252"/>
      <c r="RMT383" s="252"/>
      <c r="RMU383" s="252"/>
      <c r="RMV383" s="252"/>
      <c r="RMW383" s="252"/>
      <c r="RMX383" s="252"/>
      <c r="RMY383" s="252"/>
      <c r="RMZ383" s="252"/>
      <c r="RNA383" s="252"/>
      <c r="RNB383" s="252"/>
      <c r="RNC383" s="252"/>
      <c r="RND383" s="252"/>
      <c r="RNE383" s="252"/>
      <c r="RNF383" s="252"/>
      <c r="RNG383" s="252"/>
      <c r="RNH383" s="252"/>
      <c r="RNI383" s="252"/>
      <c r="RNJ383" s="252"/>
      <c r="RNK383" s="252"/>
      <c r="RNL383" s="252"/>
      <c r="RNM383" s="252"/>
      <c r="RNN383" s="252"/>
      <c r="RNO383" s="252"/>
      <c r="RNP383" s="252"/>
      <c r="RNQ383" s="252"/>
      <c r="RNR383" s="252"/>
      <c r="RNS383" s="252"/>
      <c r="RNT383" s="252"/>
      <c r="RNU383" s="252"/>
      <c r="RNV383" s="252"/>
      <c r="RNW383" s="252"/>
      <c r="RNX383" s="252"/>
      <c r="RNY383" s="252"/>
      <c r="RNZ383" s="252"/>
      <c r="ROA383" s="252"/>
      <c r="ROB383" s="252"/>
      <c r="ROC383" s="252"/>
      <c r="ROD383" s="252"/>
      <c r="ROE383" s="252"/>
      <c r="ROF383" s="252"/>
      <c r="ROG383" s="252"/>
      <c r="ROH383" s="252"/>
      <c r="ROI383" s="252"/>
      <c r="ROJ383" s="252"/>
      <c r="ROK383" s="252"/>
      <c r="ROL383" s="252"/>
      <c r="ROM383" s="252"/>
      <c r="RON383" s="252"/>
      <c r="ROO383" s="252"/>
      <c r="ROP383" s="252"/>
      <c r="ROQ383" s="252"/>
      <c r="ROR383" s="252"/>
      <c r="ROS383" s="252"/>
      <c r="ROT383" s="252"/>
      <c r="ROU383" s="252"/>
      <c r="ROV383" s="252"/>
      <c r="ROW383" s="252"/>
      <c r="ROX383" s="252"/>
      <c r="ROY383" s="252"/>
      <c r="ROZ383" s="252"/>
      <c r="RPA383" s="252"/>
      <c r="RPB383" s="252"/>
      <c r="RPC383" s="252"/>
      <c r="RPD383" s="252"/>
      <c r="RPE383" s="252"/>
      <c r="RPF383" s="252"/>
      <c r="RPG383" s="252"/>
      <c r="RPH383" s="252"/>
      <c r="RPI383" s="252"/>
      <c r="RPJ383" s="252"/>
      <c r="RPK383" s="252"/>
      <c r="RPL383" s="252"/>
      <c r="RPM383" s="252"/>
      <c r="RPN383" s="252"/>
      <c r="RPO383" s="252"/>
      <c r="RPP383" s="252"/>
      <c r="RPQ383" s="252"/>
      <c r="RPR383" s="252"/>
      <c r="RPS383" s="252"/>
      <c r="RPT383" s="252"/>
      <c r="RPU383" s="252"/>
      <c r="RPV383" s="252"/>
      <c r="RPW383" s="252"/>
      <c r="RPX383" s="252"/>
      <c r="RPY383" s="252"/>
      <c r="RPZ383" s="252"/>
      <c r="RQA383" s="252"/>
      <c r="RQB383" s="252"/>
      <c r="RQC383" s="252"/>
      <c r="RQD383" s="252"/>
      <c r="RQE383" s="252"/>
      <c r="RQF383" s="252"/>
      <c r="RQG383" s="252"/>
      <c r="RQH383" s="252"/>
      <c r="RQI383" s="252"/>
      <c r="RQJ383" s="252"/>
      <c r="RQK383" s="252"/>
      <c r="RQL383" s="252"/>
      <c r="RQM383" s="252"/>
      <c r="RQN383" s="252"/>
      <c r="RQO383" s="252"/>
      <c r="RQP383" s="252"/>
      <c r="RQQ383" s="252"/>
      <c r="RQR383" s="252"/>
      <c r="RQS383" s="252"/>
      <c r="RQT383" s="252"/>
      <c r="RQU383" s="252"/>
      <c r="RQV383" s="252"/>
      <c r="RQW383" s="252"/>
      <c r="RQX383" s="252"/>
      <c r="RQY383" s="252"/>
      <c r="RQZ383" s="252"/>
      <c r="RRA383" s="252"/>
      <c r="RRB383" s="252"/>
      <c r="RRC383" s="252"/>
      <c r="RRD383" s="252"/>
      <c r="RRE383" s="252"/>
      <c r="RRF383" s="252"/>
      <c r="RRG383" s="252"/>
      <c r="RRH383" s="252"/>
      <c r="RRI383" s="252"/>
      <c r="RRJ383" s="252"/>
      <c r="RRK383" s="252"/>
      <c r="RRL383" s="252"/>
      <c r="RRM383" s="252"/>
      <c r="RRN383" s="252"/>
      <c r="RRO383" s="252"/>
      <c r="RRP383" s="252"/>
      <c r="RRQ383" s="252"/>
      <c r="RRR383" s="252"/>
      <c r="RRS383" s="252"/>
      <c r="RRT383" s="252"/>
      <c r="RRU383" s="252"/>
      <c r="RRV383" s="252"/>
      <c r="RRW383" s="252"/>
      <c r="RRX383" s="252"/>
      <c r="RRY383" s="252"/>
      <c r="RRZ383" s="252"/>
      <c r="RSA383" s="252"/>
      <c r="RSB383" s="252"/>
      <c r="RSC383" s="252"/>
      <c r="RSD383" s="252"/>
      <c r="RSE383" s="252"/>
      <c r="RSF383" s="252"/>
      <c r="RSG383" s="252"/>
      <c r="RSH383" s="252"/>
      <c r="RSI383" s="252"/>
      <c r="RSJ383" s="252"/>
      <c r="RSK383" s="252"/>
      <c r="RSL383" s="252"/>
      <c r="RSM383" s="252"/>
      <c r="RSN383" s="252"/>
      <c r="RSO383" s="252"/>
      <c r="RSP383" s="252"/>
      <c r="RSQ383" s="252"/>
      <c r="RSR383" s="252"/>
      <c r="RSS383" s="252"/>
      <c r="RST383" s="252"/>
      <c r="RSU383" s="252"/>
      <c r="RSV383" s="252"/>
      <c r="RSW383" s="252"/>
      <c r="RSX383" s="252"/>
      <c r="RSY383" s="252"/>
      <c r="RSZ383" s="252"/>
      <c r="RTA383" s="252"/>
      <c r="RTB383" s="252"/>
      <c r="RTC383" s="252"/>
      <c r="RTD383" s="252"/>
      <c r="RTE383" s="252"/>
      <c r="RTF383" s="252"/>
      <c r="RTG383" s="252"/>
      <c r="RTH383" s="252"/>
      <c r="RTI383" s="252"/>
      <c r="RTJ383" s="252"/>
      <c r="RTK383" s="252"/>
      <c r="RTL383" s="252"/>
      <c r="RTM383" s="252"/>
      <c r="RTN383" s="252"/>
      <c r="RTO383" s="252"/>
      <c r="RTP383" s="252"/>
      <c r="RTQ383" s="252"/>
      <c r="RTR383" s="252"/>
      <c r="RTS383" s="252"/>
      <c r="RTT383" s="252"/>
      <c r="RTU383" s="252"/>
      <c r="RTV383" s="252"/>
      <c r="RTW383" s="252"/>
      <c r="RTX383" s="252"/>
      <c r="RTY383" s="252"/>
      <c r="RTZ383" s="252"/>
      <c r="RUA383" s="252"/>
      <c r="RUB383" s="252"/>
      <c r="RUC383" s="252"/>
      <c r="RUD383" s="252"/>
      <c r="RUE383" s="252"/>
      <c r="RUF383" s="252"/>
      <c r="RUG383" s="252"/>
      <c r="RUH383" s="252"/>
      <c r="RUI383" s="252"/>
      <c r="RUJ383" s="252"/>
      <c r="RUK383" s="252"/>
      <c r="RUL383" s="252"/>
      <c r="RUM383" s="252"/>
      <c r="RUN383" s="252"/>
      <c r="RUO383" s="252"/>
      <c r="RUP383" s="252"/>
      <c r="RUQ383" s="252"/>
      <c r="RUR383" s="252"/>
      <c r="RUS383" s="252"/>
      <c r="RUT383" s="252"/>
      <c r="RUU383" s="252"/>
      <c r="RUV383" s="252"/>
      <c r="RUW383" s="252"/>
      <c r="RUX383" s="252"/>
      <c r="RUY383" s="252"/>
      <c r="RUZ383" s="252"/>
      <c r="RVA383" s="252"/>
      <c r="RVB383" s="252"/>
      <c r="RVC383" s="252"/>
      <c r="RVD383" s="252"/>
      <c r="RVE383" s="252"/>
      <c r="RVF383" s="252"/>
      <c r="RVG383" s="252"/>
      <c r="RVH383" s="252"/>
      <c r="RVI383" s="252"/>
      <c r="RVJ383" s="252"/>
      <c r="RVK383" s="252"/>
      <c r="RVL383" s="252"/>
      <c r="RVM383" s="252"/>
      <c r="RVN383" s="252"/>
      <c r="RVO383" s="252"/>
      <c r="RVP383" s="252"/>
      <c r="RVQ383" s="252"/>
      <c r="RVR383" s="252"/>
      <c r="RVS383" s="252"/>
      <c r="RVT383" s="252"/>
      <c r="RVU383" s="252"/>
      <c r="RVV383" s="252"/>
      <c r="RVW383" s="252"/>
      <c r="RVX383" s="252"/>
      <c r="RVY383" s="252"/>
      <c r="RVZ383" s="252"/>
      <c r="RWA383" s="252"/>
      <c r="RWB383" s="252"/>
      <c r="RWC383" s="252"/>
      <c r="RWD383" s="252"/>
      <c r="RWE383" s="252"/>
      <c r="RWF383" s="252"/>
      <c r="RWG383" s="252"/>
      <c r="RWH383" s="252"/>
      <c r="RWI383" s="252"/>
      <c r="RWJ383" s="252"/>
      <c r="RWK383" s="252"/>
      <c r="RWL383" s="252"/>
      <c r="RWM383" s="252"/>
      <c r="RWN383" s="252"/>
      <c r="RWO383" s="252"/>
      <c r="RWP383" s="252"/>
      <c r="RWQ383" s="252"/>
      <c r="RWR383" s="252"/>
      <c r="RWS383" s="252"/>
      <c r="RWT383" s="252"/>
      <c r="RWU383" s="252"/>
      <c r="RWV383" s="252"/>
      <c r="RWW383" s="252"/>
      <c r="RWX383" s="252"/>
      <c r="RWY383" s="252"/>
      <c r="RWZ383" s="252"/>
      <c r="RXA383" s="252"/>
      <c r="RXB383" s="252"/>
      <c r="RXC383" s="252"/>
      <c r="RXD383" s="252"/>
      <c r="RXE383" s="252"/>
      <c r="RXF383" s="252"/>
      <c r="RXG383" s="252"/>
      <c r="RXH383" s="252"/>
      <c r="RXI383" s="252"/>
      <c r="RXJ383" s="252"/>
      <c r="RXK383" s="252"/>
      <c r="RXL383" s="252"/>
      <c r="RXM383" s="252"/>
      <c r="RXN383" s="252"/>
      <c r="RXO383" s="252"/>
      <c r="RXP383" s="252"/>
      <c r="RXQ383" s="252"/>
      <c r="RXR383" s="252"/>
      <c r="RXS383" s="252"/>
      <c r="RXT383" s="252"/>
      <c r="RXU383" s="252"/>
      <c r="RXV383" s="252"/>
      <c r="RXW383" s="252"/>
      <c r="RXX383" s="252"/>
      <c r="RXY383" s="252"/>
      <c r="RXZ383" s="252"/>
      <c r="RYA383" s="252"/>
      <c r="RYB383" s="252"/>
      <c r="RYC383" s="252"/>
      <c r="RYD383" s="252"/>
      <c r="RYE383" s="252"/>
      <c r="RYF383" s="252"/>
      <c r="RYG383" s="252"/>
      <c r="RYH383" s="252"/>
      <c r="RYI383" s="252"/>
      <c r="RYJ383" s="252"/>
      <c r="RYK383" s="252"/>
      <c r="RYL383" s="252"/>
      <c r="RYM383" s="252"/>
      <c r="RYN383" s="252"/>
      <c r="RYO383" s="252"/>
      <c r="RYP383" s="252"/>
      <c r="RYQ383" s="252"/>
      <c r="RYR383" s="252"/>
      <c r="RYS383" s="252"/>
      <c r="RYT383" s="252"/>
      <c r="RYU383" s="252"/>
      <c r="RYV383" s="252"/>
      <c r="RYW383" s="252"/>
      <c r="RYX383" s="252"/>
      <c r="RYY383" s="252"/>
      <c r="RYZ383" s="252"/>
      <c r="RZA383" s="252"/>
      <c r="RZB383" s="252"/>
      <c r="RZC383" s="252"/>
      <c r="RZD383" s="252"/>
      <c r="RZE383" s="252"/>
      <c r="RZF383" s="252"/>
      <c r="RZG383" s="252"/>
      <c r="RZH383" s="252"/>
      <c r="RZI383" s="252"/>
      <c r="RZJ383" s="252"/>
      <c r="RZK383" s="252"/>
      <c r="RZL383" s="252"/>
      <c r="RZM383" s="252"/>
      <c r="RZN383" s="252"/>
      <c r="RZO383" s="252"/>
      <c r="RZP383" s="252"/>
      <c r="RZQ383" s="252"/>
      <c r="RZR383" s="252"/>
      <c r="RZS383" s="252"/>
      <c r="RZT383" s="252"/>
      <c r="RZU383" s="252"/>
      <c r="RZV383" s="252"/>
      <c r="RZW383" s="252"/>
      <c r="RZX383" s="252"/>
      <c r="RZY383" s="252"/>
      <c r="RZZ383" s="252"/>
      <c r="SAA383" s="252"/>
      <c r="SAB383" s="252"/>
      <c r="SAC383" s="252"/>
      <c r="SAD383" s="252"/>
      <c r="SAE383" s="252"/>
      <c r="SAF383" s="252"/>
      <c r="SAG383" s="252"/>
      <c r="SAH383" s="252"/>
      <c r="SAI383" s="252"/>
      <c r="SAJ383" s="252"/>
      <c r="SAK383" s="252"/>
      <c r="SAL383" s="252"/>
      <c r="SAM383" s="252"/>
      <c r="SAN383" s="252"/>
      <c r="SAO383" s="252"/>
      <c r="SAP383" s="252"/>
      <c r="SAQ383" s="252"/>
      <c r="SAR383" s="252"/>
      <c r="SAS383" s="252"/>
      <c r="SAT383" s="252"/>
      <c r="SAU383" s="252"/>
      <c r="SAV383" s="252"/>
      <c r="SAW383" s="252"/>
      <c r="SAX383" s="252"/>
      <c r="SAY383" s="252"/>
      <c r="SAZ383" s="252"/>
      <c r="SBA383" s="252"/>
      <c r="SBB383" s="252"/>
      <c r="SBC383" s="252"/>
      <c r="SBD383" s="252"/>
      <c r="SBE383" s="252"/>
      <c r="SBF383" s="252"/>
      <c r="SBG383" s="252"/>
      <c r="SBH383" s="252"/>
      <c r="SBI383" s="252"/>
      <c r="SBJ383" s="252"/>
      <c r="SBK383" s="252"/>
      <c r="SBL383" s="252"/>
      <c r="SBM383" s="252"/>
      <c r="SBN383" s="252"/>
      <c r="SBO383" s="252"/>
      <c r="SBP383" s="252"/>
      <c r="SBQ383" s="252"/>
      <c r="SBR383" s="252"/>
      <c r="SBS383" s="252"/>
      <c r="SBT383" s="252"/>
      <c r="SBU383" s="252"/>
      <c r="SBV383" s="252"/>
      <c r="SBW383" s="252"/>
      <c r="SBX383" s="252"/>
      <c r="SBY383" s="252"/>
      <c r="SBZ383" s="252"/>
      <c r="SCA383" s="252"/>
      <c r="SCB383" s="252"/>
      <c r="SCC383" s="252"/>
      <c r="SCD383" s="252"/>
      <c r="SCE383" s="252"/>
      <c r="SCF383" s="252"/>
      <c r="SCG383" s="252"/>
      <c r="SCH383" s="252"/>
      <c r="SCI383" s="252"/>
      <c r="SCJ383" s="252"/>
      <c r="SCK383" s="252"/>
      <c r="SCL383" s="252"/>
      <c r="SCM383" s="252"/>
      <c r="SCN383" s="252"/>
      <c r="SCO383" s="252"/>
      <c r="SCP383" s="252"/>
      <c r="SCQ383" s="252"/>
      <c r="SCR383" s="252"/>
      <c r="SCS383" s="252"/>
      <c r="SCT383" s="252"/>
      <c r="SCU383" s="252"/>
      <c r="SCV383" s="252"/>
      <c r="SCW383" s="252"/>
      <c r="SCX383" s="252"/>
      <c r="SCY383" s="252"/>
      <c r="SCZ383" s="252"/>
      <c r="SDA383" s="252"/>
      <c r="SDB383" s="252"/>
      <c r="SDC383" s="252"/>
      <c r="SDD383" s="252"/>
      <c r="SDE383" s="252"/>
      <c r="SDF383" s="252"/>
      <c r="SDG383" s="252"/>
      <c r="SDH383" s="252"/>
      <c r="SDI383" s="252"/>
      <c r="SDJ383" s="252"/>
      <c r="SDK383" s="252"/>
      <c r="SDL383" s="252"/>
      <c r="SDM383" s="252"/>
      <c r="SDN383" s="252"/>
      <c r="SDO383" s="252"/>
      <c r="SDP383" s="252"/>
      <c r="SDQ383" s="252"/>
      <c r="SDR383" s="252"/>
      <c r="SDS383" s="252"/>
      <c r="SDT383" s="252"/>
      <c r="SDU383" s="252"/>
      <c r="SDV383" s="252"/>
      <c r="SDW383" s="252"/>
      <c r="SDX383" s="252"/>
      <c r="SDY383" s="252"/>
      <c r="SDZ383" s="252"/>
      <c r="SEA383" s="252"/>
      <c r="SEB383" s="252"/>
      <c r="SEC383" s="252"/>
      <c r="SED383" s="252"/>
      <c r="SEE383" s="252"/>
      <c r="SEF383" s="252"/>
      <c r="SEG383" s="252"/>
      <c r="SEH383" s="252"/>
      <c r="SEI383" s="252"/>
      <c r="SEJ383" s="252"/>
      <c r="SEK383" s="252"/>
      <c r="SEL383" s="252"/>
      <c r="SEM383" s="252"/>
      <c r="SEN383" s="252"/>
      <c r="SEO383" s="252"/>
      <c r="SEP383" s="252"/>
      <c r="SEQ383" s="252"/>
      <c r="SER383" s="252"/>
      <c r="SES383" s="252"/>
      <c r="SET383" s="252"/>
      <c r="SEU383" s="252"/>
      <c r="SEV383" s="252"/>
      <c r="SEW383" s="252"/>
      <c r="SEX383" s="252"/>
      <c r="SEY383" s="252"/>
      <c r="SEZ383" s="252"/>
      <c r="SFA383" s="252"/>
      <c r="SFB383" s="252"/>
      <c r="SFC383" s="252"/>
      <c r="SFD383" s="252"/>
      <c r="SFE383" s="252"/>
      <c r="SFF383" s="252"/>
      <c r="SFG383" s="252"/>
      <c r="SFH383" s="252"/>
      <c r="SFI383" s="252"/>
      <c r="SFJ383" s="252"/>
      <c r="SFK383" s="252"/>
      <c r="SFL383" s="252"/>
      <c r="SFM383" s="252"/>
      <c r="SFN383" s="252"/>
      <c r="SFO383" s="252"/>
      <c r="SFP383" s="252"/>
      <c r="SFQ383" s="252"/>
      <c r="SFR383" s="252"/>
      <c r="SFS383" s="252"/>
      <c r="SFT383" s="252"/>
      <c r="SFU383" s="252"/>
      <c r="SFV383" s="252"/>
      <c r="SFW383" s="252"/>
      <c r="SFX383" s="252"/>
      <c r="SFY383" s="252"/>
      <c r="SFZ383" s="252"/>
      <c r="SGA383" s="252"/>
      <c r="SGB383" s="252"/>
      <c r="SGC383" s="252"/>
      <c r="SGD383" s="252"/>
      <c r="SGE383" s="252"/>
      <c r="SGF383" s="252"/>
      <c r="SGG383" s="252"/>
      <c r="SGH383" s="252"/>
      <c r="SGI383" s="252"/>
      <c r="SGJ383" s="252"/>
      <c r="SGK383" s="252"/>
      <c r="SGL383" s="252"/>
      <c r="SGM383" s="252"/>
      <c r="SGN383" s="252"/>
      <c r="SGO383" s="252"/>
      <c r="SGP383" s="252"/>
      <c r="SGQ383" s="252"/>
      <c r="SGR383" s="252"/>
      <c r="SGS383" s="252"/>
      <c r="SGT383" s="252"/>
      <c r="SGU383" s="252"/>
      <c r="SGV383" s="252"/>
      <c r="SGW383" s="252"/>
      <c r="SGX383" s="252"/>
      <c r="SGY383" s="252"/>
      <c r="SGZ383" s="252"/>
      <c r="SHA383" s="252"/>
      <c r="SHB383" s="252"/>
      <c r="SHC383" s="252"/>
      <c r="SHD383" s="252"/>
      <c r="SHE383" s="252"/>
      <c r="SHF383" s="252"/>
      <c r="SHG383" s="252"/>
      <c r="SHH383" s="252"/>
      <c r="SHI383" s="252"/>
      <c r="SHJ383" s="252"/>
      <c r="SHK383" s="252"/>
      <c r="SHL383" s="252"/>
      <c r="SHM383" s="252"/>
      <c r="SHN383" s="252"/>
      <c r="SHO383" s="252"/>
      <c r="SHP383" s="252"/>
      <c r="SHQ383" s="252"/>
      <c r="SHR383" s="252"/>
      <c r="SHS383" s="252"/>
      <c r="SHT383" s="252"/>
      <c r="SHU383" s="252"/>
      <c r="SHV383" s="252"/>
      <c r="SHW383" s="252"/>
      <c r="SHX383" s="252"/>
      <c r="SHY383" s="252"/>
      <c r="SHZ383" s="252"/>
      <c r="SIA383" s="252"/>
      <c r="SIB383" s="252"/>
      <c r="SIC383" s="252"/>
      <c r="SID383" s="252"/>
      <c r="SIE383" s="252"/>
      <c r="SIF383" s="252"/>
      <c r="SIG383" s="252"/>
      <c r="SIH383" s="252"/>
      <c r="SII383" s="252"/>
      <c r="SIJ383" s="252"/>
      <c r="SIK383" s="252"/>
      <c r="SIL383" s="252"/>
      <c r="SIM383" s="252"/>
      <c r="SIN383" s="252"/>
      <c r="SIO383" s="252"/>
      <c r="SIP383" s="252"/>
      <c r="SIQ383" s="252"/>
      <c r="SIR383" s="252"/>
      <c r="SIS383" s="252"/>
      <c r="SIT383" s="252"/>
      <c r="SIU383" s="252"/>
      <c r="SIV383" s="252"/>
      <c r="SIW383" s="252"/>
      <c r="SIX383" s="252"/>
      <c r="SIY383" s="252"/>
      <c r="SIZ383" s="252"/>
      <c r="SJA383" s="252"/>
      <c r="SJB383" s="252"/>
      <c r="SJC383" s="252"/>
      <c r="SJD383" s="252"/>
      <c r="SJE383" s="252"/>
      <c r="SJF383" s="252"/>
      <c r="SJG383" s="252"/>
      <c r="SJH383" s="252"/>
      <c r="SJI383" s="252"/>
      <c r="SJJ383" s="252"/>
      <c r="SJK383" s="252"/>
      <c r="SJL383" s="252"/>
      <c r="SJM383" s="252"/>
      <c r="SJN383" s="252"/>
      <c r="SJO383" s="252"/>
      <c r="SJP383" s="252"/>
      <c r="SJQ383" s="252"/>
      <c r="SJR383" s="252"/>
      <c r="SJS383" s="252"/>
      <c r="SJT383" s="252"/>
      <c r="SJU383" s="252"/>
      <c r="SJV383" s="252"/>
      <c r="SJW383" s="252"/>
      <c r="SJX383" s="252"/>
      <c r="SJY383" s="252"/>
      <c r="SJZ383" s="252"/>
      <c r="SKA383" s="252"/>
      <c r="SKB383" s="252"/>
      <c r="SKC383" s="252"/>
      <c r="SKD383" s="252"/>
      <c r="SKE383" s="252"/>
      <c r="SKF383" s="252"/>
      <c r="SKG383" s="252"/>
      <c r="SKH383" s="252"/>
      <c r="SKI383" s="252"/>
      <c r="SKJ383" s="252"/>
      <c r="SKK383" s="252"/>
      <c r="SKL383" s="252"/>
      <c r="SKM383" s="252"/>
      <c r="SKN383" s="252"/>
      <c r="SKO383" s="252"/>
      <c r="SKP383" s="252"/>
      <c r="SKQ383" s="252"/>
      <c r="SKR383" s="252"/>
      <c r="SKS383" s="252"/>
      <c r="SKT383" s="252"/>
      <c r="SKU383" s="252"/>
      <c r="SKV383" s="252"/>
      <c r="SKW383" s="252"/>
      <c r="SKX383" s="252"/>
      <c r="SKY383" s="252"/>
      <c r="SKZ383" s="252"/>
      <c r="SLA383" s="252"/>
      <c r="SLB383" s="252"/>
      <c r="SLC383" s="252"/>
      <c r="SLD383" s="252"/>
      <c r="SLE383" s="252"/>
      <c r="SLF383" s="252"/>
      <c r="SLG383" s="252"/>
      <c r="SLH383" s="252"/>
      <c r="SLI383" s="252"/>
      <c r="SLJ383" s="252"/>
      <c r="SLK383" s="252"/>
      <c r="SLL383" s="252"/>
      <c r="SLM383" s="252"/>
      <c r="SLN383" s="252"/>
      <c r="SLO383" s="252"/>
      <c r="SLP383" s="252"/>
      <c r="SLQ383" s="252"/>
      <c r="SLR383" s="252"/>
      <c r="SLS383" s="252"/>
      <c r="SLT383" s="252"/>
      <c r="SLU383" s="252"/>
      <c r="SLV383" s="252"/>
      <c r="SLW383" s="252"/>
      <c r="SLX383" s="252"/>
      <c r="SLY383" s="252"/>
      <c r="SLZ383" s="252"/>
      <c r="SMA383" s="252"/>
      <c r="SMB383" s="252"/>
      <c r="SMC383" s="252"/>
      <c r="SMD383" s="252"/>
      <c r="SME383" s="252"/>
      <c r="SMF383" s="252"/>
      <c r="SMG383" s="252"/>
      <c r="SMH383" s="252"/>
      <c r="SMI383" s="252"/>
      <c r="SMJ383" s="252"/>
      <c r="SMK383" s="252"/>
      <c r="SML383" s="252"/>
      <c r="SMM383" s="252"/>
      <c r="SMN383" s="252"/>
      <c r="SMO383" s="252"/>
      <c r="SMP383" s="252"/>
      <c r="SMQ383" s="252"/>
      <c r="SMR383" s="252"/>
      <c r="SMS383" s="252"/>
      <c r="SMT383" s="252"/>
      <c r="SMU383" s="252"/>
      <c r="SMV383" s="252"/>
      <c r="SMW383" s="252"/>
      <c r="SMX383" s="252"/>
      <c r="SMY383" s="252"/>
      <c r="SMZ383" s="252"/>
      <c r="SNA383" s="252"/>
      <c r="SNB383" s="252"/>
      <c r="SNC383" s="252"/>
      <c r="SND383" s="252"/>
      <c r="SNE383" s="252"/>
      <c r="SNF383" s="252"/>
      <c r="SNG383" s="252"/>
      <c r="SNH383" s="252"/>
      <c r="SNI383" s="252"/>
      <c r="SNJ383" s="252"/>
      <c r="SNK383" s="252"/>
      <c r="SNL383" s="252"/>
      <c r="SNM383" s="252"/>
      <c r="SNN383" s="252"/>
      <c r="SNO383" s="252"/>
      <c r="SNP383" s="252"/>
      <c r="SNQ383" s="252"/>
      <c r="SNR383" s="252"/>
      <c r="SNS383" s="252"/>
      <c r="SNT383" s="252"/>
      <c r="SNU383" s="252"/>
      <c r="SNV383" s="252"/>
      <c r="SNW383" s="252"/>
      <c r="SNX383" s="252"/>
      <c r="SNY383" s="252"/>
      <c r="SNZ383" s="252"/>
      <c r="SOA383" s="252"/>
      <c r="SOB383" s="252"/>
      <c r="SOC383" s="252"/>
      <c r="SOD383" s="252"/>
      <c r="SOE383" s="252"/>
      <c r="SOF383" s="252"/>
      <c r="SOG383" s="252"/>
      <c r="SOH383" s="252"/>
      <c r="SOI383" s="252"/>
      <c r="SOJ383" s="252"/>
      <c r="SOK383" s="252"/>
      <c r="SOL383" s="252"/>
      <c r="SOM383" s="252"/>
      <c r="SON383" s="252"/>
      <c r="SOO383" s="252"/>
      <c r="SOP383" s="252"/>
      <c r="SOQ383" s="252"/>
      <c r="SOR383" s="252"/>
      <c r="SOS383" s="252"/>
      <c r="SOT383" s="252"/>
      <c r="SOU383" s="252"/>
      <c r="SOV383" s="252"/>
      <c r="SOW383" s="252"/>
      <c r="SOX383" s="252"/>
      <c r="SOY383" s="252"/>
      <c r="SOZ383" s="252"/>
      <c r="SPA383" s="252"/>
      <c r="SPB383" s="252"/>
      <c r="SPC383" s="252"/>
      <c r="SPD383" s="252"/>
      <c r="SPE383" s="252"/>
      <c r="SPF383" s="252"/>
      <c r="SPG383" s="252"/>
      <c r="SPH383" s="252"/>
      <c r="SPI383" s="252"/>
      <c r="SPJ383" s="252"/>
      <c r="SPK383" s="252"/>
      <c r="SPL383" s="252"/>
      <c r="SPM383" s="252"/>
      <c r="SPN383" s="252"/>
      <c r="SPO383" s="252"/>
      <c r="SPP383" s="252"/>
      <c r="SPQ383" s="252"/>
      <c r="SPR383" s="252"/>
      <c r="SPS383" s="252"/>
      <c r="SPT383" s="252"/>
      <c r="SPU383" s="252"/>
      <c r="SPV383" s="252"/>
      <c r="SPW383" s="252"/>
      <c r="SPX383" s="252"/>
      <c r="SPY383" s="252"/>
      <c r="SPZ383" s="252"/>
      <c r="SQA383" s="252"/>
      <c r="SQB383" s="252"/>
      <c r="SQC383" s="252"/>
      <c r="SQD383" s="252"/>
      <c r="SQE383" s="252"/>
      <c r="SQF383" s="252"/>
      <c r="SQG383" s="252"/>
      <c r="SQH383" s="252"/>
      <c r="SQI383" s="252"/>
      <c r="SQJ383" s="252"/>
      <c r="SQK383" s="252"/>
      <c r="SQL383" s="252"/>
      <c r="SQM383" s="252"/>
      <c r="SQN383" s="252"/>
      <c r="SQO383" s="252"/>
      <c r="SQP383" s="252"/>
      <c r="SQQ383" s="252"/>
      <c r="SQR383" s="252"/>
      <c r="SQS383" s="252"/>
      <c r="SQT383" s="252"/>
      <c r="SQU383" s="252"/>
      <c r="SQV383" s="252"/>
      <c r="SQW383" s="252"/>
      <c r="SQX383" s="252"/>
      <c r="SQY383" s="252"/>
      <c r="SQZ383" s="252"/>
      <c r="SRA383" s="252"/>
      <c r="SRB383" s="252"/>
      <c r="SRC383" s="252"/>
      <c r="SRD383" s="252"/>
      <c r="SRE383" s="252"/>
      <c r="SRF383" s="252"/>
      <c r="SRG383" s="252"/>
      <c r="SRH383" s="252"/>
      <c r="SRI383" s="252"/>
      <c r="SRJ383" s="252"/>
      <c r="SRK383" s="252"/>
      <c r="SRL383" s="252"/>
      <c r="SRM383" s="252"/>
      <c r="SRN383" s="252"/>
      <c r="SRO383" s="252"/>
      <c r="SRP383" s="252"/>
      <c r="SRQ383" s="252"/>
      <c r="SRR383" s="252"/>
      <c r="SRS383" s="252"/>
      <c r="SRT383" s="252"/>
      <c r="SRU383" s="252"/>
      <c r="SRV383" s="252"/>
      <c r="SRW383" s="252"/>
      <c r="SRX383" s="252"/>
      <c r="SRY383" s="252"/>
      <c r="SRZ383" s="252"/>
      <c r="SSA383" s="252"/>
      <c r="SSB383" s="252"/>
      <c r="SSC383" s="252"/>
      <c r="SSD383" s="252"/>
      <c r="SSE383" s="252"/>
      <c r="SSF383" s="252"/>
      <c r="SSG383" s="252"/>
      <c r="SSH383" s="252"/>
      <c r="SSI383" s="252"/>
      <c r="SSJ383" s="252"/>
      <c r="SSK383" s="252"/>
      <c r="SSL383" s="252"/>
      <c r="SSM383" s="252"/>
      <c r="SSN383" s="252"/>
      <c r="SSO383" s="252"/>
      <c r="SSP383" s="252"/>
      <c r="SSQ383" s="252"/>
      <c r="SSR383" s="252"/>
      <c r="SSS383" s="252"/>
      <c r="SST383" s="252"/>
      <c r="SSU383" s="252"/>
      <c r="SSV383" s="252"/>
      <c r="SSW383" s="252"/>
      <c r="SSX383" s="252"/>
      <c r="SSY383" s="252"/>
      <c r="SSZ383" s="252"/>
      <c r="STA383" s="252"/>
      <c r="STB383" s="252"/>
      <c r="STC383" s="252"/>
      <c r="STD383" s="252"/>
      <c r="STE383" s="252"/>
      <c r="STF383" s="252"/>
      <c r="STG383" s="252"/>
      <c r="STH383" s="252"/>
      <c r="STI383" s="252"/>
      <c r="STJ383" s="252"/>
      <c r="STK383" s="252"/>
      <c r="STL383" s="252"/>
      <c r="STM383" s="252"/>
      <c r="STN383" s="252"/>
      <c r="STO383" s="252"/>
      <c r="STP383" s="252"/>
      <c r="STQ383" s="252"/>
      <c r="STR383" s="252"/>
      <c r="STS383" s="252"/>
      <c r="STT383" s="252"/>
      <c r="STU383" s="252"/>
      <c r="STV383" s="252"/>
      <c r="STW383" s="252"/>
      <c r="STX383" s="252"/>
      <c r="STY383" s="252"/>
      <c r="STZ383" s="252"/>
      <c r="SUA383" s="252"/>
      <c r="SUB383" s="252"/>
      <c r="SUC383" s="252"/>
      <c r="SUD383" s="252"/>
      <c r="SUE383" s="252"/>
      <c r="SUF383" s="252"/>
      <c r="SUG383" s="252"/>
      <c r="SUH383" s="252"/>
      <c r="SUI383" s="252"/>
      <c r="SUJ383" s="252"/>
      <c r="SUK383" s="252"/>
      <c r="SUL383" s="252"/>
      <c r="SUM383" s="252"/>
      <c r="SUN383" s="252"/>
      <c r="SUO383" s="252"/>
      <c r="SUP383" s="252"/>
      <c r="SUQ383" s="252"/>
      <c r="SUR383" s="252"/>
      <c r="SUS383" s="252"/>
      <c r="SUT383" s="252"/>
      <c r="SUU383" s="252"/>
      <c r="SUV383" s="252"/>
      <c r="SUW383" s="252"/>
      <c r="SUX383" s="252"/>
      <c r="SUY383" s="252"/>
      <c r="SUZ383" s="252"/>
      <c r="SVA383" s="252"/>
      <c r="SVB383" s="252"/>
      <c r="SVC383" s="252"/>
      <c r="SVD383" s="252"/>
      <c r="SVE383" s="252"/>
      <c r="SVF383" s="252"/>
      <c r="SVG383" s="252"/>
      <c r="SVH383" s="252"/>
      <c r="SVI383" s="252"/>
      <c r="SVJ383" s="252"/>
      <c r="SVK383" s="252"/>
      <c r="SVL383" s="252"/>
      <c r="SVM383" s="252"/>
      <c r="SVN383" s="252"/>
      <c r="SVO383" s="252"/>
      <c r="SVP383" s="252"/>
      <c r="SVQ383" s="252"/>
      <c r="SVR383" s="252"/>
      <c r="SVS383" s="252"/>
      <c r="SVT383" s="252"/>
      <c r="SVU383" s="252"/>
      <c r="SVV383" s="252"/>
      <c r="SVW383" s="252"/>
      <c r="SVX383" s="252"/>
      <c r="SVY383" s="252"/>
      <c r="SVZ383" s="252"/>
      <c r="SWA383" s="252"/>
      <c r="SWB383" s="252"/>
      <c r="SWC383" s="252"/>
      <c r="SWD383" s="252"/>
      <c r="SWE383" s="252"/>
      <c r="SWF383" s="252"/>
      <c r="SWG383" s="252"/>
      <c r="SWH383" s="252"/>
      <c r="SWI383" s="252"/>
      <c r="SWJ383" s="252"/>
      <c r="SWK383" s="252"/>
      <c r="SWL383" s="252"/>
      <c r="SWM383" s="252"/>
      <c r="SWN383" s="252"/>
      <c r="SWO383" s="252"/>
      <c r="SWP383" s="252"/>
      <c r="SWQ383" s="252"/>
      <c r="SWR383" s="252"/>
      <c r="SWS383" s="252"/>
      <c r="SWT383" s="252"/>
      <c r="SWU383" s="252"/>
      <c r="SWV383" s="252"/>
      <c r="SWW383" s="252"/>
      <c r="SWX383" s="252"/>
      <c r="SWY383" s="252"/>
      <c r="SWZ383" s="252"/>
      <c r="SXA383" s="252"/>
      <c r="SXB383" s="252"/>
      <c r="SXC383" s="252"/>
      <c r="SXD383" s="252"/>
      <c r="SXE383" s="252"/>
      <c r="SXF383" s="252"/>
      <c r="SXG383" s="252"/>
      <c r="SXH383" s="252"/>
      <c r="SXI383" s="252"/>
      <c r="SXJ383" s="252"/>
      <c r="SXK383" s="252"/>
      <c r="SXL383" s="252"/>
      <c r="SXM383" s="252"/>
      <c r="SXN383" s="252"/>
      <c r="SXO383" s="252"/>
      <c r="SXP383" s="252"/>
      <c r="SXQ383" s="252"/>
      <c r="SXR383" s="252"/>
      <c r="SXS383" s="252"/>
      <c r="SXT383" s="252"/>
      <c r="SXU383" s="252"/>
      <c r="SXV383" s="252"/>
      <c r="SXW383" s="252"/>
      <c r="SXX383" s="252"/>
      <c r="SXY383" s="252"/>
      <c r="SXZ383" s="252"/>
      <c r="SYA383" s="252"/>
      <c r="SYB383" s="252"/>
      <c r="SYC383" s="252"/>
      <c r="SYD383" s="252"/>
      <c r="SYE383" s="252"/>
      <c r="SYF383" s="252"/>
      <c r="SYG383" s="252"/>
      <c r="SYH383" s="252"/>
      <c r="SYI383" s="252"/>
      <c r="SYJ383" s="252"/>
      <c r="SYK383" s="252"/>
      <c r="SYL383" s="252"/>
      <c r="SYM383" s="252"/>
      <c r="SYN383" s="252"/>
      <c r="SYO383" s="252"/>
      <c r="SYP383" s="252"/>
      <c r="SYQ383" s="252"/>
      <c r="SYR383" s="252"/>
      <c r="SYS383" s="252"/>
      <c r="SYT383" s="252"/>
      <c r="SYU383" s="252"/>
      <c r="SYV383" s="252"/>
      <c r="SYW383" s="252"/>
      <c r="SYX383" s="252"/>
      <c r="SYY383" s="252"/>
      <c r="SYZ383" s="252"/>
      <c r="SZA383" s="252"/>
      <c r="SZB383" s="252"/>
      <c r="SZC383" s="252"/>
      <c r="SZD383" s="252"/>
      <c r="SZE383" s="252"/>
      <c r="SZF383" s="252"/>
      <c r="SZG383" s="252"/>
      <c r="SZH383" s="252"/>
      <c r="SZI383" s="252"/>
      <c r="SZJ383" s="252"/>
      <c r="SZK383" s="252"/>
      <c r="SZL383" s="252"/>
      <c r="SZM383" s="252"/>
      <c r="SZN383" s="252"/>
      <c r="SZO383" s="252"/>
      <c r="SZP383" s="252"/>
      <c r="SZQ383" s="252"/>
      <c r="SZR383" s="252"/>
      <c r="SZS383" s="252"/>
      <c r="SZT383" s="252"/>
      <c r="SZU383" s="252"/>
      <c r="SZV383" s="252"/>
      <c r="SZW383" s="252"/>
      <c r="SZX383" s="252"/>
      <c r="SZY383" s="252"/>
      <c r="SZZ383" s="252"/>
      <c r="TAA383" s="252"/>
      <c r="TAB383" s="252"/>
      <c r="TAC383" s="252"/>
      <c r="TAD383" s="252"/>
      <c r="TAE383" s="252"/>
      <c r="TAF383" s="252"/>
      <c r="TAG383" s="252"/>
      <c r="TAH383" s="252"/>
      <c r="TAI383" s="252"/>
      <c r="TAJ383" s="252"/>
      <c r="TAK383" s="252"/>
      <c r="TAL383" s="252"/>
      <c r="TAM383" s="252"/>
      <c r="TAN383" s="252"/>
      <c r="TAO383" s="252"/>
      <c r="TAP383" s="252"/>
      <c r="TAQ383" s="252"/>
      <c r="TAR383" s="252"/>
      <c r="TAS383" s="252"/>
      <c r="TAT383" s="252"/>
      <c r="TAU383" s="252"/>
      <c r="TAV383" s="252"/>
      <c r="TAW383" s="252"/>
      <c r="TAX383" s="252"/>
      <c r="TAY383" s="252"/>
      <c r="TAZ383" s="252"/>
      <c r="TBA383" s="252"/>
      <c r="TBB383" s="252"/>
      <c r="TBC383" s="252"/>
      <c r="TBD383" s="252"/>
      <c r="TBE383" s="252"/>
      <c r="TBF383" s="252"/>
      <c r="TBG383" s="252"/>
      <c r="TBH383" s="252"/>
      <c r="TBI383" s="252"/>
      <c r="TBJ383" s="252"/>
      <c r="TBK383" s="252"/>
      <c r="TBL383" s="252"/>
      <c r="TBM383" s="252"/>
      <c r="TBN383" s="252"/>
      <c r="TBO383" s="252"/>
      <c r="TBP383" s="252"/>
      <c r="TBQ383" s="252"/>
      <c r="TBR383" s="252"/>
      <c r="TBS383" s="252"/>
      <c r="TBT383" s="252"/>
      <c r="TBU383" s="252"/>
      <c r="TBV383" s="252"/>
      <c r="TBW383" s="252"/>
      <c r="TBX383" s="252"/>
      <c r="TBY383" s="252"/>
      <c r="TBZ383" s="252"/>
      <c r="TCA383" s="252"/>
      <c r="TCB383" s="252"/>
      <c r="TCC383" s="252"/>
      <c r="TCD383" s="252"/>
      <c r="TCE383" s="252"/>
      <c r="TCF383" s="252"/>
      <c r="TCG383" s="252"/>
      <c r="TCH383" s="252"/>
      <c r="TCI383" s="252"/>
      <c r="TCJ383" s="252"/>
      <c r="TCK383" s="252"/>
      <c r="TCL383" s="252"/>
      <c r="TCM383" s="252"/>
      <c r="TCN383" s="252"/>
      <c r="TCO383" s="252"/>
      <c r="TCP383" s="252"/>
      <c r="TCQ383" s="252"/>
      <c r="TCR383" s="252"/>
      <c r="TCS383" s="252"/>
      <c r="TCT383" s="252"/>
      <c r="TCU383" s="252"/>
      <c r="TCV383" s="252"/>
      <c r="TCW383" s="252"/>
      <c r="TCX383" s="252"/>
      <c r="TCY383" s="252"/>
      <c r="TCZ383" s="252"/>
      <c r="TDA383" s="252"/>
      <c r="TDB383" s="252"/>
      <c r="TDC383" s="252"/>
      <c r="TDD383" s="252"/>
      <c r="TDE383" s="252"/>
      <c r="TDF383" s="252"/>
      <c r="TDG383" s="252"/>
      <c r="TDH383" s="252"/>
      <c r="TDI383" s="252"/>
      <c r="TDJ383" s="252"/>
      <c r="TDK383" s="252"/>
      <c r="TDL383" s="252"/>
      <c r="TDM383" s="252"/>
      <c r="TDN383" s="252"/>
      <c r="TDO383" s="252"/>
      <c r="TDP383" s="252"/>
      <c r="TDQ383" s="252"/>
      <c r="TDR383" s="252"/>
      <c r="TDS383" s="252"/>
      <c r="TDT383" s="252"/>
      <c r="TDU383" s="252"/>
      <c r="TDV383" s="252"/>
      <c r="TDW383" s="252"/>
      <c r="TDX383" s="252"/>
      <c r="TDY383" s="252"/>
      <c r="TDZ383" s="252"/>
      <c r="TEA383" s="252"/>
      <c r="TEB383" s="252"/>
      <c r="TEC383" s="252"/>
      <c r="TED383" s="252"/>
      <c r="TEE383" s="252"/>
      <c r="TEF383" s="252"/>
      <c r="TEG383" s="252"/>
      <c r="TEH383" s="252"/>
      <c r="TEI383" s="252"/>
      <c r="TEJ383" s="252"/>
      <c r="TEK383" s="252"/>
      <c r="TEL383" s="252"/>
      <c r="TEM383" s="252"/>
      <c r="TEN383" s="252"/>
      <c r="TEO383" s="252"/>
      <c r="TEP383" s="252"/>
      <c r="TEQ383" s="252"/>
      <c r="TER383" s="252"/>
      <c r="TES383" s="252"/>
      <c r="TET383" s="252"/>
      <c r="TEU383" s="252"/>
      <c r="TEV383" s="252"/>
      <c r="TEW383" s="252"/>
      <c r="TEX383" s="252"/>
      <c r="TEY383" s="252"/>
      <c r="TEZ383" s="252"/>
      <c r="TFA383" s="252"/>
      <c r="TFB383" s="252"/>
      <c r="TFC383" s="252"/>
      <c r="TFD383" s="252"/>
      <c r="TFE383" s="252"/>
      <c r="TFF383" s="252"/>
      <c r="TFG383" s="252"/>
      <c r="TFH383" s="252"/>
      <c r="TFI383" s="252"/>
      <c r="TFJ383" s="252"/>
      <c r="TFK383" s="252"/>
      <c r="TFL383" s="252"/>
      <c r="TFM383" s="252"/>
      <c r="TFN383" s="252"/>
      <c r="TFO383" s="252"/>
      <c r="TFP383" s="252"/>
      <c r="TFQ383" s="252"/>
      <c r="TFR383" s="252"/>
      <c r="TFS383" s="252"/>
      <c r="TFT383" s="252"/>
      <c r="TFU383" s="252"/>
      <c r="TFV383" s="252"/>
      <c r="TFW383" s="252"/>
      <c r="TFX383" s="252"/>
      <c r="TFY383" s="252"/>
      <c r="TFZ383" s="252"/>
      <c r="TGA383" s="252"/>
      <c r="TGB383" s="252"/>
      <c r="TGC383" s="252"/>
      <c r="TGD383" s="252"/>
      <c r="TGE383" s="252"/>
      <c r="TGF383" s="252"/>
      <c r="TGG383" s="252"/>
      <c r="TGH383" s="252"/>
      <c r="TGI383" s="252"/>
      <c r="TGJ383" s="252"/>
      <c r="TGK383" s="252"/>
      <c r="TGL383" s="252"/>
      <c r="TGM383" s="252"/>
      <c r="TGN383" s="252"/>
      <c r="TGO383" s="252"/>
      <c r="TGP383" s="252"/>
      <c r="TGQ383" s="252"/>
      <c r="TGR383" s="252"/>
      <c r="TGS383" s="252"/>
      <c r="TGT383" s="252"/>
      <c r="TGU383" s="252"/>
      <c r="TGV383" s="252"/>
      <c r="TGW383" s="252"/>
      <c r="TGX383" s="252"/>
      <c r="TGY383" s="252"/>
      <c r="TGZ383" s="252"/>
      <c r="THA383" s="252"/>
      <c r="THB383" s="252"/>
      <c r="THC383" s="252"/>
      <c r="THD383" s="252"/>
      <c r="THE383" s="252"/>
      <c r="THF383" s="252"/>
      <c r="THG383" s="252"/>
      <c r="THH383" s="252"/>
      <c r="THI383" s="252"/>
      <c r="THJ383" s="252"/>
      <c r="THK383" s="252"/>
      <c r="THL383" s="252"/>
      <c r="THM383" s="252"/>
      <c r="THN383" s="252"/>
      <c r="THO383" s="252"/>
      <c r="THP383" s="252"/>
      <c r="THQ383" s="252"/>
      <c r="THR383" s="252"/>
      <c r="THS383" s="252"/>
      <c r="THT383" s="252"/>
      <c r="THU383" s="252"/>
      <c r="THV383" s="252"/>
      <c r="THW383" s="252"/>
      <c r="THX383" s="252"/>
      <c r="THY383" s="252"/>
      <c r="THZ383" s="252"/>
      <c r="TIA383" s="252"/>
      <c r="TIB383" s="252"/>
      <c r="TIC383" s="252"/>
      <c r="TID383" s="252"/>
      <c r="TIE383" s="252"/>
      <c r="TIF383" s="252"/>
      <c r="TIG383" s="252"/>
      <c r="TIH383" s="252"/>
      <c r="TII383" s="252"/>
      <c r="TIJ383" s="252"/>
      <c r="TIK383" s="252"/>
      <c r="TIL383" s="252"/>
      <c r="TIM383" s="252"/>
      <c r="TIN383" s="252"/>
      <c r="TIO383" s="252"/>
      <c r="TIP383" s="252"/>
      <c r="TIQ383" s="252"/>
      <c r="TIR383" s="252"/>
      <c r="TIS383" s="252"/>
      <c r="TIT383" s="252"/>
      <c r="TIU383" s="252"/>
      <c r="TIV383" s="252"/>
      <c r="TIW383" s="252"/>
      <c r="TIX383" s="252"/>
      <c r="TIY383" s="252"/>
      <c r="TIZ383" s="252"/>
      <c r="TJA383" s="252"/>
      <c r="TJB383" s="252"/>
      <c r="TJC383" s="252"/>
      <c r="TJD383" s="252"/>
      <c r="TJE383" s="252"/>
      <c r="TJF383" s="252"/>
      <c r="TJG383" s="252"/>
      <c r="TJH383" s="252"/>
      <c r="TJI383" s="252"/>
      <c r="TJJ383" s="252"/>
      <c r="TJK383" s="252"/>
      <c r="TJL383" s="252"/>
      <c r="TJM383" s="252"/>
      <c r="TJN383" s="252"/>
      <c r="TJO383" s="252"/>
      <c r="TJP383" s="252"/>
      <c r="TJQ383" s="252"/>
      <c r="TJR383" s="252"/>
      <c r="TJS383" s="252"/>
      <c r="TJT383" s="252"/>
      <c r="TJU383" s="252"/>
      <c r="TJV383" s="252"/>
      <c r="TJW383" s="252"/>
      <c r="TJX383" s="252"/>
      <c r="TJY383" s="252"/>
      <c r="TJZ383" s="252"/>
      <c r="TKA383" s="252"/>
      <c r="TKB383" s="252"/>
      <c r="TKC383" s="252"/>
      <c r="TKD383" s="252"/>
      <c r="TKE383" s="252"/>
      <c r="TKF383" s="252"/>
      <c r="TKG383" s="252"/>
      <c r="TKH383" s="252"/>
      <c r="TKI383" s="252"/>
      <c r="TKJ383" s="252"/>
      <c r="TKK383" s="252"/>
      <c r="TKL383" s="252"/>
      <c r="TKM383" s="252"/>
      <c r="TKN383" s="252"/>
      <c r="TKO383" s="252"/>
      <c r="TKP383" s="252"/>
      <c r="TKQ383" s="252"/>
      <c r="TKR383" s="252"/>
      <c r="TKS383" s="252"/>
      <c r="TKT383" s="252"/>
      <c r="TKU383" s="252"/>
      <c r="TKV383" s="252"/>
      <c r="TKW383" s="252"/>
      <c r="TKX383" s="252"/>
      <c r="TKY383" s="252"/>
      <c r="TKZ383" s="252"/>
      <c r="TLA383" s="252"/>
      <c r="TLB383" s="252"/>
      <c r="TLC383" s="252"/>
      <c r="TLD383" s="252"/>
      <c r="TLE383" s="252"/>
      <c r="TLF383" s="252"/>
      <c r="TLG383" s="252"/>
      <c r="TLH383" s="252"/>
      <c r="TLI383" s="252"/>
      <c r="TLJ383" s="252"/>
      <c r="TLK383" s="252"/>
      <c r="TLL383" s="252"/>
      <c r="TLM383" s="252"/>
      <c r="TLN383" s="252"/>
      <c r="TLO383" s="252"/>
      <c r="TLP383" s="252"/>
      <c r="TLQ383" s="252"/>
      <c r="TLR383" s="252"/>
      <c r="TLS383" s="252"/>
      <c r="TLT383" s="252"/>
      <c r="TLU383" s="252"/>
      <c r="TLV383" s="252"/>
      <c r="TLW383" s="252"/>
      <c r="TLX383" s="252"/>
      <c r="TLY383" s="252"/>
      <c r="TLZ383" s="252"/>
      <c r="TMA383" s="252"/>
      <c r="TMB383" s="252"/>
      <c r="TMC383" s="252"/>
      <c r="TMD383" s="252"/>
      <c r="TME383" s="252"/>
      <c r="TMF383" s="252"/>
      <c r="TMG383" s="252"/>
      <c r="TMH383" s="252"/>
      <c r="TMI383" s="252"/>
      <c r="TMJ383" s="252"/>
      <c r="TMK383" s="252"/>
      <c r="TML383" s="252"/>
      <c r="TMM383" s="252"/>
      <c r="TMN383" s="252"/>
      <c r="TMO383" s="252"/>
      <c r="TMP383" s="252"/>
      <c r="TMQ383" s="252"/>
      <c r="TMR383" s="252"/>
      <c r="TMS383" s="252"/>
      <c r="TMT383" s="252"/>
      <c r="TMU383" s="252"/>
      <c r="TMV383" s="252"/>
      <c r="TMW383" s="252"/>
      <c r="TMX383" s="252"/>
      <c r="TMY383" s="252"/>
      <c r="TMZ383" s="252"/>
      <c r="TNA383" s="252"/>
      <c r="TNB383" s="252"/>
      <c r="TNC383" s="252"/>
      <c r="TND383" s="252"/>
      <c r="TNE383" s="252"/>
      <c r="TNF383" s="252"/>
      <c r="TNG383" s="252"/>
      <c r="TNH383" s="252"/>
      <c r="TNI383" s="252"/>
      <c r="TNJ383" s="252"/>
      <c r="TNK383" s="252"/>
      <c r="TNL383" s="252"/>
      <c r="TNM383" s="252"/>
      <c r="TNN383" s="252"/>
      <c r="TNO383" s="252"/>
      <c r="TNP383" s="252"/>
      <c r="TNQ383" s="252"/>
      <c r="TNR383" s="252"/>
      <c r="TNS383" s="252"/>
      <c r="TNT383" s="252"/>
      <c r="TNU383" s="252"/>
      <c r="TNV383" s="252"/>
      <c r="TNW383" s="252"/>
      <c r="TNX383" s="252"/>
      <c r="TNY383" s="252"/>
      <c r="TNZ383" s="252"/>
      <c r="TOA383" s="252"/>
      <c r="TOB383" s="252"/>
      <c r="TOC383" s="252"/>
      <c r="TOD383" s="252"/>
      <c r="TOE383" s="252"/>
      <c r="TOF383" s="252"/>
      <c r="TOG383" s="252"/>
      <c r="TOH383" s="252"/>
      <c r="TOI383" s="252"/>
      <c r="TOJ383" s="252"/>
      <c r="TOK383" s="252"/>
      <c r="TOL383" s="252"/>
      <c r="TOM383" s="252"/>
      <c r="TON383" s="252"/>
      <c r="TOO383" s="252"/>
      <c r="TOP383" s="252"/>
      <c r="TOQ383" s="252"/>
      <c r="TOR383" s="252"/>
      <c r="TOS383" s="252"/>
      <c r="TOT383" s="252"/>
      <c r="TOU383" s="252"/>
      <c r="TOV383" s="252"/>
      <c r="TOW383" s="252"/>
      <c r="TOX383" s="252"/>
      <c r="TOY383" s="252"/>
      <c r="TOZ383" s="252"/>
      <c r="TPA383" s="252"/>
      <c r="TPB383" s="252"/>
      <c r="TPC383" s="252"/>
      <c r="TPD383" s="252"/>
      <c r="TPE383" s="252"/>
      <c r="TPF383" s="252"/>
      <c r="TPG383" s="252"/>
      <c r="TPH383" s="252"/>
      <c r="TPI383" s="252"/>
      <c r="TPJ383" s="252"/>
      <c r="TPK383" s="252"/>
      <c r="TPL383" s="252"/>
      <c r="TPM383" s="252"/>
      <c r="TPN383" s="252"/>
      <c r="TPO383" s="252"/>
      <c r="TPP383" s="252"/>
      <c r="TPQ383" s="252"/>
      <c r="TPR383" s="252"/>
      <c r="TPS383" s="252"/>
      <c r="TPT383" s="252"/>
      <c r="TPU383" s="252"/>
      <c r="TPV383" s="252"/>
      <c r="TPW383" s="252"/>
      <c r="TPX383" s="252"/>
      <c r="TPY383" s="252"/>
      <c r="TPZ383" s="252"/>
      <c r="TQA383" s="252"/>
      <c r="TQB383" s="252"/>
      <c r="TQC383" s="252"/>
      <c r="TQD383" s="252"/>
      <c r="TQE383" s="252"/>
      <c r="TQF383" s="252"/>
      <c r="TQG383" s="252"/>
      <c r="TQH383" s="252"/>
      <c r="TQI383" s="252"/>
      <c r="TQJ383" s="252"/>
      <c r="TQK383" s="252"/>
      <c r="TQL383" s="252"/>
      <c r="TQM383" s="252"/>
      <c r="TQN383" s="252"/>
      <c r="TQO383" s="252"/>
      <c r="TQP383" s="252"/>
      <c r="TQQ383" s="252"/>
      <c r="TQR383" s="252"/>
      <c r="TQS383" s="252"/>
      <c r="TQT383" s="252"/>
      <c r="TQU383" s="252"/>
      <c r="TQV383" s="252"/>
      <c r="TQW383" s="252"/>
      <c r="TQX383" s="252"/>
      <c r="TQY383" s="252"/>
      <c r="TQZ383" s="252"/>
      <c r="TRA383" s="252"/>
      <c r="TRB383" s="252"/>
      <c r="TRC383" s="252"/>
      <c r="TRD383" s="252"/>
      <c r="TRE383" s="252"/>
      <c r="TRF383" s="252"/>
      <c r="TRG383" s="252"/>
      <c r="TRH383" s="252"/>
      <c r="TRI383" s="252"/>
      <c r="TRJ383" s="252"/>
      <c r="TRK383" s="252"/>
      <c r="TRL383" s="252"/>
      <c r="TRM383" s="252"/>
      <c r="TRN383" s="252"/>
      <c r="TRO383" s="252"/>
      <c r="TRP383" s="252"/>
      <c r="TRQ383" s="252"/>
      <c r="TRR383" s="252"/>
      <c r="TRS383" s="252"/>
      <c r="TRT383" s="252"/>
      <c r="TRU383" s="252"/>
      <c r="TRV383" s="252"/>
      <c r="TRW383" s="252"/>
      <c r="TRX383" s="252"/>
      <c r="TRY383" s="252"/>
      <c r="TRZ383" s="252"/>
      <c r="TSA383" s="252"/>
      <c r="TSB383" s="252"/>
      <c r="TSC383" s="252"/>
      <c r="TSD383" s="252"/>
      <c r="TSE383" s="252"/>
      <c r="TSF383" s="252"/>
      <c r="TSG383" s="252"/>
      <c r="TSH383" s="252"/>
      <c r="TSI383" s="252"/>
      <c r="TSJ383" s="252"/>
      <c r="TSK383" s="252"/>
      <c r="TSL383" s="252"/>
      <c r="TSM383" s="252"/>
      <c r="TSN383" s="252"/>
      <c r="TSO383" s="252"/>
      <c r="TSP383" s="252"/>
      <c r="TSQ383" s="252"/>
      <c r="TSR383" s="252"/>
      <c r="TSS383" s="252"/>
      <c r="TST383" s="252"/>
      <c r="TSU383" s="252"/>
      <c r="TSV383" s="252"/>
      <c r="TSW383" s="252"/>
      <c r="TSX383" s="252"/>
      <c r="TSY383" s="252"/>
      <c r="TSZ383" s="252"/>
      <c r="TTA383" s="252"/>
      <c r="TTB383" s="252"/>
      <c r="TTC383" s="252"/>
      <c r="TTD383" s="252"/>
      <c r="TTE383" s="252"/>
      <c r="TTF383" s="252"/>
      <c r="TTG383" s="252"/>
      <c r="TTH383" s="252"/>
      <c r="TTI383" s="252"/>
      <c r="TTJ383" s="252"/>
      <c r="TTK383" s="252"/>
      <c r="TTL383" s="252"/>
      <c r="TTM383" s="252"/>
      <c r="TTN383" s="252"/>
      <c r="TTO383" s="252"/>
      <c r="TTP383" s="252"/>
      <c r="TTQ383" s="252"/>
      <c r="TTR383" s="252"/>
      <c r="TTS383" s="252"/>
      <c r="TTT383" s="252"/>
      <c r="TTU383" s="252"/>
      <c r="TTV383" s="252"/>
      <c r="TTW383" s="252"/>
      <c r="TTX383" s="252"/>
      <c r="TTY383" s="252"/>
      <c r="TTZ383" s="252"/>
      <c r="TUA383" s="252"/>
      <c r="TUB383" s="252"/>
      <c r="TUC383" s="252"/>
      <c r="TUD383" s="252"/>
      <c r="TUE383" s="252"/>
      <c r="TUF383" s="252"/>
      <c r="TUG383" s="252"/>
      <c r="TUH383" s="252"/>
      <c r="TUI383" s="252"/>
      <c r="TUJ383" s="252"/>
      <c r="TUK383" s="252"/>
      <c r="TUL383" s="252"/>
      <c r="TUM383" s="252"/>
      <c r="TUN383" s="252"/>
      <c r="TUO383" s="252"/>
      <c r="TUP383" s="252"/>
      <c r="TUQ383" s="252"/>
      <c r="TUR383" s="252"/>
      <c r="TUS383" s="252"/>
      <c r="TUT383" s="252"/>
      <c r="TUU383" s="252"/>
      <c r="TUV383" s="252"/>
      <c r="TUW383" s="252"/>
      <c r="TUX383" s="252"/>
      <c r="TUY383" s="252"/>
      <c r="TUZ383" s="252"/>
      <c r="TVA383" s="252"/>
      <c r="TVB383" s="252"/>
      <c r="TVC383" s="252"/>
      <c r="TVD383" s="252"/>
      <c r="TVE383" s="252"/>
      <c r="TVF383" s="252"/>
      <c r="TVG383" s="252"/>
      <c r="TVH383" s="252"/>
      <c r="TVI383" s="252"/>
      <c r="TVJ383" s="252"/>
      <c r="TVK383" s="252"/>
      <c r="TVL383" s="252"/>
      <c r="TVM383" s="252"/>
      <c r="TVN383" s="252"/>
      <c r="TVO383" s="252"/>
      <c r="TVP383" s="252"/>
      <c r="TVQ383" s="252"/>
      <c r="TVR383" s="252"/>
      <c r="TVS383" s="252"/>
      <c r="TVT383" s="252"/>
      <c r="TVU383" s="252"/>
      <c r="TVV383" s="252"/>
      <c r="TVW383" s="252"/>
      <c r="TVX383" s="252"/>
      <c r="TVY383" s="252"/>
      <c r="TVZ383" s="252"/>
      <c r="TWA383" s="252"/>
      <c r="TWB383" s="252"/>
      <c r="TWC383" s="252"/>
      <c r="TWD383" s="252"/>
      <c r="TWE383" s="252"/>
      <c r="TWF383" s="252"/>
      <c r="TWG383" s="252"/>
      <c r="TWH383" s="252"/>
      <c r="TWI383" s="252"/>
      <c r="TWJ383" s="252"/>
      <c r="TWK383" s="252"/>
      <c r="TWL383" s="252"/>
      <c r="TWM383" s="252"/>
      <c r="TWN383" s="252"/>
      <c r="TWO383" s="252"/>
      <c r="TWP383" s="252"/>
      <c r="TWQ383" s="252"/>
      <c r="TWR383" s="252"/>
      <c r="TWS383" s="252"/>
      <c r="TWT383" s="252"/>
      <c r="TWU383" s="252"/>
      <c r="TWV383" s="252"/>
      <c r="TWW383" s="252"/>
      <c r="TWX383" s="252"/>
      <c r="TWY383" s="252"/>
      <c r="TWZ383" s="252"/>
      <c r="TXA383" s="252"/>
      <c r="TXB383" s="252"/>
      <c r="TXC383" s="252"/>
      <c r="TXD383" s="252"/>
      <c r="TXE383" s="252"/>
      <c r="TXF383" s="252"/>
      <c r="TXG383" s="252"/>
      <c r="TXH383" s="252"/>
      <c r="TXI383" s="252"/>
      <c r="TXJ383" s="252"/>
      <c r="TXK383" s="252"/>
      <c r="TXL383" s="252"/>
      <c r="TXM383" s="252"/>
      <c r="TXN383" s="252"/>
      <c r="TXO383" s="252"/>
      <c r="TXP383" s="252"/>
      <c r="TXQ383" s="252"/>
      <c r="TXR383" s="252"/>
      <c r="TXS383" s="252"/>
      <c r="TXT383" s="252"/>
      <c r="TXU383" s="252"/>
      <c r="TXV383" s="252"/>
      <c r="TXW383" s="252"/>
      <c r="TXX383" s="252"/>
      <c r="TXY383" s="252"/>
      <c r="TXZ383" s="252"/>
      <c r="TYA383" s="252"/>
      <c r="TYB383" s="252"/>
      <c r="TYC383" s="252"/>
      <c r="TYD383" s="252"/>
      <c r="TYE383" s="252"/>
      <c r="TYF383" s="252"/>
      <c r="TYG383" s="252"/>
      <c r="TYH383" s="252"/>
      <c r="TYI383" s="252"/>
      <c r="TYJ383" s="252"/>
      <c r="TYK383" s="252"/>
      <c r="TYL383" s="252"/>
      <c r="TYM383" s="252"/>
      <c r="TYN383" s="252"/>
      <c r="TYO383" s="252"/>
      <c r="TYP383" s="252"/>
      <c r="TYQ383" s="252"/>
      <c r="TYR383" s="252"/>
      <c r="TYS383" s="252"/>
      <c r="TYT383" s="252"/>
      <c r="TYU383" s="252"/>
      <c r="TYV383" s="252"/>
      <c r="TYW383" s="252"/>
      <c r="TYX383" s="252"/>
      <c r="TYY383" s="252"/>
      <c r="TYZ383" s="252"/>
      <c r="TZA383" s="252"/>
      <c r="TZB383" s="252"/>
      <c r="TZC383" s="252"/>
      <c r="TZD383" s="252"/>
      <c r="TZE383" s="252"/>
      <c r="TZF383" s="252"/>
      <c r="TZG383" s="252"/>
      <c r="TZH383" s="252"/>
      <c r="TZI383" s="252"/>
      <c r="TZJ383" s="252"/>
      <c r="TZK383" s="252"/>
      <c r="TZL383" s="252"/>
      <c r="TZM383" s="252"/>
      <c r="TZN383" s="252"/>
      <c r="TZO383" s="252"/>
      <c r="TZP383" s="252"/>
      <c r="TZQ383" s="252"/>
      <c r="TZR383" s="252"/>
      <c r="TZS383" s="252"/>
      <c r="TZT383" s="252"/>
      <c r="TZU383" s="252"/>
      <c r="TZV383" s="252"/>
      <c r="TZW383" s="252"/>
      <c r="TZX383" s="252"/>
      <c r="TZY383" s="252"/>
      <c r="TZZ383" s="252"/>
      <c r="UAA383" s="252"/>
      <c r="UAB383" s="252"/>
      <c r="UAC383" s="252"/>
      <c r="UAD383" s="252"/>
      <c r="UAE383" s="252"/>
      <c r="UAF383" s="252"/>
      <c r="UAG383" s="252"/>
      <c r="UAH383" s="252"/>
      <c r="UAI383" s="252"/>
      <c r="UAJ383" s="252"/>
      <c r="UAK383" s="252"/>
      <c r="UAL383" s="252"/>
      <c r="UAM383" s="252"/>
      <c r="UAN383" s="252"/>
      <c r="UAO383" s="252"/>
      <c r="UAP383" s="252"/>
      <c r="UAQ383" s="252"/>
      <c r="UAR383" s="252"/>
      <c r="UAS383" s="252"/>
      <c r="UAT383" s="252"/>
      <c r="UAU383" s="252"/>
      <c r="UAV383" s="252"/>
      <c r="UAW383" s="252"/>
      <c r="UAX383" s="252"/>
      <c r="UAY383" s="252"/>
      <c r="UAZ383" s="252"/>
      <c r="UBA383" s="252"/>
      <c r="UBB383" s="252"/>
      <c r="UBC383" s="252"/>
      <c r="UBD383" s="252"/>
      <c r="UBE383" s="252"/>
      <c r="UBF383" s="252"/>
      <c r="UBG383" s="252"/>
      <c r="UBH383" s="252"/>
      <c r="UBI383" s="252"/>
      <c r="UBJ383" s="252"/>
      <c r="UBK383" s="252"/>
      <c r="UBL383" s="252"/>
      <c r="UBM383" s="252"/>
      <c r="UBN383" s="252"/>
      <c r="UBO383" s="252"/>
      <c r="UBP383" s="252"/>
      <c r="UBQ383" s="252"/>
      <c r="UBR383" s="252"/>
      <c r="UBS383" s="252"/>
      <c r="UBT383" s="252"/>
      <c r="UBU383" s="252"/>
      <c r="UBV383" s="252"/>
      <c r="UBW383" s="252"/>
      <c r="UBX383" s="252"/>
      <c r="UBY383" s="252"/>
      <c r="UBZ383" s="252"/>
      <c r="UCA383" s="252"/>
      <c r="UCB383" s="252"/>
      <c r="UCC383" s="252"/>
      <c r="UCD383" s="252"/>
      <c r="UCE383" s="252"/>
      <c r="UCF383" s="252"/>
      <c r="UCG383" s="252"/>
      <c r="UCH383" s="252"/>
      <c r="UCI383" s="252"/>
      <c r="UCJ383" s="252"/>
      <c r="UCK383" s="252"/>
      <c r="UCL383" s="252"/>
      <c r="UCM383" s="252"/>
      <c r="UCN383" s="252"/>
      <c r="UCO383" s="252"/>
      <c r="UCP383" s="252"/>
      <c r="UCQ383" s="252"/>
      <c r="UCR383" s="252"/>
      <c r="UCS383" s="252"/>
      <c r="UCT383" s="252"/>
      <c r="UCU383" s="252"/>
      <c r="UCV383" s="252"/>
      <c r="UCW383" s="252"/>
      <c r="UCX383" s="252"/>
      <c r="UCY383" s="252"/>
      <c r="UCZ383" s="252"/>
      <c r="UDA383" s="252"/>
      <c r="UDB383" s="252"/>
      <c r="UDC383" s="252"/>
      <c r="UDD383" s="252"/>
      <c r="UDE383" s="252"/>
      <c r="UDF383" s="252"/>
      <c r="UDG383" s="252"/>
      <c r="UDH383" s="252"/>
      <c r="UDI383" s="252"/>
      <c r="UDJ383" s="252"/>
      <c r="UDK383" s="252"/>
      <c r="UDL383" s="252"/>
      <c r="UDM383" s="252"/>
      <c r="UDN383" s="252"/>
      <c r="UDO383" s="252"/>
      <c r="UDP383" s="252"/>
      <c r="UDQ383" s="252"/>
      <c r="UDR383" s="252"/>
      <c r="UDS383" s="252"/>
      <c r="UDT383" s="252"/>
      <c r="UDU383" s="252"/>
      <c r="UDV383" s="252"/>
      <c r="UDW383" s="252"/>
      <c r="UDX383" s="252"/>
      <c r="UDY383" s="252"/>
      <c r="UDZ383" s="252"/>
      <c r="UEA383" s="252"/>
      <c r="UEB383" s="252"/>
      <c r="UEC383" s="252"/>
      <c r="UED383" s="252"/>
      <c r="UEE383" s="252"/>
      <c r="UEF383" s="252"/>
      <c r="UEG383" s="252"/>
      <c r="UEH383" s="252"/>
      <c r="UEI383" s="252"/>
      <c r="UEJ383" s="252"/>
      <c r="UEK383" s="252"/>
      <c r="UEL383" s="252"/>
      <c r="UEM383" s="252"/>
      <c r="UEN383" s="252"/>
      <c r="UEO383" s="252"/>
      <c r="UEP383" s="252"/>
      <c r="UEQ383" s="252"/>
      <c r="UER383" s="252"/>
      <c r="UES383" s="252"/>
      <c r="UET383" s="252"/>
      <c r="UEU383" s="252"/>
      <c r="UEV383" s="252"/>
      <c r="UEW383" s="252"/>
      <c r="UEX383" s="252"/>
      <c r="UEY383" s="252"/>
      <c r="UEZ383" s="252"/>
      <c r="UFA383" s="252"/>
      <c r="UFB383" s="252"/>
      <c r="UFC383" s="252"/>
      <c r="UFD383" s="252"/>
      <c r="UFE383" s="252"/>
      <c r="UFF383" s="252"/>
      <c r="UFG383" s="252"/>
      <c r="UFH383" s="252"/>
      <c r="UFI383" s="252"/>
      <c r="UFJ383" s="252"/>
      <c r="UFK383" s="252"/>
      <c r="UFL383" s="252"/>
      <c r="UFM383" s="252"/>
      <c r="UFN383" s="252"/>
      <c r="UFO383" s="252"/>
      <c r="UFP383" s="252"/>
      <c r="UFQ383" s="252"/>
      <c r="UFR383" s="252"/>
      <c r="UFS383" s="252"/>
      <c r="UFT383" s="252"/>
      <c r="UFU383" s="252"/>
      <c r="UFV383" s="252"/>
      <c r="UFW383" s="252"/>
      <c r="UFX383" s="252"/>
      <c r="UFY383" s="252"/>
      <c r="UFZ383" s="252"/>
      <c r="UGA383" s="252"/>
      <c r="UGB383" s="252"/>
      <c r="UGC383" s="252"/>
      <c r="UGD383" s="252"/>
      <c r="UGE383" s="252"/>
      <c r="UGF383" s="252"/>
      <c r="UGG383" s="252"/>
      <c r="UGH383" s="252"/>
      <c r="UGI383" s="252"/>
      <c r="UGJ383" s="252"/>
      <c r="UGK383" s="252"/>
      <c r="UGL383" s="252"/>
      <c r="UGM383" s="252"/>
      <c r="UGN383" s="252"/>
      <c r="UGO383" s="252"/>
      <c r="UGP383" s="252"/>
      <c r="UGQ383" s="252"/>
      <c r="UGR383" s="252"/>
      <c r="UGS383" s="252"/>
      <c r="UGT383" s="252"/>
      <c r="UGU383" s="252"/>
      <c r="UGV383" s="252"/>
      <c r="UGW383" s="252"/>
      <c r="UGX383" s="252"/>
      <c r="UGY383" s="252"/>
      <c r="UGZ383" s="252"/>
      <c r="UHA383" s="252"/>
      <c r="UHB383" s="252"/>
      <c r="UHC383" s="252"/>
      <c r="UHD383" s="252"/>
      <c r="UHE383" s="252"/>
      <c r="UHF383" s="252"/>
      <c r="UHG383" s="252"/>
      <c r="UHH383" s="252"/>
      <c r="UHI383" s="252"/>
      <c r="UHJ383" s="252"/>
      <c r="UHK383" s="252"/>
      <c r="UHL383" s="252"/>
      <c r="UHM383" s="252"/>
      <c r="UHN383" s="252"/>
      <c r="UHO383" s="252"/>
      <c r="UHP383" s="252"/>
      <c r="UHQ383" s="252"/>
      <c r="UHR383" s="252"/>
      <c r="UHS383" s="252"/>
      <c r="UHT383" s="252"/>
      <c r="UHU383" s="252"/>
      <c r="UHV383" s="252"/>
      <c r="UHW383" s="252"/>
      <c r="UHX383" s="252"/>
      <c r="UHY383" s="252"/>
      <c r="UHZ383" s="252"/>
      <c r="UIA383" s="252"/>
      <c r="UIB383" s="252"/>
      <c r="UIC383" s="252"/>
      <c r="UID383" s="252"/>
      <c r="UIE383" s="252"/>
      <c r="UIF383" s="252"/>
      <c r="UIG383" s="252"/>
      <c r="UIH383" s="252"/>
      <c r="UII383" s="252"/>
      <c r="UIJ383" s="252"/>
      <c r="UIK383" s="252"/>
      <c r="UIL383" s="252"/>
      <c r="UIM383" s="252"/>
      <c r="UIN383" s="252"/>
      <c r="UIO383" s="252"/>
      <c r="UIP383" s="252"/>
      <c r="UIQ383" s="252"/>
      <c r="UIR383" s="252"/>
      <c r="UIS383" s="252"/>
      <c r="UIT383" s="252"/>
      <c r="UIU383" s="252"/>
      <c r="UIV383" s="252"/>
      <c r="UIW383" s="252"/>
      <c r="UIX383" s="252"/>
      <c r="UIY383" s="252"/>
      <c r="UIZ383" s="252"/>
      <c r="UJA383" s="252"/>
      <c r="UJB383" s="252"/>
      <c r="UJC383" s="252"/>
      <c r="UJD383" s="252"/>
      <c r="UJE383" s="252"/>
      <c r="UJF383" s="252"/>
      <c r="UJG383" s="252"/>
      <c r="UJH383" s="252"/>
      <c r="UJI383" s="252"/>
      <c r="UJJ383" s="252"/>
      <c r="UJK383" s="252"/>
      <c r="UJL383" s="252"/>
      <c r="UJM383" s="252"/>
      <c r="UJN383" s="252"/>
      <c r="UJO383" s="252"/>
      <c r="UJP383" s="252"/>
      <c r="UJQ383" s="252"/>
      <c r="UJR383" s="252"/>
      <c r="UJS383" s="252"/>
      <c r="UJT383" s="252"/>
      <c r="UJU383" s="252"/>
      <c r="UJV383" s="252"/>
      <c r="UJW383" s="252"/>
      <c r="UJX383" s="252"/>
      <c r="UJY383" s="252"/>
      <c r="UJZ383" s="252"/>
      <c r="UKA383" s="252"/>
      <c r="UKB383" s="252"/>
      <c r="UKC383" s="252"/>
      <c r="UKD383" s="252"/>
      <c r="UKE383" s="252"/>
      <c r="UKF383" s="252"/>
      <c r="UKG383" s="252"/>
      <c r="UKH383" s="252"/>
      <c r="UKI383" s="252"/>
      <c r="UKJ383" s="252"/>
      <c r="UKK383" s="252"/>
      <c r="UKL383" s="252"/>
      <c r="UKM383" s="252"/>
      <c r="UKN383" s="252"/>
      <c r="UKO383" s="252"/>
      <c r="UKP383" s="252"/>
      <c r="UKQ383" s="252"/>
      <c r="UKR383" s="252"/>
      <c r="UKS383" s="252"/>
      <c r="UKT383" s="252"/>
      <c r="UKU383" s="252"/>
      <c r="UKV383" s="252"/>
      <c r="UKW383" s="252"/>
      <c r="UKX383" s="252"/>
      <c r="UKY383" s="252"/>
      <c r="UKZ383" s="252"/>
      <c r="ULA383" s="252"/>
      <c r="ULB383" s="252"/>
      <c r="ULC383" s="252"/>
      <c r="ULD383" s="252"/>
      <c r="ULE383" s="252"/>
      <c r="ULF383" s="252"/>
      <c r="ULG383" s="252"/>
      <c r="ULH383" s="252"/>
      <c r="ULI383" s="252"/>
      <c r="ULJ383" s="252"/>
      <c r="ULK383" s="252"/>
      <c r="ULL383" s="252"/>
      <c r="ULM383" s="252"/>
      <c r="ULN383" s="252"/>
      <c r="ULO383" s="252"/>
      <c r="ULP383" s="252"/>
      <c r="ULQ383" s="252"/>
      <c r="ULR383" s="252"/>
      <c r="ULS383" s="252"/>
      <c r="ULT383" s="252"/>
      <c r="ULU383" s="252"/>
      <c r="ULV383" s="252"/>
      <c r="ULW383" s="252"/>
      <c r="ULX383" s="252"/>
      <c r="ULY383" s="252"/>
      <c r="ULZ383" s="252"/>
      <c r="UMA383" s="252"/>
      <c r="UMB383" s="252"/>
      <c r="UMC383" s="252"/>
      <c r="UMD383" s="252"/>
      <c r="UME383" s="252"/>
      <c r="UMF383" s="252"/>
      <c r="UMG383" s="252"/>
      <c r="UMH383" s="252"/>
      <c r="UMI383" s="252"/>
      <c r="UMJ383" s="252"/>
      <c r="UMK383" s="252"/>
      <c r="UML383" s="252"/>
      <c r="UMM383" s="252"/>
      <c r="UMN383" s="252"/>
      <c r="UMO383" s="252"/>
      <c r="UMP383" s="252"/>
      <c r="UMQ383" s="252"/>
      <c r="UMR383" s="252"/>
      <c r="UMS383" s="252"/>
      <c r="UMT383" s="252"/>
      <c r="UMU383" s="252"/>
      <c r="UMV383" s="252"/>
      <c r="UMW383" s="252"/>
      <c r="UMX383" s="252"/>
      <c r="UMY383" s="252"/>
      <c r="UMZ383" s="252"/>
      <c r="UNA383" s="252"/>
      <c r="UNB383" s="252"/>
      <c r="UNC383" s="252"/>
      <c r="UND383" s="252"/>
      <c r="UNE383" s="252"/>
      <c r="UNF383" s="252"/>
      <c r="UNG383" s="252"/>
      <c r="UNH383" s="252"/>
      <c r="UNI383" s="252"/>
      <c r="UNJ383" s="252"/>
      <c r="UNK383" s="252"/>
      <c r="UNL383" s="252"/>
      <c r="UNM383" s="252"/>
      <c r="UNN383" s="252"/>
      <c r="UNO383" s="252"/>
      <c r="UNP383" s="252"/>
      <c r="UNQ383" s="252"/>
      <c r="UNR383" s="252"/>
      <c r="UNS383" s="252"/>
      <c r="UNT383" s="252"/>
      <c r="UNU383" s="252"/>
      <c r="UNV383" s="252"/>
      <c r="UNW383" s="252"/>
      <c r="UNX383" s="252"/>
      <c r="UNY383" s="252"/>
      <c r="UNZ383" s="252"/>
      <c r="UOA383" s="252"/>
      <c r="UOB383" s="252"/>
      <c r="UOC383" s="252"/>
      <c r="UOD383" s="252"/>
      <c r="UOE383" s="252"/>
      <c r="UOF383" s="252"/>
      <c r="UOG383" s="252"/>
      <c r="UOH383" s="252"/>
      <c r="UOI383" s="252"/>
      <c r="UOJ383" s="252"/>
      <c r="UOK383" s="252"/>
      <c r="UOL383" s="252"/>
      <c r="UOM383" s="252"/>
      <c r="UON383" s="252"/>
      <c r="UOO383" s="252"/>
      <c r="UOP383" s="252"/>
      <c r="UOQ383" s="252"/>
      <c r="UOR383" s="252"/>
      <c r="UOS383" s="252"/>
      <c r="UOT383" s="252"/>
      <c r="UOU383" s="252"/>
      <c r="UOV383" s="252"/>
      <c r="UOW383" s="252"/>
      <c r="UOX383" s="252"/>
      <c r="UOY383" s="252"/>
      <c r="UOZ383" s="252"/>
      <c r="UPA383" s="252"/>
      <c r="UPB383" s="252"/>
      <c r="UPC383" s="252"/>
      <c r="UPD383" s="252"/>
      <c r="UPE383" s="252"/>
      <c r="UPF383" s="252"/>
      <c r="UPG383" s="252"/>
      <c r="UPH383" s="252"/>
      <c r="UPI383" s="252"/>
      <c r="UPJ383" s="252"/>
      <c r="UPK383" s="252"/>
      <c r="UPL383" s="252"/>
      <c r="UPM383" s="252"/>
      <c r="UPN383" s="252"/>
      <c r="UPO383" s="252"/>
      <c r="UPP383" s="252"/>
      <c r="UPQ383" s="252"/>
      <c r="UPR383" s="252"/>
      <c r="UPS383" s="252"/>
      <c r="UPT383" s="252"/>
      <c r="UPU383" s="252"/>
      <c r="UPV383" s="252"/>
      <c r="UPW383" s="252"/>
      <c r="UPX383" s="252"/>
      <c r="UPY383" s="252"/>
      <c r="UPZ383" s="252"/>
      <c r="UQA383" s="252"/>
      <c r="UQB383" s="252"/>
      <c r="UQC383" s="252"/>
      <c r="UQD383" s="252"/>
      <c r="UQE383" s="252"/>
      <c r="UQF383" s="252"/>
      <c r="UQG383" s="252"/>
      <c r="UQH383" s="252"/>
      <c r="UQI383" s="252"/>
      <c r="UQJ383" s="252"/>
      <c r="UQK383" s="252"/>
      <c r="UQL383" s="252"/>
      <c r="UQM383" s="252"/>
      <c r="UQN383" s="252"/>
      <c r="UQO383" s="252"/>
      <c r="UQP383" s="252"/>
      <c r="UQQ383" s="252"/>
      <c r="UQR383" s="252"/>
      <c r="UQS383" s="252"/>
      <c r="UQT383" s="252"/>
      <c r="UQU383" s="252"/>
      <c r="UQV383" s="252"/>
      <c r="UQW383" s="252"/>
      <c r="UQX383" s="252"/>
      <c r="UQY383" s="252"/>
      <c r="UQZ383" s="252"/>
      <c r="URA383" s="252"/>
      <c r="URB383" s="252"/>
      <c r="URC383" s="252"/>
      <c r="URD383" s="252"/>
      <c r="URE383" s="252"/>
      <c r="URF383" s="252"/>
      <c r="URG383" s="252"/>
      <c r="URH383" s="252"/>
      <c r="URI383" s="252"/>
      <c r="URJ383" s="252"/>
      <c r="URK383" s="252"/>
      <c r="URL383" s="252"/>
      <c r="URM383" s="252"/>
      <c r="URN383" s="252"/>
      <c r="URO383" s="252"/>
      <c r="URP383" s="252"/>
      <c r="URQ383" s="252"/>
      <c r="URR383" s="252"/>
      <c r="URS383" s="252"/>
      <c r="URT383" s="252"/>
      <c r="URU383" s="252"/>
      <c r="URV383" s="252"/>
      <c r="URW383" s="252"/>
      <c r="URX383" s="252"/>
      <c r="URY383" s="252"/>
      <c r="URZ383" s="252"/>
      <c r="USA383" s="252"/>
      <c r="USB383" s="252"/>
      <c r="USC383" s="252"/>
      <c r="USD383" s="252"/>
      <c r="USE383" s="252"/>
      <c r="USF383" s="252"/>
      <c r="USG383" s="252"/>
      <c r="USH383" s="252"/>
      <c r="USI383" s="252"/>
      <c r="USJ383" s="252"/>
      <c r="USK383" s="252"/>
      <c r="USL383" s="252"/>
      <c r="USM383" s="252"/>
      <c r="USN383" s="252"/>
      <c r="USO383" s="252"/>
      <c r="USP383" s="252"/>
      <c r="USQ383" s="252"/>
      <c r="USR383" s="252"/>
      <c r="USS383" s="252"/>
      <c r="UST383" s="252"/>
      <c r="USU383" s="252"/>
      <c r="USV383" s="252"/>
      <c r="USW383" s="252"/>
      <c r="USX383" s="252"/>
      <c r="USY383" s="252"/>
      <c r="USZ383" s="252"/>
      <c r="UTA383" s="252"/>
      <c r="UTB383" s="252"/>
      <c r="UTC383" s="252"/>
      <c r="UTD383" s="252"/>
      <c r="UTE383" s="252"/>
      <c r="UTF383" s="252"/>
      <c r="UTG383" s="252"/>
      <c r="UTH383" s="252"/>
      <c r="UTI383" s="252"/>
      <c r="UTJ383" s="252"/>
      <c r="UTK383" s="252"/>
      <c r="UTL383" s="252"/>
      <c r="UTM383" s="252"/>
      <c r="UTN383" s="252"/>
      <c r="UTO383" s="252"/>
      <c r="UTP383" s="252"/>
      <c r="UTQ383" s="252"/>
      <c r="UTR383" s="252"/>
      <c r="UTS383" s="252"/>
      <c r="UTT383" s="252"/>
      <c r="UTU383" s="252"/>
      <c r="UTV383" s="252"/>
      <c r="UTW383" s="252"/>
      <c r="UTX383" s="252"/>
      <c r="UTY383" s="252"/>
      <c r="UTZ383" s="252"/>
      <c r="UUA383" s="252"/>
      <c r="UUB383" s="252"/>
      <c r="UUC383" s="252"/>
      <c r="UUD383" s="252"/>
      <c r="UUE383" s="252"/>
      <c r="UUF383" s="252"/>
      <c r="UUG383" s="252"/>
      <c r="UUH383" s="252"/>
      <c r="UUI383" s="252"/>
      <c r="UUJ383" s="252"/>
      <c r="UUK383" s="252"/>
      <c r="UUL383" s="252"/>
      <c r="UUM383" s="252"/>
      <c r="UUN383" s="252"/>
      <c r="UUO383" s="252"/>
      <c r="UUP383" s="252"/>
      <c r="UUQ383" s="252"/>
      <c r="UUR383" s="252"/>
      <c r="UUS383" s="252"/>
      <c r="UUT383" s="252"/>
      <c r="UUU383" s="252"/>
      <c r="UUV383" s="252"/>
      <c r="UUW383" s="252"/>
      <c r="UUX383" s="252"/>
      <c r="UUY383" s="252"/>
      <c r="UUZ383" s="252"/>
      <c r="UVA383" s="252"/>
      <c r="UVB383" s="252"/>
      <c r="UVC383" s="252"/>
      <c r="UVD383" s="252"/>
      <c r="UVE383" s="252"/>
      <c r="UVF383" s="252"/>
      <c r="UVG383" s="252"/>
      <c r="UVH383" s="252"/>
      <c r="UVI383" s="252"/>
      <c r="UVJ383" s="252"/>
      <c r="UVK383" s="252"/>
      <c r="UVL383" s="252"/>
      <c r="UVM383" s="252"/>
      <c r="UVN383" s="252"/>
      <c r="UVO383" s="252"/>
      <c r="UVP383" s="252"/>
      <c r="UVQ383" s="252"/>
      <c r="UVR383" s="252"/>
      <c r="UVS383" s="252"/>
      <c r="UVT383" s="252"/>
      <c r="UVU383" s="252"/>
      <c r="UVV383" s="252"/>
      <c r="UVW383" s="252"/>
      <c r="UVX383" s="252"/>
      <c r="UVY383" s="252"/>
      <c r="UVZ383" s="252"/>
      <c r="UWA383" s="252"/>
      <c r="UWB383" s="252"/>
      <c r="UWC383" s="252"/>
      <c r="UWD383" s="252"/>
      <c r="UWE383" s="252"/>
      <c r="UWF383" s="252"/>
      <c r="UWG383" s="252"/>
      <c r="UWH383" s="252"/>
      <c r="UWI383" s="252"/>
      <c r="UWJ383" s="252"/>
      <c r="UWK383" s="252"/>
      <c r="UWL383" s="252"/>
      <c r="UWM383" s="252"/>
      <c r="UWN383" s="252"/>
      <c r="UWO383" s="252"/>
      <c r="UWP383" s="252"/>
      <c r="UWQ383" s="252"/>
      <c r="UWR383" s="252"/>
      <c r="UWS383" s="252"/>
      <c r="UWT383" s="252"/>
      <c r="UWU383" s="252"/>
      <c r="UWV383" s="252"/>
      <c r="UWW383" s="252"/>
      <c r="UWX383" s="252"/>
      <c r="UWY383" s="252"/>
      <c r="UWZ383" s="252"/>
      <c r="UXA383" s="252"/>
      <c r="UXB383" s="252"/>
      <c r="UXC383" s="252"/>
      <c r="UXD383" s="252"/>
      <c r="UXE383" s="252"/>
      <c r="UXF383" s="252"/>
      <c r="UXG383" s="252"/>
      <c r="UXH383" s="252"/>
      <c r="UXI383" s="252"/>
      <c r="UXJ383" s="252"/>
      <c r="UXK383" s="252"/>
      <c r="UXL383" s="252"/>
      <c r="UXM383" s="252"/>
      <c r="UXN383" s="252"/>
      <c r="UXO383" s="252"/>
      <c r="UXP383" s="252"/>
      <c r="UXQ383" s="252"/>
      <c r="UXR383" s="252"/>
      <c r="UXS383" s="252"/>
      <c r="UXT383" s="252"/>
      <c r="UXU383" s="252"/>
      <c r="UXV383" s="252"/>
      <c r="UXW383" s="252"/>
      <c r="UXX383" s="252"/>
      <c r="UXY383" s="252"/>
      <c r="UXZ383" s="252"/>
      <c r="UYA383" s="252"/>
      <c r="UYB383" s="252"/>
      <c r="UYC383" s="252"/>
      <c r="UYD383" s="252"/>
      <c r="UYE383" s="252"/>
      <c r="UYF383" s="252"/>
      <c r="UYG383" s="252"/>
      <c r="UYH383" s="252"/>
      <c r="UYI383" s="252"/>
      <c r="UYJ383" s="252"/>
      <c r="UYK383" s="252"/>
      <c r="UYL383" s="252"/>
      <c r="UYM383" s="252"/>
      <c r="UYN383" s="252"/>
      <c r="UYO383" s="252"/>
      <c r="UYP383" s="252"/>
      <c r="UYQ383" s="252"/>
      <c r="UYR383" s="252"/>
      <c r="UYS383" s="252"/>
      <c r="UYT383" s="252"/>
      <c r="UYU383" s="252"/>
      <c r="UYV383" s="252"/>
      <c r="UYW383" s="252"/>
      <c r="UYX383" s="252"/>
      <c r="UYY383" s="252"/>
      <c r="UYZ383" s="252"/>
      <c r="UZA383" s="252"/>
      <c r="UZB383" s="252"/>
      <c r="UZC383" s="252"/>
      <c r="UZD383" s="252"/>
      <c r="UZE383" s="252"/>
      <c r="UZF383" s="252"/>
      <c r="UZG383" s="252"/>
      <c r="UZH383" s="252"/>
      <c r="UZI383" s="252"/>
      <c r="UZJ383" s="252"/>
      <c r="UZK383" s="252"/>
      <c r="UZL383" s="252"/>
      <c r="UZM383" s="252"/>
      <c r="UZN383" s="252"/>
      <c r="UZO383" s="252"/>
      <c r="UZP383" s="252"/>
      <c r="UZQ383" s="252"/>
      <c r="UZR383" s="252"/>
      <c r="UZS383" s="252"/>
      <c r="UZT383" s="252"/>
      <c r="UZU383" s="252"/>
      <c r="UZV383" s="252"/>
      <c r="UZW383" s="252"/>
      <c r="UZX383" s="252"/>
      <c r="UZY383" s="252"/>
      <c r="UZZ383" s="252"/>
      <c r="VAA383" s="252"/>
      <c r="VAB383" s="252"/>
      <c r="VAC383" s="252"/>
      <c r="VAD383" s="252"/>
      <c r="VAE383" s="252"/>
      <c r="VAF383" s="252"/>
      <c r="VAG383" s="252"/>
      <c r="VAH383" s="252"/>
      <c r="VAI383" s="252"/>
      <c r="VAJ383" s="252"/>
      <c r="VAK383" s="252"/>
      <c r="VAL383" s="252"/>
      <c r="VAM383" s="252"/>
      <c r="VAN383" s="252"/>
      <c r="VAO383" s="252"/>
      <c r="VAP383" s="252"/>
      <c r="VAQ383" s="252"/>
      <c r="VAR383" s="252"/>
      <c r="VAS383" s="252"/>
      <c r="VAT383" s="252"/>
      <c r="VAU383" s="252"/>
      <c r="VAV383" s="252"/>
      <c r="VAW383" s="252"/>
      <c r="VAX383" s="252"/>
      <c r="VAY383" s="252"/>
      <c r="VAZ383" s="252"/>
      <c r="VBA383" s="252"/>
      <c r="VBB383" s="252"/>
      <c r="VBC383" s="252"/>
      <c r="VBD383" s="252"/>
      <c r="VBE383" s="252"/>
      <c r="VBF383" s="252"/>
      <c r="VBG383" s="252"/>
      <c r="VBH383" s="252"/>
      <c r="VBI383" s="252"/>
      <c r="VBJ383" s="252"/>
      <c r="VBK383" s="252"/>
      <c r="VBL383" s="252"/>
      <c r="VBM383" s="252"/>
      <c r="VBN383" s="252"/>
      <c r="VBO383" s="252"/>
      <c r="VBP383" s="252"/>
      <c r="VBQ383" s="252"/>
      <c r="VBR383" s="252"/>
      <c r="VBS383" s="252"/>
      <c r="VBT383" s="252"/>
      <c r="VBU383" s="252"/>
      <c r="VBV383" s="252"/>
      <c r="VBW383" s="252"/>
      <c r="VBX383" s="252"/>
      <c r="VBY383" s="252"/>
      <c r="VBZ383" s="252"/>
      <c r="VCA383" s="252"/>
      <c r="VCB383" s="252"/>
      <c r="VCC383" s="252"/>
      <c r="VCD383" s="252"/>
      <c r="VCE383" s="252"/>
      <c r="VCF383" s="252"/>
      <c r="VCG383" s="252"/>
      <c r="VCH383" s="252"/>
      <c r="VCI383" s="252"/>
      <c r="VCJ383" s="252"/>
      <c r="VCK383" s="252"/>
      <c r="VCL383" s="252"/>
      <c r="VCM383" s="252"/>
      <c r="VCN383" s="252"/>
      <c r="VCO383" s="252"/>
      <c r="VCP383" s="252"/>
      <c r="VCQ383" s="252"/>
      <c r="VCR383" s="252"/>
      <c r="VCS383" s="252"/>
      <c r="VCT383" s="252"/>
      <c r="VCU383" s="252"/>
      <c r="VCV383" s="252"/>
      <c r="VCW383" s="252"/>
      <c r="VCX383" s="252"/>
      <c r="VCY383" s="252"/>
      <c r="VCZ383" s="252"/>
      <c r="VDA383" s="252"/>
      <c r="VDB383" s="252"/>
      <c r="VDC383" s="252"/>
      <c r="VDD383" s="252"/>
      <c r="VDE383" s="252"/>
      <c r="VDF383" s="252"/>
      <c r="VDG383" s="252"/>
      <c r="VDH383" s="252"/>
      <c r="VDI383" s="252"/>
      <c r="VDJ383" s="252"/>
      <c r="VDK383" s="252"/>
      <c r="VDL383" s="252"/>
      <c r="VDM383" s="252"/>
      <c r="VDN383" s="252"/>
      <c r="VDO383" s="252"/>
      <c r="VDP383" s="252"/>
      <c r="VDQ383" s="252"/>
      <c r="VDR383" s="252"/>
      <c r="VDS383" s="252"/>
      <c r="VDT383" s="252"/>
      <c r="VDU383" s="252"/>
      <c r="VDV383" s="252"/>
      <c r="VDW383" s="252"/>
      <c r="VDX383" s="252"/>
      <c r="VDY383" s="252"/>
      <c r="VDZ383" s="252"/>
      <c r="VEA383" s="252"/>
      <c r="VEB383" s="252"/>
      <c r="VEC383" s="252"/>
      <c r="VED383" s="252"/>
      <c r="VEE383" s="252"/>
      <c r="VEF383" s="252"/>
      <c r="VEG383" s="252"/>
      <c r="VEH383" s="252"/>
      <c r="VEI383" s="252"/>
      <c r="VEJ383" s="252"/>
      <c r="VEK383" s="252"/>
      <c r="VEL383" s="252"/>
      <c r="VEM383" s="252"/>
      <c r="VEN383" s="252"/>
      <c r="VEO383" s="252"/>
      <c r="VEP383" s="252"/>
      <c r="VEQ383" s="252"/>
      <c r="VER383" s="252"/>
      <c r="VES383" s="252"/>
      <c r="VET383" s="252"/>
      <c r="VEU383" s="252"/>
      <c r="VEV383" s="252"/>
      <c r="VEW383" s="252"/>
      <c r="VEX383" s="252"/>
      <c r="VEY383" s="252"/>
      <c r="VEZ383" s="252"/>
      <c r="VFA383" s="252"/>
      <c r="VFB383" s="252"/>
      <c r="VFC383" s="252"/>
      <c r="VFD383" s="252"/>
      <c r="VFE383" s="252"/>
      <c r="VFF383" s="252"/>
      <c r="VFG383" s="252"/>
      <c r="VFH383" s="252"/>
      <c r="VFI383" s="252"/>
      <c r="VFJ383" s="252"/>
      <c r="VFK383" s="252"/>
      <c r="VFL383" s="252"/>
      <c r="VFM383" s="252"/>
      <c r="VFN383" s="252"/>
      <c r="VFO383" s="252"/>
      <c r="VFP383" s="252"/>
      <c r="VFQ383" s="252"/>
      <c r="VFR383" s="252"/>
      <c r="VFS383" s="252"/>
      <c r="VFT383" s="252"/>
      <c r="VFU383" s="252"/>
      <c r="VFV383" s="252"/>
      <c r="VFW383" s="252"/>
      <c r="VFX383" s="252"/>
      <c r="VFY383" s="252"/>
      <c r="VFZ383" s="252"/>
      <c r="VGA383" s="252"/>
      <c r="VGB383" s="252"/>
      <c r="VGC383" s="252"/>
      <c r="VGD383" s="252"/>
      <c r="VGE383" s="252"/>
      <c r="VGF383" s="252"/>
      <c r="VGG383" s="252"/>
      <c r="VGH383" s="252"/>
      <c r="VGI383" s="252"/>
      <c r="VGJ383" s="252"/>
      <c r="VGK383" s="252"/>
      <c r="VGL383" s="252"/>
      <c r="VGM383" s="252"/>
      <c r="VGN383" s="252"/>
      <c r="VGO383" s="252"/>
      <c r="VGP383" s="252"/>
      <c r="VGQ383" s="252"/>
      <c r="VGR383" s="252"/>
      <c r="VGS383" s="252"/>
      <c r="VGT383" s="252"/>
      <c r="VGU383" s="252"/>
      <c r="VGV383" s="252"/>
      <c r="VGW383" s="252"/>
      <c r="VGX383" s="252"/>
      <c r="VGY383" s="252"/>
      <c r="VGZ383" s="252"/>
      <c r="VHA383" s="252"/>
      <c r="VHB383" s="252"/>
      <c r="VHC383" s="252"/>
      <c r="VHD383" s="252"/>
      <c r="VHE383" s="252"/>
      <c r="VHF383" s="252"/>
      <c r="VHG383" s="252"/>
      <c r="VHH383" s="252"/>
      <c r="VHI383" s="252"/>
      <c r="VHJ383" s="252"/>
      <c r="VHK383" s="252"/>
      <c r="VHL383" s="252"/>
      <c r="VHM383" s="252"/>
      <c r="VHN383" s="252"/>
      <c r="VHO383" s="252"/>
      <c r="VHP383" s="252"/>
      <c r="VHQ383" s="252"/>
      <c r="VHR383" s="252"/>
      <c r="VHS383" s="252"/>
      <c r="VHT383" s="252"/>
      <c r="VHU383" s="252"/>
      <c r="VHV383" s="252"/>
      <c r="VHW383" s="252"/>
      <c r="VHX383" s="252"/>
      <c r="VHY383" s="252"/>
      <c r="VHZ383" s="252"/>
      <c r="VIA383" s="252"/>
      <c r="VIB383" s="252"/>
      <c r="VIC383" s="252"/>
      <c r="VID383" s="252"/>
      <c r="VIE383" s="252"/>
      <c r="VIF383" s="252"/>
      <c r="VIG383" s="252"/>
      <c r="VIH383" s="252"/>
      <c r="VII383" s="252"/>
      <c r="VIJ383" s="252"/>
      <c r="VIK383" s="252"/>
      <c r="VIL383" s="252"/>
      <c r="VIM383" s="252"/>
      <c r="VIN383" s="252"/>
      <c r="VIO383" s="252"/>
      <c r="VIP383" s="252"/>
      <c r="VIQ383" s="252"/>
      <c r="VIR383" s="252"/>
      <c r="VIS383" s="252"/>
      <c r="VIT383" s="252"/>
      <c r="VIU383" s="252"/>
      <c r="VIV383" s="252"/>
      <c r="VIW383" s="252"/>
      <c r="VIX383" s="252"/>
      <c r="VIY383" s="252"/>
      <c r="VIZ383" s="252"/>
      <c r="VJA383" s="252"/>
      <c r="VJB383" s="252"/>
      <c r="VJC383" s="252"/>
      <c r="VJD383" s="252"/>
      <c r="VJE383" s="252"/>
      <c r="VJF383" s="252"/>
      <c r="VJG383" s="252"/>
      <c r="VJH383" s="252"/>
      <c r="VJI383" s="252"/>
      <c r="VJJ383" s="252"/>
      <c r="VJK383" s="252"/>
      <c r="VJL383" s="252"/>
      <c r="VJM383" s="252"/>
      <c r="VJN383" s="252"/>
      <c r="VJO383" s="252"/>
      <c r="VJP383" s="252"/>
      <c r="VJQ383" s="252"/>
      <c r="VJR383" s="252"/>
      <c r="VJS383" s="252"/>
      <c r="VJT383" s="252"/>
      <c r="VJU383" s="252"/>
      <c r="VJV383" s="252"/>
      <c r="VJW383" s="252"/>
      <c r="VJX383" s="252"/>
      <c r="VJY383" s="252"/>
      <c r="VJZ383" s="252"/>
      <c r="VKA383" s="252"/>
      <c r="VKB383" s="252"/>
      <c r="VKC383" s="252"/>
      <c r="VKD383" s="252"/>
      <c r="VKE383" s="252"/>
      <c r="VKF383" s="252"/>
      <c r="VKG383" s="252"/>
      <c r="VKH383" s="252"/>
      <c r="VKI383" s="252"/>
      <c r="VKJ383" s="252"/>
      <c r="VKK383" s="252"/>
      <c r="VKL383" s="252"/>
      <c r="VKM383" s="252"/>
      <c r="VKN383" s="252"/>
      <c r="VKO383" s="252"/>
      <c r="VKP383" s="252"/>
      <c r="VKQ383" s="252"/>
      <c r="VKR383" s="252"/>
      <c r="VKS383" s="252"/>
      <c r="VKT383" s="252"/>
      <c r="VKU383" s="252"/>
      <c r="VKV383" s="252"/>
      <c r="VKW383" s="252"/>
      <c r="VKX383" s="252"/>
      <c r="VKY383" s="252"/>
      <c r="VKZ383" s="252"/>
      <c r="VLA383" s="252"/>
      <c r="VLB383" s="252"/>
      <c r="VLC383" s="252"/>
      <c r="VLD383" s="252"/>
      <c r="VLE383" s="252"/>
      <c r="VLF383" s="252"/>
      <c r="VLG383" s="252"/>
      <c r="VLH383" s="252"/>
      <c r="VLI383" s="252"/>
      <c r="VLJ383" s="252"/>
      <c r="VLK383" s="252"/>
      <c r="VLL383" s="252"/>
      <c r="VLM383" s="252"/>
      <c r="VLN383" s="252"/>
      <c r="VLO383" s="252"/>
      <c r="VLP383" s="252"/>
      <c r="VLQ383" s="252"/>
      <c r="VLR383" s="252"/>
      <c r="VLS383" s="252"/>
      <c r="VLT383" s="252"/>
      <c r="VLU383" s="252"/>
      <c r="VLV383" s="252"/>
      <c r="VLW383" s="252"/>
      <c r="VLX383" s="252"/>
      <c r="VLY383" s="252"/>
      <c r="VLZ383" s="252"/>
      <c r="VMA383" s="252"/>
      <c r="VMB383" s="252"/>
      <c r="VMC383" s="252"/>
      <c r="VMD383" s="252"/>
      <c r="VME383" s="252"/>
      <c r="VMF383" s="252"/>
      <c r="VMG383" s="252"/>
      <c r="VMH383" s="252"/>
      <c r="VMI383" s="252"/>
      <c r="VMJ383" s="252"/>
      <c r="VMK383" s="252"/>
      <c r="VML383" s="252"/>
      <c r="VMM383" s="252"/>
      <c r="VMN383" s="252"/>
      <c r="VMO383" s="252"/>
      <c r="VMP383" s="252"/>
      <c r="VMQ383" s="252"/>
      <c r="VMR383" s="252"/>
      <c r="VMS383" s="252"/>
      <c r="VMT383" s="252"/>
      <c r="VMU383" s="252"/>
      <c r="VMV383" s="252"/>
      <c r="VMW383" s="252"/>
      <c r="VMX383" s="252"/>
      <c r="VMY383" s="252"/>
      <c r="VMZ383" s="252"/>
      <c r="VNA383" s="252"/>
      <c r="VNB383" s="252"/>
      <c r="VNC383" s="252"/>
      <c r="VND383" s="252"/>
      <c r="VNE383" s="252"/>
      <c r="VNF383" s="252"/>
      <c r="VNG383" s="252"/>
      <c r="VNH383" s="252"/>
      <c r="VNI383" s="252"/>
      <c r="VNJ383" s="252"/>
      <c r="VNK383" s="252"/>
      <c r="VNL383" s="252"/>
      <c r="VNM383" s="252"/>
      <c r="VNN383" s="252"/>
      <c r="VNO383" s="252"/>
      <c r="VNP383" s="252"/>
      <c r="VNQ383" s="252"/>
      <c r="VNR383" s="252"/>
      <c r="VNS383" s="252"/>
      <c r="VNT383" s="252"/>
      <c r="VNU383" s="252"/>
      <c r="VNV383" s="252"/>
      <c r="VNW383" s="252"/>
      <c r="VNX383" s="252"/>
      <c r="VNY383" s="252"/>
      <c r="VNZ383" s="252"/>
      <c r="VOA383" s="252"/>
      <c r="VOB383" s="252"/>
      <c r="VOC383" s="252"/>
      <c r="VOD383" s="252"/>
      <c r="VOE383" s="252"/>
      <c r="VOF383" s="252"/>
      <c r="VOG383" s="252"/>
      <c r="VOH383" s="252"/>
      <c r="VOI383" s="252"/>
      <c r="VOJ383" s="252"/>
      <c r="VOK383" s="252"/>
      <c r="VOL383" s="252"/>
      <c r="VOM383" s="252"/>
      <c r="VON383" s="252"/>
      <c r="VOO383" s="252"/>
      <c r="VOP383" s="252"/>
      <c r="VOQ383" s="252"/>
      <c r="VOR383" s="252"/>
      <c r="VOS383" s="252"/>
      <c r="VOT383" s="252"/>
      <c r="VOU383" s="252"/>
      <c r="VOV383" s="252"/>
      <c r="VOW383" s="252"/>
      <c r="VOX383" s="252"/>
      <c r="VOY383" s="252"/>
      <c r="VOZ383" s="252"/>
      <c r="VPA383" s="252"/>
      <c r="VPB383" s="252"/>
      <c r="VPC383" s="252"/>
      <c r="VPD383" s="252"/>
      <c r="VPE383" s="252"/>
      <c r="VPF383" s="252"/>
      <c r="VPG383" s="252"/>
      <c r="VPH383" s="252"/>
      <c r="VPI383" s="252"/>
      <c r="VPJ383" s="252"/>
      <c r="VPK383" s="252"/>
      <c r="VPL383" s="252"/>
      <c r="VPM383" s="252"/>
      <c r="VPN383" s="252"/>
      <c r="VPO383" s="252"/>
      <c r="VPP383" s="252"/>
      <c r="VPQ383" s="252"/>
      <c r="VPR383" s="252"/>
      <c r="VPS383" s="252"/>
      <c r="VPT383" s="252"/>
      <c r="VPU383" s="252"/>
      <c r="VPV383" s="252"/>
      <c r="VPW383" s="252"/>
      <c r="VPX383" s="252"/>
      <c r="VPY383" s="252"/>
      <c r="VPZ383" s="252"/>
      <c r="VQA383" s="252"/>
      <c r="VQB383" s="252"/>
      <c r="VQC383" s="252"/>
      <c r="VQD383" s="252"/>
      <c r="VQE383" s="252"/>
      <c r="VQF383" s="252"/>
      <c r="VQG383" s="252"/>
      <c r="VQH383" s="252"/>
      <c r="VQI383" s="252"/>
      <c r="VQJ383" s="252"/>
      <c r="VQK383" s="252"/>
      <c r="VQL383" s="252"/>
      <c r="VQM383" s="252"/>
      <c r="VQN383" s="252"/>
      <c r="VQO383" s="252"/>
      <c r="VQP383" s="252"/>
      <c r="VQQ383" s="252"/>
      <c r="VQR383" s="252"/>
      <c r="VQS383" s="252"/>
      <c r="VQT383" s="252"/>
      <c r="VQU383" s="252"/>
      <c r="VQV383" s="252"/>
      <c r="VQW383" s="252"/>
      <c r="VQX383" s="252"/>
      <c r="VQY383" s="252"/>
      <c r="VQZ383" s="252"/>
      <c r="VRA383" s="252"/>
      <c r="VRB383" s="252"/>
      <c r="VRC383" s="252"/>
      <c r="VRD383" s="252"/>
      <c r="VRE383" s="252"/>
      <c r="VRF383" s="252"/>
      <c r="VRG383" s="252"/>
      <c r="VRH383" s="252"/>
      <c r="VRI383" s="252"/>
      <c r="VRJ383" s="252"/>
      <c r="VRK383" s="252"/>
      <c r="VRL383" s="252"/>
      <c r="VRM383" s="252"/>
      <c r="VRN383" s="252"/>
      <c r="VRO383" s="252"/>
      <c r="VRP383" s="252"/>
      <c r="VRQ383" s="252"/>
      <c r="VRR383" s="252"/>
      <c r="VRS383" s="252"/>
      <c r="VRT383" s="252"/>
      <c r="VRU383" s="252"/>
      <c r="VRV383" s="252"/>
      <c r="VRW383" s="252"/>
      <c r="VRX383" s="252"/>
      <c r="VRY383" s="252"/>
      <c r="VRZ383" s="252"/>
      <c r="VSA383" s="252"/>
      <c r="VSB383" s="252"/>
      <c r="VSC383" s="252"/>
      <c r="VSD383" s="252"/>
      <c r="VSE383" s="252"/>
      <c r="VSF383" s="252"/>
      <c r="VSG383" s="252"/>
      <c r="VSH383" s="252"/>
      <c r="VSI383" s="252"/>
      <c r="VSJ383" s="252"/>
      <c r="VSK383" s="252"/>
      <c r="VSL383" s="252"/>
      <c r="VSM383" s="252"/>
      <c r="VSN383" s="252"/>
      <c r="VSO383" s="252"/>
      <c r="VSP383" s="252"/>
      <c r="VSQ383" s="252"/>
      <c r="VSR383" s="252"/>
      <c r="VSS383" s="252"/>
      <c r="VST383" s="252"/>
      <c r="VSU383" s="252"/>
      <c r="VSV383" s="252"/>
      <c r="VSW383" s="252"/>
      <c r="VSX383" s="252"/>
      <c r="VSY383" s="252"/>
      <c r="VSZ383" s="252"/>
      <c r="VTA383" s="252"/>
      <c r="VTB383" s="252"/>
      <c r="VTC383" s="252"/>
      <c r="VTD383" s="252"/>
      <c r="VTE383" s="252"/>
      <c r="VTF383" s="252"/>
      <c r="VTG383" s="252"/>
      <c r="VTH383" s="252"/>
      <c r="VTI383" s="252"/>
      <c r="VTJ383" s="252"/>
      <c r="VTK383" s="252"/>
      <c r="VTL383" s="252"/>
      <c r="VTM383" s="252"/>
      <c r="VTN383" s="252"/>
      <c r="VTO383" s="252"/>
      <c r="VTP383" s="252"/>
      <c r="VTQ383" s="252"/>
      <c r="VTR383" s="252"/>
      <c r="VTS383" s="252"/>
      <c r="VTT383" s="252"/>
      <c r="VTU383" s="252"/>
      <c r="VTV383" s="252"/>
      <c r="VTW383" s="252"/>
      <c r="VTX383" s="252"/>
      <c r="VTY383" s="252"/>
      <c r="VTZ383" s="252"/>
      <c r="VUA383" s="252"/>
      <c r="VUB383" s="252"/>
      <c r="VUC383" s="252"/>
      <c r="VUD383" s="252"/>
      <c r="VUE383" s="252"/>
      <c r="VUF383" s="252"/>
      <c r="VUG383" s="252"/>
      <c r="VUH383" s="252"/>
      <c r="VUI383" s="252"/>
      <c r="VUJ383" s="252"/>
      <c r="VUK383" s="252"/>
      <c r="VUL383" s="252"/>
      <c r="VUM383" s="252"/>
      <c r="VUN383" s="252"/>
      <c r="VUO383" s="252"/>
      <c r="VUP383" s="252"/>
      <c r="VUQ383" s="252"/>
      <c r="VUR383" s="252"/>
      <c r="VUS383" s="252"/>
      <c r="VUT383" s="252"/>
      <c r="VUU383" s="252"/>
      <c r="VUV383" s="252"/>
      <c r="VUW383" s="252"/>
      <c r="VUX383" s="252"/>
      <c r="VUY383" s="252"/>
      <c r="VUZ383" s="252"/>
      <c r="VVA383" s="252"/>
      <c r="VVB383" s="252"/>
      <c r="VVC383" s="252"/>
      <c r="VVD383" s="252"/>
      <c r="VVE383" s="252"/>
      <c r="VVF383" s="252"/>
      <c r="VVG383" s="252"/>
      <c r="VVH383" s="252"/>
      <c r="VVI383" s="252"/>
      <c r="VVJ383" s="252"/>
      <c r="VVK383" s="252"/>
      <c r="VVL383" s="252"/>
      <c r="VVM383" s="252"/>
      <c r="VVN383" s="252"/>
      <c r="VVO383" s="252"/>
      <c r="VVP383" s="252"/>
      <c r="VVQ383" s="252"/>
      <c r="VVR383" s="252"/>
      <c r="VVS383" s="252"/>
      <c r="VVT383" s="252"/>
      <c r="VVU383" s="252"/>
      <c r="VVV383" s="252"/>
      <c r="VVW383" s="252"/>
      <c r="VVX383" s="252"/>
      <c r="VVY383" s="252"/>
      <c r="VVZ383" s="252"/>
      <c r="VWA383" s="252"/>
      <c r="VWB383" s="252"/>
      <c r="VWC383" s="252"/>
      <c r="VWD383" s="252"/>
      <c r="VWE383" s="252"/>
      <c r="VWF383" s="252"/>
      <c r="VWG383" s="252"/>
      <c r="VWH383" s="252"/>
      <c r="VWI383" s="252"/>
      <c r="VWJ383" s="252"/>
      <c r="VWK383" s="252"/>
      <c r="VWL383" s="252"/>
      <c r="VWM383" s="252"/>
      <c r="VWN383" s="252"/>
      <c r="VWO383" s="252"/>
      <c r="VWP383" s="252"/>
      <c r="VWQ383" s="252"/>
      <c r="VWR383" s="252"/>
      <c r="VWS383" s="252"/>
      <c r="VWT383" s="252"/>
      <c r="VWU383" s="252"/>
      <c r="VWV383" s="252"/>
      <c r="VWW383" s="252"/>
      <c r="VWX383" s="252"/>
      <c r="VWY383" s="252"/>
      <c r="VWZ383" s="252"/>
      <c r="VXA383" s="252"/>
      <c r="VXB383" s="252"/>
      <c r="VXC383" s="252"/>
      <c r="VXD383" s="252"/>
      <c r="VXE383" s="252"/>
      <c r="VXF383" s="252"/>
      <c r="VXG383" s="252"/>
      <c r="VXH383" s="252"/>
      <c r="VXI383" s="252"/>
      <c r="VXJ383" s="252"/>
      <c r="VXK383" s="252"/>
      <c r="VXL383" s="252"/>
      <c r="VXM383" s="252"/>
      <c r="VXN383" s="252"/>
      <c r="VXO383" s="252"/>
      <c r="VXP383" s="252"/>
      <c r="VXQ383" s="252"/>
      <c r="VXR383" s="252"/>
      <c r="VXS383" s="252"/>
      <c r="VXT383" s="252"/>
      <c r="VXU383" s="252"/>
      <c r="VXV383" s="252"/>
      <c r="VXW383" s="252"/>
      <c r="VXX383" s="252"/>
      <c r="VXY383" s="252"/>
      <c r="VXZ383" s="252"/>
      <c r="VYA383" s="252"/>
      <c r="VYB383" s="252"/>
      <c r="VYC383" s="252"/>
      <c r="VYD383" s="252"/>
      <c r="VYE383" s="252"/>
      <c r="VYF383" s="252"/>
      <c r="VYG383" s="252"/>
      <c r="VYH383" s="252"/>
      <c r="VYI383" s="252"/>
      <c r="VYJ383" s="252"/>
      <c r="VYK383" s="252"/>
      <c r="VYL383" s="252"/>
      <c r="VYM383" s="252"/>
      <c r="VYN383" s="252"/>
      <c r="VYO383" s="252"/>
      <c r="VYP383" s="252"/>
      <c r="VYQ383" s="252"/>
      <c r="VYR383" s="252"/>
      <c r="VYS383" s="252"/>
      <c r="VYT383" s="252"/>
      <c r="VYU383" s="252"/>
      <c r="VYV383" s="252"/>
      <c r="VYW383" s="252"/>
      <c r="VYX383" s="252"/>
      <c r="VYY383" s="252"/>
      <c r="VYZ383" s="252"/>
      <c r="VZA383" s="252"/>
      <c r="VZB383" s="252"/>
      <c r="VZC383" s="252"/>
      <c r="VZD383" s="252"/>
      <c r="VZE383" s="252"/>
      <c r="VZF383" s="252"/>
      <c r="VZG383" s="252"/>
      <c r="VZH383" s="252"/>
      <c r="VZI383" s="252"/>
      <c r="VZJ383" s="252"/>
      <c r="VZK383" s="252"/>
      <c r="VZL383" s="252"/>
      <c r="VZM383" s="252"/>
      <c r="VZN383" s="252"/>
      <c r="VZO383" s="252"/>
      <c r="VZP383" s="252"/>
      <c r="VZQ383" s="252"/>
      <c r="VZR383" s="252"/>
      <c r="VZS383" s="252"/>
      <c r="VZT383" s="252"/>
      <c r="VZU383" s="252"/>
      <c r="VZV383" s="252"/>
      <c r="VZW383" s="252"/>
      <c r="VZX383" s="252"/>
      <c r="VZY383" s="252"/>
      <c r="VZZ383" s="252"/>
      <c r="WAA383" s="252"/>
      <c r="WAB383" s="252"/>
      <c r="WAC383" s="252"/>
      <c r="WAD383" s="252"/>
      <c r="WAE383" s="252"/>
      <c r="WAF383" s="252"/>
      <c r="WAG383" s="252"/>
      <c r="WAH383" s="252"/>
      <c r="WAI383" s="252"/>
      <c r="WAJ383" s="252"/>
      <c r="WAK383" s="252"/>
      <c r="WAL383" s="252"/>
      <c r="WAM383" s="252"/>
      <c r="WAN383" s="252"/>
      <c r="WAO383" s="252"/>
      <c r="WAP383" s="252"/>
      <c r="WAQ383" s="252"/>
      <c r="WAR383" s="252"/>
      <c r="WAS383" s="252"/>
      <c r="WAT383" s="252"/>
      <c r="WAU383" s="252"/>
      <c r="WAV383" s="252"/>
      <c r="WAW383" s="252"/>
      <c r="WAX383" s="252"/>
      <c r="WAY383" s="252"/>
      <c r="WAZ383" s="252"/>
      <c r="WBA383" s="252"/>
      <c r="WBB383" s="252"/>
      <c r="WBC383" s="252"/>
      <c r="WBD383" s="252"/>
      <c r="WBE383" s="252"/>
      <c r="WBF383" s="252"/>
      <c r="WBG383" s="252"/>
      <c r="WBH383" s="252"/>
      <c r="WBI383" s="252"/>
      <c r="WBJ383" s="252"/>
      <c r="WBK383" s="252"/>
      <c r="WBL383" s="252"/>
      <c r="WBM383" s="252"/>
      <c r="WBN383" s="252"/>
      <c r="WBO383" s="252"/>
      <c r="WBP383" s="252"/>
      <c r="WBQ383" s="252"/>
      <c r="WBR383" s="252"/>
      <c r="WBS383" s="252"/>
      <c r="WBT383" s="252"/>
      <c r="WBU383" s="252"/>
      <c r="WBV383" s="252"/>
      <c r="WBW383" s="252"/>
      <c r="WBX383" s="252"/>
      <c r="WBY383" s="252"/>
      <c r="WBZ383" s="252"/>
      <c r="WCA383" s="252"/>
      <c r="WCB383" s="252"/>
      <c r="WCC383" s="252"/>
      <c r="WCD383" s="252"/>
      <c r="WCE383" s="252"/>
      <c r="WCF383" s="252"/>
      <c r="WCG383" s="252"/>
      <c r="WCH383" s="252"/>
      <c r="WCI383" s="252"/>
      <c r="WCJ383" s="252"/>
      <c r="WCK383" s="252"/>
      <c r="WCL383" s="252"/>
      <c r="WCM383" s="252"/>
      <c r="WCN383" s="252"/>
      <c r="WCO383" s="252"/>
      <c r="WCP383" s="252"/>
      <c r="WCQ383" s="252"/>
      <c r="WCR383" s="252"/>
      <c r="WCS383" s="252"/>
      <c r="WCT383" s="252"/>
      <c r="WCU383" s="252"/>
      <c r="WCV383" s="252"/>
      <c r="WCW383" s="252"/>
      <c r="WCX383" s="252"/>
      <c r="WCY383" s="252"/>
      <c r="WCZ383" s="252"/>
      <c r="WDA383" s="252"/>
      <c r="WDB383" s="252"/>
      <c r="WDC383" s="252"/>
      <c r="WDD383" s="252"/>
      <c r="WDE383" s="252"/>
      <c r="WDF383" s="252"/>
      <c r="WDG383" s="252"/>
      <c r="WDH383" s="252"/>
      <c r="WDI383" s="252"/>
      <c r="WDJ383" s="252"/>
      <c r="WDK383" s="252"/>
      <c r="WDL383" s="252"/>
      <c r="WDM383" s="252"/>
      <c r="WDN383" s="252"/>
      <c r="WDO383" s="252"/>
      <c r="WDP383" s="252"/>
      <c r="WDQ383" s="252"/>
      <c r="WDR383" s="252"/>
      <c r="WDS383" s="252"/>
      <c r="WDT383" s="252"/>
      <c r="WDU383" s="252"/>
      <c r="WDV383" s="252"/>
      <c r="WDW383" s="252"/>
      <c r="WDX383" s="252"/>
      <c r="WDY383" s="252"/>
      <c r="WDZ383" s="252"/>
      <c r="WEA383" s="252"/>
      <c r="WEB383" s="252"/>
      <c r="WEC383" s="252"/>
      <c r="WED383" s="252"/>
      <c r="WEE383" s="252"/>
      <c r="WEF383" s="252"/>
      <c r="WEG383" s="252"/>
      <c r="WEH383" s="252"/>
      <c r="WEI383" s="252"/>
      <c r="WEJ383" s="252"/>
      <c r="WEK383" s="252"/>
      <c r="WEL383" s="252"/>
      <c r="WEM383" s="252"/>
      <c r="WEN383" s="252"/>
      <c r="WEO383" s="252"/>
      <c r="WEP383" s="252"/>
      <c r="WEQ383" s="252"/>
      <c r="WER383" s="252"/>
      <c r="WES383" s="252"/>
      <c r="WET383" s="252"/>
      <c r="WEU383" s="252"/>
      <c r="WEV383" s="252"/>
      <c r="WEW383" s="252"/>
      <c r="WEX383" s="252"/>
      <c r="WEY383" s="252"/>
      <c r="WEZ383" s="252"/>
      <c r="WFA383" s="252"/>
      <c r="WFB383" s="252"/>
      <c r="WFC383" s="252"/>
      <c r="WFD383" s="252"/>
      <c r="WFE383" s="252"/>
      <c r="WFF383" s="252"/>
      <c r="WFG383" s="252"/>
      <c r="WFH383" s="252"/>
      <c r="WFI383" s="252"/>
      <c r="WFJ383" s="252"/>
      <c r="WFK383" s="252"/>
      <c r="WFL383" s="252"/>
      <c r="WFM383" s="252"/>
      <c r="WFN383" s="252"/>
      <c r="WFO383" s="252"/>
      <c r="WFP383" s="252"/>
      <c r="WFQ383" s="252"/>
      <c r="WFR383" s="252"/>
      <c r="WFS383" s="252"/>
      <c r="WFT383" s="252"/>
      <c r="WFU383" s="252"/>
      <c r="WFV383" s="252"/>
      <c r="WFW383" s="252"/>
      <c r="WFX383" s="252"/>
      <c r="WFY383" s="252"/>
      <c r="WFZ383" s="252"/>
      <c r="WGA383" s="252"/>
      <c r="WGB383" s="252"/>
      <c r="WGC383" s="252"/>
      <c r="WGD383" s="252"/>
      <c r="WGE383" s="252"/>
      <c r="WGF383" s="252"/>
      <c r="WGG383" s="252"/>
      <c r="WGH383" s="252"/>
      <c r="WGI383" s="252"/>
      <c r="WGJ383" s="252"/>
      <c r="WGK383" s="252"/>
      <c r="WGL383" s="252"/>
      <c r="WGM383" s="252"/>
      <c r="WGN383" s="252"/>
      <c r="WGO383" s="252"/>
      <c r="WGP383" s="252"/>
      <c r="WGQ383" s="252"/>
      <c r="WGR383" s="252"/>
      <c r="WGS383" s="252"/>
      <c r="WGT383" s="252"/>
      <c r="WGU383" s="252"/>
      <c r="WGV383" s="252"/>
      <c r="WGW383" s="252"/>
      <c r="WGX383" s="252"/>
      <c r="WGY383" s="252"/>
      <c r="WGZ383" s="252"/>
      <c r="WHA383" s="252"/>
      <c r="WHB383" s="252"/>
      <c r="WHC383" s="252"/>
      <c r="WHD383" s="252"/>
      <c r="WHE383" s="252"/>
      <c r="WHF383" s="252"/>
      <c r="WHG383" s="252"/>
      <c r="WHH383" s="252"/>
      <c r="WHI383" s="252"/>
      <c r="WHJ383" s="252"/>
      <c r="WHK383" s="252"/>
      <c r="WHL383" s="252"/>
      <c r="WHM383" s="252"/>
      <c r="WHN383" s="252"/>
      <c r="WHO383" s="252"/>
      <c r="WHP383" s="252"/>
      <c r="WHQ383" s="252"/>
      <c r="WHR383" s="252"/>
      <c r="WHS383" s="252"/>
      <c r="WHT383" s="252"/>
      <c r="WHU383" s="252"/>
      <c r="WHV383" s="252"/>
      <c r="WHW383" s="252"/>
      <c r="WHX383" s="252"/>
      <c r="WHY383" s="252"/>
      <c r="WHZ383" s="252"/>
      <c r="WIA383" s="252"/>
      <c r="WIB383" s="252"/>
      <c r="WIC383" s="252"/>
      <c r="WID383" s="252"/>
      <c r="WIE383" s="252"/>
      <c r="WIF383" s="252"/>
      <c r="WIG383" s="252"/>
      <c r="WIH383" s="252"/>
      <c r="WII383" s="252"/>
      <c r="WIJ383" s="252"/>
      <c r="WIK383" s="252"/>
      <c r="WIL383" s="252"/>
      <c r="WIM383" s="252"/>
      <c r="WIN383" s="252"/>
      <c r="WIO383" s="252"/>
      <c r="WIP383" s="252"/>
      <c r="WIQ383" s="252"/>
      <c r="WIR383" s="252"/>
      <c r="WIS383" s="252"/>
      <c r="WIT383" s="252"/>
      <c r="WIU383" s="252"/>
      <c r="WIV383" s="252"/>
      <c r="WIW383" s="252"/>
      <c r="WIX383" s="252"/>
      <c r="WIY383" s="252"/>
      <c r="WIZ383" s="252"/>
      <c r="WJA383" s="252"/>
      <c r="WJB383" s="252"/>
      <c r="WJC383" s="252"/>
      <c r="WJD383" s="252"/>
      <c r="WJE383" s="252"/>
      <c r="WJF383" s="252"/>
      <c r="WJG383" s="252"/>
      <c r="WJH383" s="252"/>
      <c r="WJI383" s="252"/>
      <c r="WJJ383" s="252"/>
      <c r="WJK383" s="252"/>
      <c r="WJL383" s="252"/>
      <c r="WJM383" s="252"/>
      <c r="WJN383" s="252"/>
      <c r="WJO383" s="252"/>
      <c r="WJP383" s="252"/>
      <c r="WJQ383" s="252"/>
      <c r="WJR383" s="252"/>
      <c r="WJS383" s="252"/>
      <c r="WJT383" s="252"/>
      <c r="WJU383" s="252"/>
      <c r="WJV383" s="252"/>
      <c r="WJW383" s="252"/>
      <c r="WJX383" s="252"/>
      <c r="WJY383" s="252"/>
      <c r="WJZ383" s="252"/>
      <c r="WKA383" s="252"/>
      <c r="WKB383" s="252"/>
      <c r="WKC383" s="252"/>
      <c r="WKD383" s="252"/>
      <c r="WKE383" s="252"/>
      <c r="WKF383" s="252"/>
      <c r="WKG383" s="252"/>
      <c r="WKH383" s="252"/>
      <c r="WKI383" s="252"/>
      <c r="WKJ383" s="252"/>
      <c r="WKK383" s="252"/>
      <c r="WKL383" s="252"/>
      <c r="WKM383" s="252"/>
      <c r="WKN383" s="252"/>
      <c r="WKO383" s="252"/>
      <c r="WKP383" s="252"/>
      <c r="WKQ383" s="252"/>
      <c r="WKR383" s="252"/>
      <c r="WKS383" s="252"/>
      <c r="WKT383" s="252"/>
      <c r="WKU383" s="252"/>
      <c r="WKV383" s="252"/>
      <c r="WKW383" s="252"/>
      <c r="WKX383" s="252"/>
      <c r="WKY383" s="252"/>
      <c r="WKZ383" s="252"/>
      <c r="WLA383" s="252"/>
      <c r="WLB383" s="252"/>
      <c r="WLC383" s="252"/>
      <c r="WLD383" s="252"/>
      <c r="WLE383" s="252"/>
      <c r="WLF383" s="252"/>
      <c r="WLG383" s="252"/>
      <c r="WLH383" s="252"/>
      <c r="WLI383" s="252"/>
      <c r="WLJ383" s="252"/>
      <c r="WLK383" s="252"/>
      <c r="WLL383" s="252"/>
      <c r="WLM383" s="252"/>
      <c r="WLN383" s="252"/>
      <c r="WLO383" s="252"/>
      <c r="WLP383" s="252"/>
      <c r="WLQ383" s="252"/>
      <c r="WLR383" s="252"/>
      <c r="WLS383" s="252"/>
      <c r="WLT383" s="252"/>
      <c r="WLU383" s="252"/>
      <c r="WLV383" s="252"/>
      <c r="WLW383" s="252"/>
      <c r="WLX383" s="252"/>
      <c r="WLY383" s="252"/>
      <c r="WLZ383" s="252"/>
      <c r="WMA383" s="252"/>
      <c r="WMB383" s="252"/>
      <c r="WMC383" s="252"/>
      <c r="WMD383" s="252"/>
      <c r="WME383" s="252"/>
      <c r="WMF383" s="252"/>
      <c r="WMG383" s="252"/>
      <c r="WMH383" s="252"/>
      <c r="WMI383" s="252"/>
      <c r="WMJ383" s="252"/>
      <c r="WMK383" s="252"/>
      <c r="WML383" s="252"/>
      <c r="WMM383" s="252"/>
      <c r="WMN383" s="252"/>
      <c r="WMO383" s="252"/>
      <c r="WMP383" s="252"/>
      <c r="WMQ383" s="252"/>
      <c r="WMR383" s="252"/>
      <c r="WMS383" s="252"/>
      <c r="WMT383" s="252"/>
      <c r="WMU383" s="252"/>
      <c r="WMV383" s="252"/>
      <c r="WMW383" s="252"/>
      <c r="WMX383" s="252"/>
      <c r="WMY383" s="252"/>
      <c r="WMZ383" s="252"/>
      <c r="WNA383" s="252"/>
      <c r="WNB383" s="252"/>
      <c r="WNC383" s="252"/>
      <c r="WND383" s="252"/>
      <c r="WNE383" s="252"/>
      <c r="WNF383" s="252"/>
      <c r="WNG383" s="252"/>
      <c r="WNH383" s="252"/>
      <c r="WNI383" s="252"/>
      <c r="WNJ383" s="252"/>
      <c r="WNK383" s="252"/>
      <c r="WNL383" s="252"/>
      <c r="WNM383" s="252"/>
      <c r="WNN383" s="252"/>
      <c r="WNO383" s="252"/>
      <c r="WNP383" s="252"/>
      <c r="WNQ383" s="252"/>
      <c r="WNR383" s="252"/>
      <c r="WNS383" s="252"/>
      <c r="WNT383" s="252"/>
      <c r="WNU383" s="252"/>
      <c r="WNV383" s="252"/>
      <c r="WNW383" s="252"/>
      <c r="WNX383" s="252"/>
      <c r="WNY383" s="252"/>
      <c r="WNZ383" s="252"/>
      <c r="WOA383" s="252"/>
      <c r="WOB383" s="252"/>
      <c r="WOC383" s="252"/>
      <c r="WOD383" s="252"/>
      <c r="WOE383" s="252"/>
      <c r="WOF383" s="252"/>
      <c r="WOG383" s="252"/>
      <c r="WOH383" s="252"/>
      <c r="WOI383" s="252"/>
      <c r="WOJ383" s="252"/>
      <c r="WOK383" s="252"/>
      <c r="WOL383" s="252"/>
      <c r="WOM383" s="252"/>
      <c r="WON383" s="252"/>
      <c r="WOO383" s="252"/>
      <c r="WOP383" s="252"/>
      <c r="WOQ383" s="252"/>
      <c r="WOR383" s="252"/>
      <c r="WOS383" s="252"/>
      <c r="WOT383" s="252"/>
      <c r="WOU383" s="252"/>
      <c r="WOV383" s="252"/>
      <c r="WOW383" s="252"/>
      <c r="WOX383" s="252"/>
      <c r="WOY383" s="252"/>
      <c r="WOZ383" s="252"/>
      <c r="WPA383" s="252"/>
      <c r="WPB383" s="252"/>
      <c r="WPC383" s="252"/>
      <c r="WPD383" s="252"/>
      <c r="WPE383" s="252"/>
      <c r="WPF383" s="252"/>
      <c r="WPG383" s="252"/>
      <c r="WPH383" s="252"/>
      <c r="WPI383" s="252"/>
      <c r="WPJ383" s="252"/>
      <c r="WPK383" s="252"/>
      <c r="WPL383" s="252"/>
      <c r="WPM383" s="252"/>
      <c r="WPN383" s="252"/>
      <c r="WPO383" s="252"/>
      <c r="WPP383" s="252"/>
      <c r="WPQ383" s="252"/>
      <c r="WPR383" s="252"/>
      <c r="WPS383" s="252"/>
      <c r="WPT383" s="252"/>
      <c r="WPU383" s="252"/>
      <c r="WPV383" s="252"/>
      <c r="WPW383" s="252"/>
      <c r="WPX383" s="252"/>
      <c r="WPY383" s="252"/>
      <c r="WPZ383" s="252"/>
      <c r="WQA383" s="252"/>
      <c r="WQB383" s="252"/>
      <c r="WQC383" s="252"/>
      <c r="WQD383" s="252"/>
      <c r="WQE383" s="252"/>
      <c r="WQF383" s="252"/>
      <c r="WQG383" s="252"/>
      <c r="WQH383" s="252"/>
      <c r="WQI383" s="252"/>
      <c r="WQJ383" s="252"/>
      <c r="WQK383" s="252"/>
      <c r="WQL383" s="252"/>
      <c r="WQM383" s="252"/>
      <c r="WQN383" s="252"/>
      <c r="WQO383" s="252"/>
      <c r="WQP383" s="252"/>
      <c r="WQQ383" s="252"/>
      <c r="WQR383" s="252"/>
      <c r="WQS383" s="252"/>
      <c r="WQT383" s="252"/>
      <c r="WQU383" s="252"/>
      <c r="WQV383" s="252"/>
      <c r="WQW383" s="252"/>
      <c r="WQX383" s="252"/>
      <c r="WQY383" s="252"/>
      <c r="WQZ383" s="252"/>
      <c r="WRA383" s="252"/>
      <c r="WRB383" s="252"/>
      <c r="WRC383" s="252"/>
      <c r="WRD383" s="252"/>
      <c r="WRE383" s="252"/>
      <c r="WRF383" s="252"/>
      <c r="WRG383" s="252"/>
      <c r="WRH383" s="252"/>
      <c r="WRI383" s="252"/>
      <c r="WRJ383" s="252"/>
      <c r="WRK383" s="252"/>
      <c r="WRL383" s="252"/>
      <c r="WRM383" s="252"/>
      <c r="WRN383" s="252"/>
      <c r="WRO383" s="252"/>
      <c r="WRP383" s="252"/>
      <c r="WRQ383" s="252"/>
      <c r="WRR383" s="252"/>
      <c r="WRS383" s="252"/>
      <c r="WRT383" s="252"/>
      <c r="WRU383" s="252"/>
      <c r="WRV383" s="252"/>
      <c r="WRW383" s="252"/>
      <c r="WRX383" s="252"/>
      <c r="WRY383" s="252"/>
      <c r="WRZ383" s="252"/>
      <c r="WSA383" s="252"/>
      <c r="WSB383" s="252"/>
      <c r="WSC383" s="252"/>
      <c r="WSD383" s="252"/>
      <c r="WSE383" s="252"/>
      <c r="WSF383" s="252"/>
      <c r="WSG383" s="252"/>
      <c r="WSH383" s="252"/>
      <c r="WSI383" s="252"/>
      <c r="WSJ383" s="252"/>
      <c r="WSK383" s="252"/>
      <c r="WSL383" s="252"/>
      <c r="WSM383" s="252"/>
      <c r="WSN383" s="252"/>
      <c r="WSO383" s="252"/>
      <c r="WSP383" s="252"/>
      <c r="WSQ383" s="252"/>
      <c r="WSR383" s="252"/>
      <c r="WSS383" s="252"/>
      <c r="WST383" s="252"/>
      <c r="WSU383" s="252"/>
      <c r="WSV383" s="252"/>
      <c r="WSW383" s="252"/>
      <c r="WSX383" s="252"/>
      <c r="WSY383" s="252"/>
      <c r="WSZ383" s="252"/>
      <c r="WTA383" s="252"/>
      <c r="WTB383" s="252"/>
      <c r="WTC383" s="252"/>
      <c r="WTD383" s="252"/>
      <c r="WTE383" s="252"/>
      <c r="WTF383" s="252"/>
      <c r="WTG383" s="252"/>
      <c r="WTH383" s="252"/>
      <c r="WTI383" s="252"/>
      <c r="WTJ383" s="252"/>
      <c r="WTK383" s="252"/>
      <c r="WTL383" s="252"/>
      <c r="WTM383" s="252"/>
      <c r="WTN383" s="252"/>
      <c r="WTO383" s="252"/>
      <c r="WTP383" s="252"/>
      <c r="WTQ383" s="252"/>
      <c r="WTR383" s="252"/>
      <c r="WTS383" s="252"/>
      <c r="WTT383" s="252"/>
      <c r="WTU383" s="252"/>
      <c r="WTV383" s="252"/>
      <c r="WTW383" s="252"/>
      <c r="WTX383" s="252"/>
      <c r="WTY383" s="252"/>
      <c r="WTZ383" s="252"/>
      <c r="WUA383" s="252"/>
      <c r="WUB383" s="252"/>
      <c r="WUC383" s="252"/>
      <c r="WUD383" s="252"/>
      <c r="WUE383" s="252"/>
      <c r="WUF383" s="252"/>
      <c r="WUG383" s="252"/>
      <c r="WUH383" s="252"/>
      <c r="WUI383" s="252"/>
      <c r="WUJ383" s="252"/>
      <c r="WUK383" s="252"/>
      <c r="WUL383" s="252"/>
      <c r="WUM383" s="252"/>
      <c r="WUN383" s="252"/>
      <c r="WUO383" s="252"/>
      <c r="WUP383" s="252"/>
      <c r="WUQ383" s="252"/>
      <c r="WUR383" s="252"/>
      <c r="WUS383" s="252"/>
      <c r="WUT383" s="252"/>
      <c r="WUU383" s="252"/>
      <c r="WUV383" s="252"/>
      <c r="WUW383" s="252"/>
      <c r="WUX383" s="252"/>
      <c r="WUY383" s="252"/>
      <c r="WUZ383" s="252"/>
      <c r="WVA383" s="252"/>
      <c r="WVB383" s="252"/>
      <c r="WVC383" s="252"/>
      <c r="WVD383" s="252"/>
      <c r="WVE383" s="252"/>
      <c r="WVF383" s="252"/>
      <c r="WVG383" s="252"/>
      <c r="WVH383" s="252"/>
      <c r="WVI383" s="252"/>
      <c r="WVJ383" s="252"/>
      <c r="WVK383" s="252"/>
      <c r="WVL383" s="252"/>
      <c r="WVM383" s="252"/>
      <c r="WVN383" s="252"/>
      <c r="WVO383" s="252"/>
      <c r="WVP383" s="252"/>
      <c r="WVQ383" s="252"/>
      <c r="WVR383" s="252"/>
      <c r="WVS383" s="252"/>
      <c r="WVT383" s="252"/>
      <c r="WVU383" s="252"/>
      <c r="WVV383" s="252"/>
      <c r="WVW383" s="252"/>
      <c r="WVX383" s="252"/>
      <c r="WVY383" s="252"/>
      <c r="WVZ383" s="252"/>
      <c r="WWA383" s="252"/>
      <c r="WWB383" s="252"/>
      <c r="WWC383" s="252"/>
      <c r="WWD383" s="252"/>
      <c r="WWE383" s="252"/>
      <c r="WWF383" s="252"/>
      <c r="WWG383" s="252"/>
      <c r="WWH383" s="252"/>
      <c r="WWI383" s="252"/>
      <c r="WWJ383" s="252"/>
      <c r="WWK383" s="252"/>
      <c r="WWL383" s="252"/>
      <c r="WWM383" s="252"/>
      <c r="WWN383" s="252"/>
      <c r="WWO383" s="252"/>
      <c r="WWP383" s="252"/>
      <c r="WWQ383" s="252"/>
      <c r="WWR383" s="252"/>
      <c r="WWS383" s="252"/>
      <c r="WWT383" s="252"/>
      <c r="WWU383" s="252"/>
      <c r="WWV383" s="252"/>
      <c r="WWW383" s="252"/>
      <c r="WWX383" s="252"/>
      <c r="WWY383" s="252"/>
      <c r="WWZ383" s="252"/>
      <c r="WXA383" s="252"/>
      <c r="WXB383" s="252"/>
      <c r="WXC383" s="252"/>
      <c r="WXD383" s="252"/>
      <c r="WXE383" s="252"/>
      <c r="WXF383" s="252"/>
      <c r="WXG383" s="252"/>
      <c r="WXH383" s="252"/>
      <c r="WXI383" s="252"/>
      <c r="WXJ383" s="252"/>
      <c r="WXK383" s="252"/>
      <c r="WXL383" s="252"/>
      <c r="WXM383" s="252"/>
      <c r="WXN383" s="252"/>
      <c r="WXO383" s="252"/>
      <c r="WXP383" s="252"/>
      <c r="WXQ383" s="252"/>
      <c r="WXR383" s="252"/>
      <c r="WXS383" s="252"/>
      <c r="WXT383" s="252"/>
      <c r="WXU383" s="252"/>
      <c r="WXV383" s="252"/>
      <c r="WXW383" s="252"/>
      <c r="WXX383" s="252"/>
      <c r="WXY383" s="252"/>
      <c r="WXZ383" s="252"/>
      <c r="WYA383" s="252"/>
      <c r="WYB383" s="252"/>
      <c r="WYC383" s="252"/>
      <c r="WYD383" s="252"/>
      <c r="WYE383" s="252"/>
      <c r="WYF383" s="252"/>
      <c r="WYG383" s="252"/>
      <c r="WYH383" s="252"/>
      <c r="WYI383" s="252"/>
      <c r="WYJ383" s="252"/>
      <c r="WYK383" s="252"/>
      <c r="WYL383" s="252"/>
      <c r="WYM383" s="252"/>
      <c r="WYN383" s="252"/>
      <c r="WYO383" s="252"/>
      <c r="WYP383" s="252"/>
      <c r="WYQ383" s="252"/>
      <c r="WYR383" s="252"/>
      <c r="WYS383" s="252"/>
      <c r="WYT383" s="252"/>
      <c r="WYU383" s="252"/>
      <c r="WYV383" s="252"/>
      <c r="WYW383" s="252"/>
      <c r="WYX383" s="252"/>
      <c r="WYY383" s="252"/>
      <c r="WYZ383" s="252"/>
      <c r="WZA383" s="252"/>
      <c r="WZB383" s="252"/>
      <c r="WZC383" s="252"/>
      <c r="WZD383" s="252"/>
      <c r="WZE383" s="252"/>
      <c r="WZF383" s="252"/>
      <c r="WZG383" s="252"/>
      <c r="WZH383" s="252"/>
      <c r="WZI383" s="252"/>
      <c r="WZJ383" s="252"/>
      <c r="WZK383" s="252"/>
      <c r="WZL383" s="252"/>
      <c r="WZM383" s="252"/>
      <c r="WZN383" s="252"/>
      <c r="WZO383" s="252"/>
      <c r="WZP383" s="252"/>
      <c r="WZQ383" s="252"/>
      <c r="WZR383" s="252"/>
      <c r="WZS383" s="252"/>
      <c r="WZT383" s="252"/>
      <c r="WZU383" s="252"/>
      <c r="WZV383" s="252"/>
      <c r="WZW383" s="252"/>
      <c r="WZX383" s="252"/>
      <c r="WZY383" s="252"/>
      <c r="WZZ383" s="252"/>
      <c r="XAA383" s="252"/>
      <c r="XAB383" s="252"/>
      <c r="XAC383" s="252"/>
      <c r="XAD383" s="252"/>
      <c r="XAE383" s="252"/>
      <c r="XAF383" s="252"/>
      <c r="XAG383" s="252"/>
      <c r="XAH383" s="252"/>
      <c r="XAI383" s="252"/>
      <c r="XAJ383" s="252"/>
      <c r="XAK383" s="252"/>
      <c r="XAL383" s="252"/>
      <c r="XAM383" s="252"/>
      <c r="XAN383" s="252"/>
      <c r="XAO383" s="252"/>
      <c r="XAP383" s="252"/>
      <c r="XAQ383" s="252"/>
      <c r="XAR383" s="252"/>
      <c r="XAS383" s="252"/>
      <c r="XAT383" s="252"/>
      <c r="XAU383" s="252"/>
      <c r="XAV383" s="252"/>
      <c r="XAW383" s="252"/>
      <c r="XAX383" s="252"/>
      <c r="XAY383" s="252"/>
      <c r="XAZ383" s="252"/>
      <c r="XBA383" s="252"/>
      <c r="XBB383" s="252"/>
      <c r="XBC383" s="252"/>
      <c r="XBD383" s="252"/>
      <c r="XBE383" s="252"/>
      <c r="XBF383" s="252"/>
      <c r="XBG383" s="252"/>
      <c r="XBH383" s="252"/>
      <c r="XBI383" s="252"/>
      <c r="XBJ383" s="252"/>
      <c r="XBK383" s="252"/>
      <c r="XBL383" s="252"/>
      <c r="XBM383" s="252"/>
      <c r="XBN383" s="252"/>
      <c r="XBO383" s="252"/>
      <c r="XBP383" s="252"/>
      <c r="XBQ383" s="252"/>
      <c r="XBR383" s="252"/>
      <c r="XBS383" s="252"/>
      <c r="XBT383" s="252"/>
      <c r="XBU383" s="252"/>
      <c r="XBV383" s="252"/>
      <c r="XBW383" s="252"/>
      <c r="XBX383" s="252"/>
      <c r="XBY383" s="252"/>
      <c r="XBZ383" s="252"/>
      <c r="XCA383" s="252"/>
      <c r="XCB383" s="252"/>
      <c r="XCC383" s="252"/>
      <c r="XCD383" s="252"/>
      <c r="XCE383" s="252"/>
      <c r="XCF383" s="252"/>
      <c r="XCG383" s="252"/>
      <c r="XCH383" s="252"/>
      <c r="XCI383" s="252"/>
      <c r="XCJ383" s="252"/>
      <c r="XCK383" s="252"/>
      <c r="XCL383" s="252"/>
      <c r="XCM383" s="252"/>
      <c r="XCN383" s="252"/>
      <c r="XCO383" s="252"/>
      <c r="XCP383" s="252"/>
      <c r="XCQ383" s="252"/>
      <c r="XCR383" s="252"/>
      <c r="XCS383" s="252"/>
      <c r="XCT383" s="252"/>
      <c r="XCU383" s="252"/>
      <c r="XCV383" s="252"/>
      <c r="XCW383" s="252"/>
      <c r="XCX383" s="252"/>
      <c r="XCY383" s="252"/>
      <c r="XCZ383" s="252"/>
      <c r="XDA383" s="252"/>
      <c r="XDB383" s="252"/>
      <c r="XDC383" s="252"/>
      <c r="XDD383" s="252"/>
      <c r="XDE383" s="252"/>
      <c r="XDF383" s="252"/>
      <c r="XDG383" s="252"/>
      <c r="XDH383" s="252"/>
      <c r="XDI383" s="252"/>
      <c r="XDJ383" s="252"/>
      <c r="XDK383" s="252"/>
      <c r="XDL383" s="252"/>
      <c r="XDM383" s="252"/>
      <c r="XDN383" s="252"/>
      <c r="XDO383" s="252"/>
      <c r="XDP383" s="252"/>
      <c r="XDQ383" s="252"/>
      <c r="XDR383" s="252"/>
      <c r="XDS383" s="252"/>
      <c r="XDT383" s="252"/>
      <c r="XDU383" s="252"/>
      <c r="XDV383" s="252"/>
      <c r="XDW383" s="252"/>
      <c r="XDX383" s="252"/>
      <c r="XDY383" s="252"/>
      <c r="XDZ383" s="252"/>
      <c r="XEA383" s="252"/>
      <c r="XEB383" s="252"/>
      <c r="XEC383" s="252"/>
      <c r="XED383" s="252"/>
      <c r="XEE383" s="252"/>
      <c r="XEF383" s="252"/>
      <c r="XEG383" s="252"/>
      <c r="XEH383" s="252"/>
      <c r="XEI383" s="252"/>
      <c r="XEJ383" s="252"/>
      <c r="XEK383" s="252"/>
      <c r="XEL383" s="252"/>
      <c r="XEM383" s="252"/>
      <c r="XEN383" s="252"/>
      <c r="XEO383" s="252"/>
      <c r="XEP383" s="252"/>
      <c r="XEQ383" s="252"/>
      <c r="XER383" s="252"/>
      <c r="XES383" s="252"/>
      <c r="XET383" s="252"/>
      <c r="XEU383" s="252"/>
    </row>
    <row r="384" spans="2:16375" ht="26.4" hidden="1">
      <c r="B384" s="941" t="s">
        <v>2441</v>
      </c>
      <c r="C384" s="502" t="s">
        <v>134</v>
      </c>
      <c r="D384" s="502" t="s">
        <v>134</v>
      </c>
      <c r="E384" s="312"/>
      <c r="F384" s="584" t="s">
        <v>1030</v>
      </c>
      <c r="G384" s="504" t="s">
        <v>1636</v>
      </c>
      <c r="H384" s="1001">
        <v>1</v>
      </c>
      <c r="I384" s="1001" t="s">
        <v>200</v>
      </c>
      <c r="J384" s="1002" t="s">
        <v>1651</v>
      </c>
      <c r="K384" s="312"/>
      <c r="L384" s="1003" t="s">
        <v>134</v>
      </c>
      <c r="M384" s="1004"/>
      <c r="N384" s="961"/>
      <c r="O384" s="1005"/>
      <c r="P384" s="961"/>
      <c r="Q384" s="1006" t="s">
        <v>134</v>
      </c>
      <c r="R384" s="1004" t="s">
        <v>134</v>
      </c>
      <c r="S384" s="1003"/>
      <c r="T384" s="1007"/>
      <c r="U384" s="1008"/>
      <c r="V384" s="1009"/>
      <c r="X384" s="1010"/>
      <c r="Y384" s="1011"/>
      <c r="Z384" s="1012"/>
      <c r="AA384" s="1010"/>
      <c r="AB384" s="1011"/>
      <c r="AC384" s="1012"/>
      <c r="AE384" s="1000" t="str">
        <f t="shared" si="61"/>
        <v>0x00 ~ 0xFA (0~25Hz)</v>
      </c>
      <c r="AF384" s="312"/>
      <c r="AG384" s="1015">
        <v>0</v>
      </c>
      <c r="AH384" s="1016">
        <v>0.1</v>
      </c>
      <c r="AI384" s="1024" t="s">
        <v>750</v>
      </c>
      <c r="AJ384" s="1017" t="s">
        <v>753</v>
      </c>
      <c r="AK384" s="1027">
        <f t="shared" si="64"/>
        <v>0</v>
      </c>
      <c r="AL384" s="1018">
        <f t="shared" si="65"/>
        <v>25</v>
      </c>
      <c r="AM384" s="1019" t="s">
        <v>755</v>
      </c>
      <c r="AN384" s="1014"/>
      <c r="AP384" s="1030" t="s">
        <v>855</v>
      </c>
      <c r="AQ384" s="1030" t="s">
        <v>374</v>
      </c>
      <c r="AS384" s="1031" t="s">
        <v>1222</v>
      </c>
      <c r="AT384" s="1031" t="s">
        <v>1222</v>
      </c>
      <c r="AU384" s="1031" t="s">
        <v>1222</v>
      </c>
      <c r="AV384" s="1031" t="s">
        <v>1222</v>
      </c>
      <c r="AW384" s="252"/>
      <c r="AX384" s="252"/>
      <c r="AY384" s="252"/>
      <c r="AZ384" s="252"/>
      <c r="BA384" s="252"/>
      <c r="BB384" s="252"/>
      <c r="BC384" s="252"/>
      <c r="BD384" s="252"/>
      <c r="BE384" s="252"/>
      <c r="BF384" s="252"/>
      <c r="BG384" s="252"/>
      <c r="BH384" s="252"/>
      <c r="BI384" s="252"/>
      <c r="BJ384" s="252"/>
      <c r="BK384" s="252"/>
      <c r="BL384" s="252"/>
      <c r="BM384" s="252"/>
      <c r="BN384" s="252"/>
      <c r="BO384" s="252"/>
      <c r="BP384" s="252"/>
      <c r="BQ384" s="252"/>
      <c r="BR384" s="252"/>
      <c r="BS384" s="252"/>
      <c r="BT384" s="252"/>
      <c r="BU384" s="252"/>
      <c r="BV384" s="252"/>
      <c r="BW384" s="252"/>
      <c r="BX384" s="252"/>
      <c r="BY384" s="252"/>
      <c r="BZ384" s="252"/>
      <c r="CA384" s="252"/>
      <c r="CB384" s="252"/>
      <c r="CC384" s="252"/>
      <c r="CD384" s="252"/>
      <c r="CE384" s="252"/>
      <c r="CF384" s="252"/>
      <c r="CG384" s="252"/>
      <c r="CH384" s="252"/>
      <c r="CI384" s="252"/>
      <c r="CJ384" s="252"/>
      <c r="CK384" s="252"/>
      <c r="CL384" s="252"/>
      <c r="CM384" s="252"/>
      <c r="CN384" s="252"/>
      <c r="CO384" s="252"/>
      <c r="CP384" s="252"/>
      <c r="CQ384" s="252"/>
      <c r="CR384" s="252"/>
      <c r="CS384" s="252"/>
      <c r="CT384" s="252"/>
      <c r="CU384" s="252"/>
      <c r="CV384" s="252"/>
      <c r="CW384" s="252"/>
      <c r="CX384" s="252"/>
      <c r="CY384" s="252"/>
      <c r="CZ384" s="252"/>
      <c r="DA384" s="252"/>
      <c r="DB384" s="252"/>
      <c r="DC384" s="252"/>
      <c r="DD384" s="252"/>
      <c r="DE384" s="252"/>
      <c r="DF384" s="252"/>
      <c r="DG384" s="252"/>
      <c r="DH384" s="252"/>
      <c r="DI384" s="252"/>
      <c r="DJ384" s="252"/>
      <c r="DK384" s="252"/>
      <c r="DL384" s="252"/>
      <c r="DM384" s="252"/>
      <c r="DN384" s="252"/>
      <c r="DO384" s="252"/>
      <c r="DP384" s="252"/>
      <c r="DQ384" s="252"/>
      <c r="DR384" s="252"/>
      <c r="DS384" s="252"/>
      <c r="DT384" s="252"/>
      <c r="DU384" s="252"/>
      <c r="DV384" s="252"/>
      <c r="DW384" s="252"/>
      <c r="DX384" s="252"/>
      <c r="DY384" s="252"/>
      <c r="DZ384" s="252"/>
      <c r="EA384" s="252"/>
      <c r="EB384" s="252"/>
      <c r="EC384" s="252"/>
      <c r="ED384" s="252"/>
      <c r="EE384" s="252"/>
      <c r="EF384" s="252"/>
      <c r="EG384" s="252"/>
      <c r="EH384" s="252"/>
      <c r="EI384" s="252"/>
      <c r="EJ384" s="252"/>
      <c r="EK384" s="252"/>
      <c r="EL384" s="252"/>
      <c r="EM384" s="252"/>
      <c r="EN384" s="252"/>
      <c r="EO384" s="252"/>
      <c r="EP384" s="252"/>
      <c r="EQ384" s="252"/>
      <c r="ER384" s="252"/>
      <c r="ES384" s="252"/>
      <c r="ET384" s="252"/>
      <c r="EU384" s="252"/>
      <c r="EV384" s="252"/>
      <c r="EW384" s="252"/>
      <c r="EX384" s="252"/>
      <c r="EY384" s="252"/>
      <c r="EZ384" s="252"/>
      <c r="FA384" s="252"/>
      <c r="FB384" s="252"/>
      <c r="FC384" s="252"/>
      <c r="FD384" s="252"/>
      <c r="FE384" s="252"/>
      <c r="FF384" s="252"/>
      <c r="FG384" s="252"/>
      <c r="FH384" s="252"/>
      <c r="FI384" s="252"/>
      <c r="FJ384" s="252"/>
      <c r="FK384" s="252"/>
      <c r="FL384" s="252"/>
      <c r="FM384" s="252"/>
      <c r="FN384" s="252"/>
      <c r="FO384" s="252"/>
      <c r="FP384" s="252"/>
      <c r="FQ384" s="252"/>
      <c r="FR384" s="252"/>
      <c r="FS384" s="252"/>
      <c r="FT384" s="252"/>
      <c r="FU384" s="252"/>
      <c r="FV384" s="252"/>
      <c r="FW384" s="252"/>
      <c r="FX384" s="252"/>
      <c r="FY384" s="252"/>
      <c r="FZ384" s="252"/>
      <c r="GA384" s="252"/>
      <c r="GB384" s="252"/>
      <c r="GC384" s="252"/>
      <c r="GD384" s="252"/>
      <c r="GE384" s="252"/>
      <c r="GF384" s="252"/>
      <c r="GG384" s="252"/>
      <c r="GH384" s="252"/>
      <c r="GI384" s="252"/>
      <c r="GJ384" s="252"/>
      <c r="GK384" s="252"/>
      <c r="GL384" s="252"/>
      <c r="GM384" s="252"/>
      <c r="GN384" s="252"/>
      <c r="GO384" s="252"/>
      <c r="GP384" s="252"/>
      <c r="GQ384" s="252"/>
      <c r="GR384" s="252"/>
      <c r="GS384" s="252"/>
      <c r="GT384" s="252"/>
      <c r="GU384" s="252"/>
      <c r="GV384" s="252"/>
      <c r="GW384" s="252"/>
      <c r="GX384" s="252"/>
      <c r="GY384" s="252"/>
      <c r="GZ384" s="252"/>
      <c r="HA384" s="252"/>
      <c r="HB384" s="252"/>
      <c r="HC384" s="252"/>
      <c r="HD384" s="252"/>
      <c r="HE384" s="252"/>
      <c r="HF384" s="252"/>
      <c r="HG384" s="252"/>
      <c r="HH384" s="252"/>
      <c r="HI384" s="252"/>
      <c r="HJ384" s="252"/>
      <c r="HK384" s="252"/>
      <c r="HL384" s="252"/>
      <c r="HM384" s="252"/>
      <c r="HN384" s="252"/>
      <c r="HO384" s="252"/>
      <c r="HP384" s="252"/>
      <c r="HQ384" s="252"/>
      <c r="HR384" s="252"/>
      <c r="HS384" s="252"/>
      <c r="HT384" s="252"/>
      <c r="HU384" s="252"/>
      <c r="HV384" s="252"/>
      <c r="HW384" s="252"/>
      <c r="HX384" s="252"/>
      <c r="HY384" s="252"/>
      <c r="HZ384" s="252"/>
      <c r="IA384" s="252"/>
      <c r="IB384" s="252"/>
      <c r="IC384" s="252"/>
      <c r="ID384" s="252"/>
      <c r="IE384" s="252"/>
      <c r="IF384" s="252"/>
      <c r="IG384" s="252"/>
      <c r="IH384" s="252"/>
      <c r="II384" s="252"/>
      <c r="IJ384" s="252"/>
      <c r="IK384" s="252"/>
      <c r="IL384" s="252"/>
      <c r="IM384" s="252"/>
      <c r="IN384" s="252"/>
      <c r="IO384" s="252"/>
      <c r="IP384" s="252"/>
      <c r="IQ384" s="252"/>
      <c r="IR384" s="252"/>
      <c r="IS384" s="252"/>
      <c r="IT384" s="252"/>
      <c r="IU384" s="252"/>
      <c r="IV384" s="252"/>
      <c r="IW384" s="252"/>
      <c r="IX384" s="252"/>
      <c r="IY384" s="252"/>
      <c r="IZ384" s="252"/>
      <c r="JA384" s="252"/>
      <c r="JB384" s="252"/>
      <c r="JC384" s="252"/>
      <c r="JD384" s="252"/>
      <c r="JE384" s="252"/>
      <c r="JF384" s="252"/>
      <c r="JG384" s="252"/>
      <c r="JH384" s="252"/>
      <c r="JI384" s="252"/>
      <c r="JJ384" s="252"/>
      <c r="JK384" s="252"/>
      <c r="JL384" s="252"/>
      <c r="JM384" s="252"/>
      <c r="JN384" s="252"/>
      <c r="JO384" s="252"/>
      <c r="JP384" s="252"/>
      <c r="JQ384" s="252"/>
      <c r="JR384" s="252"/>
      <c r="JS384" s="252"/>
      <c r="JT384" s="252"/>
      <c r="JU384" s="252"/>
      <c r="JV384" s="252"/>
      <c r="JW384" s="252"/>
      <c r="JX384" s="252"/>
      <c r="JY384" s="252"/>
      <c r="JZ384" s="252"/>
      <c r="KA384" s="252"/>
      <c r="KB384" s="252"/>
      <c r="KC384" s="252"/>
      <c r="KD384" s="252"/>
      <c r="KE384" s="252"/>
      <c r="KF384" s="252"/>
      <c r="KG384" s="252"/>
      <c r="KH384" s="252"/>
      <c r="KI384" s="252"/>
      <c r="KJ384" s="252"/>
      <c r="KK384" s="252"/>
      <c r="KL384" s="252"/>
      <c r="KM384" s="252"/>
      <c r="KN384" s="252"/>
      <c r="KO384" s="252"/>
      <c r="KP384" s="252"/>
      <c r="KQ384" s="252"/>
      <c r="KR384" s="252"/>
      <c r="KS384" s="252"/>
      <c r="KT384" s="252"/>
      <c r="KU384" s="252"/>
      <c r="KV384" s="252"/>
      <c r="KW384" s="252"/>
      <c r="KX384" s="252"/>
      <c r="KY384" s="252"/>
      <c r="KZ384" s="252"/>
      <c r="LA384" s="252"/>
      <c r="LB384" s="252"/>
      <c r="LC384" s="252"/>
      <c r="LD384" s="252"/>
      <c r="LE384" s="252"/>
      <c r="LF384" s="252"/>
      <c r="LG384" s="252"/>
      <c r="LH384" s="252"/>
      <c r="LI384" s="252"/>
      <c r="LJ384" s="252"/>
      <c r="LK384" s="252"/>
      <c r="LL384" s="252"/>
      <c r="LM384" s="252"/>
      <c r="LN384" s="252"/>
      <c r="LO384" s="252"/>
      <c r="LP384" s="252"/>
      <c r="LQ384" s="252"/>
      <c r="LR384" s="252"/>
      <c r="LS384" s="252"/>
      <c r="LT384" s="252"/>
      <c r="LU384" s="252"/>
      <c r="LV384" s="252"/>
      <c r="LW384" s="252"/>
      <c r="LX384" s="252"/>
      <c r="LY384" s="252"/>
      <c r="LZ384" s="252"/>
      <c r="MA384" s="252"/>
      <c r="MB384" s="252"/>
      <c r="MC384" s="252"/>
      <c r="MD384" s="252"/>
      <c r="ME384" s="252"/>
      <c r="MF384" s="252"/>
      <c r="MG384" s="252"/>
      <c r="MH384" s="252"/>
      <c r="MI384" s="252"/>
      <c r="MJ384" s="252"/>
      <c r="MK384" s="252"/>
      <c r="ML384" s="252"/>
      <c r="MM384" s="252"/>
      <c r="MN384" s="252"/>
      <c r="MO384" s="252"/>
      <c r="MP384" s="252"/>
      <c r="MQ384" s="252"/>
      <c r="MR384" s="252"/>
      <c r="MS384" s="252"/>
      <c r="MT384" s="252"/>
      <c r="MU384" s="252"/>
      <c r="MV384" s="252"/>
      <c r="MW384" s="252"/>
      <c r="MX384" s="252"/>
      <c r="MY384" s="252"/>
      <c r="MZ384" s="252"/>
      <c r="NA384" s="252"/>
      <c r="NB384" s="252"/>
      <c r="NC384" s="252"/>
      <c r="ND384" s="252"/>
      <c r="NE384" s="252"/>
      <c r="NF384" s="252"/>
      <c r="NG384" s="252"/>
      <c r="NH384" s="252"/>
      <c r="NI384" s="252"/>
      <c r="NJ384" s="252"/>
      <c r="NK384" s="252"/>
      <c r="NL384" s="252"/>
      <c r="NM384" s="252"/>
      <c r="NN384" s="252"/>
      <c r="NO384" s="252"/>
      <c r="NP384" s="252"/>
      <c r="NQ384" s="252"/>
      <c r="NR384" s="252"/>
      <c r="NS384" s="252"/>
      <c r="NT384" s="252"/>
      <c r="NU384" s="252"/>
      <c r="NV384" s="252"/>
      <c r="NW384" s="252"/>
      <c r="NX384" s="252"/>
      <c r="NY384" s="252"/>
      <c r="NZ384" s="252"/>
      <c r="OA384" s="252"/>
      <c r="OB384" s="252"/>
      <c r="OC384" s="252"/>
      <c r="OD384" s="252"/>
      <c r="OE384" s="252"/>
      <c r="OF384" s="252"/>
      <c r="OG384" s="252"/>
      <c r="OH384" s="252"/>
      <c r="OI384" s="252"/>
      <c r="OJ384" s="252"/>
      <c r="OK384" s="252"/>
      <c r="OL384" s="252"/>
      <c r="OM384" s="252"/>
      <c r="ON384" s="252"/>
      <c r="OO384" s="252"/>
      <c r="OP384" s="252"/>
      <c r="OQ384" s="252"/>
      <c r="OR384" s="252"/>
      <c r="OS384" s="252"/>
      <c r="OT384" s="252"/>
      <c r="OU384" s="252"/>
      <c r="OV384" s="252"/>
      <c r="OW384" s="252"/>
      <c r="OX384" s="252"/>
      <c r="OY384" s="252"/>
      <c r="OZ384" s="252"/>
      <c r="PA384" s="252"/>
      <c r="PB384" s="252"/>
      <c r="PC384" s="252"/>
      <c r="PD384" s="252"/>
      <c r="PE384" s="252"/>
      <c r="PF384" s="252"/>
      <c r="PG384" s="252"/>
      <c r="PH384" s="252"/>
      <c r="PI384" s="252"/>
      <c r="PJ384" s="252"/>
      <c r="PK384" s="252"/>
      <c r="PL384" s="252"/>
      <c r="PM384" s="252"/>
      <c r="PN384" s="252"/>
      <c r="PO384" s="252"/>
      <c r="PP384" s="252"/>
      <c r="PQ384" s="252"/>
      <c r="PR384" s="252"/>
      <c r="PS384" s="252"/>
      <c r="PT384" s="252"/>
      <c r="PU384" s="252"/>
      <c r="PV384" s="252"/>
      <c r="PW384" s="252"/>
      <c r="PX384" s="252"/>
      <c r="PY384" s="252"/>
      <c r="PZ384" s="252"/>
      <c r="QA384" s="252"/>
      <c r="QB384" s="252"/>
      <c r="QC384" s="252"/>
      <c r="QD384" s="252"/>
      <c r="QE384" s="252"/>
      <c r="QF384" s="252"/>
      <c r="QG384" s="252"/>
      <c r="QH384" s="252"/>
      <c r="QI384" s="252"/>
      <c r="QJ384" s="252"/>
      <c r="QK384" s="252"/>
      <c r="QL384" s="252"/>
      <c r="QM384" s="252"/>
      <c r="QN384" s="252"/>
      <c r="QO384" s="252"/>
      <c r="QP384" s="252"/>
      <c r="QQ384" s="252"/>
      <c r="QR384" s="252"/>
      <c r="QS384" s="252"/>
      <c r="QT384" s="252"/>
      <c r="QU384" s="252"/>
      <c r="QV384" s="252"/>
      <c r="QW384" s="252"/>
      <c r="QX384" s="252"/>
      <c r="QY384" s="252"/>
      <c r="QZ384" s="252"/>
      <c r="RA384" s="252"/>
      <c r="RB384" s="252"/>
      <c r="RC384" s="252"/>
      <c r="RD384" s="252"/>
      <c r="RE384" s="252"/>
      <c r="RF384" s="252"/>
      <c r="RG384" s="252"/>
      <c r="RH384" s="252"/>
      <c r="RI384" s="252"/>
      <c r="RJ384" s="252"/>
      <c r="RK384" s="252"/>
      <c r="RL384" s="252"/>
      <c r="RM384" s="252"/>
      <c r="RN384" s="252"/>
      <c r="RO384" s="252"/>
      <c r="RP384" s="252"/>
      <c r="RQ384" s="252"/>
      <c r="RR384" s="252"/>
      <c r="RS384" s="252"/>
      <c r="RT384" s="252"/>
      <c r="RU384" s="252"/>
      <c r="RV384" s="252"/>
      <c r="RW384" s="252"/>
      <c r="RX384" s="252"/>
      <c r="RY384" s="252"/>
      <c r="RZ384" s="252"/>
      <c r="SA384" s="252"/>
      <c r="SB384" s="252"/>
      <c r="SC384" s="252"/>
      <c r="SD384" s="252"/>
      <c r="SE384" s="252"/>
      <c r="SF384" s="252"/>
      <c r="SG384" s="252"/>
      <c r="SH384" s="252"/>
      <c r="SI384" s="252"/>
      <c r="SJ384" s="252"/>
      <c r="SK384" s="252"/>
      <c r="SL384" s="252"/>
      <c r="SM384" s="252"/>
      <c r="SN384" s="252"/>
      <c r="SO384" s="252"/>
      <c r="SP384" s="252"/>
      <c r="SQ384" s="252"/>
      <c r="SR384" s="252"/>
      <c r="SS384" s="252"/>
      <c r="ST384" s="252"/>
      <c r="SU384" s="252"/>
      <c r="SV384" s="252"/>
      <c r="SW384" s="252"/>
      <c r="SX384" s="252"/>
      <c r="SY384" s="252"/>
      <c r="SZ384" s="252"/>
      <c r="TA384" s="252"/>
      <c r="TB384" s="252"/>
      <c r="TC384" s="252"/>
      <c r="TD384" s="252"/>
      <c r="TE384" s="252"/>
      <c r="TF384" s="252"/>
      <c r="TG384" s="252"/>
      <c r="TH384" s="252"/>
      <c r="TI384" s="252"/>
      <c r="TJ384" s="252"/>
      <c r="TK384" s="252"/>
      <c r="TL384" s="252"/>
      <c r="TM384" s="252"/>
      <c r="TN384" s="252"/>
      <c r="TO384" s="252"/>
      <c r="TP384" s="252"/>
      <c r="TQ384" s="252"/>
      <c r="TR384" s="252"/>
      <c r="TS384" s="252"/>
      <c r="TT384" s="252"/>
      <c r="TU384" s="252"/>
      <c r="TV384" s="252"/>
      <c r="TW384" s="252"/>
      <c r="TX384" s="252"/>
      <c r="TY384" s="252"/>
      <c r="TZ384" s="252"/>
      <c r="UA384" s="252"/>
      <c r="UB384" s="252"/>
      <c r="UC384" s="252"/>
      <c r="UD384" s="252"/>
      <c r="UE384" s="252"/>
      <c r="UF384" s="252"/>
      <c r="UG384" s="252"/>
      <c r="UH384" s="252"/>
      <c r="UI384" s="252"/>
      <c r="UJ384" s="252"/>
      <c r="UK384" s="252"/>
      <c r="UL384" s="252"/>
      <c r="UM384" s="252"/>
      <c r="UN384" s="252"/>
      <c r="UO384" s="252"/>
      <c r="UP384" s="252"/>
      <c r="UQ384" s="252"/>
      <c r="UR384" s="252"/>
      <c r="US384" s="252"/>
      <c r="UT384" s="252"/>
      <c r="UU384" s="252"/>
      <c r="UV384" s="252"/>
      <c r="UW384" s="252"/>
      <c r="UX384" s="252"/>
      <c r="UY384" s="252"/>
      <c r="UZ384" s="252"/>
      <c r="VA384" s="252"/>
      <c r="VB384" s="252"/>
      <c r="VC384" s="252"/>
      <c r="VD384" s="252"/>
      <c r="VE384" s="252"/>
      <c r="VF384" s="252"/>
      <c r="VG384" s="252"/>
      <c r="VH384" s="252"/>
      <c r="VI384" s="252"/>
      <c r="VJ384" s="252"/>
      <c r="VK384" s="252"/>
      <c r="VL384" s="252"/>
      <c r="VM384" s="252"/>
      <c r="VN384" s="252"/>
      <c r="VO384" s="252"/>
      <c r="VP384" s="252"/>
      <c r="VQ384" s="252"/>
      <c r="VR384" s="252"/>
      <c r="VS384" s="252"/>
      <c r="VT384" s="252"/>
      <c r="VU384" s="252"/>
      <c r="VV384" s="252"/>
      <c r="VW384" s="252"/>
      <c r="VX384" s="252"/>
      <c r="VY384" s="252"/>
      <c r="VZ384" s="252"/>
      <c r="WA384" s="252"/>
      <c r="WB384" s="252"/>
      <c r="WC384" s="252"/>
      <c r="WD384" s="252"/>
      <c r="WE384" s="252"/>
      <c r="WF384" s="252"/>
      <c r="WG384" s="252"/>
      <c r="WH384" s="252"/>
      <c r="WI384" s="252"/>
      <c r="WJ384" s="252"/>
      <c r="WK384" s="252"/>
      <c r="WL384" s="252"/>
      <c r="WM384" s="252"/>
      <c r="WN384" s="252"/>
      <c r="WO384" s="252"/>
      <c r="WP384" s="252"/>
      <c r="WQ384" s="252"/>
      <c r="WR384" s="252"/>
      <c r="WS384" s="252"/>
      <c r="WT384" s="252"/>
      <c r="WU384" s="252"/>
      <c r="WV384" s="252"/>
      <c r="WW384" s="252"/>
      <c r="WX384" s="252"/>
      <c r="WY384" s="252"/>
      <c r="WZ384" s="252"/>
      <c r="XA384" s="252"/>
      <c r="XB384" s="252"/>
      <c r="XC384" s="252"/>
      <c r="XD384" s="252"/>
      <c r="XE384" s="252"/>
      <c r="XF384" s="252"/>
      <c r="XG384" s="252"/>
      <c r="XH384" s="252"/>
      <c r="XI384" s="252"/>
      <c r="XJ384" s="252"/>
      <c r="XK384" s="252"/>
      <c r="XL384" s="252"/>
      <c r="XM384" s="252"/>
      <c r="XN384" s="252"/>
      <c r="XO384" s="252"/>
      <c r="XP384" s="252"/>
      <c r="XQ384" s="252"/>
      <c r="XR384" s="252"/>
      <c r="XS384" s="252"/>
      <c r="XT384" s="252"/>
      <c r="XU384" s="252"/>
      <c r="XV384" s="252"/>
      <c r="XW384" s="252"/>
      <c r="XX384" s="252"/>
      <c r="XY384" s="252"/>
      <c r="XZ384" s="252"/>
      <c r="YA384" s="252"/>
      <c r="YB384" s="252"/>
      <c r="YC384" s="252"/>
      <c r="YD384" s="252"/>
      <c r="YE384" s="252"/>
      <c r="YF384" s="252"/>
      <c r="YG384" s="252"/>
      <c r="YH384" s="252"/>
      <c r="YI384" s="252"/>
      <c r="YJ384" s="252"/>
      <c r="YK384" s="252"/>
      <c r="YL384" s="252"/>
      <c r="YM384" s="252"/>
      <c r="YN384" s="252"/>
      <c r="YO384" s="252"/>
      <c r="YP384" s="252"/>
      <c r="YQ384" s="252"/>
      <c r="YR384" s="252"/>
      <c r="YS384" s="252"/>
      <c r="YT384" s="252"/>
      <c r="YU384" s="252"/>
      <c r="YV384" s="252"/>
      <c r="YW384" s="252"/>
      <c r="YX384" s="252"/>
      <c r="YY384" s="252"/>
      <c r="YZ384" s="252"/>
      <c r="ZA384" s="252"/>
      <c r="ZB384" s="252"/>
      <c r="ZC384" s="252"/>
      <c r="ZD384" s="252"/>
      <c r="ZE384" s="252"/>
      <c r="ZF384" s="252"/>
      <c r="ZG384" s="252"/>
      <c r="ZH384" s="252"/>
      <c r="ZI384" s="252"/>
      <c r="ZJ384" s="252"/>
      <c r="ZK384" s="252"/>
      <c r="ZL384" s="252"/>
      <c r="ZM384" s="252"/>
      <c r="ZN384" s="252"/>
      <c r="ZO384" s="252"/>
      <c r="ZP384" s="252"/>
      <c r="ZQ384" s="252"/>
      <c r="ZR384" s="252"/>
      <c r="ZS384" s="252"/>
      <c r="ZT384" s="252"/>
      <c r="ZU384" s="252"/>
      <c r="ZV384" s="252"/>
      <c r="ZW384" s="252"/>
      <c r="ZX384" s="252"/>
      <c r="ZY384" s="252"/>
      <c r="ZZ384" s="252"/>
      <c r="AAA384" s="252"/>
      <c r="AAB384" s="252"/>
      <c r="AAC384" s="252"/>
      <c r="AAD384" s="252"/>
      <c r="AAE384" s="252"/>
      <c r="AAF384" s="252"/>
      <c r="AAG384" s="252"/>
      <c r="AAH384" s="252"/>
      <c r="AAI384" s="252"/>
      <c r="AAJ384" s="252"/>
      <c r="AAK384" s="252"/>
      <c r="AAL384" s="252"/>
      <c r="AAM384" s="252"/>
      <c r="AAN384" s="252"/>
      <c r="AAO384" s="252"/>
      <c r="AAP384" s="252"/>
      <c r="AAQ384" s="252"/>
      <c r="AAR384" s="252"/>
      <c r="AAS384" s="252"/>
      <c r="AAT384" s="252"/>
      <c r="AAU384" s="252"/>
      <c r="AAV384" s="252"/>
      <c r="AAW384" s="252"/>
      <c r="AAX384" s="252"/>
      <c r="AAY384" s="252"/>
      <c r="AAZ384" s="252"/>
      <c r="ABA384" s="252"/>
      <c r="ABB384" s="252"/>
      <c r="ABC384" s="252"/>
      <c r="ABD384" s="252"/>
      <c r="ABE384" s="252"/>
      <c r="ABF384" s="252"/>
      <c r="ABG384" s="252"/>
      <c r="ABH384" s="252"/>
      <c r="ABI384" s="252"/>
      <c r="ABJ384" s="252"/>
      <c r="ABK384" s="252"/>
      <c r="ABL384" s="252"/>
      <c r="ABM384" s="252"/>
      <c r="ABN384" s="252"/>
      <c r="ABO384" s="252"/>
      <c r="ABP384" s="252"/>
      <c r="ABQ384" s="252"/>
      <c r="ABR384" s="252"/>
      <c r="ABS384" s="252"/>
      <c r="ABT384" s="252"/>
      <c r="ABU384" s="252"/>
      <c r="ABV384" s="252"/>
      <c r="ABW384" s="252"/>
      <c r="ABX384" s="252"/>
      <c r="ABY384" s="252"/>
      <c r="ABZ384" s="252"/>
      <c r="ACA384" s="252"/>
      <c r="ACB384" s="252"/>
      <c r="ACC384" s="252"/>
      <c r="ACD384" s="252"/>
      <c r="ACE384" s="252"/>
      <c r="ACF384" s="252"/>
      <c r="ACG384" s="252"/>
      <c r="ACH384" s="252"/>
      <c r="ACI384" s="252"/>
      <c r="ACJ384" s="252"/>
      <c r="ACK384" s="252"/>
      <c r="ACL384" s="252"/>
      <c r="ACM384" s="252"/>
      <c r="ACN384" s="252"/>
      <c r="ACO384" s="252"/>
      <c r="ACP384" s="252"/>
      <c r="ACQ384" s="252"/>
      <c r="ACR384" s="252"/>
      <c r="ACS384" s="252"/>
      <c r="ACT384" s="252"/>
      <c r="ACU384" s="252"/>
      <c r="ACV384" s="252"/>
      <c r="ACW384" s="252"/>
      <c r="ACX384" s="252"/>
      <c r="ACY384" s="252"/>
      <c r="ACZ384" s="252"/>
      <c r="ADA384" s="252"/>
      <c r="ADB384" s="252"/>
      <c r="ADC384" s="252"/>
      <c r="ADD384" s="252"/>
      <c r="ADE384" s="252"/>
      <c r="ADF384" s="252"/>
      <c r="ADG384" s="252"/>
      <c r="ADH384" s="252"/>
      <c r="ADI384" s="252"/>
      <c r="ADJ384" s="252"/>
      <c r="ADK384" s="252"/>
      <c r="ADL384" s="252"/>
      <c r="ADM384" s="252"/>
      <c r="ADN384" s="252"/>
      <c r="ADO384" s="252"/>
      <c r="ADP384" s="252"/>
      <c r="ADQ384" s="252"/>
      <c r="ADR384" s="252"/>
      <c r="ADS384" s="252"/>
      <c r="ADT384" s="252"/>
      <c r="ADU384" s="252"/>
      <c r="ADV384" s="252"/>
      <c r="ADW384" s="252"/>
      <c r="ADX384" s="252"/>
      <c r="ADY384" s="252"/>
      <c r="ADZ384" s="252"/>
      <c r="AEA384" s="252"/>
      <c r="AEB384" s="252"/>
      <c r="AEC384" s="252"/>
      <c r="AED384" s="252"/>
      <c r="AEE384" s="252"/>
      <c r="AEF384" s="252"/>
      <c r="AEG384" s="252"/>
      <c r="AEH384" s="252"/>
      <c r="AEI384" s="252"/>
      <c r="AEJ384" s="252"/>
      <c r="AEK384" s="252"/>
      <c r="AEL384" s="252"/>
      <c r="AEM384" s="252"/>
      <c r="AEN384" s="252"/>
      <c r="AEO384" s="252"/>
      <c r="AEP384" s="252"/>
      <c r="AEQ384" s="252"/>
      <c r="AER384" s="252"/>
      <c r="AES384" s="252"/>
      <c r="AET384" s="252"/>
      <c r="AEU384" s="252"/>
      <c r="AEV384" s="252"/>
      <c r="AEW384" s="252"/>
      <c r="AEX384" s="252"/>
      <c r="AEY384" s="252"/>
      <c r="AEZ384" s="252"/>
      <c r="AFA384" s="252"/>
      <c r="AFB384" s="252"/>
      <c r="AFC384" s="252"/>
      <c r="AFD384" s="252"/>
      <c r="AFE384" s="252"/>
      <c r="AFF384" s="252"/>
      <c r="AFG384" s="252"/>
      <c r="AFH384" s="252"/>
      <c r="AFI384" s="252"/>
      <c r="AFJ384" s="252"/>
      <c r="AFK384" s="252"/>
      <c r="AFL384" s="252"/>
      <c r="AFM384" s="252"/>
      <c r="AFN384" s="252"/>
      <c r="AFO384" s="252"/>
      <c r="AFP384" s="252"/>
      <c r="AFQ384" s="252"/>
      <c r="AFR384" s="252"/>
      <c r="AFS384" s="252"/>
      <c r="AFT384" s="252"/>
      <c r="AFU384" s="252"/>
      <c r="AFV384" s="252"/>
      <c r="AFW384" s="252"/>
      <c r="AFX384" s="252"/>
      <c r="AFY384" s="252"/>
      <c r="AFZ384" s="252"/>
      <c r="AGA384" s="252"/>
      <c r="AGB384" s="252"/>
      <c r="AGC384" s="252"/>
      <c r="AGD384" s="252"/>
      <c r="AGE384" s="252"/>
      <c r="AGF384" s="252"/>
      <c r="AGG384" s="252"/>
      <c r="AGH384" s="252"/>
      <c r="AGI384" s="252"/>
      <c r="AGJ384" s="252"/>
      <c r="AGK384" s="252"/>
      <c r="AGL384" s="252"/>
      <c r="AGM384" s="252"/>
      <c r="AGN384" s="252"/>
      <c r="AGO384" s="252"/>
      <c r="AGP384" s="252"/>
      <c r="AGQ384" s="252"/>
      <c r="AGR384" s="252"/>
      <c r="AGS384" s="252"/>
      <c r="AGT384" s="252"/>
      <c r="AGU384" s="252"/>
      <c r="AGV384" s="252"/>
      <c r="AGW384" s="252"/>
      <c r="AGX384" s="252"/>
      <c r="AGY384" s="252"/>
      <c r="AGZ384" s="252"/>
      <c r="AHA384" s="252"/>
      <c r="AHB384" s="252"/>
      <c r="AHC384" s="252"/>
      <c r="AHD384" s="252"/>
      <c r="AHE384" s="252"/>
      <c r="AHF384" s="252"/>
      <c r="AHG384" s="252"/>
      <c r="AHH384" s="252"/>
      <c r="AHI384" s="252"/>
      <c r="AHJ384" s="252"/>
      <c r="AHK384" s="252"/>
      <c r="AHL384" s="252"/>
      <c r="AHM384" s="252"/>
      <c r="AHN384" s="252"/>
      <c r="AHO384" s="252"/>
      <c r="AHP384" s="252"/>
      <c r="AHQ384" s="252"/>
      <c r="AHR384" s="252"/>
      <c r="AHS384" s="252"/>
      <c r="AHT384" s="252"/>
      <c r="AHU384" s="252"/>
      <c r="AHV384" s="252"/>
      <c r="AHW384" s="252"/>
      <c r="AHX384" s="252"/>
      <c r="AHY384" s="252"/>
      <c r="AHZ384" s="252"/>
      <c r="AIA384" s="252"/>
      <c r="AIB384" s="252"/>
      <c r="AIC384" s="252"/>
      <c r="AID384" s="252"/>
      <c r="AIE384" s="252"/>
      <c r="AIF384" s="252"/>
      <c r="AIG384" s="252"/>
      <c r="AIH384" s="252"/>
      <c r="AII384" s="252"/>
      <c r="AIJ384" s="252"/>
      <c r="AIK384" s="252"/>
      <c r="AIL384" s="252"/>
      <c r="AIM384" s="252"/>
      <c r="AIN384" s="252"/>
      <c r="AIO384" s="252"/>
      <c r="AIP384" s="252"/>
      <c r="AIQ384" s="252"/>
      <c r="AIR384" s="252"/>
      <c r="AIS384" s="252"/>
      <c r="AIT384" s="252"/>
      <c r="AIU384" s="252"/>
      <c r="AIV384" s="252"/>
      <c r="AIW384" s="252"/>
      <c r="AIX384" s="252"/>
      <c r="AIY384" s="252"/>
      <c r="AIZ384" s="252"/>
      <c r="AJA384" s="252"/>
      <c r="AJB384" s="252"/>
      <c r="AJC384" s="252"/>
      <c r="AJD384" s="252"/>
      <c r="AJE384" s="252"/>
      <c r="AJF384" s="252"/>
      <c r="AJG384" s="252"/>
      <c r="AJH384" s="252"/>
      <c r="AJI384" s="252"/>
      <c r="AJJ384" s="252"/>
      <c r="AJK384" s="252"/>
      <c r="AJL384" s="252"/>
      <c r="AJM384" s="252"/>
      <c r="AJN384" s="252"/>
      <c r="AJO384" s="252"/>
      <c r="AJP384" s="252"/>
      <c r="AJQ384" s="252"/>
      <c r="AJR384" s="252"/>
      <c r="AJS384" s="252"/>
      <c r="AJT384" s="252"/>
      <c r="AJU384" s="252"/>
      <c r="AJV384" s="252"/>
      <c r="AJW384" s="252"/>
      <c r="AJX384" s="252"/>
      <c r="AJY384" s="252"/>
      <c r="AJZ384" s="252"/>
      <c r="AKA384" s="252"/>
      <c r="AKB384" s="252"/>
      <c r="AKC384" s="252"/>
      <c r="AKD384" s="252"/>
      <c r="AKE384" s="252"/>
      <c r="AKF384" s="252"/>
      <c r="AKG384" s="252"/>
      <c r="AKH384" s="252"/>
      <c r="AKI384" s="252"/>
      <c r="AKJ384" s="252"/>
      <c r="AKK384" s="252"/>
      <c r="AKL384" s="252"/>
      <c r="AKM384" s="252"/>
      <c r="AKN384" s="252"/>
      <c r="AKO384" s="252"/>
      <c r="AKP384" s="252"/>
      <c r="AKQ384" s="252"/>
      <c r="AKR384" s="252"/>
      <c r="AKS384" s="252"/>
      <c r="AKT384" s="252"/>
      <c r="AKU384" s="252"/>
      <c r="AKV384" s="252"/>
      <c r="AKW384" s="252"/>
      <c r="AKX384" s="252"/>
      <c r="AKY384" s="252"/>
      <c r="AKZ384" s="252"/>
      <c r="ALA384" s="252"/>
      <c r="ALB384" s="252"/>
      <c r="ALC384" s="252"/>
      <c r="ALD384" s="252"/>
      <c r="ALE384" s="252"/>
      <c r="ALF384" s="252"/>
      <c r="ALG384" s="252"/>
      <c r="ALH384" s="252"/>
      <c r="ALI384" s="252"/>
      <c r="ALJ384" s="252"/>
      <c r="ALK384" s="252"/>
      <c r="ALL384" s="252"/>
      <c r="ALM384" s="252"/>
      <c r="ALN384" s="252"/>
      <c r="ALO384" s="252"/>
      <c r="ALP384" s="252"/>
      <c r="ALQ384" s="252"/>
      <c r="ALR384" s="252"/>
      <c r="ALS384" s="252"/>
      <c r="ALT384" s="252"/>
      <c r="ALU384" s="252"/>
      <c r="ALV384" s="252"/>
      <c r="ALW384" s="252"/>
      <c r="ALX384" s="252"/>
      <c r="ALY384" s="252"/>
      <c r="ALZ384" s="252"/>
      <c r="AMA384" s="252"/>
      <c r="AMB384" s="252"/>
      <c r="AMC384" s="252"/>
      <c r="AMD384" s="252"/>
      <c r="AME384" s="252"/>
      <c r="AMF384" s="252"/>
      <c r="AMG384" s="252"/>
      <c r="AMH384" s="252"/>
      <c r="AMI384" s="252"/>
      <c r="AMJ384" s="252"/>
      <c r="AMK384" s="252"/>
      <c r="AML384" s="252"/>
      <c r="AMM384" s="252"/>
      <c r="AMN384" s="252"/>
      <c r="AMO384" s="252"/>
      <c r="AMP384" s="252"/>
      <c r="AMQ384" s="252"/>
      <c r="AMR384" s="252"/>
      <c r="AMS384" s="252"/>
      <c r="AMT384" s="252"/>
      <c r="AMU384" s="252"/>
      <c r="AMV384" s="252"/>
      <c r="AMW384" s="252"/>
      <c r="AMX384" s="252"/>
      <c r="AMY384" s="252"/>
      <c r="AMZ384" s="252"/>
      <c r="ANA384" s="252"/>
      <c r="ANB384" s="252"/>
      <c r="ANC384" s="252"/>
      <c r="AND384" s="252"/>
      <c r="ANE384" s="252"/>
      <c r="ANF384" s="252"/>
      <c r="ANG384" s="252"/>
      <c r="ANH384" s="252"/>
      <c r="ANI384" s="252"/>
      <c r="ANJ384" s="252"/>
      <c r="ANK384" s="252"/>
      <c r="ANL384" s="252"/>
      <c r="ANM384" s="252"/>
      <c r="ANN384" s="252"/>
      <c r="ANO384" s="252"/>
      <c r="ANP384" s="252"/>
      <c r="ANQ384" s="252"/>
      <c r="ANR384" s="252"/>
      <c r="ANS384" s="252"/>
      <c r="ANT384" s="252"/>
      <c r="ANU384" s="252"/>
      <c r="ANV384" s="252"/>
      <c r="ANW384" s="252"/>
      <c r="ANX384" s="252"/>
      <c r="ANY384" s="252"/>
      <c r="ANZ384" s="252"/>
      <c r="AOA384" s="252"/>
      <c r="AOB384" s="252"/>
      <c r="AOC384" s="252"/>
      <c r="AOD384" s="252"/>
      <c r="AOE384" s="252"/>
      <c r="AOF384" s="252"/>
      <c r="AOG384" s="252"/>
      <c r="AOH384" s="252"/>
      <c r="AOI384" s="252"/>
      <c r="AOJ384" s="252"/>
      <c r="AOK384" s="252"/>
      <c r="AOL384" s="252"/>
      <c r="AOM384" s="252"/>
      <c r="AON384" s="252"/>
      <c r="AOO384" s="252"/>
      <c r="AOP384" s="252"/>
      <c r="AOQ384" s="252"/>
      <c r="AOR384" s="252"/>
      <c r="AOS384" s="252"/>
      <c r="AOT384" s="252"/>
      <c r="AOU384" s="252"/>
      <c r="AOV384" s="252"/>
      <c r="AOW384" s="252"/>
      <c r="AOX384" s="252"/>
      <c r="AOY384" s="252"/>
      <c r="AOZ384" s="252"/>
      <c r="APA384" s="252"/>
      <c r="APB384" s="252"/>
      <c r="APC384" s="252"/>
      <c r="APD384" s="252"/>
      <c r="APE384" s="252"/>
      <c r="APF384" s="252"/>
      <c r="APG384" s="252"/>
      <c r="APH384" s="252"/>
      <c r="API384" s="252"/>
      <c r="APJ384" s="252"/>
      <c r="APK384" s="252"/>
      <c r="APL384" s="252"/>
      <c r="APM384" s="252"/>
      <c r="APN384" s="252"/>
      <c r="APO384" s="252"/>
      <c r="APP384" s="252"/>
      <c r="APQ384" s="252"/>
      <c r="APR384" s="252"/>
      <c r="APS384" s="252"/>
      <c r="APT384" s="252"/>
      <c r="APU384" s="252"/>
      <c r="APV384" s="252"/>
      <c r="APW384" s="252"/>
      <c r="APX384" s="252"/>
      <c r="APY384" s="252"/>
      <c r="APZ384" s="252"/>
      <c r="AQA384" s="252"/>
      <c r="AQB384" s="252"/>
      <c r="AQC384" s="252"/>
      <c r="AQD384" s="252"/>
      <c r="AQE384" s="252"/>
      <c r="AQF384" s="252"/>
      <c r="AQG384" s="252"/>
      <c r="AQH384" s="252"/>
      <c r="AQI384" s="252"/>
      <c r="AQJ384" s="252"/>
      <c r="AQK384" s="252"/>
      <c r="AQL384" s="252"/>
      <c r="AQM384" s="252"/>
      <c r="AQN384" s="252"/>
      <c r="AQO384" s="252"/>
      <c r="AQP384" s="252"/>
      <c r="AQQ384" s="252"/>
      <c r="AQR384" s="252"/>
      <c r="AQS384" s="252"/>
      <c r="AQT384" s="252"/>
      <c r="AQU384" s="252"/>
      <c r="AQV384" s="252"/>
      <c r="AQW384" s="252"/>
      <c r="AQX384" s="252"/>
      <c r="AQY384" s="252"/>
      <c r="AQZ384" s="252"/>
      <c r="ARA384" s="252"/>
      <c r="ARB384" s="252"/>
      <c r="ARC384" s="252"/>
      <c r="ARD384" s="252"/>
      <c r="ARE384" s="252"/>
      <c r="ARF384" s="252"/>
      <c r="ARG384" s="252"/>
      <c r="ARH384" s="252"/>
      <c r="ARI384" s="252"/>
      <c r="ARJ384" s="252"/>
      <c r="ARK384" s="252"/>
      <c r="ARL384" s="252"/>
      <c r="ARM384" s="252"/>
      <c r="ARN384" s="252"/>
      <c r="ARO384" s="252"/>
      <c r="ARP384" s="252"/>
      <c r="ARQ384" s="252"/>
      <c r="ARR384" s="252"/>
      <c r="ARS384" s="252"/>
      <c r="ART384" s="252"/>
      <c r="ARU384" s="252"/>
      <c r="ARV384" s="252"/>
      <c r="ARW384" s="252"/>
      <c r="ARX384" s="252"/>
      <c r="ARY384" s="252"/>
      <c r="ARZ384" s="252"/>
      <c r="ASA384" s="252"/>
      <c r="ASB384" s="252"/>
      <c r="ASC384" s="252"/>
      <c r="ASD384" s="252"/>
      <c r="ASE384" s="252"/>
      <c r="ASF384" s="252"/>
      <c r="ASG384" s="252"/>
      <c r="ASH384" s="252"/>
      <c r="ASI384" s="252"/>
      <c r="ASJ384" s="252"/>
      <c r="ASK384" s="252"/>
      <c r="ASL384" s="252"/>
      <c r="ASM384" s="252"/>
      <c r="ASN384" s="252"/>
      <c r="ASO384" s="252"/>
      <c r="ASP384" s="252"/>
      <c r="ASQ384" s="252"/>
      <c r="ASR384" s="252"/>
      <c r="ASS384" s="252"/>
      <c r="AST384" s="252"/>
      <c r="ASU384" s="252"/>
      <c r="ASV384" s="252"/>
      <c r="ASW384" s="252"/>
      <c r="ASX384" s="252"/>
      <c r="ASY384" s="252"/>
      <c r="ASZ384" s="252"/>
      <c r="ATA384" s="252"/>
      <c r="ATB384" s="252"/>
      <c r="ATC384" s="252"/>
      <c r="ATD384" s="252"/>
      <c r="ATE384" s="252"/>
      <c r="ATF384" s="252"/>
      <c r="ATG384" s="252"/>
      <c r="ATH384" s="252"/>
      <c r="ATI384" s="252"/>
      <c r="ATJ384" s="252"/>
      <c r="ATK384" s="252"/>
      <c r="ATL384" s="252"/>
      <c r="ATM384" s="252"/>
      <c r="ATN384" s="252"/>
      <c r="ATO384" s="252"/>
      <c r="ATP384" s="252"/>
      <c r="ATQ384" s="252"/>
      <c r="ATR384" s="252"/>
      <c r="ATS384" s="252"/>
      <c r="ATT384" s="252"/>
      <c r="ATU384" s="252"/>
      <c r="ATV384" s="252"/>
      <c r="ATW384" s="252"/>
      <c r="ATX384" s="252"/>
      <c r="ATY384" s="252"/>
      <c r="ATZ384" s="252"/>
      <c r="AUA384" s="252"/>
      <c r="AUB384" s="252"/>
      <c r="AUC384" s="252"/>
      <c r="AUD384" s="252"/>
      <c r="AUE384" s="252"/>
      <c r="AUF384" s="252"/>
      <c r="AUG384" s="252"/>
      <c r="AUH384" s="252"/>
      <c r="AUI384" s="252"/>
      <c r="AUJ384" s="252"/>
      <c r="AUK384" s="252"/>
      <c r="AUL384" s="252"/>
      <c r="AUM384" s="252"/>
      <c r="AUN384" s="252"/>
      <c r="AUO384" s="252"/>
      <c r="AUP384" s="252"/>
      <c r="AUQ384" s="252"/>
      <c r="AUR384" s="252"/>
      <c r="AUS384" s="252"/>
      <c r="AUT384" s="252"/>
      <c r="AUU384" s="252"/>
      <c r="AUV384" s="252"/>
      <c r="AUW384" s="252"/>
      <c r="AUX384" s="252"/>
      <c r="AUY384" s="252"/>
      <c r="AUZ384" s="252"/>
      <c r="AVA384" s="252"/>
      <c r="AVB384" s="252"/>
      <c r="AVC384" s="252"/>
      <c r="AVD384" s="252"/>
      <c r="AVE384" s="252"/>
      <c r="AVF384" s="252"/>
      <c r="AVG384" s="252"/>
      <c r="AVH384" s="252"/>
      <c r="AVI384" s="252"/>
      <c r="AVJ384" s="252"/>
      <c r="AVK384" s="252"/>
      <c r="AVL384" s="252"/>
      <c r="AVM384" s="252"/>
      <c r="AVN384" s="252"/>
      <c r="AVO384" s="252"/>
      <c r="AVP384" s="252"/>
      <c r="AVQ384" s="252"/>
      <c r="AVR384" s="252"/>
      <c r="AVS384" s="252"/>
      <c r="AVT384" s="252"/>
      <c r="AVU384" s="252"/>
      <c r="AVV384" s="252"/>
      <c r="AVW384" s="252"/>
      <c r="AVX384" s="252"/>
      <c r="AVY384" s="252"/>
      <c r="AVZ384" s="252"/>
      <c r="AWA384" s="252"/>
      <c r="AWB384" s="252"/>
      <c r="AWC384" s="252"/>
      <c r="AWD384" s="252"/>
      <c r="AWE384" s="252"/>
      <c r="AWF384" s="252"/>
      <c r="AWG384" s="252"/>
      <c r="AWH384" s="252"/>
      <c r="AWI384" s="252"/>
      <c r="AWJ384" s="252"/>
      <c r="AWK384" s="252"/>
      <c r="AWL384" s="252"/>
      <c r="AWM384" s="252"/>
      <c r="AWN384" s="252"/>
      <c r="AWO384" s="252"/>
      <c r="AWP384" s="252"/>
      <c r="AWQ384" s="252"/>
      <c r="AWR384" s="252"/>
      <c r="AWS384" s="252"/>
      <c r="AWT384" s="252"/>
      <c r="AWU384" s="252"/>
      <c r="AWV384" s="252"/>
      <c r="AWW384" s="252"/>
      <c r="AWX384" s="252"/>
      <c r="AWY384" s="252"/>
      <c r="AWZ384" s="252"/>
      <c r="AXA384" s="252"/>
      <c r="AXB384" s="252"/>
      <c r="AXC384" s="252"/>
      <c r="AXD384" s="252"/>
      <c r="AXE384" s="252"/>
      <c r="AXF384" s="252"/>
      <c r="AXG384" s="252"/>
      <c r="AXH384" s="252"/>
      <c r="AXI384" s="252"/>
      <c r="AXJ384" s="252"/>
      <c r="AXK384" s="252"/>
      <c r="AXL384" s="252"/>
      <c r="AXM384" s="252"/>
      <c r="AXN384" s="252"/>
      <c r="AXO384" s="252"/>
      <c r="AXP384" s="252"/>
      <c r="AXQ384" s="252"/>
      <c r="AXR384" s="252"/>
      <c r="AXS384" s="252"/>
      <c r="AXT384" s="252"/>
      <c r="AXU384" s="252"/>
      <c r="AXV384" s="252"/>
      <c r="AXW384" s="252"/>
      <c r="AXX384" s="252"/>
      <c r="AXY384" s="252"/>
      <c r="AXZ384" s="252"/>
      <c r="AYA384" s="252"/>
      <c r="AYB384" s="252"/>
      <c r="AYC384" s="252"/>
      <c r="AYD384" s="252"/>
      <c r="AYE384" s="252"/>
      <c r="AYF384" s="252"/>
      <c r="AYG384" s="252"/>
      <c r="AYH384" s="252"/>
      <c r="AYI384" s="252"/>
      <c r="AYJ384" s="252"/>
      <c r="AYK384" s="252"/>
      <c r="AYL384" s="252"/>
      <c r="AYM384" s="252"/>
      <c r="AYN384" s="252"/>
      <c r="AYO384" s="252"/>
      <c r="AYP384" s="252"/>
      <c r="AYQ384" s="252"/>
      <c r="AYR384" s="252"/>
      <c r="AYS384" s="252"/>
      <c r="AYT384" s="252"/>
      <c r="AYU384" s="252"/>
      <c r="AYV384" s="252"/>
      <c r="AYW384" s="252"/>
      <c r="AYX384" s="252"/>
      <c r="AYY384" s="252"/>
      <c r="AYZ384" s="252"/>
      <c r="AZA384" s="252"/>
      <c r="AZB384" s="252"/>
      <c r="AZC384" s="252"/>
      <c r="AZD384" s="252"/>
      <c r="AZE384" s="252"/>
      <c r="AZF384" s="252"/>
      <c r="AZG384" s="252"/>
      <c r="AZH384" s="252"/>
      <c r="AZI384" s="252"/>
      <c r="AZJ384" s="252"/>
      <c r="AZK384" s="252"/>
      <c r="AZL384" s="252"/>
      <c r="AZM384" s="252"/>
      <c r="AZN384" s="252"/>
      <c r="AZO384" s="252"/>
      <c r="AZP384" s="252"/>
      <c r="AZQ384" s="252"/>
      <c r="AZR384" s="252"/>
      <c r="AZS384" s="252"/>
      <c r="AZT384" s="252"/>
      <c r="AZU384" s="252"/>
      <c r="AZV384" s="252"/>
      <c r="AZW384" s="252"/>
      <c r="AZX384" s="252"/>
      <c r="AZY384" s="252"/>
      <c r="AZZ384" s="252"/>
      <c r="BAA384" s="252"/>
      <c r="BAB384" s="252"/>
      <c r="BAC384" s="252"/>
      <c r="BAD384" s="252"/>
      <c r="BAE384" s="252"/>
      <c r="BAF384" s="252"/>
      <c r="BAG384" s="252"/>
      <c r="BAH384" s="252"/>
      <c r="BAI384" s="252"/>
      <c r="BAJ384" s="252"/>
      <c r="BAK384" s="252"/>
      <c r="BAL384" s="252"/>
      <c r="BAM384" s="252"/>
      <c r="BAN384" s="252"/>
      <c r="BAO384" s="252"/>
      <c r="BAP384" s="252"/>
      <c r="BAQ384" s="252"/>
      <c r="BAR384" s="252"/>
      <c r="BAS384" s="252"/>
      <c r="BAT384" s="252"/>
      <c r="BAU384" s="252"/>
      <c r="BAV384" s="252"/>
      <c r="BAW384" s="252"/>
      <c r="BAX384" s="252"/>
      <c r="BAY384" s="252"/>
      <c r="BAZ384" s="252"/>
      <c r="BBA384" s="252"/>
      <c r="BBB384" s="252"/>
      <c r="BBC384" s="252"/>
      <c r="BBD384" s="252"/>
      <c r="BBE384" s="252"/>
      <c r="BBF384" s="252"/>
      <c r="BBG384" s="252"/>
      <c r="BBH384" s="252"/>
      <c r="BBI384" s="252"/>
      <c r="BBJ384" s="252"/>
      <c r="BBK384" s="252"/>
      <c r="BBL384" s="252"/>
      <c r="BBM384" s="252"/>
      <c r="BBN384" s="252"/>
      <c r="BBO384" s="252"/>
      <c r="BBP384" s="252"/>
      <c r="BBQ384" s="252"/>
      <c r="BBR384" s="252"/>
      <c r="BBS384" s="252"/>
      <c r="BBT384" s="252"/>
      <c r="BBU384" s="252"/>
      <c r="BBV384" s="252"/>
      <c r="BBW384" s="252"/>
      <c r="BBX384" s="252"/>
      <c r="BBY384" s="252"/>
      <c r="BBZ384" s="252"/>
      <c r="BCA384" s="252"/>
      <c r="BCB384" s="252"/>
      <c r="BCC384" s="252"/>
      <c r="BCD384" s="252"/>
      <c r="BCE384" s="252"/>
      <c r="BCF384" s="252"/>
      <c r="BCG384" s="252"/>
      <c r="BCH384" s="252"/>
      <c r="BCI384" s="252"/>
      <c r="BCJ384" s="252"/>
      <c r="BCK384" s="252"/>
      <c r="BCL384" s="252"/>
      <c r="BCM384" s="252"/>
      <c r="BCN384" s="252"/>
      <c r="BCO384" s="252"/>
      <c r="BCP384" s="252"/>
      <c r="BCQ384" s="252"/>
      <c r="BCR384" s="252"/>
      <c r="BCS384" s="252"/>
      <c r="BCT384" s="252"/>
      <c r="BCU384" s="252"/>
      <c r="BCV384" s="252"/>
      <c r="BCW384" s="252"/>
      <c r="BCX384" s="252"/>
      <c r="BCY384" s="252"/>
      <c r="BCZ384" s="252"/>
      <c r="BDA384" s="252"/>
      <c r="BDB384" s="252"/>
      <c r="BDC384" s="252"/>
      <c r="BDD384" s="252"/>
      <c r="BDE384" s="252"/>
      <c r="BDF384" s="252"/>
      <c r="BDG384" s="252"/>
      <c r="BDH384" s="252"/>
      <c r="BDI384" s="252"/>
      <c r="BDJ384" s="252"/>
      <c r="BDK384" s="252"/>
      <c r="BDL384" s="252"/>
      <c r="BDM384" s="252"/>
      <c r="BDN384" s="252"/>
      <c r="BDO384" s="252"/>
      <c r="BDP384" s="252"/>
      <c r="BDQ384" s="252"/>
      <c r="BDR384" s="252"/>
      <c r="BDS384" s="252"/>
      <c r="BDT384" s="252"/>
      <c r="BDU384" s="252"/>
      <c r="BDV384" s="252"/>
      <c r="BDW384" s="252"/>
      <c r="BDX384" s="252"/>
      <c r="BDY384" s="252"/>
      <c r="BDZ384" s="252"/>
      <c r="BEA384" s="252"/>
      <c r="BEB384" s="252"/>
      <c r="BEC384" s="252"/>
      <c r="BED384" s="252"/>
      <c r="BEE384" s="252"/>
      <c r="BEF384" s="252"/>
      <c r="BEG384" s="252"/>
      <c r="BEH384" s="252"/>
      <c r="BEI384" s="252"/>
      <c r="BEJ384" s="252"/>
      <c r="BEK384" s="252"/>
      <c r="BEL384" s="252"/>
      <c r="BEM384" s="252"/>
      <c r="BEN384" s="252"/>
      <c r="BEO384" s="252"/>
      <c r="BEP384" s="252"/>
      <c r="BEQ384" s="252"/>
      <c r="BER384" s="252"/>
      <c r="BES384" s="252"/>
      <c r="BET384" s="252"/>
      <c r="BEU384" s="252"/>
      <c r="BEV384" s="252"/>
      <c r="BEW384" s="252"/>
      <c r="BEX384" s="252"/>
      <c r="BEY384" s="252"/>
      <c r="BEZ384" s="252"/>
      <c r="BFA384" s="252"/>
      <c r="BFB384" s="252"/>
      <c r="BFC384" s="252"/>
      <c r="BFD384" s="252"/>
      <c r="BFE384" s="252"/>
      <c r="BFF384" s="252"/>
      <c r="BFG384" s="252"/>
      <c r="BFH384" s="252"/>
      <c r="BFI384" s="252"/>
      <c r="BFJ384" s="252"/>
      <c r="BFK384" s="252"/>
      <c r="BFL384" s="252"/>
      <c r="BFM384" s="252"/>
      <c r="BFN384" s="252"/>
      <c r="BFO384" s="252"/>
      <c r="BFP384" s="252"/>
      <c r="BFQ384" s="252"/>
      <c r="BFR384" s="252"/>
      <c r="BFS384" s="252"/>
      <c r="BFT384" s="252"/>
      <c r="BFU384" s="252"/>
      <c r="BFV384" s="252"/>
      <c r="BFW384" s="252"/>
      <c r="BFX384" s="252"/>
      <c r="BFY384" s="252"/>
      <c r="BFZ384" s="252"/>
      <c r="BGA384" s="252"/>
      <c r="BGB384" s="252"/>
      <c r="BGC384" s="252"/>
      <c r="BGD384" s="252"/>
      <c r="BGE384" s="252"/>
      <c r="BGF384" s="252"/>
      <c r="BGG384" s="252"/>
      <c r="BGH384" s="252"/>
      <c r="BGI384" s="252"/>
      <c r="BGJ384" s="252"/>
      <c r="BGK384" s="252"/>
      <c r="BGL384" s="252"/>
      <c r="BGM384" s="252"/>
      <c r="BGN384" s="252"/>
      <c r="BGO384" s="252"/>
      <c r="BGP384" s="252"/>
      <c r="BGQ384" s="252"/>
      <c r="BGR384" s="252"/>
      <c r="BGS384" s="252"/>
      <c r="BGT384" s="252"/>
      <c r="BGU384" s="252"/>
      <c r="BGV384" s="252"/>
      <c r="BGW384" s="252"/>
      <c r="BGX384" s="252"/>
      <c r="BGY384" s="252"/>
      <c r="BGZ384" s="252"/>
      <c r="BHA384" s="252"/>
      <c r="BHB384" s="252"/>
      <c r="BHC384" s="252"/>
      <c r="BHD384" s="252"/>
      <c r="BHE384" s="252"/>
      <c r="BHF384" s="252"/>
      <c r="BHG384" s="252"/>
      <c r="BHH384" s="252"/>
      <c r="BHI384" s="252"/>
      <c r="BHJ384" s="252"/>
      <c r="BHK384" s="252"/>
      <c r="BHL384" s="252"/>
      <c r="BHM384" s="252"/>
      <c r="BHN384" s="252"/>
      <c r="BHO384" s="252"/>
      <c r="BHP384" s="252"/>
      <c r="BHQ384" s="252"/>
      <c r="BHR384" s="252"/>
      <c r="BHS384" s="252"/>
      <c r="BHT384" s="252"/>
      <c r="BHU384" s="252"/>
      <c r="BHV384" s="252"/>
      <c r="BHW384" s="252"/>
      <c r="BHX384" s="252"/>
      <c r="BHY384" s="252"/>
      <c r="BHZ384" s="252"/>
      <c r="BIA384" s="252"/>
      <c r="BIB384" s="252"/>
      <c r="BIC384" s="252"/>
      <c r="BID384" s="252"/>
      <c r="BIE384" s="252"/>
      <c r="BIF384" s="252"/>
      <c r="BIG384" s="252"/>
      <c r="BIH384" s="252"/>
      <c r="BII384" s="252"/>
      <c r="BIJ384" s="252"/>
      <c r="BIK384" s="252"/>
      <c r="BIL384" s="252"/>
      <c r="BIM384" s="252"/>
      <c r="BIN384" s="252"/>
      <c r="BIO384" s="252"/>
      <c r="BIP384" s="252"/>
      <c r="BIQ384" s="252"/>
      <c r="BIR384" s="252"/>
      <c r="BIS384" s="252"/>
      <c r="BIT384" s="252"/>
      <c r="BIU384" s="252"/>
      <c r="BIV384" s="252"/>
      <c r="BIW384" s="252"/>
      <c r="BIX384" s="252"/>
      <c r="BIY384" s="252"/>
      <c r="BIZ384" s="252"/>
      <c r="BJA384" s="252"/>
      <c r="BJB384" s="252"/>
      <c r="BJC384" s="252"/>
      <c r="BJD384" s="252"/>
      <c r="BJE384" s="252"/>
      <c r="BJF384" s="252"/>
      <c r="BJG384" s="252"/>
      <c r="BJH384" s="252"/>
      <c r="BJI384" s="252"/>
      <c r="BJJ384" s="252"/>
      <c r="BJK384" s="252"/>
      <c r="BJL384" s="252"/>
      <c r="BJM384" s="252"/>
      <c r="BJN384" s="252"/>
      <c r="BJO384" s="252"/>
      <c r="BJP384" s="252"/>
      <c r="BJQ384" s="252"/>
      <c r="BJR384" s="252"/>
      <c r="BJS384" s="252"/>
      <c r="BJT384" s="252"/>
      <c r="BJU384" s="252"/>
      <c r="BJV384" s="252"/>
      <c r="BJW384" s="252"/>
      <c r="BJX384" s="252"/>
      <c r="BJY384" s="252"/>
      <c r="BJZ384" s="252"/>
      <c r="BKA384" s="252"/>
      <c r="BKB384" s="252"/>
      <c r="BKC384" s="252"/>
      <c r="BKD384" s="252"/>
      <c r="BKE384" s="252"/>
      <c r="BKF384" s="252"/>
      <c r="BKG384" s="252"/>
      <c r="BKH384" s="252"/>
      <c r="BKI384" s="252"/>
      <c r="BKJ384" s="252"/>
      <c r="BKK384" s="252"/>
      <c r="BKL384" s="252"/>
      <c r="BKM384" s="252"/>
      <c r="BKN384" s="252"/>
      <c r="BKO384" s="252"/>
      <c r="BKP384" s="252"/>
      <c r="BKQ384" s="252"/>
      <c r="BKR384" s="252"/>
      <c r="BKS384" s="252"/>
      <c r="BKT384" s="252"/>
      <c r="BKU384" s="252"/>
      <c r="BKV384" s="252"/>
      <c r="BKW384" s="252"/>
      <c r="BKX384" s="252"/>
      <c r="BKY384" s="252"/>
      <c r="BKZ384" s="252"/>
      <c r="BLA384" s="252"/>
      <c r="BLB384" s="252"/>
      <c r="BLC384" s="252"/>
      <c r="BLD384" s="252"/>
      <c r="BLE384" s="252"/>
      <c r="BLF384" s="252"/>
      <c r="BLG384" s="252"/>
      <c r="BLH384" s="252"/>
      <c r="BLI384" s="252"/>
      <c r="BLJ384" s="252"/>
      <c r="BLK384" s="252"/>
      <c r="BLL384" s="252"/>
      <c r="BLM384" s="252"/>
      <c r="BLN384" s="252"/>
      <c r="BLO384" s="252"/>
      <c r="BLP384" s="252"/>
      <c r="BLQ384" s="252"/>
      <c r="BLR384" s="252"/>
      <c r="BLS384" s="252"/>
      <c r="BLT384" s="252"/>
      <c r="BLU384" s="252"/>
      <c r="BLV384" s="252"/>
      <c r="BLW384" s="252"/>
      <c r="BLX384" s="252"/>
      <c r="BLY384" s="252"/>
      <c r="BLZ384" s="252"/>
      <c r="BMA384" s="252"/>
      <c r="BMB384" s="252"/>
      <c r="BMC384" s="252"/>
      <c r="BMD384" s="252"/>
      <c r="BME384" s="252"/>
      <c r="BMF384" s="252"/>
      <c r="BMG384" s="252"/>
      <c r="BMH384" s="252"/>
      <c r="BMI384" s="252"/>
      <c r="BMJ384" s="252"/>
      <c r="BMK384" s="252"/>
      <c r="BML384" s="252"/>
      <c r="BMM384" s="252"/>
      <c r="BMN384" s="252"/>
      <c r="BMO384" s="252"/>
      <c r="BMP384" s="252"/>
      <c r="BMQ384" s="252"/>
      <c r="BMR384" s="252"/>
      <c r="BMS384" s="252"/>
      <c r="BMT384" s="252"/>
      <c r="BMU384" s="252"/>
      <c r="BMV384" s="252"/>
      <c r="BMW384" s="252"/>
      <c r="BMX384" s="252"/>
      <c r="BMY384" s="252"/>
      <c r="BMZ384" s="252"/>
      <c r="BNA384" s="252"/>
      <c r="BNB384" s="252"/>
      <c r="BNC384" s="252"/>
      <c r="BND384" s="252"/>
      <c r="BNE384" s="252"/>
      <c r="BNF384" s="252"/>
      <c r="BNG384" s="252"/>
      <c r="BNH384" s="252"/>
      <c r="BNI384" s="252"/>
      <c r="BNJ384" s="252"/>
      <c r="BNK384" s="252"/>
      <c r="BNL384" s="252"/>
      <c r="BNM384" s="252"/>
      <c r="BNN384" s="252"/>
      <c r="BNO384" s="252"/>
      <c r="BNP384" s="252"/>
      <c r="BNQ384" s="252"/>
      <c r="BNR384" s="252"/>
      <c r="BNS384" s="252"/>
      <c r="BNT384" s="252"/>
      <c r="BNU384" s="252"/>
      <c r="BNV384" s="252"/>
      <c r="BNW384" s="252"/>
      <c r="BNX384" s="252"/>
      <c r="BNY384" s="252"/>
      <c r="BNZ384" s="252"/>
      <c r="BOA384" s="252"/>
      <c r="BOB384" s="252"/>
      <c r="BOC384" s="252"/>
      <c r="BOD384" s="252"/>
      <c r="BOE384" s="252"/>
      <c r="BOF384" s="252"/>
      <c r="BOG384" s="252"/>
      <c r="BOH384" s="252"/>
      <c r="BOI384" s="252"/>
      <c r="BOJ384" s="252"/>
      <c r="BOK384" s="252"/>
      <c r="BOL384" s="252"/>
      <c r="BOM384" s="252"/>
      <c r="BON384" s="252"/>
      <c r="BOO384" s="252"/>
      <c r="BOP384" s="252"/>
      <c r="BOQ384" s="252"/>
      <c r="BOR384" s="252"/>
      <c r="BOS384" s="252"/>
      <c r="BOT384" s="252"/>
      <c r="BOU384" s="252"/>
      <c r="BOV384" s="252"/>
      <c r="BOW384" s="252"/>
      <c r="BOX384" s="252"/>
      <c r="BOY384" s="252"/>
      <c r="BOZ384" s="252"/>
      <c r="BPA384" s="252"/>
      <c r="BPB384" s="252"/>
      <c r="BPC384" s="252"/>
      <c r="BPD384" s="252"/>
      <c r="BPE384" s="252"/>
      <c r="BPF384" s="252"/>
      <c r="BPG384" s="252"/>
      <c r="BPH384" s="252"/>
      <c r="BPI384" s="252"/>
      <c r="BPJ384" s="252"/>
      <c r="BPK384" s="252"/>
      <c r="BPL384" s="252"/>
      <c r="BPM384" s="252"/>
      <c r="BPN384" s="252"/>
      <c r="BPO384" s="252"/>
      <c r="BPP384" s="252"/>
      <c r="BPQ384" s="252"/>
      <c r="BPR384" s="252"/>
      <c r="BPS384" s="252"/>
      <c r="BPT384" s="252"/>
      <c r="BPU384" s="252"/>
      <c r="BPV384" s="252"/>
      <c r="BPW384" s="252"/>
      <c r="BPX384" s="252"/>
      <c r="BPY384" s="252"/>
      <c r="BPZ384" s="252"/>
      <c r="BQA384" s="252"/>
      <c r="BQB384" s="252"/>
      <c r="BQC384" s="252"/>
      <c r="BQD384" s="252"/>
      <c r="BQE384" s="252"/>
      <c r="BQF384" s="252"/>
      <c r="BQG384" s="252"/>
      <c r="BQH384" s="252"/>
      <c r="BQI384" s="252"/>
      <c r="BQJ384" s="252"/>
      <c r="BQK384" s="252"/>
      <c r="BQL384" s="252"/>
      <c r="BQM384" s="252"/>
      <c r="BQN384" s="252"/>
      <c r="BQO384" s="252"/>
      <c r="BQP384" s="252"/>
      <c r="BQQ384" s="252"/>
      <c r="BQR384" s="252"/>
      <c r="BQS384" s="252"/>
      <c r="BQT384" s="252"/>
      <c r="BQU384" s="252"/>
      <c r="BQV384" s="252"/>
      <c r="BQW384" s="252"/>
      <c r="BQX384" s="252"/>
      <c r="BQY384" s="252"/>
      <c r="BQZ384" s="252"/>
      <c r="BRA384" s="252"/>
      <c r="BRB384" s="252"/>
      <c r="BRC384" s="252"/>
      <c r="BRD384" s="252"/>
      <c r="BRE384" s="252"/>
      <c r="BRF384" s="252"/>
      <c r="BRG384" s="252"/>
      <c r="BRH384" s="252"/>
      <c r="BRI384" s="252"/>
      <c r="BRJ384" s="252"/>
      <c r="BRK384" s="252"/>
      <c r="BRL384" s="252"/>
      <c r="BRM384" s="252"/>
      <c r="BRN384" s="252"/>
      <c r="BRO384" s="252"/>
      <c r="BRP384" s="252"/>
      <c r="BRQ384" s="252"/>
      <c r="BRR384" s="252"/>
      <c r="BRS384" s="252"/>
      <c r="BRT384" s="252"/>
      <c r="BRU384" s="252"/>
      <c r="BRV384" s="252"/>
      <c r="BRW384" s="252"/>
      <c r="BRX384" s="252"/>
      <c r="BRY384" s="252"/>
      <c r="BRZ384" s="252"/>
      <c r="BSA384" s="252"/>
      <c r="BSB384" s="252"/>
      <c r="BSC384" s="252"/>
      <c r="BSD384" s="252"/>
      <c r="BSE384" s="252"/>
      <c r="BSF384" s="252"/>
      <c r="BSG384" s="252"/>
      <c r="BSH384" s="252"/>
      <c r="BSI384" s="252"/>
      <c r="BSJ384" s="252"/>
      <c r="BSK384" s="252"/>
      <c r="BSL384" s="252"/>
      <c r="BSM384" s="252"/>
      <c r="BSN384" s="252"/>
      <c r="BSO384" s="252"/>
      <c r="BSP384" s="252"/>
      <c r="BSQ384" s="252"/>
      <c r="BSR384" s="252"/>
      <c r="BSS384" s="252"/>
      <c r="BST384" s="252"/>
      <c r="BSU384" s="252"/>
      <c r="BSV384" s="252"/>
      <c r="BSW384" s="252"/>
      <c r="BSX384" s="252"/>
      <c r="BSY384" s="252"/>
      <c r="BSZ384" s="252"/>
      <c r="BTA384" s="252"/>
      <c r="BTB384" s="252"/>
      <c r="BTC384" s="252"/>
      <c r="BTD384" s="252"/>
      <c r="BTE384" s="252"/>
      <c r="BTF384" s="252"/>
      <c r="BTG384" s="252"/>
      <c r="BTH384" s="252"/>
      <c r="BTI384" s="252"/>
      <c r="BTJ384" s="252"/>
      <c r="BTK384" s="252"/>
      <c r="BTL384" s="252"/>
      <c r="BTM384" s="252"/>
      <c r="BTN384" s="252"/>
      <c r="BTO384" s="252"/>
      <c r="BTP384" s="252"/>
      <c r="BTQ384" s="252"/>
      <c r="BTR384" s="252"/>
      <c r="BTS384" s="252"/>
      <c r="BTT384" s="252"/>
      <c r="BTU384" s="252"/>
      <c r="BTV384" s="252"/>
      <c r="BTW384" s="252"/>
      <c r="BTX384" s="252"/>
      <c r="BTY384" s="252"/>
      <c r="BTZ384" s="252"/>
      <c r="BUA384" s="252"/>
      <c r="BUB384" s="252"/>
      <c r="BUC384" s="252"/>
      <c r="BUD384" s="252"/>
      <c r="BUE384" s="252"/>
      <c r="BUF384" s="252"/>
      <c r="BUG384" s="252"/>
      <c r="BUH384" s="252"/>
      <c r="BUI384" s="252"/>
      <c r="BUJ384" s="252"/>
      <c r="BUK384" s="252"/>
      <c r="BUL384" s="252"/>
      <c r="BUM384" s="252"/>
      <c r="BUN384" s="252"/>
      <c r="BUO384" s="252"/>
      <c r="BUP384" s="252"/>
      <c r="BUQ384" s="252"/>
      <c r="BUR384" s="252"/>
      <c r="BUS384" s="252"/>
      <c r="BUT384" s="252"/>
      <c r="BUU384" s="252"/>
      <c r="BUV384" s="252"/>
      <c r="BUW384" s="252"/>
      <c r="BUX384" s="252"/>
      <c r="BUY384" s="252"/>
      <c r="BUZ384" s="252"/>
      <c r="BVA384" s="252"/>
      <c r="BVB384" s="252"/>
      <c r="BVC384" s="252"/>
      <c r="BVD384" s="252"/>
      <c r="BVE384" s="252"/>
      <c r="BVF384" s="252"/>
      <c r="BVG384" s="252"/>
      <c r="BVH384" s="252"/>
      <c r="BVI384" s="252"/>
      <c r="BVJ384" s="252"/>
      <c r="BVK384" s="252"/>
      <c r="BVL384" s="252"/>
      <c r="BVM384" s="252"/>
      <c r="BVN384" s="252"/>
      <c r="BVO384" s="252"/>
      <c r="BVP384" s="252"/>
      <c r="BVQ384" s="252"/>
      <c r="BVR384" s="252"/>
      <c r="BVS384" s="252"/>
      <c r="BVT384" s="252"/>
      <c r="BVU384" s="252"/>
      <c r="BVV384" s="252"/>
      <c r="BVW384" s="252"/>
      <c r="BVX384" s="252"/>
      <c r="BVY384" s="252"/>
      <c r="BVZ384" s="252"/>
      <c r="BWA384" s="252"/>
      <c r="BWB384" s="252"/>
      <c r="BWC384" s="252"/>
      <c r="BWD384" s="252"/>
      <c r="BWE384" s="252"/>
      <c r="BWF384" s="252"/>
      <c r="BWG384" s="252"/>
      <c r="BWH384" s="252"/>
      <c r="BWI384" s="252"/>
      <c r="BWJ384" s="252"/>
      <c r="BWK384" s="252"/>
      <c r="BWL384" s="252"/>
      <c r="BWM384" s="252"/>
      <c r="BWN384" s="252"/>
      <c r="BWO384" s="252"/>
      <c r="BWP384" s="252"/>
      <c r="BWQ384" s="252"/>
      <c r="BWR384" s="252"/>
      <c r="BWS384" s="252"/>
      <c r="BWT384" s="252"/>
      <c r="BWU384" s="252"/>
      <c r="BWV384" s="252"/>
      <c r="BWW384" s="252"/>
      <c r="BWX384" s="252"/>
      <c r="BWY384" s="252"/>
      <c r="BWZ384" s="252"/>
      <c r="BXA384" s="252"/>
      <c r="BXB384" s="252"/>
      <c r="BXC384" s="252"/>
      <c r="BXD384" s="252"/>
      <c r="BXE384" s="252"/>
      <c r="BXF384" s="252"/>
      <c r="BXG384" s="252"/>
      <c r="BXH384" s="252"/>
      <c r="BXI384" s="252"/>
      <c r="BXJ384" s="252"/>
      <c r="BXK384" s="252"/>
      <c r="BXL384" s="252"/>
      <c r="BXM384" s="252"/>
      <c r="BXN384" s="252"/>
      <c r="BXO384" s="252"/>
      <c r="BXP384" s="252"/>
      <c r="BXQ384" s="252"/>
      <c r="BXR384" s="252"/>
      <c r="BXS384" s="252"/>
      <c r="BXT384" s="252"/>
      <c r="BXU384" s="252"/>
      <c r="BXV384" s="252"/>
      <c r="BXW384" s="252"/>
      <c r="BXX384" s="252"/>
      <c r="BXY384" s="252"/>
      <c r="BXZ384" s="252"/>
      <c r="BYA384" s="252"/>
      <c r="BYB384" s="252"/>
      <c r="BYC384" s="252"/>
      <c r="BYD384" s="252"/>
      <c r="BYE384" s="252"/>
      <c r="BYF384" s="252"/>
      <c r="BYG384" s="252"/>
      <c r="BYH384" s="252"/>
      <c r="BYI384" s="252"/>
      <c r="BYJ384" s="252"/>
      <c r="BYK384" s="252"/>
      <c r="BYL384" s="252"/>
      <c r="BYM384" s="252"/>
      <c r="BYN384" s="252"/>
      <c r="BYO384" s="252"/>
      <c r="BYP384" s="252"/>
      <c r="BYQ384" s="252"/>
      <c r="BYR384" s="252"/>
      <c r="BYS384" s="252"/>
      <c r="BYT384" s="252"/>
      <c r="BYU384" s="252"/>
      <c r="BYV384" s="252"/>
      <c r="BYW384" s="252"/>
      <c r="BYX384" s="252"/>
      <c r="BYY384" s="252"/>
      <c r="BYZ384" s="252"/>
      <c r="BZA384" s="252"/>
      <c r="BZB384" s="252"/>
      <c r="BZC384" s="252"/>
      <c r="BZD384" s="252"/>
      <c r="BZE384" s="252"/>
      <c r="BZF384" s="252"/>
      <c r="BZG384" s="252"/>
      <c r="BZH384" s="252"/>
      <c r="BZI384" s="252"/>
      <c r="BZJ384" s="252"/>
      <c r="BZK384" s="252"/>
      <c r="BZL384" s="252"/>
      <c r="BZM384" s="252"/>
      <c r="BZN384" s="252"/>
      <c r="BZO384" s="252"/>
      <c r="BZP384" s="252"/>
      <c r="BZQ384" s="252"/>
      <c r="BZR384" s="252"/>
      <c r="BZS384" s="252"/>
      <c r="BZT384" s="252"/>
      <c r="BZU384" s="252"/>
      <c r="BZV384" s="252"/>
      <c r="BZW384" s="252"/>
      <c r="BZX384" s="252"/>
      <c r="BZY384" s="252"/>
      <c r="BZZ384" s="252"/>
      <c r="CAA384" s="252"/>
      <c r="CAB384" s="252"/>
      <c r="CAC384" s="252"/>
      <c r="CAD384" s="252"/>
      <c r="CAE384" s="252"/>
      <c r="CAF384" s="252"/>
      <c r="CAG384" s="252"/>
      <c r="CAH384" s="252"/>
      <c r="CAI384" s="252"/>
      <c r="CAJ384" s="252"/>
      <c r="CAK384" s="252"/>
      <c r="CAL384" s="252"/>
      <c r="CAM384" s="252"/>
      <c r="CAN384" s="252"/>
      <c r="CAO384" s="252"/>
      <c r="CAP384" s="252"/>
      <c r="CAQ384" s="252"/>
      <c r="CAR384" s="252"/>
      <c r="CAS384" s="252"/>
      <c r="CAT384" s="252"/>
      <c r="CAU384" s="252"/>
      <c r="CAV384" s="252"/>
      <c r="CAW384" s="252"/>
      <c r="CAX384" s="252"/>
      <c r="CAY384" s="252"/>
      <c r="CAZ384" s="252"/>
      <c r="CBA384" s="252"/>
      <c r="CBB384" s="252"/>
      <c r="CBC384" s="252"/>
      <c r="CBD384" s="252"/>
      <c r="CBE384" s="252"/>
      <c r="CBF384" s="252"/>
      <c r="CBG384" s="252"/>
      <c r="CBH384" s="252"/>
      <c r="CBI384" s="252"/>
      <c r="CBJ384" s="252"/>
      <c r="CBK384" s="252"/>
      <c r="CBL384" s="252"/>
      <c r="CBM384" s="252"/>
      <c r="CBN384" s="252"/>
      <c r="CBO384" s="252"/>
      <c r="CBP384" s="252"/>
      <c r="CBQ384" s="252"/>
      <c r="CBR384" s="252"/>
      <c r="CBS384" s="252"/>
      <c r="CBT384" s="252"/>
      <c r="CBU384" s="252"/>
      <c r="CBV384" s="252"/>
      <c r="CBW384" s="252"/>
      <c r="CBX384" s="252"/>
      <c r="CBY384" s="252"/>
      <c r="CBZ384" s="252"/>
      <c r="CCA384" s="252"/>
      <c r="CCB384" s="252"/>
      <c r="CCC384" s="252"/>
      <c r="CCD384" s="252"/>
      <c r="CCE384" s="252"/>
      <c r="CCF384" s="252"/>
      <c r="CCG384" s="252"/>
      <c r="CCH384" s="252"/>
      <c r="CCI384" s="252"/>
      <c r="CCJ384" s="252"/>
      <c r="CCK384" s="252"/>
      <c r="CCL384" s="252"/>
      <c r="CCM384" s="252"/>
      <c r="CCN384" s="252"/>
      <c r="CCO384" s="252"/>
      <c r="CCP384" s="252"/>
      <c r="CCQ384" s="252"/>
      <c r="CCR384" s="252"/>
      <c r="CCS384" s="252"/>
      <c r="CCT384" s="252"/>
      <c r="CCU384" s="252"/>
      <c r="CCV384" s="252"/>
      <c r="CCW384" s="252"/>
      <c r="CCX384" s="252"/>
      <c r="CCY384" s="252"/>
      <c r="CCZ384" s="252"/>
      <c r="CDA384" s="252"/>
      <c r="CDB384" s="252"/>
      <c r="CDC384" s="252"/>
      <c r="CDD384" s="252"/>
      <c r="CDE384" s="252"/>
      <c r="CDF384" s="252"/>
      <c r="CDG384" s="252"/>
      <c r="CDH384" s="252"/>
      <c r="CDI384" s="252"/>
      <c r="CDJ384" s="252"/>
      <c r="CDK384" s="252"/>
      <c r="CDL384" s="252"/>
      <c r="CDM384" s="252"/>
      <c r="CDN384" s="252"/>
      <c r="CDO384" s="252"/>
      <c r="CDP384" s="252"/>
      <c r="CDQ384" s="252"/>
      <c r="CDR384" s="252"/>
      <c r="CDS384" s="252"/>
      <c r="CDT384" s="252"/>
      <c r="CDU384" s="252"/>
      <c r="CDV384" s="252"/>
      <c r="CDW384" s="252"/>
      <c r="CDX384" s="252"/>
      <c r="CDY384" s="252"/>
      <c r="CDZ384" s="252"/>
      <c r="CEA384" s="252"/>
      <c r="CEB384" s="252"/>
      <c r="CEC384" s="252"/>
      <c r="CED384" s="252"/>
      <c r="CEE384" s="252"/>
      <c r="CEF384" s="252"/>
      <c r="CEG384" s="252"/>
      <c r="CEH384" s="252"/>
      <c r="CEI384" s="252"/>
      <c r="CEJ384" s="252"/>
      <c r="CEK384" s="252"/>
      <c r="CEL384" s="252"/>
      <c r="CEM384" s="252"/>
      <c r="CEN384" s="252"/>
      <c r="CEO384" s="252"/>
      <c r="CEP384" s="252"/>
      <c r="CEQ384" s="252"/>
      <c r="CER384" s="252"/>
      <c r="CES384" s="252"/>
      <c r="CET384" s="252"/>
      <c r="CEU384" s="252"/>
      <c r="CEV384" s="252"/>
      <c r="CEW384" s="252"/>
      <c r="CEX384" s="252"/>
      <c r="CEY384" s="252"/>
      <c r="CEZ384" s="252"/>
      <c r="CFA384" s="252"/>
      <c r="CFB384" s="252"/>
      <c r="CFC384" s="252"/>
      <c r="CFD384" s="252"/>
      <c r="CFE384" s="252"/>
      <c r="CFF384" s="252"/>
      <c r="CFG384" s="252"/>
      <c r="CFH384" s="252"/>
      <c r="CFI384" s="252"/>
      <c r="CFJ384" s="252"/>
      <c r="CFK384" s="252"/>
      <c r="CFL384" s="252"/>
      <c r="CFM384" s="252"/>
      <c r="CFN384" s="252"/>
      <c r="CFO384" s="252"/>
      <c r="CFP384" s="252"/>
      <c r="CFQ384" s="252"/>
      <c r="CFR384" s="252"/>
      <c r="CFS384" s="252"/>
      <c r="CFT384" s="252"/>
      <c r="CFU384" s="252"/>
      <c r="CFV384" s="252"/>
      <c r="CFW384" s="252"/>
      <c r="CFX384" s="252"/>
      <c r="CFY384" s="252"/>
      <c r="CFZ384" s="252"/>
      <c r="CGA384" s="252"/>
      <c r="CGB384" s="252"/>
      <c r="CGC384" s="252"/>
      <c r="CGD384" s="252"/>
      <c r="CGE384" s="252"/>
      <c r="CGF384" s="252"/>
      <c r="CGG384" s="252"/>
      <c r="CGH384" s="252"/>
      <c r="CGI384" s="252"/>
      <c r="CGJ384" s="252"/>
      <c r="CGK384" s="252"/>
      <c r="CGL384" s="252"/>
      <c r="CGM384" s="252"/>
      <c r="CGN384" s="252"/>
      <c r="CGO384" s="252"/>
      <c r="CGP384" s="252"/>
      <c r="CGQ384" s="252"/>
      <c r="CGR384" s="252"/>
      <c r="CGS384" s="252"/>
      <c r="CGT384" s="252"/>
      <c r="CGU384" s="252"/>
      <c r="CGV384" s="252"/>
      <c r="CGW384" s="252"/>
      <c r="CGX384" s="252"/>
      <c r="CGY384" s="252"/>
      <c r="CGZ384" s="252"/>
      <c r="CHA384" s="252"/>
      <c r="CHB384" s="252"/>
      <c r="CHC384" s="252"/>
      <c r="CHD384" s="252"/>
      <c r="CHE384" s="252"/>
      <c r="CHF384" s="252"/>
      <c r="CHG384" s="252"/>
      <c r="CHH384" s="252"/>
      <c r="CHI384" s="252"/>
      <c r="CHJ384" s="252"/>
      <c r="CHK384" s="252"/>
      <c r="CHL384" s="252"/>
      <c r="CHM384" s="252"/>
      <c r="CHN384" s="252"/>
      <c r="CHO384" s="252"/>
      <c r="CHP384" s="252"/>
      <c r="CHQ384" s="252"/>
      <c r="CHR384" s="252"/>
      <c r="CHS384" s="252"/>
      <c r="CHT384" s="252"/>
      <c r="CHU384" s="252"/>
      <c r="CHV384" s="252"/>
      <c r="CHW384" s="252"/>
      <c r="CHX384" s="252"/>
      <c r="CHY384" s="252"/>
      <c r="CHZ384" s="252"/>
      <c r="CIA384" s="252"/>
      <c r="CIB384" s="252"/>
      <c r="CIC384" s="252"/>
      <c r="CID384" s="252"/>
      <c r="CIE384" s="252"/>
      <c r="CIF384" s="252"/>
      <c r="CIG384" s="252"/>
      <c r="CIH384" s="252"/>
      <c r="CII384" s="252"/>
      <c r="CIJ384" s="252"/>
      <c r="CIK384" s="252"/>
      <c r="CIL384" s="252"/>
      <c r="CIM384" s="252"/>
      <c r="CIN384" s="252"/>
      <c r="CIO384" s="252"/>
      <c r="CIP384" s="252"/>
      <c r="CIQ384" s="252"/>
      <c r="CIR384" s="252"/>
      <c r="CIS384" s="252"/>
      <c r="CIT384" s="252"/>
      <c r="CIU384" s="252"/>
      <c r="CIV384" s="252"/>
      <c r="CIW384" s="252"/>
      <c r="CIX384" s="252"/>
      <c r="CIY384" s="252"/>
      <c r="CIZ384" s="252"/>
      <c r="CJA384" s="252"/>
      <c r="CJB384" s="252"/>
      <c r="CJC384" s="252"/>
      <c r="CJD384" s="252"/>
      <c r="CJE384" s="252"/>
      <c r="CJF384" s="252"/>
      <c r="CJG384" s="252"/>
      <c r="CJH384" s="252"/>
      <c r="CJI384" s="252"/>
      <c r="CJJ384" s="252"/>
      <c r="CJK384" s="252"/>
      <c r="CJL384" s="252"/>
      <c r="CJM384" s="252"/>
      <c r="CJN384" s="252"/>
      <c r="CJO384" s="252"/>
      <c r="CJP384" s="252"/>
      <c r="CJQ384" s="252"/>
      <c r="CJR384" s="252"/>
      <c r="CJS384" s="252"/>
      <c r="CJT384" s="252"/>
      <c r="CJU384" s="252"/>
      <c r="CJV384" s="252"/>
      <c r="CJW384" s="252"/>
      <c r="CJX384" s="252"/>
      <c r="CJY384" s="252"/>
      <c r="CJZ384" s="252"/>
      <c r="CKA384" s="252"/>
      <c r="CKB384" s="252"/>
      <c r="CKC384" s="252"/>
      <c r="CKD384" s="252"/>
      <c r="CKE384" s="252"/>
      <c r="CKF384" s="252"/>
      <c r="CKG384" s="252"/>
      <c r="CKH384" s="252"/>
      <c r="CKI384" s="252"/>
      <c r="CKJ384" s="252"/>
      <c r="CKK384" s="252"/>
      <c r="CKL384" s="252"/>
      <c r="CKM384" s="252"/>
      <c r="CKN384" s="252"/>
      <c r="CKO384" s="252"/>
      <c r="CKP384" s="252"/>
      <c r="CKQ384" s="252"/>
      <c r="CKR384" s="252"/>
      <c r="CKS384" s="252"/>
      <c r="CKT384" s="252"/>
      <c r="CKU384" s="252"/>
      <c r="CKV384" s="252"/>
      <c r="CKW384" s="252"/>
      <c r="CKX384" s="252"/>
      <c r="CKY384" s="252"/>
      <c r="CKZ384" s="252"/>
      <c r="CLA384" s="252"/>
      <c r="CLB384" s="252"/>
      <c r="CLC384" s="252"/>
      <c r="CLD384" s="252"/>
      <c r="CLE384" s="252"/>
      <c r="CLF384" s="252"/>
      <c r="CLG384" s="252"/>
      <c r="CLH384" s="252"/>
      <c r="CLI384" s="252"/>
      <c r="CLJ384" s="252"/>
      <c r="CLK384" s="252"/>
      <c r="CLL384" s="252"/>
      <c r="CLM384" s="252"/>
      <c r="CLN384" s="252"/>
      <c r="CLO384" s="252"/>
      <c r="CLP384" s="252"/>
      <c r="CLQ384" s="252"/>
      <c r="CLR384" s="252"/>
      <c r="CLS384" s="252"/>
      <c r="CLT384" s="252"/>
      <c r="CLU384" s="252"/>
      <c r="CLV384" s="252"/>
      <c r="CLW384" s="252"/>
      <c r="CLX384" s="252"/>
      <c r="CLY384" s="252"/>
      <c r="CLZ384" s="252"/>
      <c r="CMA384" s="252"/>
      <c r="CMB384" s="252"/>
      <c r="CMC384" s="252"/>
      <c r="CMD384" s="252"/>
      <c r="CME384" s="252"/>
      <c r="CMF384" s="252"/>
      <c r="CMG384" s="252"/>
      <c r="CMH384" s="252"/>
      <c r="CMI384" s="252"/>
      <c r="CMJ384" s="252"/>
      <c r="CMK384" s="252"/>
      <c r="CML384" s="252"/>
      <c r="CMM384" s="252"/>
      <c r="CMN384" s="252"/>
      <c r="CMO384" s="252"/>
      <c r="CMP384" s="252"/>
      <c r="CMQ384" s="252"/>
      <c r="CMR384" s="252"/>
      <c r="CMS384" s="252"/>
      <c r="CMT384" s="252"/>
      <c r="CMU384" s="252"/>
      <c r="CMV384" s="252"/>
      <c r="CMW384" s="252"/>
      <c r="CMX384" s="252"/>
      <c r="CMY384" s="252"/>
      <c r="CMZ384" s="252"/>
      <c r="CNA384" s="252"/>
      <c r="CNB384" s="252"/>
      <c r="CNC384" s="252"/>
      <c r="CND384" s="252"/>
      <c r="CNE384" s="252"/>
      <c r="CNF384" s="252"/>
      <c r="CNG384" s="252"/>
      <c r="CNH384" s="252"/>
      <c r="CNI384" s="252"/>
      <c r="CNJ384" s="252"/>
      <c r="CNK384" s="252"/>
      <c r="CNL384" s="252"/>
      <c r="CNM384" s="252"/>
      <c r="CNN384" s="252"/>
      <c r="CNO384" s="252"/>
      <c r="CNP384" s="252"/>
      <c r="CNQ384" s="252"/>
      <c r="CNR384" s="252"/>
      <c r="CNS384" s="252"/>
      <c r="CNT384" s="252"/>
      <c r="CNU384" s="252"/>
      <c r="CNV384" s="252"/>
      <c r="CNW384" s="252"/>
      <c r="CNX384" s="252"/>
      <c r="CNY384" s="252"/>
      <c r="CNZ384" s="252"/>
      <c r="COA384" s="252"/>
      <c r="COB384" s="252"/>
      <c r="COC384" s="252"/>
      <c r="COD384" s="252"/>
      <c r="COE384" s="252"/>
      <c r="COF384" s="252"/>
      <c r="COG384" s="252"/>
      <c r="COH384" s="252"/>
      <c r="COI384" s="252"/>
      <c r="COJ384" s="252"/>
      <c r="COK384" s="252"/>
      <c r="COL384" s="252"/>
      <c r="COM384" s="252"/>
      <c r="CON384" s="252"/>
      <c r="COO384" s="252"/>
      <c r="COP384" s="252"/>
      <c r="COQ384" s="252"/>
      <c r="COR384" s="252"/>
      <c r="COS384" s="252"/>
      <c r="COT384" s="252"/>
      <c r="COU384" s="252"/>
      <c r="COV384" s="252"/>
      <c r="COW384" s="252"/>
      <c r="COX384" s="252"/>
      <c r="COY384" s="252"/>
      <c r="COZ384" s="252"/>
      <c r="CPA384" s="252"/>
      <c r="CPB384" s="252"/>
      <c r="CPC384" s="252"/>
      <c r="CPD384" s="252"/>
      <c r="CPE384" s="252"/>
      <c r="CPF384" s="252"/>
      <c r="CPG384" s="252"/>
      <c r="CPH384" s="252"/>
      <c r="CPI384" s="252"/>
      <c r="CPJ384" s="252"/>
      <c r="CPK384" s="252"/>
      <c r="CPL384" s="252"/>
      <c r="CPM384" s="252"/>
      <c r="CPN384" s="252"/>
      <c r="CPO384" s="252"/>
      <c r="CPP384" s="252"/>
      <c r="CPQ384" s="252"/>
      <c r="CPR384" s="252"/>
      <c r="CPS384" s="252"/>
      <c r="CPT384" s="252"/>
      <c r="CPU384" s="252"/>
      <c r="CPV384" s="252"/>
      <c r="CPW384" s="252"/>
      <c r="CPX384" s="252"/>
      <c r="CPY384" s="252"/>
      <c r="CPZ384" s="252"/>
      <c r="CQA384" s="252"/>
      <c r="CQB384" s="252"/>
      <c r="CQC384" s="252"/>
      <c r="CQD384" s="252"/>
      <c r="CQE384" s="252"/>
      <c r="CQF384" s="252"/>
      <c r="CQG384" s="252"/>
      <c r="CQH384" s="252"/>
      <c r="CQI384" s="252"/>
      <c r="CQJ384" s="252"/>
      <c r="CQK384" s="252"/>
      <c r="CQL384" s="252"/>
      <c r="CQM384" s="252"/>
      <c r="CQN384" s="252"/>
      <c r="CQO384" s="252"/>
      <c r="CQP384" s="252"/>
      <c r="CQQ384" s="252"/>
      <c r="CQR384" s="252"/>
      <c r="CQS384" s="252"/>
      <c r="CQT384" s="252"/>
      <c r="CQU384" s="252"/>
      <c r="CQV384" s="252"/>
      <c r="CQW384" s="252"/>
      <c r="CQX384" s="252"/>
      <c r="CQY384" s="252"/>
      <c r="CQZ384" s="252"/>
      <c r="CRA384" s="252"/>
      <c r="CRB384" s="252"/>
      <c r="CRC384" s="252"/>
      <c r="CRD384" s="252"/>
      <c r="CRE384" s="252"/>
      <c r="CRF384" s="252"/>
      <c r="CRG384" s="252"/>
      <c r="CRH384" s="252"/>
      <c r="CRI384" s="252"/>
      <c r="CRJ384" s="252"/>
      <c r="CRK384" s="252"/>
      <c r="CRL384" s="252"/>
      <c r="CRM384" s="252"/>
      <c r="CRN384" s="252"/>
      <c r="CRO384" s="252"/>
      <c r="CRP384" s="252"/>
      <c r="CRQ384" s="252"/>
      <c r="CRR384" s="252"/>
      <c r="CRS384" s="252"/>
      <c r="CRT384" s="252"/>
      <c r="CRU384" s="252"/>
      <c r="CRV384" s="252"/>
      <c r="CRW384" s="252"/>
      <c r="CRX384" s="252"/>
      <c r="CRY384" s="252"/>
      <c r="CRZ384" s="252"/>
      <c r="CSA384" s="252"/>
      <c r="CSB384" s="252"/>
      <c r="CSC384" s="252"/>
      <c r="CSD384" s="252"/>
      <c r="CSE384" s="252"/>
      <c r="CSF384" s="252"/>
      <c r="CSG384" s="252"/>
      <c r="CSH384" s="252"/>
      <c r="CSI384" s="252"/>
      <c r="CSJ384" s="252"/>
      <c r="CSK384" s="252"/>
      <c r="CSL384" s="252"/>
      <c r="CSM384" s="252"/>
      <c r="CSN384" s="252"/>
      <c r="CSO384" s="252"/>
      <c r="CSP384" s="252"/>
      <c r="CSQ384" s="252"/>
      <c r="CSR384" s="252"/>
      <c r="CSS384" s="252"/>
      <c r="CST384" s="252"/>
      <c r="CSU384" s="252"/>
      <c r="CSV384" s="252"/>
      <c r="CSW384" s="252"/>
      <c r="CSX384" s="252"/>
      <c r="CSY384" s="252"/>
      <c r="CSZ384" s="252"/>
      <c r="CTA384" s="252"/>
      <c r="CTB384" s="252"/>
      <c r="CTC384" s="252"/>
      <c r="CTD384" s="252"/>
      <c r="CTE384" s="252"/>
      <c r="CTF384" s="252"/>
      <c r="CTG384" s="252"/>
      <c r="CTH384" s="252"/>
      <c r="CTI384" s="252"/>
      <c r="CTJ384" s="252"/>
      <c r="CTK384" s="252"/>
      <c r="CTL384" s="252"/>
      <c r="CTM384" s="252"/>
      <c r="CTN384" s="252"/>
      <c r="CTO384" s="252"/>
      <c r="CTP384" s="252"/>
      <c r="CTQ384" s="252"/>
      <c r="CTR384" s="252"/>
      <c r="CTS384" s="252"/>
      <c r="CTT384" s="252"/>
      <c r="CTU384" s="252"/>
      <c r="CTV384" s="252"/>
      <c r="CTW384" s="252"/>
      <c r="CTX384" s="252"/>
      <c r="CTY384" s="252"/>
      <c r="CTZ384" s="252"/>
      <c r="CUA384" s="252"/>
      <c r="CUB384" s="252"/>
      <c r="CUC384" s="252"/>
      <c r="CUD384" s="252"/>
      <c r="CUE384" s="252"/>
      <c r="CUF384" s="252"/>
      <c r="CUG384" s="252"/>
      <c r="CUH384" s="252"/>
      <c r="CUI384" s="252"/>
      <c r="CUJ384" s="252"/>
      <c r="CUK384" s="252"/>
      <c r="CUL384" s="252"/>
      <c r="CUM384" s="252"/>
      <c r="CUN384" s="252"/>
      <c r="CUO384" s="252"/>
      <c r="CUP384" s="252"/>
      <c r="CUQ384" s="252"/>
      <c r="CUR384" s="252"/>
      <c r="CUS384" s="252"/>
      <c r="CUT384" s="252"/>
      <c r="CUU384" s="252"/>
      <c r="CUV384" s="252"/>
      <c r="CUW384" s="252"/>
      <c r="CUX384" s="252"/>
      <c r="CUY384" s="252"/>
      <c r="CUZ384" s="252"/>
      <c r="CVA384" s="252"/>
      <c r="CVB384" s="252"/>
      <c r="CVC384" s="252"/>
      <c r="CVD384" s="252"/>
      <c r="CVE384" s="252"/>
      <c r="CVF384" s="252"/>
      <c r="CVG384" s="252"/>
      <c r="CVH384" s="252"/>
      <c r="CVI384" s="252"/>
      <c r="CVJ384" s="252"/>
      <c r="CVK384" s="252"/>
      <c r="CVL384" s="252"/>
      <c r="CVM384" s="252"/>
      <c r="CVN384" s="252"/>
      <c r="CVO384" s="252"/>
      <c r="CVP384" s="252"/>
      <c r="CVQ384" s="252"/>
      <c r="CVR384" s="252"/>
      <c r="CVS384" s="252"/>
      <c r="CVT384" s="252"/>
      <c r="CVU384" s="252"/>
      <c r="CVV384" s="252"/>
      <c r="CVW384" s="252"/>
      <c r="CVX384" s="252"/>
      <c r="CVY384" s="252"/>
      <c r="CVZ384" s="252"/>
      <c r="CWA384" s="252"/>
      <c r="CWB384" s="252"/>
      <c r="CWC384" s="252"/>
      <c r="CWD384" s="252"/>
      <c r="CWE384" s="252"/>
      <c r="CWF384" s="252"/>
      <c r="CWG384" s="252"/>
      <c r="CWH384" s="252"/>
      <c r="CWI384" s="252"/>
      <c r="CWJ384" s="252"/>
      <c r="CWK384" s="252"/>
      <c r="CWL384" s="252"/>
      <c r="CWM384" s="252"/>
      <c r="CWN384" s="252"/>
      <c r="CWO384" s="252"/>
      <c r="CWP384" s="252"/>
      <c r="CWQ384" s="252"/>
      <c r="CWR384" s="252"/>
      <c r="CWS384" s="252"/>
      <c r="CWT384" s="252"/>
      <c r="CWU384" s="252"/>
      <c r="CWV384" s="252"/>
      <c r="CWW384" s="252"/>
      <c r="CWX384" s="252"/>
      <c r="CWY384" s="252"/>
      <c r="CWZ384" s="252"/>
      <c r="CXA384" s="252"/>
      <c r="CXB384" s="252"/>
      <c r="CXC384" s="252"/>
      <c r="CXD384" s="252"/>
      <c r="CXE384" s="252"/>
      <c r="CXF384" s="252"/>
      <c r="CXG384" s="252"/>
      <c r="CXH384" s="252"/>
      <c r="CXI384" s="252"/>
      <c r="CXJ384" s="252"/>
      <c r="CXK384" s="252"/>
      <c r="CXL384" s="252"/>
      <c r="CXM384" s="252"/>
      <c r="CXN384" s="252"/>
      <c r="CXO384" s="252"/>
      <c r="CXP384" s="252"/>
      <c r="CXQ384" s="252"/>
      <c r="CXR384" s="252"/>
      <c r="CXS384" s="252"/>
      <c r="CXT384" s="252"/>
      <c r="CXU384" s="252"/>
      <c r="CXV384" s="252"/>
      <c r="CXW384" s="252"/>
      <c r="CXX384" s="252"/>
      <c r="CXY384" s="252"/>
      <c r="CXZ384" s="252"/>
      <c r="CYA384" s="252"/>
      <c r="CYB384" s="252"/>
      <c r="CYC384" s="252"/>
      <c r="CYD384" s="252"/>
      <c r="CYE384" s="252"/>
      <c r="CYF384" s="252"/>
      <c r="CYG384" s="252"/>
      <c r="CYH384" s="252"/>
      <c r="CYI384" s="252"/>
      <c r="CYJ384" s="252"/>
      <c r="CYK384" s="252"/>
      <c r="CYL384" s="252"/>
      <c r="CYM384" s="252"/>
      <c r="CYN384" s="252"/>
      <c r="CYO384" s="252"/>
      <c r="CYP384" s="252"/>
      <c r="CYQ384" s="252"/>
      <c r="CYR384" s="252"/>
      <c r="CYS384" s="252"/>
      <c r="CYT384" s="252"/>
      <c r="CYU384" s="252"/>
      <c r="CYV384" s="252"/>
      <c r="CYW384" s="252"/>
      <c r="CYX384" s="252"/>
      <c r="CYY384" s="252"/>
      <c r="CYZ384" s="252"/>
      <c r="CZA384" s="252"/>
      <c r="CZB384" s="252"/>
      <c r="CZC384" s="252"/>
      <c r="CZD384" s="252"/>
      <c r="CZE384" s="252"/>
      <c r="CZF384" s="252"/>
      <c r="CZG384" s="252"/>
      <c r="CZH384" s="252"/>
      <c r="CZI384" s="252"/>
      <c r="CZJ384" s="252"/>
      <c r="CZK384" s="252"/>
      <c r="CZL384" s="252"/>
      <c r="CZM384" s="252"/>
      <c r="CZN384" s="252"/>
      <c r="CZO384" s="252"/>
      <c r="CZP384" s="252"/>
      <c r="CZQ384" s="252"/>
      <c r="CZR384" s="252"/>
      <c r="CZS384" s="252"/>
      <c r="CZT384" s="252"/>
      <c r="CZU384" s="252"/>
      <c r="CZV384" s="252"/>
      <c r="CZW384" s="252"/>
      <c r="CZX384" s="252"/>
      <c r="CZY384" s="252"/>
      <c r="CZZ384" s="252"/>
      <c r="DAA384" s="252"/>
      <c r="DAB384" s="252"/>
      <c r="DAC384" s="252"/>
      <c r="DAD384" s="252"/>
      <c r="DAE384" s="252"/>
      <c r="DAF384" s="252"/>
      <c r="DAG384" s="252"/>
      <c r="DAH384" s="252"/>
      <c r="DAI384" s="252"/>
      <c r="DAJ384" s="252"/>
      <c r="DAK384" s="252"/>
      <c r="DAL384" s="252"/>
      <c r="DAM384" s="252"/>
      <c r="DAN384" s="252"/>
      <c r="DAO384" s="252"/>
      <c r="DAP384" s="252"/>
      <c r="DAQ384" s="252"/>
      <c r="DAR384" s="252"/>
      <c r="DAS384" s="252"/>
      <c r="DAT384" s="252"/>
      <c r="DAU384" s="252"/>
      <c r="DAV384" s="252"/>
      <c r="DAW384" s="252"/>
      <c r="DAX384" s="252"/>
      <c r="DAY384" s="252"/>
      <c r="DAZ384" s="252"/>
      <c r="DBA384" s="252"/>
      <c r="DBB384" s="252"/>
      <c r="DBC384" s="252"/>
      <c r="DBD384" s="252"/>
      <c r="DBE384" s="252"/>
      <c r="DBF384" s="252"/>
      <c r="DBG384" s="252"/>
      <c r="DBH384" s="252"/>
      <c r="DBI384" s="252"/>
      <c r="DBJ384" s="252"/>
      <c r="DBK384" s="252"/>
      <c r="DBL384" s="252"/>
      <c r="DBM384" s="252"/>
      <c r="DBN384" s="252"/>
      <c r="DBO384" s="252"/>
      <c r="DBP384" s="252"/>
      <c r="DBQ384" s="252"/>
      <c r="DBR384" s="252"/>
      <c r="DBS384" s="252"/>
      <c r="DBT384" s="252"/>
      <c r="DBU384" s="252"/>
      <c r="DBV384" s="252"/>
      <c r="DBW384" s="252"/>
      <c r="DBX384" s="252"/>
      <c r="DBY384" s="252"/>
      <c r="DBZ384" s="252"/>
      <c r="DCA384" s="252"/>
      <c r="DCB384" s="252"/>
      <c r="DCC384" s="252"/>
      <c r="DCD384" s="252"/>
      <c r="DCE384" s="252"/>
      <c r="DCF384" s="252"/>
      <c r="DCG384" s="252"/>
      <c r="DCH384" s="252"/>
      <c r="DCI384" s="252"/>
      <c r="DCJ384" s="252"/>
      <c r="DCK384" s="252"/>
      <c r="DCL384" s="252"/>
      <c r="DCM384" s="252"/>
      <c r="DCN384" s="252"/>
      <c r="DCO384" s="252"/>
      <c r="DCP384" s="252"/>
      <c r="DCQ384" s="252"/>
      <c r="DCR384" s="252"/>
      <c r="DCS384" s="252"/>
      <c r="DCT384" s="252"/>
      <c r="DCU384" s="252"/>
      <c r="DCV384" s="252"/>
      <c r="DCW384" s="252"/>
      <c r="DCX384" s="252"/>
      <c r="DCY384" s="252"/>
      <c r="DCZ384" s="252"/>
      <c r="DDA384" s="252"/>
      <c r="DDB384" s="252"/>
      <c r="DDC384" s="252"/>
      <c r="DDD384" s="252"/>
      <c r="DDE384" s="252"/>
      <c r="DDF384" s="252"/>
      <c r="DDG384" s="252"/>
      <c r="DDH384" s="252"/>
      <c r="DDI384" s="252"/>
      <c r="DDJ384" s="252"/>
      <c r="DDK384" s="252"/>
      <c r="DDL384" s="252"/>
      <c r="DDM384" s="252"/>
      <c r="DDN384" s="252"/>
      <c r="DDO384" s="252"/>
      <c r="DDP384" s="252"/>
      <c r="DDQ384" s="252"/>
      <c r="DDR384" s="252"/>
      <c r="DDS384" s="252"/>
      <c r="DDT384" s="252"/>
      <c r="DDU384" s="252"/>
      <c r="DDV384" s="252"/>
      <c r="DDW384" s="252"/>
      <c r="DDX384" s="252"/>
      <c r="DDY384" s="252"/>
      <c r="DDZ384" s="252"/>
      <c r="DEA384" s="252"/>
      <c r="DEB384" s="252"/>
      <c r="DEC384" s="252"/>
      <c r="DED384" s="252"/>
      <c r="DEE384" s="252"/>
      <c r="DEF384" s="252"/>
      <c r="DEG384" s="252"/>
      <c r="DEH384" s="252"/>
      <c r="DEI384" s="252"/>
      <c r="DEJ384" s="252"/>
      <c r="DEK384" s="252"/>
      <c r="DEL384" s="252"/>
      <c r="DEM384" s="252"/>
      <c r="DEN384" s="252"/>
      <c r="DEO384" s="252"/>
      <c r="DEP384" s="252"/>
      <c r="DEQ384" s="252"/>
      <c r="DER384" s="252"/>
      <c r="DES384" s="252"/>
      <c r="DET384" s="252"/>
      <c r="DEU384" s="252"/>
      <c r="DEV384" s="252"/>
      <c r="DEW384" s="252"/>
      <c r="DEX384" s="252"/>
      <c r="DEY384" s="252"/>
      <c r="DEZ384" s="252"/>
      <c r="DFA384" s="252"/>
      <c r="DFB384" s="252"/>
      <c r="DFC384" s="252"/>
      <c r="DFD384" s="252"/>
      <c r="DFE384" s="252"/>
      <c r="DFF384" s="252"/>
      <c r="DFG384" s="252"/>
      <c r="DFH384" s="252"/>
      <c r="DFI384" s="252"/>
      <c r="DFJ384" s="252"/>
      <c r="DFK384" s="252"/>
      <c r="DFL384" s="252"/>
      <c r="DFM384" s="252"/>
      <c r="DFN384" s="252"/>
      <c r="DFO384" s="252"/>
      <c r="DFP384" s="252"/>
      <c r="DFQ384" s="252"/>
      <c r="DFR384" s="252"/>
      <c r="DFS384" s="252"/>
      <c r="DFT384" s="252"/>
      <c r="DFU384" s="252"/>
      <c r="DFV384" s="252"/>
      <c r="DFW384" s="252"/>
      <c r="DFX384" s="252"/>
      <c r="DFY384" s="252"/>
      <c r="DFZ384" s="252"/>
      <c r="DGA384" s="252"/>
      <c r="DGB384" s="252"/>
      <c r="DGC384" s="252"/>
      <c r="DGD384" s="252"/>
      <c r="DGE384" s="252"/>
      <c r="DGF384" s="252"/>
      <c r="DGG384" s="252"/>
      <c r="DGH384" s="252"/>
      <c r="DGI384" s="252"/>
      <c r="DGJ384" s="252"/>
      <c r="DGK384" s="252"/>
      <c r="DGL384" s="252"/>
      <c r="DGM384" s="252"/>
      <c r="DGN384" s="252"/>
      <c r="DGO384" s="252"/>
      <c r="DGP384" s="252"/>
      <c r="DGQ384" s="252"/>
      <c r="DGR384" s="252"/>
      <c r="DGS384" s="252"/>
      <c r="DGT384" s="252"/>
      <c r="DGU384" s="252"/>
      <c r="DGV384" s="252"/>
      <c r="DGW384" s="252"/>
      <c r="DGX384" s="252"/>
      <c r="DGY384" s="252"/>
      <c r="DGZ384" s="252"/>
      <c r="DHA384" s="252"/>
      <c r="DHB384" s="252"/>
      <c r="DHC384" s="252"/>
      <c r="DHD384" s="252"/>
      <c r="DHE384" s="252"/>
      <c r="DHF384" s="252"/>
      <c r="DHG384" s="252"/>
      <c r="DHH384" s="252"/>
      <c r="DHI384" s="252"/>
      <c r="DHJ384" s="252"/>
      <c r="DHK384" s="252"/>
      <c r="DHL384" s="252"/>
      <c r="DHM384" s="252"/>
      <c r="DHN384" s="252"/>
      <c r="DHO384" s="252"/>
      <c r="DHP384" s="252"/>
      <c r="DHQ384" s="252"/>
      <c r="DHR384" s="252"/>
      <c r="DHS384" s="252"/>
      <c r="DHT384" s="252"/>
      <c r="DHU384" s="252"/>
      <c r="DHV384" s="252"/>
      <c r="DHW384" s="252"/>
      <c r="DHX384" s="252"/>
      <c r="DHY384" s="252"/>
      <c r="DHZ384" s="252"/>
      <c r="DIA384" s="252"/>
      <c r="DIB384" s="252"/>
      <c r="DIC384" s="252"/>
      <c r="DID384" s="252"/>
      <c r="DIE384" s="252"/>
      <c r="DIF384" s="252"/>
      <c r="DIG384" s="252"/>
      <c r="DIH384" s="252"/>
      <c r="DII384" s="252"/>
      <c r="DIJ384" s="252"/>
      <c r="DIK384" s="252"/>
      <c r="DIL384" s="252"/>
      <c r="DIM384" s="252"/>
      <c r="DIN384" s="252"/>
      <c r="DIO384" s="252"/>
      <c r="DIP384" s="252"/>
      <c r="DIQ384" s="252"/>
      <c r="DIR384" s="252"/>
      <c r="DIS384" s="252"/>
      <c r="DIT384" s="252"/>
      <c r="DIU384" s="252"/>
      <c r="DIV384" s="252"/>
      <c r="DIW384" s="252"/>
      <c r="DIX384" s="252"/>
      <c r="DIY384" s="252"/>
      <c r="DIZ384" s="252"/>
      <c r="DJA384" s="252"/>
      <c r="DJB384" s="252"/>
      <c r="DJC384" s="252"/>
      <c r="DJD384" s="252"/>
      <c r="DJE384" s="252"/>
      <c r="DJF384" s="252"/>
      <c r="DJG384" s="252"/>
      <c r="DJH384" s="252"/>
      <c r="DJI384" s="252"/>
      <c r="DJJ384" s="252"/>
      <c r="DJK384" s="252"/>
      <c r="DJL384" s="252"/>
      <c r="DJM384" s="252"/>
      <c r="DJN384" s="252"/>
      <c r="DJO384" s="252"/>
      <c r="DJP384" s="252"/>
      <c r="DJQ384" s="252"/>
      <c r="DJR384" s="252"/>
      <c r="DJS384" s="252"/>
      <c r="DJT384" s="252"/>
      <c r="DJU384" s="252"/>
      <c r="DJV384" s="252"/>
      <c r="DJW384" s="252"/>
      <c r="DJX384" s="252"/>
      <c r="DJY384" s="252"/>
      <c r="DJZ384" s="252"/>
      <c r="DKA384" s="252"/>
      <c r="DKB384" s="252"/>
      <c r="DKC384" s="252"/>
      <c r="DKD384" s="252"/>
      <c r="DKE384" s="252"/>
      <c r="DKF384" s="252"/>
      <c r="DKG384" s="252"/>
      <c r="DKH384" s="252"/>
      <c r="DKI384" s="252"/>
      <c r="DKJ384" s="252"/>
      <c r="DKK384" s="252"/>
      <c r="DKL384" s="252"/>
      <c r="DKM384" s="252"/>
      <c r="DKN384" s="252"/>
      <c r="DKO384" s="252"/>
      <c r="DKP384" s="252"/>
      <c r="DKQ384" s="252"/>
      <c r="DKR384" s="252"/>
      <c r="DKS384" s="252"/>
      <c r="DKT384" s="252"/>
      <c r="DKU384" s="252"/>
      <c r="DKV384" s="252"/>
      <c r="DKW384" s="252"/>
      <c r="DKX384" s="252"/>
      <c r="DKY384" s="252"/>
      <c r="DKZ384" s="252"/>
      <c r="DLA384" s="252"/>
      <c r="DLB384" s="252"/>
      <c r="DLC384" s="252"/>
      <c r="DLD384" s="252"/>
      <c r="DLE384" s="252"/>
      <c r="DLF384" s="252"/>
      <c r="DLG384" s="252"/>
      <c r="DLH384" s="252"/>
      <c r="DLI384" s="252"/>
      <c r="DLJ384" s="252"/>
      <c r="DLK384" s="252"/>
      <c r="DLL384" s="252"/>
      <c r="DLM384" s="252"/>
      <c r="DLN384" s="252"/>
      <c r="DLO384" s="252"/>
      <c r="DLP384" s="252"/>
      <c r="DLQ384" s="252"/>
      <c r="DLR384" s="252"/>
      <c r="DLS384" s="252"/>
      <c r="DLT384" s="252"/>
      <c r="DLU384" s="252"/>
      <c r="DLV384" s="252"/>
      <c r="DLW384" s="252"/>
      <c r="DLX384" s="252"/>
      <c r="DLY384" s="252"/>
      <c r="DLZ384" s="252"/>
      <c r="DMA384" s="252"/>
      <c r="DMB384" s="252"/>
      <c r="DMC384" s="252"/>
      <c r="DMD384" s="252"/>
      <c r="DME384" s="252"/>
      <c r="DMF384" s="252"/>
      <c r="DMG384" s="252"/>
      <c r="DMH384" s="252"/>
      <c r="DMI384" s="252"/>
      <c r="DMJ384" s="252"/>
      <c r="DMK384" s="252"/>
      <c r="DML384" s="252"/>
      <c r="DMM384" s="252"/>
      <c r="DMN384" s="252"/>
      <c r="DMO384" s="252"/>
      <c r="DMP384" s="252"/>
      <c r="DMQ384" s="252"/>
      <c r="DMR384" s="252"/>
      <c r="DMS384" s="252"/>
      <c r="DMT384" s="252"/>
      <c r="DMU384" s="252"/>
      <c r="DMV384" s="252"/>
      <c r="DMW384" s="252"/>
      <c r="DMX384" s="252"/>
      <c r="DMY384" s="252"/>
      <c r="DMZ384" s="252"/>
      <c r="DNA384" s="252"/>
      <c r="DNB384" s="252"/>
      <c r="DNC384" s="252"/>
      <c r="DND384" s="252"/>
      <c r="DNE384" s="252"/>
      <c r="DNF384" s="252"/>
      <c r="DNG384" s="252"/>
      <c r="DNH384" s="252"/>
      <c r="DNI384" s="252"/>
      <c r="DNJ384" s="252"/>
      <c r="DNK384" s="252"/>
      <c r="DNL384" s="252"/>
      <c r="DNM384" s="252"/>
      <c r="DNN384" s="252"/>
      <c r="DNO384" s="252"/>
      <c r="DNP384" s="252"/>
      <c r="DNQ384" s="252"/>
      <c r="DNR384" s="252"/>
      <c r="DNS384" s="252"/>
      <c r="DNT384" s="252"/>
      <c r="DNU384" s="252"/>
      <c r="DNV384" s="252"/>
      <c r="DNW384" s="252"/>
      <c r="DNX384" s="252"/>
      <c r="DNY384" s="252"/>
      <c r="DNZ384" s="252"/>
      <c r="DOA384" s="252"/>
      <c r="DOB384" s="252"/>
      <c r="DOC384" s="252"/>
      <c r="DOD384" s="252"/>
      <c r="DOE384" s="252"/>
      <c r="DOF384" s="252"/>
      <c r="DOG384" s="252"/>
      <c r="DOH384" s="252"/>
      <c r="DOI384" s="252"/>
      <c r="DOJ384" s="252"/>
      <c r="DOK384" s="252"/>
      <c r="DOL384" s="252"/>
      <c r="DOM384" s="252"/>
      <c r="DON384" s="252"/>
      <c r="DOO384" s="252"/>
      <c r="DOP384" s="252"/>
      <c r="DOQ384" s="252"/>
      <c r="DOR384" s="252"/>
      <c r="DOS384" s="252"/>
      <c r="DOT384" s="252"/>
      <c r="DOU384" s="252"/>
      <c r="DOV384" s="252"/>
      <c r="DOW384" s="252"/>
      <c r="DOX384" s="252"/>
      <c r="DOY384" s="252"/>
      <c r="DOZ384" s="252"/>
      <c r="DPA384" s="252"/>
      <c r="DPB384" s="252"/>
      <c r="DPC384" s="252"/>
      <c r="DPD384" s="252"/>
      <c r="DPE384" s="252"/>
      <c r="DPF384" s="252"/>
      <c r="DPG384" s="252"/>
      <c r="DPH384" s="252"/>
      <c r="DPI384" s="252"/>
      <c r="DPJ384" s="252"/>
      <c r="DPK384" s="252"/>
      <c r="DPL384" s="252"/>
      <c r="DPM384" s="252"/>
      <c r="DPN384" s="252"/>
      <c r="DPO384" s="252"/>
      <c r="DPP384" s="252"/>
      <c r="DPQ384" s="252"/>
      <c r="DPR384" s="252"/>
      <c r="DPS384" s="252"/>
      <c r="DPT384" s="252"/>
      <c r="DPU384" s="252"/>
      <c r="DPV384" s="252"/>
      <c r="DPW384" s="252"/>
      <c r="DPX384" s="252"/>
      <c r="DPY384" s="252"/>
      <c r="DPZ384" s="252"/>
      <c r="DQA384" s="252"/>
      <c r="DQB384" s="252"/>
      <c r="DQC384" s="252"/>
      <c r="DQD384" s="252"/>
      <c r="DQE384" s="252"/>
      <c r="DQF384" s="252"/>
      <c r="DQG384" s="252"/>
      <c r="DQH384" s="252"/>
      <c r="DQI384" s="252"/>
      <c r="DQJ384" s="252"/>
      <c r="DQK384" s="252"/>
      <c r="DQL384" s="252"/>
      <c r="DQM384" s="252"/>
      <c r="DQN384" s="252"/>
      <c r="DQO384" s="252"/>
      <c r="DQP384" s="252"/>
      <c r="DQQ384" s="252"/>
      <c r="DQR384" s="252"/>
      <c r="DQS384" s="252"/>
      <c r="DQT384" s="252"/>
      <c r="DQU384" s="252"/>
      <c r="DQV384" s="252"/>
      <c r="DQW384" s="252"/>
      <c r="DQX384" s="252"/>
      <c r="DQY384" s="252"/>
      <c r="DQZ384" s="252"/>
      <c r="DRA384" s="252"/>
      <c r="DRB384" s="252"/>
      <c r="DRC384" s="252"/>
      <c r="DRD384" s="252"/>
      <c r="DRE384" s="252"/>
      <c r="DRF384" s="252"/>
      <c r="DRG384" s="252"/>
      <c r="DRH384" s="252"/>
      <c r="DRI384" s="252"/>
      <c r="DRJ384" s="252"/>
      <c r="DRK384" s="252"/>
      <c r="DRL384" s="252"/>
      <c r="DRM384" s="252"/>
      <c r="DRN384" s="252"/>
      <c r="DRO384" s="252"/>
      <c r="DRP384" s="252"/>
      <c r="DRQ384" s="252"/>
      <c r="DRR384" s="252"/>
      <c r="DRS384" s="252"/>
      <c r="DRT384" s="252"/>
      <c r="DRU384" s="252"/>
      <c r="DRV384" s="252"/>
      <c r="DRW384" s="252"/>
      <c r="DRX384" s="252"/>
      <c r="DRY384" s="252"/>
      <c r="DRZ384" s="252"/>
      <c r="DSA384" s="252"/>
      <c r="DSB384" s="252"/>
      <c r="DSC384" s="252"/>
      <c r="DSD384" s="252"/>
      <c r="DSE384" s="252"/>
      <c r="DSF384" s="252"/>
      <c r="DSG384" s="252"/>
      <c r="DSH384" s="252"/>
      <c r="DSI384" s="252"/>
      <c r="DSJ384" s="252"/>
      <c r="DSK384" s="252"/>
      <c r="DSL384" s="252"/>
      <c r="DSM384" s="252"/>
      <c r="DSN384" s="252"/>
      <c r="DSO384" s="252"/>
      <c r="DSP384" s="252"/>
      <c r="DSQ384" s="252"/>
      <c r="DSR384" s="252"/>
      <c r="DSS384" s="252"/>
      <c r="DST384" s="252"/>
      <c r="DSU384" s="252"/>
      <c r="DSV384" s="252"/>
      <c r="DSW384" s="252"/>
      <c r="DSX384" s="252"/>
      <c r="DSY384" s="252"/>
      <c r="DSZ384" s="252"/>
      <c r="DTA384" s="252"/>
      <c r="DTB384" s="252"/>
      <c r="DTC384" s="252"/>
      <c r="DTD384" s="252"/>
      <c r="DTE384" s="252"/>
      <c r="DTF384" s="252"/>
      <c r="DTG384" s="252"/>
      <c r="DTH384" s="252"/>
      <c r="DTI384" s="252"/>
      <c r="DTJ384" s="252"/>
      <c r="DTK384" s="252"/>
      <c r="DTL384" s="252"/>
      <c r="DTM384" s="252"/>
      <c r="DTN384" s="252"/>
      <c r="DTO384" s="252"/>
      <c r="DTP384" s="252"/>
      <c r="DTQ384" s="252"/>
      <c r="DTR384" s="252"/>
      <c r="DTS384" s="252"/>
      <c r="DTT384" s="252"/>
      <c r="DTU384" s="252"/>
      <c r="DTV384" s="252"/>
      <c r="DTW384" s="252"/>
      <c r="DTX384" s="252"/>
      <c r="DTY384" s="252"/>
      <c r="DTZ384" s="252"/>
      <c r="DUA384" s="252"/>
      <c r="DUB384" s="252"/>
      <c r="DUC384" s="252"/>
      <c r="DUD384" s="252"/>
      <c r="DUE384" s="252"/>
      <c r="DUF384" s="252"/>
      <c r="DUG384" s="252"/>
      <c r="DUH384" s="252"/>
      <c r="DUI384" s="252"/>
      <c r="DUJ384" s="252"/>
      <c r="DUK384" s="252"/>
      <c r="DUL384" s="252"/>
      <c r="DUM384" s="252"/>
      <c r="DUN384" s="252"/>
      <c r="DUO384" s="252"/>
      <c r="DUP384" s="252"/>
      <c r="DUQ384" s="252"/>
      <c r="DUR384" s="252"/>
      <c r="DUS384" s="252"/>
      <c r="DUT384" s="252"/>
      <c r="DUU384" s="252"/>
      <c r="DUV384" s="252"/>
      <c r="DUW384" s="252"/>
      <c r="DUX384" s="252"/>
      <c r="DUY384" s="252"/>
      <c r="DUZ384" s="252"/>
      <c r="DVA384" s="252"/>
      <c r="DVB384" s="252"/>
      <c r="DVC384" s="252"/>
      <c r="DVD384" s="252"/>
      <c r="DVE384" s="252"/>
      <c r="DVF384" s="252"/>
      <c r="DVG384" s="252"/>
      <c r="DVH384" s="252"/>
      <c r="DVI384" s="252"/>
      <c r="DVJ384" s="252"/>
      <c r="DVK384" s="252"/>
      <c r="DVL384" s="252"/>
      <c r="DVM384" s="252"/>
      <c r="DVN384" s="252"/>
      <c r="DVO384" s="252"/>
      <c r="DVP384" s="252"/>
      <c r="DVQ384" s="252"/>
      <c r="DVR384" s="252"/>
      <c r="DVS384" s="252"/>
      <c r="DVT384" s="252"/>
      <c r="DVU384" s="252"/>
      <c r="DVV384" s="252"/>
      <c r="DVW384" s="252"/>
      <c r="DVX384" s="252"/>
      <c r="DVY384" s="252"/>
      <c r="DVZ384" s="252"/>
      <c r="DWA384" s="252"/>
      <c r="DWB384" s="252"/>
      <c r="DWC384" s="252"/>
      <c r="DWD384" s="252"/>
      <c r="DWE384" s="252"/>
      <c r="DWF384" s="252"/>
      <c r="DWG384" s="252"/>
      <c r="DWH384" s="252"/>
      <c r="DWI384" s="252"/>
      <c r="DWJ384" s="252"/>
      <c r="DWK384" s="252"/>
      <c r="DWL384" s="252"/>
      <c r="DWM384" s="252"/>
      <c r="DWN384" s="252"/>
      <c r="DWO384" s="252"/>
      <c r="DWP384" s="252"/>
      <c r="DWQ384" s="252"/>
      <c r="DWR384" s="252"/>
      <c r="DWS384" s="252"/>
      <c r="DWT384" s="252"/>
      <c r="DWU384" s="252"/>
      <c r="DWV384" s="252"/>
      <c r="DWW384" s="252"/>
      <c r="DWX384" s="252"/>
      <c r="DWY384" s="252"/>
      <c r="DWZ384" s="252"/>
      <c r="DXA384" s="252"/>
      <c r="DXB384" s="252"/>
      <c r="DXC384" s="252"/>
      <c r="DXD384" s="252"/>
      <c r="DXE384" s="252"/>
      <c r="DXF384" s="252"/>
      <c r="DXG384" s="252"/>
      <c r="DXH384" s="252"/>
      <c r="DXI384" s="252"/>
      <c r="DXJ384" s="252"/>
      <c r="DXK384" s="252"/>
      <c r="DXL384" s="252"/>
      <c r="DXM384" s="252"/>
      <c r="DXN384" s="252"/>
      <c r="DXO384" s="252"/>
      <c r="DXP384" s="252"/>
      <c r="DXQ384" s="252"/>
      <c r="DXR384" s="252"/>
      <c r="DXS384" s="252"/>
      <c r="DXT384" s="252"/>
      <c r="DXU384" s="252"/>
      <c r="DXV384" s="252"/>
      <c r="DXW384" s="252"/>
      <c r="DXX384" s="252"/>
      <c r="DXY384" s="252"/>
      <c r="DXZ384" s="252"/>
      <c r="DYA384" s="252"/>
      <c r="DYB384" s="252"/>
      <c r="DYC384" s="252"/>
      <c r="DYD384" s="252"/>
      <c r="DYE384" s="252"/>
      <c r="DYF384" s="252"/>
      <c r="DYG384" s="252"/>
      <c r="DYH384" s="252"/>
      <c r="DYI384" s="252"/>
      <c r="DYJ384" s="252"/>
      <c r="DYK384" s="252"/>
      <c r="DYL384" s="252"/>
      <c r="DYM384" s="252"/>
      <c r="DYN384" s="252"/>
      <c r="DYO384" s="252"/>
      <c r="DYP384" s="252"/>
      <c r="DYQ384" s="252"/>
      <c r="DYR384" s="252"/>
      <c r="DYS384" s="252"/>
      <c r="DYT384" s="252"/>
      <c r="DYU384" s="252"/>
      <c r="DYV384" s="252"/>
      <c r="DYW384" s="252"/>
      <c r="DYX384" s="252"/>
      <c r="DYY384" s="252"/>
      <c r="DYZ384" s="252"/>
      <c r="DZA384" s="252"/>
      <c r="DZB384" s="252"/>
      <c r="DZC384" s="252"/>
      <c r="DZD384" s="252"/>
      <c r="DZE384" s="252"/>
      <c r="DZF384" s="252"/>
      <c r="DZG384" s="252"/>
      <c r="DZH384" s="252"/>
      <c r="DZI384" s="252"/>
      <c r="DZJ384" s="252"/>
      <c r="DZK384" s="252"/>
      <c r="DZL384" s="252"/>
      <c r="DZM384" s="252"/>
      <c r="DZN384" s="252"/>
      <c r="DZO384" s="252"/>
      <c r="DZP384" s="252"/>
      <c r="DZQ384" s="252"/>
      <c r="DZR384" s="252"/>
      <c r="DZS384" s="252"/>
      <c r="DZT384" s="252"/>
      <c r="DZU384" s="252"/>
      <c r="DZV384" s="252"/>
      <c r="DZW384" s="252"/>
      <c r="DZX384" s="252"/>
      <c r="DZY384" s="252"/>
      <c r="DZZ384" s="252"/>
      <c r="EAA384" s="252"/>
      <c r="EAB384" s="252"/>
      <c r="EAC384" s="252"/>
      <c r="EAD384" s="252"/>
      <c r="EAE384" s="252"/>
      <c r="EAF384" s="252"/>
      <c r="EAG384" s="252"/>
      <c r="EAH384" s="252"/>
      <c r="EAI384" s="252"/>
      <c r="EAJ384" s="252"/>
      <c r="EAK384" s="252"/>
      <c r="EAL384" s="252"/>
      <c r="EAM384" s="252"/>
      <c r="EAN384" s="252"/>
      <c r="EAO384" s="252"/>
      <c r="EAP384" s="252"/>
      <c r="EAQ384" s="252"/>
      <c r="EAR384" s="252"/>
      <c r="EAS384" s="252"/>
      <c r="EAT384" s="252"/>
      <c r="EAU384" s="252"/>
      <c r="EAV384" s="252"/>
      <c r="EAW384" s="252"/>
      <c r="EAX384" s="252"/>
      <c r="EAY384" s="252"/>
      <c r="EAZ384" s="252"/>
      <c r="EBA384" s="252"/>
      <c r="EBB384" s="252"/>
      <c r="EBC384" s="252"/>
      <c r="EBD384" s="252"/>
      <c r="EBE384" s="252"/>
      <c r="EBF384" s="252"/>
      <c r="EBG384" s="252"/>
      <c r="EBH384" s="252"/>
      <c r="EBI384" s="252"/>
      <c r="EBJ384" s="252"/>
      <c r="EBK384" s="252"/>
      <c r="EBL384" s="252"/>
      <c r="EBM384" s="252"/>
      <c r="EBN384" s="252"/>
      <c r="EBO384" s="252"/>
      <c r="EBP384" s="252"/>
      <c r="EBQ384" s="252"/>
      <c r="EBR384" s="252"/>
      <c r="EBS384" s="252"/>
      <c r="EBT384" s="252"/>
      <c r="EBU384" s="252"/>
      <c r="EBV384" s="252"/>
      <c r="EBW384" s="252"/>
      <c r="EBX384" s="252"/>
      <c r="EBY384" s="252"/>
      <c r="EBZ384" s="252"/>
      <c r="ECA384" s="252"/>
      <c r="ECB384" s="252"/>
      <c r="ECC384" s="252"/>
      <c r="ECD384" s="252"/>
      <c r="ECE384" s="252"/>
      <c r="ECF384" s="252"/>
      <c r="ECG384" s="252"/>
      <c r="ECH384" s="252"/>
      <c r="ECI384" s="252"/>
      <c r="ECJ384" s="252"/>
      <c r="ECK384" s="252"/>
      <c r="ECL384" s="252"/>
      <c r="ECM384" s="252"/>
      <c r="ECN384" s="252"/>
      <c r="ECO384" s="252"/>
      <c r="ECP384" s="252"/>
      <c r="ECQ384" s="252"/>
      <c r="ECR384" s="252"/>
      <c r="ECS384" s="252"/>
      <c r="ECT384" s="252"/>
      <c r="ECU384" s="252"/>
      <c r="ECV384" s="252"/>
      <c r="ECW384" s="252"/>
      <c r="ECX384" s="252"/>
      <c r="ECY384" s="252"/>
      <c r="ECZ384" s="252"/>
      <c r="EDA384" s="252"/>
      <c r="EDB384" s="252"/>
      <c r="EDC384" s="252"/>
      <c r="EDD384" s="252"/>
      <c r="EDE384" s="252"/>
      <c r="EDF384" s="252"/>
      <c r="EDG384" s="252"/>
      <c r="EDH384" s="252"/>
      <c r="EDI384" s="252"/>
      <c r="EDJ384" s="252"/>
      <c r="EDK384" s="252"/>
      <c r="EDL384" s="252"/>
      <c r="EDM384" s="252"/>
      <c r="EDN384" s="252"/>
      <c r="EDO384" s="252"/>
      <c r="EDP384" s="252"/>
      <c r="EDQ384" s="252"/>
      <c r="EDR384" s="252"/>
      <c r="EDS384" s="252"/>
      <c r="EDT384" s="252"/>
      <c r="EDU384" s="252"/>
      <c r="EDV384" s="252"/>
      <c r="EDW384" s="252"/>
      <c r="EDX384" s="252"/>
      <c r="EDY384" s="252"/>
      <c r="EDZ384" s="252"/>
      <c r="EEA384" s="252"/>
      <c r="EEB384" s="252"/>
      <c r="EEC384" s="252"/>
      <c r="EED384" s="252"/>
      <c r="EEE384" s="252"/>
      <c r="EEF384" s="252"/>
      <c r="EEG384" s="252"/>
      <c r="EEH384" s="252"/>
      <c r="EEI384" s="252"/>
      <c r="EEJ384" s="252"/>
      <c r="EEK384" s="252"/>
      <c r="EEL384" s="252"/>
      <c r="EEM384" s="252"/>
      <c r="EEN384" s="252"/>
      <c r="EEO384" s="252"/>
      <c r="EEP384" s="252"/>
      <c r="EEQ384" s="252"/>
      <c r="EER384" s="252"/>
      <c r="EES384" s="252"/>
      <c r="EET384" s="252"/>
      <c r="EEU384" s="252"/>
      <c r="EEV384" s="252"/>
      <c r="EEW384" s="252"/>
      <c r="EEX384" s="252"/>
      <c r="EEY384" s="252"/>
      <c r="EEZ384" s="252"/>
      <c r="EFA384" s="252"/>
      <c r="EFB384" s="252"/>
      <c r="EFC384" s="252"/>
      <c r="EFD384" s="252"/>
      <c r="EFE384" s="252"/>
      <c r="EFF384" s="252"/>
      <c r="EFG384" s="252"/>
      <c r="EFH384" s="252"/>
      <c r="EFI384" s="252"/>
      <c r="EFJ384" s="252"/>
      <c r="EFK384" s="252"/>
      <c r="EFL384" s="252"/>
      <c r="EFM384" s="252"/>
      <c r="EFN384" s="252"/>
      <c r="EFO384" s="252"/>
      <c r="EFP384" s="252"/>
      <c r="EFQ384" s="252"/>
      <c r="EFR384" s="252"/>
      <c r="EFS384" s="252"/>
      <c r="EFT384" s="252"/>
      <c r="EFU384" s="252"/>
      <c r="EFV384" s="252"/>
      <c r="EFW384" s="252"/>
      <c r="EFX384" s="252"/>
      <c r="EFY384" s="252"/>
      <c r="EFZ384" s="252"/>
      <c r="EGA384" s="252"/>
      <c r="EGB384" s="252"/>
      <c r="EGC384" s="252"/>
      <c r="EGD384" s="252"/>
      <c r="EGE384" s="252"/>
      <c r="EGF384" s="252"/>
      <c r="EGG384" s="252"/>
      <c r="EGH384" s="252"/>
      <c r="EGI384" s="252"/>
      <c r="EGJ384" s="252"/>
      <c r="EGK384" s="252"/>
      <c r="EGL384" s="252"/>
      <c r="EGM384" s="252"/>
      <c r="EGN384" s="252"/>
      <c r="EGO384" s="252"/>
      <c r="EGP384" s="252"/>
      <c r="EGQ384" s="252"/>
      <c r="EGR384" s="252"/>
      <c r="EGS384" s="252"/>
      <c r="EGT384" s="252"/>
      <c r="EGU384" s="252"/>
      <c r="EGV384" s="252"/>
      <c r="EGW384" s="252"/>
      <c r="EGX384" s="252"/>
      <c r="EGY384" s="252"/>
      <c r="EGZ384" s="252"/>
      <c r="EHA384" s="252"/>
      <c r="EHB384" s="252"/>
      <c r="EHC384" s="252"/>
      <c r="EHD384" s="252"/>
      <c r="EHE384" s="252"/>
      <c r="EHF384" s="252"/>
      <c r="EHG384" s="252"/>
      <c r="EHH384" s="252"/>
      <c r="EHI384" s="252"/>
      <c r="EHJ384" s="252"/>
      <c r="EHK384" s="252"/>
      <c r="EHL384" s="252"/>
      <c r="EHM384" s="252"/>
      <c r="EHN384" s="252"/>
      <c r="EHO384" s="252"/>
      <c r="EHP384" s="252"/>
      <c r="EHQ384" s="252"/>
      <c r="EHR384" s="252"/>
      <c r="EHS384" s="252"/>
      <c r="EHT384" s="252"/>
      <c r="EHU384" s="252"/>
      <c r="EHV384" s="252"/>
      <c r="EHW384" s="252"/>
      <c r="EHX384" s="252"/>
      <c r="EHY384" s="252"/>
      <c r="EHZ384" s="252"/>
      <c r="EIA384" s="252"/>
      <c r="EIB384" s="252"/>
      <c r="EIC384" s="252"/>
      <c r="EID384" s="252"/>
      <c r="EIE384" s="252"/>
      <c r="EIF384" s="252"/>
      <c r="EIG384" s="252"/>
      <c r="EIH384" s="252"/>
      <c r="EII384" s="252"/>
      <c r="EIJ384" s="252"/>
      <c r="EIK384" s="252"/>
      <c r="EIL384" s="252"/>
      <c r="EIM384" s="252"/>
      <c r="EIN384" s="252"/>
      <c r="EIO384" s="252"/>
      <c r="EIP384" s="252"/>
      <c r="EIQ384" s="252"/>
      <c r="EIR384" s="252"/>
      <c r="EIS384" s="252"/>
      <c r="EIT384" s="252"/>
      <c r="EIU384" s="252"/>
      <c r="EIV384" s="252"/>
      <c r="EIW384" s="252"/>
      <c r="EIX384" s="252"/>
      <c r="EIY384" s="252"/>
      <c r="EIZ384" s="252"/>
      <c r="EJA384" s="252"/>
      <c r="EJB384" s="252"/>
      <c r="EJC384" s="252"/>
      <c r="EJD384" s="252"/>
      <c r="EJE384" s="252"/>
      <c r="EJF384" s="252"/>
      <c r="EJG384" s="252"/>
      <c r="EJH384" s="252"/>
      <c r="EJI384" s="252"/>
      <c r="EJJ384" s="252"/>
      <c r="EJK384" s="252"/>
      <c r="EJL384" s="252"/>
      <c r="EJM384" s="252"/>
      <c r="EJN384" s="252"/>
      <c r="EJO384" s="252"/>
      <c r="EJP384" s="252"/>
      <c r="EJQ384" s="252"/>
      <c r="EJR384" s="252"/>
      <c r="EJS384" s="252"/>
      <c r="EJT384" s="252"/>
      <c r="EJU384" s="252"/>
      <c r="EJV384" s="252"/>
      <c r="EJW384" s="252"/>
      <c r="EJX384" s="252"/>
      <c r="EJY384" s="252"/>
      <c r="EJZ384" s="252"/>
      <c r="EKA384" s="252"/>
      <c r="EKB384" s="252"/>
      <c r="EKC384" s="252"/>
      <c r="EKD384" s="252"/>
      <c r="EKE384" s="252"/>
      <c r="EKF384" s="252"/>
      <c r="EKG384" s="252"/>
      <c r="EKH384" s="252"/>
      <c r="EKI384" s="252"/>
      <c r="EKJ384" s="252"/>
      <c r="EKK384" s="252"/>
      <c r="EKL384" s="252"/>
      <c r="EKM384" s="252"/>
      <c r="EKN384" s="252"/>
      <c r="EKO384" s="252"/>
      <c r="EKP384" s="252"/>
      <c r="EKQ384" s="252"/>
      <c r="EKR384" s="252"/>
      <c r="EKS384" s="252"/>
      <c r="EKT384" s="252"/>
      <c r="EKU384" s="252"/>
      <c r="EKV384" s="252"/>
      <c r="EKW384" s="252"/>
      <c r="EKX384" s="252"/>
      <c r="EKY384" s="252"/>
      <c r="EKZ384" s="252"/>
      <c r="ELA384" s="252"/>
      <c r="ELB384" s="252"/>
      <c r="ELC384" s="252"/>
      <c r="ELD384" s="252"/>
      <c r="ELE384" s="252"/>
      <c r="ELF384" s="252"/>
      <c r="ELG384" s="252"/>
      <c r="ELH384" s="252"/>
      <c r="ELI384" s="252"/>
      <c r="ELJ384" s="252"/>
      <c r="ELK384" s="252"/>
      <c r="ELL384" s="252"/>
      <c r="ELM384" s="252"/>
      <c r="ELN384" s="252"/>
      <c r="ELO384" s="252"/>
      <c r="ELP384" s="252"/>
      <c r="ELQ384" s="252"/>
      <c r="ELR384" s="252"/>
      <c r="ELS384" s="252"/>
      <c r="ELT384" s="252"/>
      <c r="ELU384" s="252"/>
      <c r="ELV384" s="252"/>
      <c r="ELW384" s="252"/>
      <c r="ELX384" s="252"/>
      <c r="ELY384" s="252"/>
      <c r="ELZ384" s="252"/>
      <c r="EMA384" s="252"/>
      <c r="EMB384" s="252"/>
      <c r="EMC384" s="252"/>
      <c r="EMD384" s="252"/>
      <c r="EME384" s="252"/>
      <c r="EMF384" s="252"/>
      <c r="EMG384" s="252"/>
      <c r="EMH384" s="252"/>
      <c r="EMI384" s="252"/>
      <c r="EMJ384" s="252"/>
      <c r="EMK384" s="252"/>
      <c r="EML384" s="252"/>
      <c r="EMM384" s="252"/>
      <c r="EMN384" s="252"/>
      <c r="EMO384" s="252"/>
      <c r="EMP384" s="252"/>
      <c r="EMQ384" s="252"/>
      <c r="EMR384" s="252"/>
      <c r="EMS384" s="252"/>
      <c r="EMT384" s="252"/>
      <c r="EMU384" s="252"/>
      <c r="EMV384" s="252"/>
      <c r="EMW384" s="252"/>
      <c r="EMX384" s="252"/>
      <c r="EMY384" s="252"/>
      <c r="EMZ384" s="252"/>
      <c r="ENA384" s="252"/>
      <c r="ENB384" s="252"/>
      <c r="ENC384" s="252"/>
      <c r="END384" s="252"/>
      <c r="ENE384" s="252"/>
      <c r="ENF384" s="252"/>
      <c r="ENG384" s="252"/>
      <c r="ENH384" s="252"/>
      <c r="ENI384" s="252"/>
      <c r="ENJ384" s="252"/>
      <c r="ENK384" s="252"/>
      <c r="ENL384" s="252"/>
      <c r="ENM384" s="252"/>
      <c r="ENN384" s="252"/>
      <c r="ENO384" s="252"/>
      <c r="ENP384" s="252"/>
      <c r="ENQ384" s="252"/>
      <c r="ENR384" s="252"/>
      <c r="ENS384" s="252"/>
      <c r="ENT384" s="252"/>
      <c r="ENU384" s="252"/>
      <c r="ENV384" s="252"/>
      <c r="ENW384" s="252"/>
      <c r="ENX384" s="252"/>
      <c r="ENY384" s="252"/>
      <c r="ENZ384" s="252"/>
      <c r="EOA384" s="252"/>
      <c r="EOB384" s="252"/>
      <c r="EOC384" s="252"/>
      <c r="EOD384" s="252"/>
      <c r="EOE384" s="252"/>
      <c r="EOF384" s="252"/>
      <c r="EOG384" s="252"/>
      <c r="EOH384" s="252"/>
      <c r="EOI384" s="252"/>
      <c r="EOJ384" s="252"/>
      <c r="EOK384" s="252"/>
      <c r="EOL384" s="252"/>
      <c r="EOM384" s="252"/>
      <c r="EON384" s="252"/>
      <c r="EOO384" s="252"/>
      <c r="EOP384" s="252"/>
      <c r="EOQ384" s="252"/>
      <c r="EOR384" s="252"/>
      <c r="EOS384" s="252"/>
      <c r="EOT384" s="252"/>
      <c r="EOU384" s="252"/>
      <c r="EOV384" s="252"/>
      <c r="EOW384" s="252"/>
      <c r="EOX384" s="252"/>
      <c r="EOY384" s="252"/>
      <c r="EOZ384" s="252"/>
      <c r="EPA384" s="252"/>
      <c r="EPB384" s="252"/>
      <c r="EPC384" s="252"/>
      <c r="EPD384" s="252"/>
      <c r="EPE384" s="252"/>
      <c r="EPF384" s="252"/>
      <c r="EPG384" s="252"/>
      <c r="EPH384" s="252"/>
      <c r="EPI384" s="252"/>
      <c r="EPJ384" s="252"/>
      <c r="EPK384" s="252"/>
      <c r="EPL384" s="252"/>
      <c r="EPM384" s="252"/>
      <c r="EPN384" s="252"/>
      <c r="EPO384" s="252"/>
      <c r="EPP384" s="252"/>
      <c r="EPQ384" s="252"/>
      <c r="EPR384" s="252"/>
      <c r="EPS384" s="252"/>
      <c r="EPT384" s="252"/>
      <c r="EPU384" s="252"/>
      <c r="EPV384" s="252"/>
      <c r="EPW384" s="252"/>
      <c r="EPX384" s="252"/>
      <c r="EPY384" s="252"/>
      <c r="EPZ384" s="252"/>
      <c r="EQA384" s="252"/>
      <c r="EQB384" s="252"/>
      <c r="EQC384" s="252"/>
      <c r="EQD384" s="252"/>
      <c r="EQE384" s="252"/>
      <c r="EQF384" s="252"/>
      <c r="EQG384" s="252"/>
      <c r="EQH384" s="252"/>
      <c r="EQI384" s="252"/>
      <c r="EQJ384" s="252"/>
      <c r="EQK384" s="252"/>
      <c r="EQL384" s="252"/>
      <c r="EQM384" s="252"/>
      <c r="EQN384" s="252"/>
      <c r="EQO384" s="252"/>
      <c r="EQP384" s="252"/>
      <c r="EQQ384" s="252"/>
      <c r="EQR384" s="252"/>
      <c r="EQS384" s="252"/>
      <c r="EQT384" s="252"/>
      <c r="EQU384" s="252"/>
      <c r="EQV384" s="252"/>
      <c r="EQW384" s="252"/>
      <c r="EQX384" s="252"/>
      <c r="EQY384" s="252"/>
      <c r="EQZ384" s="252"/>
      <c r="ERA384" s="252"/>
      <c r="ERB384" s="252"/>
      <c r="ERC384" s="252"/>
      <c r="ERD384" s="252"/>
      <c r="ERE384" s="252"/>
      <c r="ERF384" s="252"/>
      <c r="ERG384" s="252"/>
      <c r="ERH384" s="252"/>
      <c r="ERI384" s="252"/>
      <c r="ERJ384" s="252"/>
      <c r="ERK384" s="252"/>
      <c r="ERL384" s="252"/>
      <c r="ERM384" s="252"/>
      <c r="ERN384" s="252"/>
      <c r="ERO384" s="252"/>
      <c r="ERP384" s="252"/>
      <c r="ERQ384" s="252"/>
      <c r="ERR384" s="252"/>
      <c r="ERS384" s="252"/>
      <c r="ERT384" s="252"/>
      <c r="ERU384" s="252"/>
      <c r="ERV384" s="252"/>
      <c r="ERW384" s="252"/>
      <c r="ERX384" s="252"/>
      <c r="ERY384" s="252"/>
      <c r="ERZ384" s="252"/>
      <c r="ESA384" s="252"/>
      <c r="ESB384" s="252"/>
      <c r="ESC384" s="252"/>
      <c r="ESD384" s="252"/>
      <c r="ESE384" s="252"/>
      <c r="ESF384" s="252"/>
      <c r="ESG384" s="252"/>
      <c r="ESH384" s="252"/>
      <c r="ESI384" s="252"/>
      <c r="ESJ384" s="252"/>
      <c r="ESK384" s="252"/>
      <c r="ESL384" s="252"/>
      <c r="ESM384" s="252"/>
      <c r="ESN384" s="252"/>
      <c r="ESO384" s="252"/>
      <c r="ESP384" s="252"/>
      <c r="ESQ384" s="252"/>
      <c r="ESR384" s="252"/>
      <c r="ESS384" s="252"/>
      <c r="EST384" s="252"/>
      <c r="ESU384" s="252"/>
      <c r="ESV384" s="252"/>
      <c r="ESW384" s="252"/>
      <c r="ESX384" s="252"/>
      <c r="ESY384" s="252"/>
      <c r="ESZ384" s="252"/>
      <c r="ETA384" s="252"/>
      <c r="ETB384" s="252"/>
      <c r="ETC384" s="252"/>
      <c r="ETD384" s="252"/>
      <c r="ETE384" s="252"/>
      <c r="ETF384" s="252"/>
      <c r="ETG384" s="252"/>
      <c r="ETH384" s="252"/>
      <c r="ETI384" s="252"/>
      <c r="ETJ384" s="252"/>
      <c r="ETK384" s="252"/>
      <c r="ETL384" s="252"/>
      <c r="ETM384" s="252"/>
      <c r="ETN384" s="252"/>
      <c r="ETO384" s="252"/>
      <c r="ETP384" s="252"/>
      <c r="ETQ384" s="252"/>
      <c r="ETR384" s="252"/>
      <c r="ETS384" s="252"/>
      <c r="ETT384" s="252"/>
      <c r="ETU384" s="252"/>
      <c r="ETV384" s="252"/>
      <c r="ETW384" s="252"/>
      <c r="ETX384" s="252"/>
      <c r="ETY384" s="252"/>
      <c r="ETZ384" s="252"/>
      <c r="EUA384" s="252"/>
      <c r="EUB384" s="252"/>
      <c r="EUC384" s="252"/>
      <c r="EUD384" s="252"/>
      <c r="EUE384" s="252"/>
      <c r="EUF384" s="252"/>
      <c r="EUG384" s="252"/>
      <c r="EUH384" s="252"/>
      <c r="EUI384" s="252"/>
      <c r="EUJ384" s="252"/>
      <c r="EUK384" s="252"/>
      <c r="EUL384" s="252"/>
      <c r="EUM384" s="252"/>
      <c r="EUN384" s="252"/>
      <c r="EUO384" s="252"/>
      <c r="EUP384" s="252"/>
      <c r="EUQ384" s="252"/>
      <c r="EUR384" s="252"/>
      <c r="EUS384" s="252"/>
      <c r="EUT384" s="252"/>
      <c r="EUU384" s="252"/>
      <c r="EUV384" s="252"/>
      <c r="EUW384" s="252"/>
      <c r="EUX384" s="252"/>
      <c r="EUY384" s="252"/>
      <c r="EUZ384" s="252"/>
      <c r="EVA384" s="252"/>
      <c r="EVB384" s="252"/>
      <c r="EVC384" s="252"/>
      <c r="EVD384" s="252"/>
      <c r="EVE384" s="252"/>
      <c r="EVF384" s="252"/>
      <c r="EVG384" s="252"/>
      <c r="EVH384" s="252"/>
      <c r="EVI384" s="252"/>
      <c r="EVJ384" s="252"/>
      <c r="EVK384" s="252"/>
      <c r="EVL384" s="252"/>
      <c r="EVM384" s="252"/>
      <c r="EVN384" s="252"/>
      <c r="EVO384" s="252"/>
      <c r="EVP384" s="252"/>
      <c r="EVQ384" s="252"/>
      <c r="EVR384" s="252"/>
      <c r="EVS384" s="252"/>
      <c r="EVT384" s="252"/>
      <c r="EVU384" s="252"/>
      <c r="EVV384" s="252"/>
      <c r="EVW384" s="252"/>
      <c r="EVX384" s="252"/>
      <c r="EVY384" s="252"/>
      <c r="EVZ384" s="252"/>
      <c r="EWA384" s="252"/>
      <c r="EWB384" s="252"/>
      <c r="EWC384" s="252"/>
      <c r="EWD384" s="252"/>
      <c r="EWE384" s="252"/>
      <c r="EWF384" s="252"/>
      <c r="EWG384" s="252"/>
      <c r="EWH384" s="252"/>
      <c r="EWI384" s="252"/>
      <c r="EWJ384" s="252"/>
      <c r="EWK384" s="252"/>
      <c r="EWL384" s="252"/>
      <c r="EWM384" s="252"/>
      <c r="EWN384" s="252"/>
      <c r="EWO384" s="252"/>
      <c r="EWP384" s="252"/>
      <c r="EWQ384" s="252"/>
      <c r="EWR384" s="252"/>
      <c r="EWS384" s="252"/>
      <c r="EWT384" s="252"/>
      <c r="EWU384" s="252"/>
      <c r="EWV384" s="252"/>
      <c r="EWW384" s="252"/>
      <c r="EWX384" s="252"/>
      <c r="EWY384" s="252"/>
      <c r="EWZ384" s="252"/>
      <c r="EXA384" s="252"/>
      <c r="EXB384" s="252"/>
      <c r="EXC384" s="252"/>
      <c r="EXD384" s="252"/>
      <c r="EXE384" s="252"/>
      <c r="EXF384" s="252"/>
      <c r="EXG384" s="252"/>
      <c r="EXH384" s="252"/>
      <c r="EXI384" s="252"/>
      <c r="EXJ384" s="252"/>
      <c r="EXK384" s="252"/>
      <c r="EXL384" s="252"/>
      <c r="EXM384" s="252"/>
      <c r="EXN384" s="252"/>
      <c r="EXO384" s="252"/>
      <c r="EXP384" s="252"/>
      <c r="EXQ384" s="252"/>
      <c r="EXR384" s="252"/>
      <c r="EXS384" s="252"/>
      <c r="EXT384" s="252"/>
      <c r="EXU384" s="252"/>
      <c r="EXV384" s="252"/>
      <c r="EXW384" s="252"/>
      <c r="EXX384" s="252"/>
      <c r="EXY384" s="252"/>
      <c r="EXZ384" s="252"/>
      <c r="EYA384" s="252"/>
      <c r="EYB384" s="252"/>
      <c r="EYC384" s="252"/>
      <c r="EYD384" s="252"/>
      <c r="EYE384" s="252"/>
      <c r="EYF384" s="252"/>
      <c r="EYG384" s="252"/>
      <c r="EYH384" s="252"/>
      <c r="EYI384" s="252"/>
      <c r="EYJ384" s="252"/>
      <c r="EYK384" s="252"/>
      <c r="EYL384" s="252"/>
      <c r="EYM384" s="252"/>
      <c r="EYN384" s="252"/>
      <c r="EYO384" s="252"/>
      <c r="EYP384" s="252"/>
      <c r="EYQ384" s="252"/>
      <c r="EYR384" s="252"/>
      <c r="EYS384" s="252"/>
      <c r="EYT384" s="252"/>
      <c r="EYU384" s="252"/>
      <c r="EYV384" s="252"/>
      <c r="EYW384" s="252"/>
      <c r="EYX384" s="252"/>
      <c r="EYY384" s="252"/>
      <c r="EYZ384" s="252"/>
      <c r="EZA384" s="252"/>
      <c r="EZB384" s="252"/>
      <c r="EZC384" s="252"/>
      <c r="EZD384" s="252"/>
      <c r="EZE384" s="252"/>
      <c r="EZF384" s="252"/>
      <c r="EZG384" s="252"/>
      <c r="EZH384" s="252"/>
      <c r="EZI384" s="252"/>
      <c r="EZJ384" s="252"/>
      <c r="EZK384" s="252"/>
      <c r="EZL384" s="252"/>
      <c r="EZM384" s="252"/>
      <c r="EZN384" s="252"/>
      <c r="EZO384" s="252"/>
      <c r="EZP384" s="252"/>
      <c r="EZQ384" s="252"/>
      <c r="EZR384" s="252"/>
      <c r="EZS384" s="252"/>
      <c r="EZT384" s="252"/>
      <c r="EZU384" s="252"/>
      <c r="EZV384" s="252"/>
      <c r="EZW384" s="252"/>
      <c r="EZX384" s="252"/>
      <c r="EZY384" s="252"/>
      <c r="EZZ384" s="252"/>
      <c r="FAA384" s="252"/>
      <c r="FAB384" s="252"/>
      <c r="FAC384" s="252"/>
      <c r="FAD384" s="252"/>
      <c r="FAE384" s="252"/>
      <c r="FAF384" s="252"/>
      <c r="FAG384" s="252"/>
      <c r="FAH384" s="252"/>
      <c r="FAI384" s="252"/>
      <c r="FAJ384" s="252"/>
      <c r="FAK384" s="252"/>
      <c r="FAL384" s="252"/>
      <c r="FAM384" s="252"/>
      <c r="FAN384" s="252"/>
      <c r="FAO384" s="252"/>
      <c r="FAP384" s="252"/>
      <c r="FAQ384" s="252"/>
      <c r="FAR384" s="252"/>
      <c r="FAS384" s="252"/>
      <c r="FAT384" s="252"/>
      <c r="FAU384" s="252"/>
      <c r="FAV384" s="252"/>
      <c r="FAW384" s="252"/>
      <c r="FAX384" s="252"/>
      <c r="FAY384" s="252"/>
      <c r="FAZ384" s="252"/>
      <c r="FBA384" s="252"/>
      <c r="FBB384" s="252"/>
      <c r="FBC384" s="252"/>
      <c r="FBD384" s="252"/>
      <c r="FBE384" s="252"/>
      <c r="FBF384" s="252"/>
      <c r="FBG384" s="252"/>
      <c r="FBH384" s="252"/>
      <c r="FBI384" s="252"/>
      <c r="FBJ384" s="252"/>
      <c r="FBK384" s="252"/>
      <c r="FBL384" s="252"/>
      <c r="FBM384" s="252"/>
      <c r="FBN384" s="252"/>
      <c r="FBO384" s="252"/>
      <c r="FBP384" s="252"/>
      <c r="FBQ384" s="252"/>
      <c r="FBR384" s="252"/>
      <c r="FBS384" s="252"/>
      <c r="FBT384" s="252"/>
      <c r="FBU384" s="252"/>
      <c r="FBV384" s="252"/>
      <c r="FBW384" s="252"/>
      <c r="FBX384" s="252"/>
      <c r="FBY384" s="252"/>
      <c r="FBZ384" s="252"/>
      <c r="FCA384" s="252"/>
      <c r="FCB384" s="252"/>
      <c r="FCC384" s="252"/>
      <c r="FCD384" s="252"/>
      <c r="FCE384" s="252"/>
      <c r="FCF384" s="252"/>
      <c r="FCG384" s="252"/>
      <c r="FCH384" s="252"/>
      <c r="FCI384" s="252"/>
      <c r="FCJ384" s="252"/>
      <c r="FCK384" s="252"/>
      <c r="FCL384" s="252"/>
      <c r="FCM384" s="252"/>
      <c r="FCN384" s="252"/>
      <c r="FCO384" s="252"/>
      <c r="FCP384" s="252"/>
      <c r="FCQ384" s="252"/>
      <c r="FCR384" s="252"/>
      <c r="FCS384" s="252"/>
      <c r="FCT384" s="252"/>
      <c r="FCU384" s="252"/>
      <c r="FCV384" s="252"/>
      <c r="FCW384" s="252"/>
      <c r="FCX384" s="252"/>
      <c r="FCY384" s="252"/>
      <c r="FCZ384" s="252"/>
      <c r="FDA384" s="252"/>
      <c r="FDB384" s="252"/>
      <c r="FDC384" s="252"/>
      <c r="FDD384" s="252"/>
      <c r="FDE384" s="252"/>
      <c r="FDF384" s="252"/>
      <c r="FDG384" s="252"/>
      <c r="FDH384" s="252"/>
      <c r="FDI384" s="252"/>
      <c r="FDJ384" s="252"/>
      <c r="FDK384" s="252"/>
      <c r="FDL384" s="252"/>
      <c r="FDM384" s="252"/>
      <c r="FDN384" s="252"/>
      <c r="FDO384" s="252"/>
      <c r="FDP384" s="252"/>
      <c r="FDQ384" s="252"/>
      <c r="FDR384" s="252"/>
      <c r="FDS384" s="252"/>
      <c r="FDT384" s="252"/>
      <c r="FDU384" s="252"/>
      <c r="FDV384" s="252"/>
      <c r="FDW384" s="252"/>
      <c r="FDX384" s="252"/>
      <c r="FDY384" s="252"/>
      <c r="FDZ384" s="252"/>
      <c r="FEA384" s="252"/>
      <c r="FEB384" s="252"/>
      <c r="FEC384" s="252"/>
      <c r="FED384" s="252"/>
      <c r="FEE384" s="252"/>
      <c r="FEF384" s="252"/>
      <c r="FEG384" s="252"/>
      <c r="FEH384" s="252"/>
      <c r="FEI384" s="252"/>
      <c r="FEJ384" s="252"/>
      <c r="FEK384" s="252"/>
      <c r="FEL384" s="252"/>
      <c r="FEM384" s="252"/>
      <c r="FEN384" s="252"/>
      <c r="FEO384" s="252"/>
      <c r="FEP384" s="252"/>
      <c r="FEQ384" s="252"/>
      <c r="FER384" s="252"/>
      <c r="FES384" s="252"/>
      <c r="FET384" s="252"/>
      <c r="FEU384" s="252"/>
      <c r="FEV384" s="252"/>
      <c r="FEW384" s="252"/>
      <c r="FEX384" s="252"/>
      <c r="FEY384" s="252"/>
      <c r="FEZ384" s="252"/>
      <c r="FFA384" s="252"/>
      <c r="FFB384" s="252"/>
      <c r="FFC384" s="252"/>
      <c r="FFD384" s="252"/>
      <c r="FFE384" s="252"/>
      <c r="FFF384" s="252"/>
      <c r="FFG384" s="252"/>
      <c r="FFH384" s="252"/>
      <c r="FFI384" s="252"/>
      <c r="FFJ384" s="252"/>
      <c r="FFK384" s="252"/>
      <c r="FFL384" s="252"/>
      <c r="FFM384" s="252"/>
      <c r="FFN384" s="252"/>
      <c r="FFO384" s="252"/>
      <c r="FFP384" s="252"/>
      <c r="FFQ384" s="252"/>
      <c r="FFR384" s="252"/>
      <c r="FFS384" s="252"/>
      <c r="FFT384" s="252"/>
      <c r="FFU384" s="252"/>
      <c r="FFV384" s="252"/>
      <c r="FFW384" s="252"/>
      <c r="FFX384" s="252"/>
      <c r="FFY384" s="252"/>
      <c r="FFZ384" s="252"/>
      <c r="FGA384" s="252"/>
      <c r="FGB384" s="252"/>
      <c r="FGC384" s="252"/>
      <c r="FGD384" s="252"/>
      <c r="FGE384" s="252"/>
      <c r="FGF384" s="252"/>
      <c r="FGG384" s="252"/>
      <c r="FGH384" s="252"/>
      <c r="FGI384" s="252"/>
      <c r="FGJ384" s="252"/>
      <c r="FGK384" s="252"/>
      <c r="FGL384" s="252"/>
      <c r="FGM384" s="252"/>
      <c r="FGN384" s="252"/>
      <c r="FGO384" s="252"/>
      <c r="FGP384" s="252"/>
      <c r="FGQ384" s="252"/>
      <c r="FGR384" s="252"/>
      <c r="FGS384" s="252"/>
      <c r="FGT384" s="252"/>
      <c r="FGU384" s="252"/>
      <c r="FGV384" s="252"/>
      <c r="FGW384" s="252"/>
      <c r="FGX384" s="252"/>
      <c r="FGY384" s="252"/>
      <c r="FGZ384" s="252"/>
      <c r="FHA384" s="252"/>
      <c r="FHB384" s="252"/>
      <c r="FHC384" s="252"/>
      <c r="FHD384" s="252"/>
      <c r="FHE384" s="252"/>
      <c r="FHF384" s="252"/>
      <c r="FHG384" s="252"/>
      <c r="FHH384" s="252"/>
      <c r="FHI384" s="252"/>
      <c r="FHJ384" s="252"/>
      <c r="FHK384" s="252"/>
      <c r="FHL384" s="252"/>
      <c r="FHM384" s="252"/>
      <c r="FHN384" s="252"/>
      <c r="FHO384" s="252"/>
      <c r="FHP384" s="252"/>
      <c r="FHQ384" s="252"/>
      <c r="FHR384" s="252"/>
      <c r="FHS384" s="252"/>
      <c r="FHT384" s="252"/>
      <c r="FHU384" s="252"/>
      <c r="FHV384" s="252"/>
      <c r="FHW384" s="252"/>
      <c r="FHX384" s="252"/>
      <c r="FHY384" s="252"/>
      <c r="FHZ384" s="252"/>
      <c r="FIA384" s="252"/>
      <c r="FIB384" s="252"/>
      <c r="FIC384" s="252"/>
      <c r="FID384" s="252"/>
      <c r="FIE384" s="252"/>
      <c r="FIF384" s="252"/>
      <c r="FIG384" s="252"/>
      <c r="FIH384" s="252"/>
      <c r="FII384" s="252"/>
      <c r="FIJ384" s="252"/>
      <c r="FIK384" s="252"/>
      <c r="FIL384" s="252"/>
      <c r="FIM384" s="252"/>
      <c r="FIN384" s="252"/>
      <c r="FIO384" s="252"/>
      <c r="FIP384" s="252"/>
      <c r="FIQ384" s="252"/>
      <c r="FIR384" s="252"/>
      <c r="FIS384" s="252"/>
      <c r="FIT384" s="252"/>
      <c r="FIU384" s="252"/>
      <c r="FIV384" s="252"/>
      <c r="FIW384" s="252"/>
      <c r="FIX384" s="252"/>
      <c r="FIY384" s="252"/>
      <c r="FIZ384" s="252"/>
      <c r="FJA384" s="252"/>
      <c r="FJB384" s="252"/>
      <c r="FJC384" s="252"/>
      <c r="FJD384" s="252"/>
      <c r="FJE384" s="252"/>
      <c r="FJF384" s="252"/>
      <c r="FJG384" s="252"/>
      <c r="FJH384" s="252"/>
      <c r="FJI384" s="252"/>
      <c r="FJJ384" s="252"/>
      <c r="FJK384" s="252"/>
      <c r="FJL384" s="252"/>
      <c r="FJM384" s="252"/>
      <c r="FJN384" s="252"/>
      <c r="FJO384" s="252"/>
      <c r="FJP384" s="252"/>
      <c r="FJQ384" s="252"/>
      <c r="FJR384" s="252"/>
      <c r="FJS384" s="252"/>
      <c r="FJT384" s="252"/>
      <c r="FJU384" s="252"/>
      <c r="FJV384" s="252"/>
      <c r="FJW384" s="252"/>
      <c r="FJX384" s="252"/>
      <c r="FJY384" s="252"/>
      <c r="FJZ384" s="252"/>
      <c r="FKA384" s="252"/>
      <c r="FKB384" s="252"/>
      <c r="FKC384" s="252"/>
      <c r="FKD384" s="252"/>
      <c r="FKE384" s="252"/>
      <c r="FKF384" s="252"/>
      <c r="FKG384" s="252"/>
      <c r="FKH384" s="252"/>
      <c r="FKI384" s="252"/>
      <c r="FKJ384" s="252"/>
      <c r="FKK384" s="252"/>
      <c r="FKL384" s="252"/>
      <c r="FKM384" s="252"/>
      <c r="FKN384" s="252"/>
      <c r="FKO384" s="252"/>
      <c r="FKP384" s="252"/>
      <c r="FKQ384" s="252"/>
      <c r="FKR384" s="252"/>
      <c r="FKS384" s="252"/>
      <c r="FKT384" s="252"/>
      <c r="FKU384" s="252"/>
      <c r="FKV384" s="252"/>
      <c r="FKW384" s="252"/>
      <c r="FKX384" s="252"/>
      <c r="FKY384" s="252"/>
      <c r="FKZ384" s="252"/>
      <c r="FLA384" s="252"/>
      <c r="FLB384" s="252"/>
      <c r="FLC384" s="252"/>
      <c r="FLD384" s="252"/>
      <c r="FLE384" s="252"/>
      <c r="FLF384" s="252"/>
      <c r="FLG384" s="252"/>
      <c r="FLH384" s="252"/>
      <c r="FLI384" s="252"/>
      <c r="FLJ384" s="252"/>
      <c r="FLK384" s="252"/>
      <c r="FLL384" s="252"/>
      <c r="FLM384" s="252"/>
      <c r="FLN384" s="252"/>
      <c r="FLO384" s="252"/>
      <c r="FLP384" s="252"/>
      <c r="FLQ384" s="252"/>
      <c r="FLR384" s="252"/>
      <c r="FLS384" s="252"/>
      <c r="FLT384" s="252"/>
      <c r="FLU384" s="252"/>
      <c r="FLV384" s="252"/>
      <c r="FLW384" s="252"/>
      <c r="FLX384" s="252"/>
      <c r="FLY384" s="252"/>
      <c r="FLZ384" s="252"/>
      <c r="FMA384" s="252"/>
      <c r="FMB384" s="252"/>
      <c r="FMC384" s="252"/>
      <c r="FMD384" s="252"/>
      <c r="FME384" s="252"/>
      <c r="FMF384" s="252"/>
      <c r="FMG384" s="252"/>
      <c r="FMH384" s="252"/>
      <c r="FMI384" s="252"/>
      <c r="FMJ384" s="252"/>
      <c r="FMK384" s="252"/>
      <c r="FML384" s="252"/>
      <c r="FMM384" s="252"/>
      <c r="FMN384" s="252"/>
      <c r="FMO384" s="252"/>
      <c r="FMP384" s="252"/>
      <c r="FMQ384" s="252"/>
      <c r="FMR384" s="252"/>
      <c r="FMS384" s="252"/>
      <c r="FMT384" s="252"/>
      <c r="FMU384" s="252"/>
      <c r="FMV384" s="252"/>
      <c r="FMW384" s="252"/>
      <c r="FMX384" s="252"/>
      <c r="FMY384" s="252"/>
      <c r="FMZ384" s="252"/>
      <c r="FNA384" s="252"/>
      <c r="FNB384" s="252"/>
      <c r="FNC384" s="252"/>
      <c r="FND384" s="252"/>
      <c r="FNE384" s="252"/>
      <c r="FNF384" s="252"/>
      <c r="FNG384" s="252"/>
      <c r="FNH384" s="252"/>
      <c r="FNI384" s="252"/>
      <c r="FNJ384" s="252"/>
      <c r="FNK384" s="252"/>
      <c r="FNL384" s="252"/>
      <c r="FNM384" s="252"/>
      <c r="FNN384" s="252"/>
      <c r="FNO384" s="252"/>
      <c r="FNP384" s="252"/>
      <c r="FNQ384" s="252"/>
      <c r="FNR384" s="252"/>
      <c r="FNS384" s="252"/>
      <c r="FNT384" s="252"/>
      <c r="FNU384" s="252"/>
      <c r="FNV384" s="252"/>
      <c r="FNW384" s="252"/>
      <c r="FNX384" s="252"/>
      <c r="FNY384" s="252"/>
      <c r="FNZ384" s="252"/>
      <c r="FOA384" s="252"/>
      <c r="FOB384" s="252"/>
      <c r="FOC384" s="252"/>
      <c r="FOD384" s="252"/>
      <c r="FOE384" s="252"/>
      <c r="FOF384" s="252"/>
      <c r="FOG384" s="252"/>
      <c r="FOH384" s="252"/>
      <c r="FOI384" s="252"/>
      <c r="FOJ384" s="252"/>
      <c r="FOK384" s="252"/>
      <c r="FOL384" s="252"/>
      <c r="FOM384" s="252"/>
      <c r="FON384" s="252"/>
      <c r="FOO384" s="252"/>
      <c r="FOP384" s="252"/>
      <c r="FOQ384" s="252"/>
      <c r="FOR384" s="252"/>
      <c r="FOS384" s="252"/>
      <c r="FOT384" s="252"/>
      <c r="FOU384" s="252"/>
      <c r="FOV384" s="252"/>
      <c r="FOW384" s="252"/>
      <c r="FOX384" s="252"/>
      <c r="FOY384" s="252"/>
      <c r="FOZ384" s="252"/>
      <c r="FPA384" s="252"/>
      <c r="FPB384" s="252"/>
      <c r="FPC384" s="252"/>
      <c r="FPD384" s="252"/>
      <c r="FPE384" s="252"/>
      <c r="FPF384" s="252"/>
      <c r="FPG384" s="252"/>
      <c r="FPH384" s="252"/>
      <c r="FPI384" s="252"/>
      <c r="FPJ384" s="252"/>
      <c r="FPK384" s="252"/>
      <c r="FPL384" s="252"/>
      <c r="FPM384" s="252"/>
      <c r="FPN384" s="252"/>
      <c r="FPO384" s="252"/>
      <c r="FPP384" s="252"/>
      <c r="FPQ384" s="252"/>
      <c r="FPR384" s="252"/>
      <c r="FPS384" s="252"/>
      <c r="FPT384" s="252"/>
      <c r="FPU384" s="252"/>
      <c r="FPV384" s="252"/>
      <c r="FPW384" s="252"/>
      <c r="FPX384" s="252"/>
      <c r="FPY384" s="252"/>
      <c r="FPZ384" s="252"/>
      <c r="FQA384" s="252"/>
      <c r="FQB384" s="252"/>
      <c r="FQC384" s="252"/>
      <c r="FQD384" s="252"/>
      <c r="FQE384" s="252"/>
      <c r="FQF384" s="252"/>
      <c r="FQG384" s="252"/>
      <c r="FQH384" s="252"/>
      <c r="FQI384" s="252"/>
      <c r="FQJ384" s="252"/>
      <c r="FQK384" s="252"/>
      <c r="FQL384" s="252"/>
      <c r="FQM384" s="252"/>
      <c r="FQN384" s="252"/>
      <c r="FQO384" s="252"/>
      <c r="FQP384" s="252"/>
      <c r="FQQ384" s="252"/>
      <c r="FQR384" s="252"/>
      <c r="FQS384" s="252"/>
      <c r="FQT384" s="252"/>
      <c r="FQU384" s="252"/>
      <c r="FQV384" s="252"/>
      <c r="FQW384" s="252"/>
      <c r="FQX384" s="252"/>
      <c r="FQY384" s="252"/>
      <c r="FQZ384" s="252"/>
      <c r="FRA384" s="252"/>
      <c r="FRB384" s="252"/>
      <c r="FRC384" s="252"/>
      <c r="FRD384" s="252"/>
      <c r="FRE384" s="252"/>
      <c r="FRF384" s="252"/>
      <c r="FRG384" s="252"/>
      <c r="FRH384" s="252"/>
      <c r="FRI384" s="252"/>
      <c r="FRJ384" s="252"/>
      <c r="FRK384" s="252"/>
      <c r="FRL384" s="252"/>
      <c r="FRM384" s="252"/>
      <c r="FRN384" s="252"/>
      <c r="FRO384" s="252"/>
      <c r="FRP384" s="252"/>
      <c r="FRQ384" s="252"/>
      <c r="FRR384" s="252"/>
      <c r="FRS384" s="252"/>
      <c r="FRT384" s="252"/>
      <c r="FRU384" s="252"/>
      <c r="FRV384" s="252"/>
      <c r="FRW384" s="252"/>
      <c r="FRX384" s="252"/>
      <c r="FRY384" s="252"/>
      <c r="FRZ384" s="252"/>
      <c r="FSA384" s="252"/>
      <c r="FSB384" s="252"/>
      <c r="FSC384" s="252"/>
      <c r="FSD384" s="252"/>
      <c r="FSE384" s="252"/>
      <c r="FSF384" s="252"/>
      <c r="FSG384" s="252"/>
      <c r="FSH384" s="252"/>
      <c r="FSI384" s="252"/>
      <c r="FSJ384" s="252"/>
      <c r="FSK384" s="252"/>
      <c r="FSL384" s="252"/>
      <c r="FSM384" s="252"/>
      <c r="FSN384" s="252"/>
      <c r="FSO384" s="252"/>
      <c r="FSP384" s="252"/>
      <c r="FSQ384" s="252"/>
      <c r="FSR384" s="252"/>
      <c r="FSS384" s="252"/>
      <c r="FST384" s="252"/>
      <c r="FSU384" s="252"/>
      <c r="FSV384" s="252"/>
      <c r="FSW384" s="252"/>
      <c r="FSX384" s="252"/>
      <c r="FSY384" s="252"/>
      <c r="FSZ384" s="252"/>
      <c r="FTA384" s="252"/>
      <c r="FTB384" s="252"/>
      <c r="FTC384" s="252"/>
      <c r="FTD384" s="252"/>
      <c r="FTE384" s="252"/>
      <c r="FTF384" s="252"/>
      <c r="FTG384" s="252"/>
      <c r="FTH384" s="252"/>
      <c r="FTI384" s="252"/>
      <c r="FTJ384" s="252"/>
      <c r="FTK384" s="252"/>
      <c r="FTL384" s="252"/>
      <c r="FTM384" s="252"/>
      <c r="FTN384" s="252"/>
      <c r="FTO384" s="252"/>
      <c r="FTP384" s="252"/>
      <c r="FTQ384" s="252"/>
      <c r="FTR384" s="252"/>
      <c r="FTS384" s="252"/>
      <c r="FTT384" s="252"/>
      <c r="FTU384" s="252"/>
      <c r="FTV384" s="252"/>
      <c r="FTW384" s="252"/>
      <c r="FTX384" s="252"/>
      <c r="FTY384" s="252"/>
      <c r="FTZ384" s="252"/>
      <c r="FUA384" s="252"/>
      <c r="FUB384" s="252"/>
      <c r="FUC384" s="252"/>
      <c r="FUD384" s="252"/>
      <c r="FUE384" s="252"/>
      <c r="FUF384" s="252"/>
      <c r="FUG384" s="252"/>
      <c r="FUH384" s="252"/>
      <c r="FUI384" s="252"/>
      <c r="FUJ384" s="252"/>
      <c r="FUK384" s="252"/>
      <c r="FUL384" s="252"/>
      <c r="FUM384" s="252"/>
      <c r="FUN384" s="252"/>
      <c r="FUO384" s="252"/>
      <c r="FUP384" s="252"/>
      <c r="FUQ384" s="252"/>
      <c r="FUR384" s="252"/>
      <c r="FUS384" s="252"/>
      <c r="FUT384" s="252"/>
      <c r="FUU384" s="252"/>
      <c r="FUV384" s="252"/>
      <c r="FUW384" s="252"/>
      <c r="FUX384" s="252"/>
      <c r="FUY384" s="252"/>
      <c r="FUZ384" s="252"/>
      <c r="FVA384" s="252"/>
      <c r="FVB384" s="252"/>
      <c r="FVC384" s="252"/>
      <c r="FVD384" s="252"/>
      <c r="FVE384" s="252"/>
      <c r="FVF384" s="252"/>
      <c r="FVG384" s="252"/>
      <c r="FVH384" s="252"/>
      <c r="FVI384" s="252"/>
      <c r="FVJ384" s="252"/>
      <c r="FVK384" s="252"/>
      <c r="FVL384" s="252"/>
      <c r="FVM384" s="252"/>
      <c r="FVN384" s="252"/>
      <c r="FVO384" s="252"/>
      <c r="FVP384" s="252"/>
      <c r="FVQ384" s="252"/>
      <c r="FVR384" s="252"/>
      <c r="FVS384" s="252"/>
      <c r="FVT384" s="252"/>
      <c r="FVU384" s="252"/>
      <c r="FVV384" s="252"/>
      <c r="FVW384" s="252"/>
      <c r="FVX384" s="252"/>
      <c r="FVY384" s="252"/>
      <c r="FVZ384" s="252"/>
      <c r="FWA384" s="252"/>
      <c r="FWB384" s="252"/>
      <c r="FWC384" s="252"/>
      <c r="FWD384" s="252"/>
      <c r="FWE384" s="252"/>
      <c r="FWF384" s="252"/>
      <c r="FWG384" s="252"/>
      <c r="FWH384" s="252"/>
      <c r="FWI384" s="252"/>
      <c r="FWJ384" s="252"/>
      <c r="FWK384" s="252"/>
      <c r="FWL384" s="252"/>
      <c r="FWM384" s="252"/>
      <c r="FWN384" s="252"/>
      <c r="FWO384" s="252"/>
      <c r="FWP384" s="252"/>
      <c r="FWQ384" s="252"/>
      <c r="FWR384" s="252"/>
      <c r="FWS384" s="252"/>
      <c r="FWT384" s="252"/>
      <c r="FWU384" s="252"/>
      <c r="FWV384" s="252"/>
      <c r="FWW384" s="252"/>
      <c r="FWX384" s="252"/>
      <c r="FWY384" s="252"/>
      <c r="FWZ384" s="252"/>
      <c r="FXA384" s="252"/>
      <c r="FXB384" s="252"/>
      <c r="FXC384" s="252"/>
      <c r="FXD384" s="252"/>
      <c r="FXE384" s="252"/>
      <c r="FXF384" s="252"/>
      <c r="FXG384" s="252"/>
      <c r="FXH384" s="252"/>
      <c r="FXI384" s="252"/>
      <c r="FXJ384" s="252"/>
      <c r="FXK384" s="252"/>
      <c r="FXL384" s="252"/>
      <c r="FXM384" s="252"/>
      <c r="FXN384" s="252"/>
      <c r="FXO384" s="252"/>
      <c r="FXP384" s="252"/>
      <c r="FXQ384" s="252"/>
      <c r="FXR384" s="252"/>
      <c r="FXS384" s="252"/>
      <c r="FXT384" s="252"/>
      <c r="FXU384" s="252"/>
      <c r="FXV384" s="252"/>
      <c r="FXW384" s="252"/>
      <c r="FXX384" s="252"/>
      <c r="FXY384" s="252"/>
      <c r="FXZ384" s="252"/>
      <c r="FYA384" s="252"/>
      <c r="FYB384" s="252"/>
      <c r="FYC384" s="252"/>
      <c r="FYD384" s="252"/>
      <c r="FYE384" s="252"/>
      <c r="FYF384" s="252"/>
      <c r="FYG384" s="252"/>
      <c r="FYH384" s="252"/>
      <c r="FYI384" s="252"/>
      <c r="FYJ384" s="252"/>
      <c r="FYK384" s="252"/>
      <c r="FYL384" s="252"/>
      <c r="FYM384" s="252"/>
      <c r="FYN384" s="252"/>
      <c r="FYO384" s="252"/>
      <c r="FYP384" s="252"/>
      <c r="FYQ384" s="252"/>
      <c r="FYR384" s="252"/>
      <c r="FYS384" s="252"/>
      <c r="FYT384" s="252"/>
      <c r="FYU384" s="252"/>
      <c r="FYV384" s="252"/>
      <c r="FYW384" s="252"/>
      <c r="FYX384" s="252"/>
      <c r="FYY384" s="252"/>
      <c r="FYZ384" s="252"/>
      <c r="FZA384" s="252"/>
      <c r="FZB384" s="252"/>
      <c r="FZC384" s="252"/>
      <c r="FZD384" s="252"/>
      <c r="FZE384" s="252"/>
      <c r="FZF384" s="252"/>
      <c r="FZG384" s="252"/>
      <c r="FZH384" s="252"/>
      <c r="FZI384" s="252"/>
      <c r="FZJ384" s="252"/>
      <c r="FZK384" s="252"/>
      <c r="FZL384" s="252"/>
      <c r="FZM384" s="252"/>
      <c r="FZN384" s="252"/>
      <c r="FZO384" s="252"/>
      <c r="FZP384" s="252"/>
      <c r="FZQ384" s="252"/>
      <c r="FZR384" s="252"/>
      <c r="FZS384" s="252"/>
      <c r="FZT384" s="252"/>
      <c r="FZU384" s="252"/>
      <c r="FZV384" s="252"/>
      <c r="FZW384" s="252"/>
      <c r="FZX384" s="252"/>
      <c r="FZY384" s="252"/>
      <c r="FZZ384" s="252"/>
      <c r="GAA384" s="252"/>
      <c r="GAB384" s="252"/>
      <c r="GAC384" s="252"/>
      <c r="GAD384" s="252"/>
      <c r="GAE384" s="252"/>
      <c r="GAF384" s="252"/>
      <c r="GAG384" s="252"/>
      <c r="GAH384" s="252"/>
      <c r="GAI384" s="252"/>
      <c r="GAJ384" s="252"/>
      <c r="GAK384" s="252"/>
      <c r="GAL384" s="252"/>
      <c r="GAM384" s="252"/>
      <c r="GAN384" s="252"/>
      <c r="GAO384" s="252"/>
      <c r="GAP384" s="252"/>
      <c r="GAQ384" s="252"/>
      <c r="GAR384" s="252"/>
      <c r="GAS384" s="252"/>
      <c r="GAT384" s="252"/>
      <c r="GAU384" s="252"/>
      <c r="GAV384" s="252"/>
      <c r="GAW384" s="252"/>
      <c r="GAX384" s="252"/>
      <c r="GAY384" s="252"/>
      <c r="GAZ384" s="252"/>
      <c r="GBA384" s="252"/>
      <c r="GBB384" s="252"/>
      <c r="GBC384" s="252"/>
      <c r="GBD384" s="252"/>
      <c r="GBE384" s="252"/>
      <c r="GBF384" s="252"/>
      <c r="GBG384" s="252"/>
      <c r="GBH384" s="252"/>
      <c r="GBI384" s="252"/>
      <c r="GBJ384" s="252"/>
      <c r="GBK384" s="252"/>
      <c r="GBL384" s="252"/>
      <c r="GBM384" s="252"/>
      <c r="GBN384" s="252"/>
      <c r="GBO384" s="252"/>
      <c r="GBP384" s="252"/>
      <c r="GBQ384" s="252"/>
      <c r="GBR384" s="252"/>
      <c r="GBS384" s="252"/>
      <c r="GBT384" s="252"/>
      <c r="GBU384" s="252"/>
      <c r="GBV384" s="252"/>
      <c r="GBW384" s="252"/>
      <c r="GBX384" s="252"/>
      <c r="GBY384" s="252"/>
      <c r="GBZ384" s="252"/>
      <c r="GCA384" s="252"/>
      <c r="GCB384" s="252"/>
      <c r="GCC384" s="252"/>
      <c r="GCD384" s="252"/>
      <c r="GCE384" s="252"/>
      <c r="GCF384" s="252"/>
      <c r="GCG384" s="252"/>
      <c r="GCH384" s="252"/>
      <c r="GCI384" s="252"/>
      <c r="GCJ384" s="252"/>
      <c r="GCK384" s="252"/>
      <c r="GCL384" s="252"/>
      <c r="GCM384" s="252"/>
      <c r="GCN384" s="252"/>
      <c r="GCO384" s="252"/>
      <c r="GCP384" s="252"/>
      <c r="GCQ384" s="252"/>
      <c r="GCR384" s="252"/>
      <c r="GCS384" s="252"/>
      <c r="GCT384" s="252"/>
      <c r="GCU384" s="252"/>
      <c r="GCV384" s="252"/>
      <c r="GCW384" s="252"/>
      <c r="GCX384" s="252"/>
      <c r="GCY384" s="252"/>
      <c r="GCZ384" s="252"/>
      <c r="GDA384" s="252"/>
      <c r="GDB384" s="252"/>
      <c r="GDC384" s="252"/>
      <c r="GDD384" s="252"/>
      <c r="GDE384" s="252"/>
      <c r="GDF384" s="252"/>
      <c r="GDG384" s="252"/>
      <c r="GDH384" s="252"/>
      <c r="GDI384" s="252"/>
      <c r="GDJ384" s="252"/>
      <c r="GDK384" s="252"/>
      <c r="GDL384" s="252"/>
      <c r="GDM384" s="252"/>
      <c r="GDN384" s="252"/>
      <c r="GDO384" s="252"/>
      <c r="GDP384" s="252"/>
      <c r="GDQ384" s="252"/>
      <c r="GDR384" s="252"/>
      <c r="GDS384" s="252"/>
      <c r="GDT384" s="252"/>
      <c r="GDU384" s="252"/>
      <c r="GDV384" s="252"/>
      <c r="GDW384" s="252"/>
      <c r="GDX384" s="252"/>
      <c r="GDY384" s="252"/>
      <c r="GDZ384" s="252"/>
      <c r="GEA384" s="252"/>
      <c r="GEB384" s="252"/>
      <c r="GEC384" s="252"/>
      <c r="GED384" s="252"/>
      <c r="GEE384" s="252"/>
      <c r="GEF384" s="252"/>
      <c r="GEG384" s="252"/>
      <c r="GEH384" s="252"/>
      <c r="GEI384" s="252"/>
      <c r="GEJ384" s="252"/>
      <c r="GEK384" s="252"/>
      <c r="GEL384" s="252"/>
      <c r="GEM384" s="252"/>
      <c r="GEN384" s="252"/>
      <c r="GEO384" s="252"/>
      <c r="GEP384" s="252"/>
      <c r="GEQ384" s="252"/>
      <c r="GER384" s="252"/>
      <c r="GES384" s="252"/>
      <c r="GET384" s="252"/>
      <c r="GEU384" s="252"/>
      <c r="GEV384" s="252"/>
      <c r="GEW384" s="252"/>
      <c r="GEX384" s="252"/>
      <c r="GEY384" s="252"/>
      <c r="GEZ384" s="252"/>
      <c r="GFA384" s="252"/>
      <c r="GFB384" s="252"/>
      <c r="GFC384" s="252"/>
      <c r="GFD384" s="252"/>
      <c r="GFE384" s="252"/>
      <c r="GFF384" s="252"/>
      <c r="GFG384" s="252"/>
      <c r="GFH384" s="252"/>
      <c r="GFI384" s="252"/>
      <c r="GFJ384" s="252"/>
      <c r="GFK384" s="252"/>
      <c r="GFL384" s="252"/>
      <c r="GFM384" s="252"/>
      <c r="GFN384" s="252"/>
      <c r="GFO384" s="252"/>
      <c r="GFP384" s="252"/>
      <c r="GFQ384" s="252"/>
      <c r="GFR384" s="252"/>
      <c r="GFS384" s="252"/>
      <c r="GFT384" s="252"/>
      <c r="GFU384" s="252"/>
      <c r="GFV384" s="252"/>
      <c r="GFW384" s="252"/>
      <c r="GFX384" s="252"/>
      <c r="GFY384" s="252"/>
      <c r="GFZ384" s="252"/>
      <c r="GGA384" s="252"/>
      <c r="GGB384" s="252"/>
      <c r="GGC384" s="252"/>
      <c r="GGD384" s="252"/>
      <c r="GGE384" s="252"/>
      <c r="GGF384" s="252"/>
      <c r="GGG384" s="252"/>
      <c r="GGH384" s="252"/>
      <c r="GGI384" s="252"/>
      <c r="GGJ384" s="252"/>
      <c r="GGK384" s="252"/>
      <c r="GGL384" s="252"/>
      <c r="GGM384" s="252"/>
      <c r="GGN384" s="252"/>
      <c r="GGO384" s="252"/>
      <c r="GGP384" s="252"/>
      <c r="GGQ384" s="252"/>
      <c r="GGR384" s="252"/>
      <c r="GGS384" s="252"/>
      <c r="GGT384" s="252"/>
      <c r="GGU384" s="252"/>
      <c r="GGV384" s="252"/>
      <c r="GGW384" s="252"/>
      <c r="GGX384" s="252"/>
      <c r="GGY384" s="252"/>
      <c r="GGZ384" s="252"/>
      <c r="GHA384" s="252"/>
      <c r="GHB384" s="252"/>
      <c r="GHC384" s="252"/>
      <c r="GHD384" s="252"/>
      <c r="GHE384" s="252"/>
      <c r="GHF384" s="252"/>
      <c r="GHG384" s="252"/>
      <c r="GHH384" s="252"/>
      <c r="GHI384" s="252"/>
      <c r="GHJ384" s="252"/>
      <c r="GHK384" s="252"/>
      <c r="GHL384" s="252"/>
      <c r="GHM384" s="252"/>
      <c r="GHN384" s="252"/>
      <c r="GHO384" s="252"/>
      <c r="GHP384" s="252"/>
      <c r="GHQ384" s="252"/>
      <c r="GHR384" s="252"/>
      <c r="GHS384" s="252"/>
      <c r="GHT384" s="252"/>
      <c r="GHU384" s="252"/>
      <c r="GHV384" s="252"/>
      <c r="GHW384" s="252"/>
      <c r="GHX384" s="252"/>
      <c r="GHY384" s="252"/>
      <c r="GHZ384" s="252"/>
      <c r="GIA384" s="252"/>
      <c r="GIB384" s="252"/>
      <c r="GIC384" s="252"/>
      <c r="GID384" s="252"/>
      <c r="GIE384" s="252"/>
      <c r="GIF384" s="252"/>
      <c r="GIG384" s="252"/>
      <c r="GIH384" s="252"/>
      <c r="GII384" s="252"/>
      <c r="GIJ384" s="252"/>
      <c r="GIK384" s="252"/>
      <c r="GIL384" s="252"/>
      <c r="GIM384" s="252"/>
      <c r="GIN384" s="252"/>
      <c r="GIO384" s="252"/>
      <c r="GIP384" s="252"/>
      <c r="GIQ384" s="252"/>
      <c r="GIR384" s="252"/>
      <c r="GIS384" s="252"/>
      <c r="GIT384" s="252"/>
      <c r="GIU384" s="252"/>
      <c r="GIV384" s="252"/>
      <c r="GIW384" s="252"/>
      <c r="GIX384" s="252"/>
      <c r="GIY384" s="252"/>
      <c r="GIZ384" s="252"/>
      <c r="GJA384" s="252"/>
      <c r="GJB384" s="252"/>
      <c r="GJC384" s="252"/>
      <c r="GJD384" s="252"/>
      <c r="GJE384" s="252"/>
      <c r="GJF384" s="252"/>
      <c r="GJG384" s="252"/>
      <c r="GJH384" s="252"/>
      <c r="GJI384" s="252"/>
      <c r="GJJ384" s="252"/>
      <c r="GJK384" s="252"/>
      <c r="GJL384" s="252"/>
      <c r="GJM384" s="252"/>
      <c r="GJN384" s="252"/>
      <c r="GJO384" s="252"/>
      <c r="GJP384" s="252"/>
      <c r="GJQ384" s="252"/>
      <c r="GJR384" s="252"/>
      <c r="GJS384" s="252"/>
      <c r="GJT384" s="252"/>
      <c r="GJU384" s="252"/>
      <c r="GJV384" s="252"/>
      <c r="GJW384" s="252"/>
      <c r="GJX384" s="252"/>
      <c r="GJY384" s="252"/>
      <c r="GJZ384" s="252"/>
      <c r="GKA384" s="252"/>
      <c r="GKB384" s="252"/>
      <c r="GKC384" s="252"/>
      <c r="GKD384" s="252"/>
      <c r="GKE384" s="252"/>
      <c r="GKF384" s="252"/>
      <c r="GKG384" s="252"/>
      <c r="GKH384" s="252"/>
      <c r="GKI384" s="252"/>
      <c r="GKJ384" s="252"/>
      <c r="GKK384" s="252"/>
      <c r="GKL384" s="252"/>
      <c r="GKM384" s="252"/>
      <c r="GKN384" s="252"/>
      <c r="GKO384" s="252"/>
      <c r="GKP384" s="252"/>
      <c r="GKQ384" s="252"/>
      <c r="GKR384" s="252"/>
      <c r="GKS384" s="252"/>
      <c r="GKT384" s="252"/>
      <c r="GKU384" s="252"/>
      <c r="GKV384" s="252"/>
      <c r="GKW384" s="252"/>
      <c r="GKX384" s="252"/>
      <c r="GKY384" s="252"/>
      <c r="GKZ384" s="252"/>
      <c r="GLA384" s="252"/>
      <c r="GLB384" s="252"/>
      <c r="GLC384" s="252"/>
      <c r="GLD384" s="252"/>
      <c r="GLE384" s="252"/>
      <c r="GLF384" s="252"/>
      <c r="GLG384" s="252"/>
      <c r="GLH384" s="252"/>
      <c r="GLI384" s="252"/>
      <c r="GLJ384" s="252"/>
      <c r="GLK384" s="252"/>
      <c r="GLL384" s="252"/>
      <c r="GLM384" s="252"/>
      <c r="GLN384" s="252"/>
      <c r="GLO384" s="252"/>
      <c r="GLP384" s="252"/>
      <c r="GLQ384" s="252"/>
      <c r="GLR384" s="252"/>
      <c r="GLS384" s="252"/>
      <c r="GLT384" s="252"/>
      <c r="GLU384" s="252"/>
      <c r="GLV384" s="252"/>
      <c r="GLW384" s="252"/>
      <c r="GLX384" s="252"/>
      <c r="GLY384" s="252"/>
      <c r="GLZ384" s="252"/>
      <c r="GMA384" s="252"/>
      <c r="GMB384" s="252"/>
      <c r="GMC384" s="252"/>
      <c r="GMD384" s="252"/>
      <c r="GME384" s="252"/>
      <c r="GMF384" s="252"/>
      <c r="GMG384" s="252"/>
      <c r="GMH384" s="252"/>
      <c r="GMI384" s="252"/>
      <c r="GMJ384" s="252"/>
      <c r="GMK384" s="252"/>
      <c r="GML384" s="252"/>
      <c r="GMM384" s="252"/>
      <c r="GMN384" s="252"/>
      <c r="GMO384" s="252"/>
      <c r="GMP384" s="252"/>
      <c r="GMQ384" s="252"/>
      <c r="GMR384" s="252"/>
      <c r="GMS384" s="252"/>
      <c r="GMT384" s="252"/>
      <c r="GMU384" s="252"/>
      <c r="GMV384" s="252"/>
      <c r="GMW384" s="252"/>
      <c r="GMX384" s="252"/>
      <c r="GMY384" s="252"/>
      <c r="GMZ384" s="252"/>
      <c r="GNA384" s="252"/>
      <c r="GNB384" s="252"/>
      <c r="GNC384" s="252"/>
      <c r="GND384" s="252"/>
      <c r="GNE384" s="252"/>
      <c r="GNF384" s="252"/>
      <c r="GNG384" s="252"/>
      <c r="GNH384" s="252"/>
      <c r="GNI384" s="252"/>
      <c r="GNJ384" s="252"/>
      <c r="GNK384" s="252"/>
      <c r="GNL384" s="252"/>
      <c r="GNM384" s="252"/>
      <c r="GNN384" s="252"/>
      <c r="GNO384" s="252"/>
      <c r="GNP384" s="252"/>
      <c r="GNQ384" s="252"/>
      <c r="GNR384" s="252"/>
      <c r="GNS384" s="252"/>
      <c r="GNT384" s="252"/>
      <c r="GNU384" s="252"/>
      <c r="GNV384" s="252"/>
      <c r="GNW384" s="252"/>
      <c r="GNX384" s="252"/>
      <c r="GNY384" s="252"/>
      <c r="GNZ384" s="252"/>
      <c r="GOA384" s="252"/>
      <c r="GOB384" s="252"/>
      <c r="GOC384" s="252"/>
      <c r="GOD384" s="252"/>
      <c r="GOE384" s="252"/>
      <c r="GOF384" s="252"/>
      <c r="GOG384" s="252"/>
      <c r="GOH384" s="252"/>
      <c r="GOI384" s="252"/>
      <c r="GOJ384" s="252"/>
      <c r="GOK384" s="252"/>
      <c r="GOL384" s="252"/>
      <c r="GOM384" s="252"/>
      <c r="GON384" s="252"/>
      <c r="GOO384" s="252"/>
      <c r="GOP384" s="252"/>
      <c r="GOQ384" s="252"/>
      <c r="GOR384" s="252"/>
      <c r="GOS384" s="252"/>
      <c r="GOT384" s="252"/>
      <c r="GOU384" s="252"/>
      <c r="GOV384" s="252"/>
      <c r="GOW384" s="252"/>
      <c r="GOX384" s="252"/>
      <c r="GOY384" s="252"/>
      <c r="GOZ384" s="252"/>
      <c r="GPA384" s="252"/>
      <c r="GPB384" s="252"/>
      <c r="GPC384" s="252"/>
      <c r="GPD384" s="252"/>
      <c r="GPE384" s="252"/>
      <c r="GPF384" s="252"/>
      <c r="GPG384" s="252"/>
      <c r="GPH384" s="252"/>
      <c r="GPI384" s="252"/>
      <c r="GPJ384" s="252"/>
      <c r="GPK384" s="252"/>
      <c r="GPL384" s="252"/>
      <c r="GPM384" s="252"/>
      <c r="GPN384" s="252"/>
      <c r="GPO384" s="252"/>
      <c r="GPP384" s="252"/>
      <c r="GPQ384" s="252"/>
      <c r="GPR384" s="252"/>
      <c r="GPS384" s="252"/>
      <c r="GPT384" s="252"/>
      <c r="GPU384" s="252"/>
      <c r="GPV384" s="252"/>
      <c r="GPW384" s="252"/>
      <c r="GPX384" s="252"/>
      <c r="GPY384" s="252"/>
      <c r="GPZ384" s="252"/>
      <c r="GQA384" s="252"/>
      <c r="GQB384" s="252"/>
      <c r="GQC384" s="252"/>
      <c r="GQD384" s="252"/>
      <c r="GQE384" s="252"/>
      <c r="GQF384" s="252"/>
      <c r="GQG384" s="252"/>
      <c r="GQH384" s="252"/>
      <c r="GQI384" s="252"/>
      <c r="GQJ384" s="252"/>
      <c r="GQK384" s="252"/>
      <c r="GQL384" s="252"/>
      <c r="GQM384" s="252"/>
      <c r="GQN384" s="252"/>
      <c r="GQO384" s="252"/>
      <c r="GQP384" s="252"/>
      <c r="GQQ384" s="252"/>
      <c r="GQR384" s="252"/>
      <c r="GQS384" s="252"/>
      <c r="GQT384" s="252"/>
      <c r="GQU384" s="252"/>
      <c r="GQV384" s="252"/>
      <c r="GQW384" s="252"/>
      <c r="GQX384" s="252"/>
      <c r="GQY384" s="252"/>
      <c r="GQZ384" s="252"/>
      <c r="GRA384" s="252"/>
      <c r="GRB384" s="252"/>
      <c r="GRC384" s="252"/>
      <c r="GRD384" s="252"/>
      <c r="GRE384" s="252"/>
      <c r="GRF384" s="252"/>
      <c r="GRG384" s="252"/>
      <c r="GRH384" s="252"/>
      <c r="GRI384" s="252"/>
      <c r="GRJ384" s="252"/>
      <c r="GRK384" s="252"/>
      <c r="GRL384" s="252"/>
      <c r="GRM384" s="252"/>
      <c r="GRN384" s="252"/>
      <c r="GRO384" s="252"/>
      <c r="GRP384" s="252"/>
      <c r="GRQ384" s="252"/>
      <c r="GRR384" s="252"/>
      <c r="GRS384" s="252"/>
      <c r="GRT384" s="252"/>
      <c r="GRU384" s="252"/>
      <c r="GRV384" s="252"/>
      <c r="GRW384" s="252"/>
      <c r="GRX384" s="252"/>
      <c r="GRY384" s="252"/>
      <c r="GRZ384" s="252"/>
      <c r="GSA384" s="252"/>
      <c r="GSB384" s="252"/>
      <c r="GSC384" s="252"/>
      <c r="GSD384" s="252"/>
      <c r="GSE384" s="252"/>
      <c r="GSF384" s="252"/>
      <c r="GSG384" s="252"/>
      <c r="GSH384" s="252"/>
      <c r="GSI384" s="252"/>
      <c r="GSJ384" s="252"/>
      <c r="GSK384" s="252"/>
      <c r="GSL384" s="252"/>
      <c r="GSM384" s="252"/>
      <c r="GSN384" s="252"/>
      <c r="GSO384" s="252"/>
      <c r="GSP384" s="252"/>
      <c r="GSQ384" s="252"/>
      <c r="GSR384" s="252"/>
      <c r="GSS384" s="252"/>
      <c r="GST384" s="252"/>
      <c r="GSU384" s="252"/>
      <c r="GSV384" s="252"/>
      <c r="GSW384" s="252"/>
      <c r="GSX384" s="252"/>
      <c r="GSY384" s="252"/>
      <c r="GSZ384" s="252"/>
      <c r="GTA384" s="252"/>
      <c r="GTB384" s="252"/>
      <c r="GTC384" s="252"/>
      <c r="GTD384" s="252"/>
      <c r="GTE384" s="252"/>
      <c r="GTF384" s="252"/>
      <c r="GTG384" s="252"/>
      <c r="GTH384" s="252"/>
      <c r="GTI384" s="252"/>
      <c r="GTJ384" s="252"/>
      <c r="GTK384" s="252"/>
      <c r="GTL384" s="252"/>
      <c r="GTM384" s="252"/>
      <c r="GTN384" s="252"/>
      <c r="GTO384" s="252"/>
      <c r="GTP384" s="252"/>
      <c r="GTQ384" s="252"/>
      <c r="GTR384" s="252"/>
      <c r="GTS384" s="252"/>
      <c r="GTT384" s="252"/>
      <c r="GTU384" s="252"/>
      <c r="GTV384" s="252"/>
      <c r="GTW384" s="252"/>
      <c r="GTX384" s="252"/>
      <c r="GTY384" s="252"/>
      <c r="GTZ384" s="252"/>
      <c r="GUA384" s="252"/>
      <c r="GUB384" s="252"/>
      <c r="GUC384" s="252"/>
      <c r="GUD384" s="252"/>
      <c r="GUE384" s="252"/>
      <c r="GUF384" s="252"/>
      <c r="GUG384" s="252"/>
      <c r="GUH384" s="252"/>
      <c r="GUI384" s="252"/>
      <c r="GUJ384" s="252"/>
      <c r="GUK384" s="252"/>
      <c r="GUL384" s="252"/>
      <c r="GUM384" s="252"/>
      <c r="GUN384" s="252"/>
      <c r="GUO384" s="252"/>
      <c r="GUP384" s="252"/>
      <c r="GUQ384" s="252"/>
      <c r="GUR384" s="252"/>
      <c r="GUS384" s="252"/>
      <c r="GUT384" s="252"/>
      <c r="GUU384" s="252"/>
      <c r="GUV384" s="252"/>
      <c r="GUW384" s="252"/>
      <c r="GUX384" s="252"/>
      <c r="GUY384" s="252"/>
      <c r="GUZ384" s="252"/>
      <c r="GVA384" s="252"/>
      <c r="GVB384" s="252"/>
      <c r="GVC384" s="252"/>
      <c r="GVD384" s="252"/>
      <c r="GVE384" s="252"/>
      <c r="GVF384" s="252"/>
      <c r="GVG384" s="252"/>
      <c r="GVH384" s="252"/>
      <c r="GVI384" s="252"/>
      <c r="GVJ384" s="252"/>
      <c r="GVK384" s="252"/>
      <c r="GVL384" s="252"/>
      <c r="GVM384" s="252"/>
      <c r="GVN384" s="252"/>
      <c r="GVO384" s="252"/>
      <c r="GVP384" s="252"/>
      <c r="GVQ384" s="252"/>
      <c r="GVR384" s="252"/>
      <c r="GVS384" s="252"/>
      <c r="GVT384" s="252"/>
      <c r="GVU384" s="252"/>
      <c r="GVV384" s="252"/>
      <c r="GVW384" s="252"/>
      <c r="GVX384" s="252"/>
      <c r="GVY384" s="252"/>
      <c r="GVZ384" s="252"/>
      <c r="GWA384" s="252"/>
      <c r="GWB384" s="252"/>
      <c r="GWC384" s="252"/>
      <c r="GWD384" s="252"/>
      <c r="GWE384" s="252"/>
      <c r="GWF384" s="252"/>
      <c r="GWG384" s="252"/>
      <c r="GWH384" s="252"/>
      <c r="GWI384" s="252"/>
      <c r="GWJ384" s="252"/>
      <c r="GWK384" s="252"/>
      <c r="GWL384" s="252"/>
      <c r="GWM384" s="252"/>
      <c r="GWN384" s="252"/>
      <c r="GWO384" s="252"/>
      <c r="GWP384" s="252"/>
      <c r="GWQ384" s="252"/>
      <c r="GWR384" s="252"/>
      <c r="GWS384" s="252"/>
      <c r="GWT384" s="252"/>
      <c r="GWU384" s="252"/>
      <c r="GWV384" s="252"/>
      <c r="GWW384" s="252"/>
      <c r="GWX384" s="252"/>
      <c r="GWY384" s="252"/>
      <c r="GWZ384" s="252"/>
      <c r="GXA384" s="252"/>
      <c r="GXB384" s="252"/>
      <c r="GXC384" s="252"/>
      <c r="GXD384" s="252"/>
      <c r="GXE384" s="252"/>
      <c r="GXF384" s="252"/>
      <c r="GXG384" s="252"/>
      <c r="GXH384" s="252"/>
      <c r="GXI384" s="252"/>
      <c r="GXJ384" s="252"/>
      <c r="GXK384" s="252"/>
      <c r="GXL384" s="252"/>
      <c r="GXM384" s="252"/>
      <c r="GXN384" s="252"/>
      <c r="GXO384" s="252"/>
      <c r="GXP384" s="252"/>
      <c r="GXQ384" s="252"/>
      <c r="GXR384" s="252"/>
      <c r="GXS384" s="252"/>
      <c r="GXT384" s="252"/>
      <c r="GXU384" s="252"/>
      <c r="GXV384" s="252"/>
      <c r="GXW384" s="252"/>
      <c r="GXX384" s="252"/>
      <c r="GXY384" s="252"/>
      <c r="GXZ384" s="252"/>
      <c r="GYA384" s="252"/>
      <c r="GYB384" s="252"/>
      <c r="GYC384" s="252"/>
      <c r="GYD384" s="252"/>
      <c r="GYE384" s="252"/>
      <c r="GYF384" s="252"/>
      <c r="GYG384" s="252"/>
      <c r="GYH384" s="252"/>
      <c r="GYI384" s="252"/>
      <c r="GYJ384" s="252"/>
      <c r="GYK384" s="252"/>
      <c r="GYL384" s="252"/>
      <c r="GYM384" s="252"/>
      <c r="GYN384" s="252"/>
      <c r="GYO384" s="252"/>
      <c r="GYP384" s="252"/>
      <c r="GYQ384" s="252"/>
      <c r="GYR384" s="252"/>
      <c r="GYS384" s="252"/>
      <c r="GYT384" s="252"/>
      <c r="GYU384" s="252"/>
      <c r="GYV384" s="252"/>
      <c r="GYW384" s="252"/>
      <c r="GYX384" s="252"/>
      <c r="GYY384" s="252"/>
      <c r="GYZ384" s="252"/>
      <c r="GZA384" s="252"/>
      <c r="GZB384" s="252"/>
      <c r="GZC384" s="252"/>
      <c r="GZD384" s="252"/>
      <c r="GZE384" s="252"/>
      <c r="GZF384" s="252"/>
      <c r="GZG384" s="252"/>
      <c r="GZH384" s="252"/>
      <c r="GZI384" s="252"/>
      <c r="GZJ384" s="252"/>
      <c r="GZK384" s="252"/>
      <c r="GZL384" s="252"/>
      <c r="GZM384" s="252"/>
      <c r="GZN384" s="252"/>
      <c r="GZO384" s="252"/>
      <c r="GZP384" s="252"/>
      <c r="GZQ384" s="252"/>
      <c r="GZR384" s="252"/>
      <c r="GZS384" s="252"/>
      <c r="GZT384" s="252"/>
      <c r="GZU384" s="252"/>
      <c r="GZV384" s="252"/>
      <c r="GZW384" s="252"/>
      <c r="GZX384" s="252"/>
      <c r="GZY384" s="252"/>
      <c r="GZZ384" s="252"/>
      <c r="HAA384" s="252"/>
      <c r="HAB384" s="252"/>
      <c r="HAC384" s="252"/>
      <c r="HAD384" s="252"/>
      <c r="HAE384" s="252"/>
      <c r="HAF384" s="252"/>
      <c r="HAG384" s="252"/>
      <c r="HAH384" s="252"/>
      <c r="HAI384" s="252"/>
      <c r="HAJ384" s="252"/>
      <c r="HAK384" s="252"/>
      <c r="HAL384" s="252"/>
      <c r="HAM384" s="252"/>
      <c r="HAN384" s="252"/>
      <c r="HAO384" s="252"/>
      <c r="HAP384" s="252"/>
      <c r="HAQ384" s="252"/>
      <c r="HAR384" s="252"/>
      <c r="HAS384" s="252"/>
      <c r="HAT384" s="252"/>
      <c r="HAU384" s="252"/>
      <c r="HAV384" s="252"/>
      <c r="HAW384" s="252"/>
      <c r="HAX384" s="252"/>
      <c r="HAY384" s="252"/>
      <c r="HAZ384" s="252"/>
      <c r="HBA384" s="252"/>
      <c r="HBB384" s="252"/>
      <c r="HBC384" s="252"/>
      <c r="HBD384" s="252"/>
      <c r="HBE384" s="252"/>
      <c r="HBF384" s="252"/>
      <c r="HBG384" s="252"/>
      <c r="HBH384" s="252"/>
      <c r="HBI384" s="252"/>
      <c r="HBJ384" s="252"/>
      <c r="HBK384" s="252"/>
      <c r="HBL384" s="252"/>
      <c r="HBM384" s="252"/>
      <c r="HBN384" s="252"/>
      <c r="HBO384" s="252"/>
      <c r="HBP384" s="252"/>
      <c r="HBQ384" s="252"/>
      <c r="HBR384" s="252"/>
      <c r="HBS384" s="252"/>
      <c r="HBT384" s="252"/>
      <c r="HBU384" s="252"/>
      <c r="HBV384" s="252"/>
      <c r="HBW384" s="252"/>
      <c r="HBX384" s="252"/>
      <c r="HBY384" s="252"/>
      <c r="HBZ384" s="252"/>
      <c r="HCA384" s="252"/>
      <c r="HCB384" s="252"/>
      <c r="HCC384" s="252"/>
      <c r="HCD384" s="252"/>
      <c r="HCE384" s="252"/>
      <c r="HCF384" s="252"/>
      <c r="HCG384" s="252"/>
      <c r="HCH384" s="252"/>
      <c r="HCI384" s="252"/>
      <c r="HCJ384" s="252"/>
      <c r="HCK384" s="252"/>
      <c r="HCL384" s="252"/>
      <c r="HCM384" s="252"/>
      <c r="HCN384" s="252"/>
      <c r="HCO384" s="252"/>
      <c r="HCP384" s="252"/>
      <c r="HCQ384" s="252"/>
      <c r="HCR384" s="252"/>
      <c r="HCS384" s="252"/>
      <c r="HCT384" s="252"/>
      <c r="HCU384" s="252"/>
      <c r="HCV384" s="252"/>
      <c r="HCW384" s="252"/>
      <c r="HCX384" s="252"/>
      <c r="HCY384" s="252"/>
      <c r="HCZ384" s="252"/>
      <c r="HDA384" s="252"/>
      <c r="HDB384" s="252"/>
      <c r="HDC384" s="252"/>
      <c r="HDD384" s="252"/>
      <c r="HDE384" s="252"/>
      <c r="HDF384" s="252"/>
      <c r="HDG384" s="252"/>
      <c r="HDH384" s="252"/>
      <c r="HDI384" s="252"/>
      <c r="HDJ384" s="252"/>
      <c r="HDK384" s="252"/>
      <c r="HDL384" s="252"/>
      <c r="HDM384" s="252"/>
      <c r="HDN384" s="252"/>
      <c r="HDO384" s="252"/>
      <c r="HDP384" s="252"/>
      <c r="HDQ384" s="252"/>
      <c r="HDR384" s="252"/>
      <c r="HDS384" s="252"/>
      <c r="HDT384" s="252"/>
      <c r="HDU384" s="252"/>
      <c r="HDV384" s="252"/>
      <c r="HDW384" s="252"/>
      <c r="HDX384" s="252"/>
      <c r="HDY384" s="252"/>
      <c r="HDZ384" s="252"/>
      <c r="HEA384" s="252"/>
      <c r="HEB384" s="252"/>
      <c r="HEC384" s="252"/>
      <c r="HED384" s="252"/>
      <c r="HEE384" s="252"/>
      <c r="HEF384" s="252"/>
      <c r="HEG384" s="252"/>
      <c r="HEH384" s="252"/>
      <c r="HEI384" s="252"/>
      <c r="HEJ384" s="252"/>
      <c r="HEK384" s="252"/>
      <c r="HEL384" s="252"/>
      <c r="HEM384" s="252"/>
      <c r="HEN384" s="252"/>
      <c r="HEO384" s="252"/>
      <c r="HEP384" s="252"/>
      <c r="HEQ384" s="252"/>
      <c r="HER384" s="252"/>
      <c r="HES384" s="252"/>
      <c r="HET384" s="252"/>
      <c r="HEU384" s="252"/>
      <c r="HEV384" s="252"/>
      <c r="HEW384" s="252"/>
      <c r="HEX384" s="252"/>
      <c r="HEY384" s="252"/>
      <c r="HEZ384" s="252"/>
      <c r="HFA384" s="252"/>
      <c r="HFB384" s="252"/>
      <c r="HFC384" s="252"/>
      <c r="HFD384" s="252"/>
      <c r="HFE384" s="252"/>
      <c r="HFF384" s="252"/>
      <c r="HFG384" s="252"/>
      <c r="HFH384" s="252"/>
      <c r="HFI384" s="252"/>
      <c r="HFJ384" s="252"/>
      <c r="HFK384" s="252"/>
      <c r="HFL384" s="252"/>
      <c r="HFM384" s="252"/>
      <c r="HFN384" s="252"/>
      <c r="HFO384" s="252"/>
      <c r="HFP384" s="252"/>
      <c r="HFQ384" s="252"/>
      <c r="HFR384" s="252"/>
      <c r="HFS384" s="252"/>
      <c r="HFT384" s="252"/>
      <c r="HFU384" s="252"/>
      <c r="HFV384" s="252"/>
      <c r="HFW384" s="252"/>
      <c r="HFX384" s="252"/>
      <c r="HFY384" s="252"/>
      <c r="HFZ384" s="252"/>
      <c r="HGA384" s="252"/>
      <c r="HGB384" s="252"/>
      <c r="HGC384" s="252"/>
      <c r="HGD384" s="252"/>
      <c r="HGE384" s="252"/>
      <c r="HGF384" s="252"/>
      <c r="HGG384" s="252"/>
      <c r="HGH384" s="252"/>
      <c r="HGI384" s="252"/>
      <c r="HGJ384" s="252"/>
      <c r="HGK384" s="252"/>
      <c r="HGL384" s="252"/>
      <c r="HGM384" s="252"/>
      <c r="HGN384" s="252"/>
      <c r="HGO384" s="252"/>
      <c r="HGP384" s="252"/>
      <c r="HGQ384" s="252"/>
      <c r="HGR384" s="252"/>
      <c r="HGS384" s="252"/>
      <c r="HGT384" s="252"/>
      <c r="HGU384" s="252"/>
      <c r="HGV384" s="252"/>
      <c r="HGW384" s="252"/>
      <c r="HGX384" s="252"/>
      <c r="HGY384" s="252"/>
      <c r="HGZ384" s="252"/>
      <c r="HHA384" s="252"/>
      <c r="HHB384" s="252"/>
      <c r="HHC384" s="252"/>
      <c r="HHD384" s="252"/>
      <c r="HHE384" s="252"/>
      <c r="HHF384" s="252"/>
      <c r="HHG384" s="252"/>
      <c r="HHH384" s="252"/>
      <c r="HHI384" s="252"/>
      <c r="HHJ384" s="252"/>
      <c r="HHK384" s="252"/>
      <c r="HHL384" s="252"/>
      <c r="HHM384" s="252"/>
      <c r="HHN384" s="252"/>
      <c r="HHO384" s="252"/>
      <c r="HHP384" s="252"/>
      <c r="HHQ384" s="252"/>
      <c r="HHR384" s="252"/>
      <c r="HHS384" s="252"/>
      <c r="HHT384" s="252"/>
      <c r="HHU384" s="252"/>
      <c r="HHV384" s="252"/>
      <c r="HHW384" s="252"/>
      <c r="HHX384" s="252"/>
      <c r="HHY384" s="252"/>
      <c r="HHZ384" s="252"/>
      <c r="HIA384" s="252"/>
      <c r="HIB384" s="252"/>
      <c r="HIC384" s="252"/>
      <c r="HID384" s="252"/>
      <c r="HIE384" s="252"/>
      <c r="HIF384" s="252"/>
      <c r="HIG384" s="252"/>
      <c r="HIH384" s="252"/>
      <c r="HII384" s="252"/>
      <c r="HIJ384" s="252"/>
      <c r="HIK384" s="252"/>
      <c r="HIL384" s="252"/>
      <c r="HIM384" s="252"/>
      <c r="HIN384" s="252"/>
      <c r="HIO384" s="252"/>
      <c r="HIP384" s="252"/>
      <c r="HIQ384" s="252"/>
      <c r="HIR384" s="252"/>
      <c r="HIS384" s="252"/>
      <c r="HIT384" s="252"/>
      <c r="HIU384" s="252"/>
      <c r="HIV384" s="252"/>
      <c r="HIW384" s="252"/>
      <c r="HIX384" s="252"/>
      <c r="HIY384" s="252"/>
      <c r="HIZ384" s="252"/>
      <c r="HJA384" s="252"/>
      <c r="HJB384" s="252"/>
      <c r="HJC384" s="252"/>
      <c r="HJD384" s="252"/>
      <c r="HJE384" s="252"/>
      <c r="HJF384" s="252"/>
      <c r="HJG384" s="252"/>
      <c r="HJH384" s="252"/>
      <c r="HJI384" s="252"/>
      <c r="HJJ384" s="252"/>
      <c r="HJK384" s="252"/>
      <c r="HJL384" s="252"/>
      <c r="HJM384" s="252"/>
      <c r="HJN384" s="252"/>
      <c r="HJO384" s="252"/>
      <c r="HJP384" s="252"/>
      <c r="HJQ384" s="252"/>
      <c r="HJR384" s="252"/>
      <c r="HJS384" s="252"/>
      <c r="HJT384" s="252"/>
      <c r="HJU384" s="252"/>
      <c r="HJV384" s="252"/>
      <c r="HJW384" s="252"/>
      <c r="HJX384" s="252"/>
      <c r="HJY384" s="252"/>
      <c r="HJZ384" s="252"/>
      <c r="HKA384" s="252"/>
      <c r="HKB384" s="252"/>
      <c r="HKC384" s="252"/>
      <c r="HKD384" s="252"/>
      <c r="HKE384" s="252"/>
      <c r="HKF384" s="252"/>
      <c r="HKG384" s="252"/>
      <c r="HKH384" s="252"/>
      <c r="HKI384" s="252"/>
      <c r="HKJ384" s="252"/>
      <c r="HKK384" s="252"/>
      <c r="HKL384" s="252"/>
      <c r="HKM384" s="252"/>
      <c r="HKN384" s="252"/>
      <c r="HKO384" s="252"/>
      <c r="HKP384" s="252"/>
      <c r="HKQ384" s="252"/>
      <c r="HKR384" s="252"/>
      <c r="HKS384" s="252"/>
      <c r="HKT384" s="252"/>
      <c r="HKU384" s="252"/>
      <c r="HKV384" s="252"/>
      <c r="HKW384" s="252"/>
      <c r="HKX384" s="252"/>
      <c r="HKY384" s="252"/>
      <c r="HKZ384" s="252"/>
      <c r="HLA384" s="252"/>
      <c r="HLB384" s="252"/>
      <c r="HLC384" s="252"/>
      <c r="HLD384" s="252"/>
      <c r="HLE384" s="252"/>
      <c r="HLF384" s="252"/>
      <c r="HLG384" s="252"/>
      <c r="HLH384" s="252"/>
      <c r="HLI384" s="252"/>
      <c r="HLJ384" s="252"/>
      <c r="HLK384" s="252"/>
      <c r="HLL384" s="252"/>
      <c r="HLM384" s="252"/>
      <c r="HLN384" s="252"/>
      <c r="HLO384" s="252"/>
      <c r="HLP384" s="252"/>
      <c r="HLQ384" s="252"/>
      <c r="HLR384" s="252"/>
      <c r="HLS384" s="252"/>
      <c r="HLT384" s="252"/>
      <c r="HLU384" s="252"/>
      <c r="HLV384" s="252"/>
      <c r="HLW384" s="252"/>
      <c r="HLX384" s="252"/>
      <c r="HLY384" s="252"/>
      <c r="HLZ384" s="252"/>
      <c r="HMA384" s="252"/>
      <c r="HMB384" s="252"/>
      <c r="HMC384" s="252"/>
      <c r="HMD384" s="252"/>
      <c r="HME384" s="252"/>
      <c r="HMF384" s="252"/>
      <c r="HMG384" s="252"/>
      <c r="HMH384" s="252"/>
      <c r="HMI384" s="252"/>
      <c r="HMJ384" s="252"/>
      <c r="HMK384" s="252"/>
      <c r="HML384" s="252"/>
      <c r="HMM384" s="252"/>
      <c r="HMN384" s="252"/>
      <c r="HMO384" s="252"/>
      <c r="HMP384" s="252"/>
      <c r="HMQ384" s="252"/>
      <c r="HMR384" s="252"/>
      <c r="HMS384" s="252"/>
      <c r="HMT384" s="252"/>
      <c r="HMU384" s="252"/>
      <c r="HMV384" s="252"/>
      <c r="HMW384" s="252"/>
      <c r="HMX384" s="252"/>
      <c r="HMY384" s="252"/>
      <c r="HMZ384" s="252"/>
      <c r="HNA384" s="252"/>
      <c r="HNB384" s="252"/>
      <c r="HNC384" s="252"/>
      <c r="HND384" s="252"/>
      <c r="HNE384" s="252"/>
      <c r="HNF384" s="252"/>
      <c r="HNG384" s="252"/>
      <c r="HNH384" s="252"/>
      <c r="HNI384" s="252"/>
      <c r="HNJ384" s="252"/>
      <c r="HNK384" s="252"/>
      <c r="HNL384" s="252"/>
      <c r="HNM384" s="252"/>
      <c r="HNN384" s="252"/>
      <c r="HNO384" s="252"/>
      <c r="HNP384" s="252"/>
      <c r="HNQ384" s="252"/>
      <c r="HNR384" s="252"/>
      <c r="HNS384" s="252"/>
      <c r="HNT384" s="252"/>
      <c r="HNU384" s="252"/>
      <c r="HNV384" s="252"/>
      <c r="HNW384" s="252"/>
      <c r="HNX384" s="252"/>
      <c r="HNY384" s="252"/>
      <c r="HNZ384" s="252"/>
      <c r="HOA384" s="252"/>
      <c r="HOB384" s="252"/>
      <c r="HOC384" s="252"/>
      <c r="HOD384" s="252"/>
      <c r="HOE384" s="252"/>
      <c r="HOF384" s="252"/>
      <c r="HOG384" s="252"/>
      <c r="HOH384" s="252"/>
      <c r="HOI384" s="252"/>
      <c r="HOJ384" s="252"/>
      <c r="HOK384" s="252"/>
      <c r="HOL384" s="252"/>
      <c r="HOM384" s="252"/>
      <c r="HON384" s="252"/>
      <c r="HOO384" s="252"/>
      <c r="HOP384" s="252"/>
      <c r="HOQ384" s="252"/>
      <c r="HOR384" s="252"/>
      <c r="HOS384" s="252"/>
      <c r="HOT384" s="252"/>
      <c r="HOU384" s="252"/>
      <c r="HOV384" s="252"/>
      <c r="HOW384" s="252"/>
      <c r="HOX384" s="252"/>
      <c r="HOY384" s="252"/>
      <c r="HOZ384" s="252"/>
      <c r="HPA384" s="252"/>
      <c r="HPB384" s="252"/>
      <c r="HPC384" s="252"/>
      <c r="HPD384" s="252"/>
      <c r="HPE384" s="252"/>
      <c r="HPF384" s="252"/>
      <c r="HPG384" s="252"/>
      <c r="HPH384" s="252"/>
      <c r="HPI384" s="252"/>
      <c r="HPJ384" s="252"/>
      <c r="HPK384" s="252"/>
      <c r="HPL384" s="252"/>
      <c r="HPM384" s="252"/>
      <c r="HPN384" s="252"/>
      <c r="HPO384" s="252"/>
      <c r="HPP384" s="252"/>
      <c r="HPQ384" s="252"/>
      <c r="HPR384" s="252"/>
      <c r="HPS384" s="252"/>
      <c r="HPT384" s="252"/>
      <c r="HPU384" s="252"/>
      <c r="HPV384" s="252"/>
      <c r="HPW384" s="252"/>
      <c r="HPX384" s="252"/>
      <c r="HPY384" s="252"/>
      <c r="HPZ384" s="252"/>
      <c r="HQA384" s="252"/>
      <c r="HQB384" s="252"/>
      <c r="HQC384" s="252"/>
      <c r="HQD384" s="252"/>
      <c r="HQE384" s="252"/>
      <c r="HQF384" s="252"/>
      <c r="HQG384" s="252"/>
      <c r="HQH384" s="252"/>
      <c r="HQI384" s="252"/>
      <c r="HQJ384" s="252"/>
      <c r="HQK384" s="252"/>
      <c r="HQL384" s="252"/>
      <c r="HQM384" s="252"/>
      <c r="HQN384" s="252"/>
      <c r="HQO384" s="252"/>
      <c r="HQP384" s="252"/>
      <c r="HQQ384" s="252"/>
      <c r="HQR384" s="252"/>
      <c r="HQS384" s="252"/>
      <c r="HQT384" s="252"/>
      <c r="HQU384" s="252"/>
      <c r="HQV384" s="252"/>
      <c r="HQW384" s="252"/>
      <c r="HQX384" s="252"/>
      <c r="HQY384" s="252"/>
      <c r="HQZ384" s="252"/>
      <c r="HRA384" s="252"/>
      <c r="HRB384" s="252"/>
      <c r="HRC384" s="252"/>
      <c r="HRD384" s="252"/>
      <c r="HRE384" s="252"/>
      <c r="HRF384" s="252"/>
      <c r="HRG384" s="252"/>
      <c r="HRH384" s="252"/>
      <c r="HRI384" s="252"/>
      <c r="HRJ384" s="252"/>
      <c r="HRK384" s="252"/>
      <c r="HRL384" s="252"/>
      <c r="HRM384" s="252"/>
      <c r="HRN384" s="252"/>
      <c r="HRO384" s="252"/>
      <c r="HRP384" s="252"/>
      <c r="HRQ384" s="252"/>
      <c r="HRR384" s="252"/>
      <c r="HRS384" s="252"/>
      <c r="HRT384" s="252"/>
      <c r="HRU384" s="252"/>
      <c r="HRV384" s="252"/>
      <c r="HRW384" s="252"/>
      <c r="HRX384" s="252"/>
      <c r="HRY384" s="252"/>
      <c r="HRZ384" s="252"/>
      <c r="HSA384" s="252"/>
      <c r="HSB384" s="252"/>
      <c r="HSC384" s="252"/>
      <c r="HSD384" s="252"/>
      <c r="HSE384" s="252"/>
      <c r="HSF384" s="252"/>
      <c r="HSG384" s="252"/>
      <c r="HSH384" s="252"/>
      <c r="HSI384" s="252"/>
      <c r="HSJ384" s="252"/>
      <c r="HSK384" s="252"/>
      <c r="HSL384" s="252"/>
      <c r="HSM384" s="252"/>
      <c r="HSN384" s="252"/>
      <c r="HSO384" s="252"/>
      <c r="HSP384" s="252"/>
      <c r="HSQ384" s="252"/>
      <c r="HSR384" s="252"/>
      <c r="HSS384" s="252"/>
      <c r="HST384" s="252"/>
      <c r="HSU384" s="252"/>
      <c r="HSV384" s="252"/>
      <c r="HSW384" s="252"/>
      <c r="HSX384" s="252"/>
      <c r="HSY384" s="252"/>
      <c r="HSZ384" s="252"/>
      <c r="HTA384" s="252"/>
      <c r="HTB384" s="252"/>
      <c r="HTC384" s="252"/>
      <c r="HTD384" s="252"/>
      <c r="HTE384" s="252"/>
      <c r="HTF384" s="252"/>
      <c r="HTG384" s="252"/>
      <c r="HTH384" s="252"/>
      <c r="HTI384" s="252"/>
      <c r="HTJ384" s="252"/>
      <c r="HTK384" s="252"/>
      <c r="HTL384" s="252"/>
      <c r="HTM384" s="252"/>
      <c r="HTN384" s="252"/>
      <c r="HTO384" s="252"/>
      <c r="HTP384" s="252"/>
      <c r="HTQ384" s="252"/>
      <c r="HTR384" s="252"/>
      <c r="HTS384" s="252"/>
      <c r="HTT384" s="252"/>
      <c r="HTU384" s="252"/>
      <c r="HTV384" s="252"/>
      <c r="HTW384" s="252"/>
      <c r="HTX384" s="252"/>
      <c r="HTY384" s="252"/>
      <c r="HTZ384" s="252"/>
      <c r="HUA384" s="252"/>
      <c r="HUB384" s="252"/>
      <c r="HUC384" s="252"/>
      <c r="HUD384" s="252"/>
      <c r="HUE384" s="252"/>
      <c r="HUF384" s="252"/>
      <c r="HUG384" s="252"/>
      <c r="HUH384" s="252"/>
      <c r="HUI384" s="252"/>
      <c r="HUJ384" s="252"/>
      <c r="HUK384" s="252"/>
      <c r="HUL384" s="252"/>
      <c r="HUM384" s="252"/>
      <c r="HUN384" s="252"/>
      <c r="HUO384" s="252"/>
      <c r="HUP384" s="252"/>
      <c r="HUQ384" s="252"/>
      <c r="HUR384" s="252"/>
      <c r="HUS384" s="252"/>
      <c r="HUT384" s="252"/>
      <c r="HUU384" s="252"/>
      <c r="HUV384" s="252"/>
      <c r="HUW384" s="252"/>
      <c r="HUX384" s="252"/>
      <c r="HUY384" s="252"/>
      <c r="HUZ384" s="252"/>
      <c r="HVA384" s="252"/>
      <c r="HVB384" s="252"/>
      <c r="HVC384" s="252"/>
      <c r="HVD384" s="252"/>
      <c r="HVE384" s="252"/>
      <c r="HVF384" s="252"/>
      <c r="HVG384" s="252"/>
      <c r="HVH384" s="252"/>
      <c r="HVI384" s="252"/>
      <c r="HVJ384" s="252"/>
      <c r="HVK384" s="252"/>
      <c r="HVL384" s="252"/>
      <c r="HVM384" s="252"/>
      <c r="HVN384" s="252"/>
      <c r="HVO384" s="252"/>
      <c r="HVP384" s="252"/>
      <c r="HVQ384" s="252"/>
      <c r="HVR384" s="252"/>
      <c r="HVS384" s="252"/>
      <c r="HVT384" s="252"/>
      <c r="HVU384" s="252"/>
      <c r="HVV384" s="252"/>
      <c r="HVW384" s="252"/>
      <c r="HVX384" s="252"/>
      <c r="HVY384" s="252"/>
      <c r="HVZ384" s="252"/>
      <c r="HWA384" s="252"/>
      <c r="HWB384" s="252"/>
      <c r="HWC384" s="252"/>
      <c r="HWD384" s="252"/>
      <c r="HWE384" s="252"/>
      <c r="HWF384" s="252"/>
      <c r="HWG384" s="252"/>
      <c r="HWH384" s="252"/>
      <c r="HWI384" s="252"/>
      <c r="HWJ384" s="252"/>
      <c r="HWK384" s="252"/>
      <c r="HWL384" s="252"/>
      <c r="HWM384" s="252"/>
      <c r="HWN384" s="252"/>
      <c r="HWO384" s="252"/>
      <c r="HWP384" s="252"/>
      <c r="HWQ384" s="252"/>
      <c r="HWR384" s="252"/>
      <c r="HWS384" s="252"/>
      <c r="HWT384" s="252"/>
      <c r="HWU384" s="252"/>
      <c r="HWV384" s="252"/>
      <c r="HWW384" s="252"/>
      <c r="HWX384" s="252"/>
      <c r="HWY384" s="252"/>
      <c r="HWZ384" s="252"/>
      <c r="HXA384" s="252"/>
      <c r="HXB384" s="252"/>
      <c r="HXC384" s="252"/>
      <c r="HXD384" s="252"/>
      <c r="HXE384" s="252"/>
      <c r="HXF384" s="252"/>
      <c r="HXG384" s="252"/>
      <c r="HXH384" s="252"/>
      <c r="HXI384" s="252"/>
      <c r="HXJ384" s="252"/>
      <c r="HXK384" s="252"/>
      <c r="HXL384" s="252"/>
      <c r="HXM384" s="252"/>
      <c r="HXN384" s="252"/>
      <c r="HXO384" s="252"/>
      <c r="HXP384" s="252"/>
      <c r="HXQ384" s="252"/>
      <c r="HXR384" s="252"/>
      <c r="HXS384" s="252"/>
      <c r="HXT384" s="252"/>
      <c r="HXU384" s="252"/>
      <c r="HXV384" s="252"/>
      <c r="HXW384" s="252"/>
      <c r="HXX384" s="252"/>
      <c r="HXY384" s="252"/>
      <c r="HXZ384" s="252"/>
      <c r="HYA384" s="252"/>
      <c r="HYB384" s="252"/>
      <c r="HYC384" s="252"/>
      <c r="HYD384" s="252"/>
      <c r="HYE384" s="252"/>
      <c r="HYF384" s="252"/>
      <c r="HYG384" s="252"/>
      <c r="HYH384" s="252"/>
      <c r="HYI384" s="252"/>
      <c r="HYJ384" s="252"/>
      <c r="HYK384" s="252"/>
      <c r="HYL384" s="252"/>
      <c r="HYM384" s="252"/>
      <c r="HYN384" s="252"/>
      <c r="HYO384" s="252"/>
      <c r="HYP384" s="252"/>
      <c r="HYQ384" s="252"/>
      <c r="HYR384" s="252"/>
      <c r="HYS384" s="252"/>
      <c r="HYT384" s="252"/>
      <c r="HYU384" s="252"/>
      <c r="HYV384" s="252"/>
      <c r="HYW384" s="252"/>
      <c r="HYX384" s="252"/>
      <c r="HYY384" s="252"/>
      <c r="HYZ384" s="252"/>
      <c r="HZA384" s="252"/>
      <c r="HZB384" s="252"/>
      <c r="HZC384" s="252"/>
      <c r="HZD384" s="252"/>
      <c r="HZE384" s="252"/>
      <c r="HZF384" s="252"/>
      <c r="HZG384" s="252"/>
      <c r="HZH384" s="252"/>
      <c r="HZI384" s="252"/>
      <c r="HZJ384" s="252"/>
      <c r="HZK384" s="252"/>
      <c r="HZL384" s="252"/>
      <c r="HZM384" s="252"/>
      <c r="HZN384" s="252"/>
      <c r="HZO384" s="252"/>
      <c r="HZP384" s="252"/>
      <c r="HZQ384" s="252"/>
      <c r="HZR384" s="252"/>
      <c r="HZS384" s="252"/>
      <c r="HZT384" s="252"/>
      <c r="HZU384" s="252"/>
      <c r="HZV384" s="252"/>
      <c r="HZW384" s="252"/>
      <c r="HZX384" s="252"/>
      <c r="HZY384" s="252"/>
      <c r="HZZ384" s="252"/>
      <c r="IAA384" s="252"/>
      <c r="IAB384" s="252"/>
      <c r="IAC384" s="252"/>
      <c r="IAD384" s="252"/>
      <c r="IAE384" s="252"/>
      <c r="IAF384" s="252"/>
      <c r="IAG384" s="252"/>
      <c r="IAH384" s="252"/>
      <c r="IAI384" s="252"/>
      <c r="IAJ384" s="252"/>
      <c r="IAK384" s="252"/>
      <c r="IAL384" s="252"/>
      <c r="IAM384" s="252"/>
      <c r="IAN384" s="252"/>
      <c r="IAO384" s="252"/>
      <c r="IAP384" s="252"/>
      <c r="IAQ384" s="252"/>
      <c r="IAR384" s="252"/>
      <c r="IAS384" s="252"/>
      <c r="IAT384" s="252"/>
      <c r="IAU384" s="252"/>
      <c r="IAV384" s="252"/>
      <c r="IAW384" s="252"/>
      <c r="IAX384" s="252"/>
      <c r="IAY384" s="252"/>
      <c r="IAZ384" s="252"/>
      <c r="IBA384" s="252"/>
      <c r="IBB384" s="252"/>
      <c r="IBC384" s="252"/>
      <c r="IBD384" s="252"/>
      <c r="IBE384" s="252"/>
      <c r="IBF384" s="252"/>
      <c r="IBG384" s="252"/>
      <c r="IBH384" s="252"/>
      <c r="IBI384" s="252"/>
      <c r="IBJ384" s="252"/>
      <c r="IBK384" s="252"/>
      <c r="IBL384" s="252"/>
      <c r="IBM384" s="252"/>
      <c r="IBN384" s="252"/>
      <c r="IBO384" s="252"/>
      <c r="IBP384" s="252"/>
      <c r="IBQ384" s="252"/>
      <c r="IBR384" s="252"/>
      <c r="IBS384" s="252"/>
      <c r="IBT384" s="252"/>
      <c r="IBU384" s="252"/>
      <c r="IBV384" s="252"/>
      <c r="IBW384" s="252"/>
      <c r="IBX384" s="252"/>
      <c r="IBY384" s="252"/>
      <c r="IBZ384" s="252"/>
      <c r="ICA384" s="252"/>
      <c r="ICB384" s="252"/>
      <c r="ICC384" s="252"/>
      <c r="ICD384" s="252"/>
      <c r="ICE384" s="252"/>
      <c r="ICF384" s="252"/>
      <c r="ICG384" s="252"/>
      <c r="ICH384" s="252"/>
      <c r="ICI384" s="252"/>
      <c r="ICJ384" s="252"/>
      <c r="ICK384" s="252"/>
      <c r="ICL384" s="252"/>
      <c r="ICM384" s="252"/>
      <c r="ICN384" s="252"/>
      <c r="ICO384" s="252"/>
      <c r="ICP384" s="252"/>
      <c r="ICQ384" s="252"/>
      <c r="ICR384" s="252"/>
      <c r="ICS384" s="252"/>
      <c r="ICT384" s="252"/>
      <c r="ICU384" s="252"/>
      <c r="ICV384" s="252"/>
      <c r="ICW384" s="252"/>
      <c r="ICX384" s="252"/>
      <c r="ICY384" s="252"/>
      <c r="ICZ384" s="252"/>
      <c r="IDA384" s="252"/>
      <c r="IDB384" s="252"/>
      <c r="IDC384" s="252"/>
      <c r="IDD384" s="252"/>
      <c r="IDE384" s="252"/>
      <c r="IDF384" s="252"/>
      <c r="IDG384" s="252"/>
      <c r="IDH384" s="252"/>
      <c r="IDI384" s="252"/>
      <c r="IDJ384" s="252"/>
      <c r="IDK384" s="252"/>
      <c r="IDL384" s="252"/>
      <c r="IDM384" s="252"/>
      <c r="IDN384" s="252"/>
      <c r="IDO384" s="252"/>
      <c r="IDP384" s="252"/>
      <c r="IDQ384" s="252"/>
      <c r="IDR384" s="252"/>
      <c r="IDS384" s="252"/>
      <c r="IDT384" s="252"/>
      <c r="IDU384" s="252"/>
      <c r="IDV384" s="252"/>
      <c r="IDW384" s="252"/>
      <c r="IDX384" s="252"/>
      <c r="IDY384" s="252"/>
      <c r="IDZ384" s="252"/>
      <c r="IEA384" s="252"/>
      <c r="IEB384" s="252"/>
      <c r="IEC384" s="252"/>
      <c r="IED384" s="252"/>
      <c r="IEE384" s="252"/>
      <c r="IEF384" s="252"/>
      <c r="IEG384" s="252"/>
      <c r="IEH384" s="252"/>
      <c r="IEI384" s="252"/>
      <c r="IEJ384" s="252"/>
      <c r="IEK384" s="252"/>
      <c r="IEL384" s="252"/>
      <c r="IEM384" s="252"/>
      <c r="IEN384" s="252"/>
      <c r="IEO384" s="252"/>
      <c r="IEP384" s="252"/>
      <c r="IEQ384" s="252"/>
      <c r="IER384" s="252"/>
      <c r="IES384" s="252"/>
      <c r="IET384" s="252"/>
      <c r="IEU384" s="252"/>
      <c r="IEV384" s="252"/>
      <c r="IEW384" s="252"/>
      <c r="IEX384" s="252"/>
      <c r="IEY384" s="252"/>
      <c r="IEZ384" s="252"/>
      <c r="IFA384" s="252"/>
      <c r="IFB384" s="252"/>
      <c r="IFC384" s="252"/>
      <c r="IFD384" s="252"/>
      <c r="IFE384" s="252"/>
      <c r="IFF384" s="252"/>
      <c r="IFG384" s="252"/>
      <c r="IFH384" s="252"/>
      <c r="IFI384" s="252"/>
      <c r="IFJ384" s="252"/>
      <c r="IFK384" s="252"/>
      <c r="IFL384" s="252"/>
      <c r="IFM384" s="252"/>
      <c r="IFN384" s="252"/>
      <c r="IFO384" s="252"/>
      <c r="IFP384" s="252"/>
      <c r="IFQ384" s="252"/>
      <c r="IFR384" s="252"/>
      <c r="IFS384" s="252"/>
      <c r="IFT384" s="252"/>
      <c r="IFU384" s="252"/>
      <c r="IFV384" s="252"/>
      <c r="IFW384" s="252"/>
      <c r="IFX384" s="252"/>
      <c r="IFY384" s="252"/>
      <c r="IFZ384" s="252"/>
      <c r="IGA384" s="252"/>
      <c r="IGB384" s="252"/>
      <c r="IGC384" s="252"/>
      <c r="IGD384" s="252"/>
      <c r="IGE384" s="252"/>
      <c r="IGF384" s="252"/>
      <c r="IGG384" s="252"/>
      <c r="IGH384" s="252"/>
      <c r="IGI384" s="252"/>
      <c r="IGJ384" s="252"/>
      <c r="IGK384" s="252"/>
      <c r="IGL384" s="252"/>
      <c r="IGM384" s="252"/>
      <c r="IGN384" s="252"/>
      <c r="IGO384" s="252"/>
      <c r="IGP384" s="252"/>
      <c r="IGQ384" s="252"/>
      <c r="IGR384" s="252"/>
      <c r="IGS384" s="252"/>
      <c r="IGT384" s="252"/>
      <c r="IGU384" s="252"/>
      <c r="IGV384" s="252"/>
      <c r="IGW384" s="252"/>
      <c r="IGX384" s="252"/>
      <c r="IGY384" s="252"/>
      <c r="IGZ384" s="252"/>
      <c r="IHA384" s="252"/>
      <c r="IHB384" s="252"/>
      <c r="IHC384" s="252"/>
      <c r="IHD384" s="252"/>
      <c r="IHE384" s="252"/>
      <c r="IHF384" s="252"/>
      <c r="IHG384" s="252"/>
      <c r="IHH384" s="252"/>
      <c r="IHI384" s="252"/>
      <c r="IHJ384" s="252"/>
      <c r="IHK384" s="252"/>
      <c r="IHL384" s="252"/>
      <c r="IHM384" s="252"/>
      <c r="IHN384" s="252"/>
      <c r="IHO384" s="252"/>
      <c r="IHP384" s="252"/>
      <c r="IHQ384" s="252"/>
      <c r="IHR384" s="252"/>
      <c r="IHS384" s="252"/>
      <c r="IHT384" s="252"/>
      <c r="IHU384" s="252"/>
      <c r="IHV384" s="252"/>
      <c r="IHW384" s="252"/>
      <c r="IHX384" s="252"/>
      <c r="IHY384" s="252"/>
      <c r="IHZ384" s="252"/>
      <c r="IIA384" s="252"/>
      <c r="IIB384" s="252"/>
      <c r="IIC384" s="252"/>
      <c r="IID384" s="252"/>
      <c r="IIE384" s="252"/>
      <c r="IIF384" s="252"/>
      <c r="IIG384" s="252"/>
      <c r="IIH384" s="252"/>
      <c r="III384" s="252"/>
      <c r="IIJ384" s="252"/>
      <c r="IIK384" s="252"/>
      <c r="IIL384" s="252"/>
      <c r="IIM384" s="252"/>
      <c r="IIN384" s="252"/>
      <c r="IIO384" s="252"/>
      <c r="IIP384" s="252"/>
      <c r="IIQ384" s="252"/>
      <c r="IIR384" s="252"/>
      <c r="IIS384" s="252"/>
      <c r="IIT384" s="252"/>
      <c r="IIU384" s="252"/>
      <c r="IIV384" s="252"/>
      <c r="IIW384" s="252"/>
      <c r="IIX384" s="252"/>
      <c r="IIY384" s="252"/>
      <c r="IIZ384" s="252"/>
      <c r="IJA384" s="252"/>
      <c r="IJB384" s="252"/>
      <c r="IJC384" s="252"/>
      <c r="IJD384" s="252"/>
      <c r="IJE384" s="252"/>
      <c r="IJF384" s="252"/>
      <c r="IJG384" s="252"/>
      <c r="IJH384" s="252"/>
      <c r="IJI384" s="252"/>
      <c r="IJJ384" s="252"/>
      <c r="IJK384" s="252"/>
      <c r="IJL384" s="252"/>
      <c r="IJM384" s="252"/>
      <c r="IJN384" s="252"/>
      <c r="IJO384" s="252"/>
      <c r="IJP384" s="252"/>
      <c r="IJQ384" s="252"/>
      <c r="IJR384" s="252"/>
      <c r="IJS384" s="252"/>
      <c r="IJT384" s="252"/>
      <c r="IJU384" s="252"/>
      <c r="IJV384" s="252"/>
      <c r="IJW384" s="252"/>
      <c r="IJX384" s="252"/>
      <c r="IJY384" s="252"/>
      <c r="IJZ384" s="252"/>
      <c r="IKA384" s="252"/>
      <c r="IKB384" s="252"/>
      <c r="IKC384" s="252"/>
      <c r="IKD384" s="252"/>
      <c r="IKE384" s="252"/>
      <c r="IKF384" s="252"/>
      <c r="IKG384" s="252"/>
      <c r="IKH384" s="252"/>
      <c r="IKI384" s="252"/>
      <c r="IKJ384" s="252"/>
      <c r="IKK384" s="252"/>
      <c r="IKL384" s="252"/>
      <c r="IKM384" s="252"/>
      <c r="IKN384" s="252"/>
      <c r="IKO384" s="252"/>
      <c r="IKP384" s="252"/>
      <c r="IKQ384" s="252"/>
      <c r="IKR384" s="252"/>
      <c r="IKS384" s="252"/>
      <c r="IKT384" s="252"/>
      <c r="IKU384" s="252"/>
      <c r="IKV384" s="252"/>
      <c r="IKW384" s="252"/>
      <c r="IKX384" s="252"/>
      <c r="IKY384" s="252"/>
      <c r="IKZ384" s="252"/>
      <c r="ILA384" s="252"/>
      <c r="ILB384" s="252"/>
      <c r="ILC384" s="252"/>
      <c r="ILD384" s="252"/>
      <c r="ILE384" s="252"/>
      <c r="ILF384" s="252"/>
      <c r="ILG384" s="252"/>
      <c r="ILH384" s="252"/>
      <c r="ILI384" s="252"/>
      <c r="ILJ384" s="252"/>
      <c r="ILK384" s="252"/>
      <c r="ILL384" s="252"/>
      <c r="ILM384" s="252"/>
      <c r="ILN384" s="252"/>
      <c r="ILO384" s="252"/>
      <c r="ILP384" s="252"/>
      <c r="ILQ384" s="252"/>
      <c r="ILR384" s="252"/>
      <c r="ILS384" s="252"/>
      <c r="ILT384" s="252"/>
      <c r="ILU384" s="252"/>
      <c r="ILV384" s="252"/>
      <c r="ILW384" s="252"/>
      <c r="ILX384" s="252"/>
      <c r="ILY384" s="252"/>
      <c r="ILZ384" s="252"/>
      <c r="IMA384" s="252"/>
      <c r="IMB384" s="252"/>
      <c r="IMC384" s="252"/>
      <c r="IMD384" s="252"/>
      <c r="IME384" s="252"/>
      <c r="IMF384" s="252"/>
      <c r="IMG384" s="252"/>
      <c r="IMH384" s="252"/>
      <c r="IMI384" s="252"/>
      <c r="IMJ384" s="252"/>
      <c r="IMK384" s="252"/>
      <c r="IML384" s="252"/>
      <c r="IMM384" s="252"/>
      <c r="IMN384" s="252"/>
      <c r="IMO384" s="252"/>
      <c r="IMP384" s="252"/>
      <c r="IMQ384" s="252"/>
      <c r="IMR384" s="252"/>
      <c r="IMS384" s="252"/>
      <c r="IMT384" s="252"/>
      <c r="IMU384" s="252"/>
      <c r="IMV384" s="252"/>
      <c r="IMW384" s="252"/>
      <c r="IMX384" s="252"/>
      <c r="IMY384" s="252"/>
      <c r="IMZ384" s="252"/>
      <c r="INA384" s="252"/>
      <c r="INB384" s="252"/>
      <c r="INC384" s="252"/>
      <c r="IND384" s="252"/>
      <c r="INE384" s="252"/>
      <c r="INF384" s="252"/>
      <c r="ING384" s="252"/>
      <c r="INH384" s="252"/>
      <c r="INI384" s="252"/>
      <c r="INJ384" s="252"/>
      <c r="INK384" s="252"/>
      <c r="INL384" s="252"/>
      <c r="INM384" s="252"/>
      <c r="INN384" s="252"/>
      <c r="INO384" s="252"/>
      <c r="INP384" s="252"/>
      <c r="INQ384" s="252"/>
      <c r="INR384" s="252"/>
      <c r="INS384" s="252"/>
      <c r="INT384" s="252"/>
      <c r="INU384" s="252"/>
      <c r="INV384" s="252"/>
      <c r="INW384" s="252"/>
      <c r="INX384" s="252"/>
      <c r="INY384" s="252"/>
      <c r="INZ384" s="252"/>
      <c r="IOA384" s="252"/>
      <c r="IOB384" s="252"/>
      <c r="IOC384" s="252"/>
      <c r="IOD384" s="252"/>
      <c r="IOE384" s="252"/>
      <c r="IOF384" s="252"/>
      <c r="IOG384" s="252"/>
      <c r="IOH384" s="252"/>
      <c r="IOI384" s="252"/>
      <c r="IOJ384" s="252"/>
      <c r="IOK384" s="252"/>
      <c r="IOL384" s="252"/>
      <c r="IOM384" s="252"/>
      <c r="ION384" s="252"/>
      <c r="IOO384" s="252"/>
      <c r="IOP384" s="252"/>
      <c r="IOQ384" s="252"/>
      <c r="IOR384" s="252"/>
      <c r="IOS384" s="252"/>
      <c r="IOT384" s="252"/>
      <c r="IOU384" s="252"/>
      <c r="IOV384" s="252"/>
      <c r="IOW384" s="252"/>
      <c r="IOX384" s="252"/>
      <c r="IOY384" s="252"/>
      <c r="IOZ384" s="252"/>
      <c r="IPA384" s="252"/>
      <c r="IPB384" s="252"/>
      <c r="IPC384" s="252"/>
      <c r="IPD384" s="252"/>
      <c r="IPE384" s="252"/>
      <c r="IPF384" s="252"/>
      <c r="IPG384" s="252"/>
      <c r="IPH384" s="252"/>
      <c r="IPI384" s="252"/>
      <c r="IPJ384" s="252"/>
      <c r="IPK384" s="252"/>
      <c r="IPL384" s="252"/>
      <c r="IPM384" s="252"/>
      <c r="IPN384" s="252"/>
      <c r="IPO384" s="252"/>
      <c r="IPP384" s="252"/>
      <c r="IPQ384" s="252"/>
      <c r="IPR384" s="252"/>
      <c r="IPS384" s="252"/>
      <c r="IPT384" s="252"/>
      <c r="IPU384" s="252"/>
      <c r="IPV384" s="252"/>
      <c r="IPW384" s="252"/>
      <c r="IPX384" s="252"/>
      <c r="IPY384" s="252"/>
      <c r="IPZ384" s="252"/>
      <c r="IQA384" s="252"/>
      <c r="IQB384" s="252"/>
      <c r="IQC384" s="252"/>
      <c r="IQD384" s="252"/>
      <c r="IQE384" s="252"/>
      <c r="IQF384" s="252"/>
      <c r="IQG384" s="252"/>
      <c r="IQH384" s="252"/>
      <c r="IQI384" s="252"/>
      <c r="IQJ384" s="252"/>
      <c r="IQK384" s="252"/>
      <c r="IQL384" s="252"/>
      <c r="IQM384" s="252"/>
      <c r="IQN384" s="252"/>
      <c r="IQO384" s="252"/>
      <c r="IQP384" s="252"/>
      <c r="IQQ384" s="252"/>
      <c r="IQR384" s="252"/>
      <c r="IQS384" s="252"/>
      <c r="IQT384" s="252"/>
      <c r="IQU384" s="252"/>
      <c r="IQV384" s="252"/>
      <c r="IQW384" s="252"/>
      <c r="IQX384" s="252"/>
      <c r="IQY384" s="252"/>
      <c r="IQZ384" s="252"/>
      <c r="IRA384" s="252"/>
      <c r="IRB384" s="252"/>
      <c r="IRC384" s="252"/>
      <c r="IRD384" s="252"/>
      <c r="IRE384" s="252"/>
      <c r="IRF384" s="252"/>
      <c r="IRG384" s="252"/>
      <c r="IRH384" s="252"/>
      <c r="IRI384" s="252"/>
      <c r="IRJ384" s="252"/>
      <c r="IRK384" s="252"/>
      <c r="IRL384" s="252"/>
      <c r="IRM384" s="252"/>
      <c r="IRN384" s="252"/>
      <c r="IRO384" s="252"/>
      <c r="IRP384" s="252"/>
      <c r="IRQ384" s="252"/>
      <c r="IRR384" s="252"/>
      <c r="IRS384" s="252"/>
      <c r="IRT384" s="252"/>
      <c r="IRU384" s="252"/>
      <c r="IRV384" s="252"/>
      <c r="IRW384" s="252"/>
      <c r="IRX384" s="252"/>
      <c r="IRY384" s="252"/>
      <c r="IRZ384" s="252"/>
      <c r="ISA384" s="252"/>
      <c r="ISB384" s="252"/>
      <c r="ISC384" s="252"/>
      <c r="ISD384" s="252"/>
      <c r="ISE384" s="252"/>
      <c r="ISF384" s="252"/>
      <c r="ISG384" s="252"/>
      <c r="ISH384" s="252"/>
      <c r="ISI384" s="252"/>
      <c r="ISJ384" s="252"/>
      <c r="ISK384" s="252"/>
      <c r="ISL384" s="252"/>
      <c r="ISM384" s="252"/>
      <c r="ISN384" s="252"/>
      <c r="ISO384" s="252"/>
      <c r="ISP384" s="252"/>
      <c r="ISQ384" s="252"/>
      <c r="ISR384" s="252"/>
      <c r="ISS384" s="252"/>
      <c r="IST384" s="252"/>
      <c r="ISU384" s="252"/>
      <c r="ISV384" s="252"/>
      <c r="ISW384" s="252"/>
      <c r="ISX384" s="252"/>
      <c r="ISY384" s="252"/>
      <c r="ISZ384" s="252"/>
      <c r="ITA384" s="252"/>
      <c r="ITB384" s="252"/>
      <c r="ITC384" s="252"/>
      <c r="ITD384" s="252"/>
      <c r="ITE384" s="252"/>
      <c r="ITF384" s="252"/>
      <c r="ITG384" s="252"/>
      <c r="ITH384" s="252"/>
      <c r="ITI384" s="252"/>
      <c r="ITJ384" s="252"/>
      <c r="ITK384" s="252"/>
      <c r="ITL384" s="252"/>
      <c r="ITM384" s="252"/>
      <c r="ITN384" s="252"/>
      <c r="ITO384" s="252"/>
      <c r="ITP384" s="252"/>
      <c r="ITQ384" s="252"/>
      <c r="ITR384" s="252"/>
      <c r="ITS384" s="252"/>
      <c r="ITT384" s="252"/>
      <c r="ITU384" s="252"/>
      <c r="ITV384" s="252"/>
      <c r="ITW384" s="252"/>
      <c r="ITX384" s="252"/>
      <c r="ITY384" s="252"/>
      <c r="ITZ384" s="252"/>
      <c r="IUA384" s="252"/>
      <c r="IUB384" s="252"/>
      <c r="IUC384" s="252"/>
      <c r="IUD384" s="252"/>
      <c r="IUE384" s="252"/>
      <c r="IUF384" s="252"/>
      <c r="IUG384" s="252"/>
      <c r="IUH384" s="252"/>
      <c r="IUI384" s="252"/>
      <c r="IUJ384" s="252"/>
      <c r="IUK384" s="252"/>
      <c r="IUL384" s="252"/>
      <c r="IUM384" s="252"/>
      <c r="IUN384" s="252"/>
      <c r="IUO384" s="252"/>
      <c r="IUP384" s="252"/>
      <c r="IUQ384" s="252"/>
      <c r="IUR384" s="252"/>
      <c r="IUS384" s="252"/>
      <c r="IUT384" s="252"/>
      <c r="IUU384" s="252"/>
      <c r="IUV384" s="252"/>
      <c r="IUW384" s="252"/>
      <c r="IUX384" s="252"/>
      <c r="IUY384" s="252"/>
      <c r="IUZ384" s="252"/>
      <c r="IVA384" s="252"/>
      <c r="IVB384" s="252"/>
      <c r="IVC384" s="252"/>
      <c r="IVD384" s="252"/>
      <c r="IVE384" s="252"/>
      <c r="IVF384" s="252"/>
      <c r="IVG384" s="252"/>
      <c r="IVH384" s="252"/>
      <c r="IVI384" s="252"/>
      <c r="IVJ384" s="252"/>
      <c r="IVK384" s="252"/>
      <c r="IVL384" s="252"/>
      <c r="IVM384" s="252"/>
      <c r="IVN384" s="252"/>
      <c r="IVO384" s="252"/>
      <c r="IVP384" s="252"/>
      <c r="IVQ384" s="252"/>
      <c r="IVR384" s="252"/>
      <c r="IVS384" s="252"/>
      <c r="IVT384" s="252"/>
      <c r="IVU384" s="252"/>
      <c r="IVV384" s="252"/>
      <c r="IVW384" s="252"/>
      <c r="IVX384" s="252"/>
      <c r="IVY384" s="252"/>
      <c r="IVZ384" s="252"/>
      <c r="IWA384" s="252"/>
      <c r="IWB384" s="252"/>
      <c r="IWC384" s="252"/>
      <c r="IWD384" s="252"/>
      <c r="IWE384" s="252"/>
      <c r="IWF384" s="252"/>
      <c r="IWG384" s="252"/>
      <c r="IWH384" s="252"/>
      <c r="IWI384" s="252"/>
      <c r="IWJ384" s="252"/>
      <c r="IWK384" s="252"/>
      <c r="IWL384" s="252"/>
      <c r="IWM384" s="252"/>
      <c r="IWN384" s="252"/>
      <c r="IWO384" s="252"/>
      <c r="IWP384" s="252"/>
      <c r="IWQ384" s="252"/>
      <c r="IWR384" s="252"/>
      <c r="IWS384" s="252"/>
      <c r="IWT384" s="252"/>
      <c r="IWU384" s="252"/>
      <c r="IWV384" s="252"/>
      <c r="IWW384" s="252"/>
      <c r="IWX384" s="252"/>
      <c r="IWY384" s="252"/>
      <c r="IWZ384" s="252"/>
      <c r="IXA384" s="252"/>
      <c r="IXB384" s="252"/>
      <c r="IXC384" s="252"/>
      <c r="IXD384" s="252"/>
      <c r="IXE384" s="252"/>
      <c r="IXF384" s="252"/>
      <c r="IXG384" s="252"/>
      <c r="IXH384" s="252"/>
      <c r="IXI384" s="252"/>
      <c r="IXJ384" s="252"/>
      <c r="IXK384" s="252"/>
      <c r="IXL384" s="252"/>
      <c r="IXM384" s="252"/>
      <c r="IXN384" s="252"/>
      <c r="IXO384" s="252"/>
      <c r="IXP384" s="252"/>
      <c r="IXQ384" s="252"/>
      <c r="IXR384" s="252"/>
      <c r="IXS384" s="252"/>
      <c r="IXT384" s="252"/>
      <c r="IXU384" s="252"/>
      <c r="IXV384" s="252"/>
      <c r="IXW384" s="252"/>
      <c r="IXX384" s="252"/>
      <c r="IXY384" s="252"/>
      <c r="IXZ384" s="252"/>
      <c r="IYA384" s="252"/>
      <c r="IYB384" s="252"/>
      <c r="IYC384" s="252"/>
      <c r="IYD384" s="252"/>
      <c r="IYE384" s="252"/>
      <c r="IYF384" s="252"/>
      <c r="IYG384" s="252"/>
      <c r="IYH384" s="252"/>
      <c r="IYI384" s="252"/>
      <c r="IYJ384" s="252"/>
      <c r="IYK384" s="252"/>
      <c r="IYL384" s="252"/>
      <c r="IYM384" s="252"/>
      <c r="IYN384" s="252"/>
      <c r="IYO384" s="252"/>
      <c r="IYP384" s="252"/>
      <c r="IYQ384" s="252"/>
      <c r="IYR384" s="252"/>
      <c r="IYS384" s="252"/>
      <c r="IYT384" s="252"/>
      <c r="IYU384" s="252"/>
      <c r="IYV384" s="252"/>
      <c r="IYW384" s="252"/>
      <c r="IYX384" s="252"/>
      <c r="IYY384" s="252"/>
      <c r="IYZ384" s="252"/>
      <c r="IZA384" s="252"/>
      <c r="IZB384" s="252"/>
      <c r="IZC384" s="252"/>
      <c r="IZD384" s="252"/>
      <c r="IZE384" s="252"/>
      <c r="IZF384" s="252"/>
      <c r="IZG384" s="252"/>
      <c r="IZH384" s="252"/>
      <c r="IZI384" s="252"/>
      <c r="IZJ384" s="252"/>
      <c r="IZK384" s="252"/>
      <c r="IZL384" s="252"/>
      <c r="IZM384" s="252"/>
      <c r="IZN384" s="252"/>
      <c r="IZO384" s="252"/>
      <c r="IZP384" s="252"/>
      <c r="IZQ384" s="252"/>
      <c r="IZR384" s="252"/>
      <c r="IZS384" s="252"/>
      <c r="IZT384" s="252"/>
      <c r="IZU384" s="252"/>
      <c r="IZV384" s="252"/>
      <c r="IZW384" s="252"/>
      <c r="IZX384" s="252"/>
      <c r="IZY384" s="252"/>
      <c r="IZZ384" s="252"/>
      <c r="JAA384" s="252"/>
      <c r="JAB384" s="252"/>
      <c r="JAC384" s="252"/>
      <c r="JAD384" s="252"/>
      <c r="JAE384" s="252"/>
      <c r="JAF384" s="252"/>
      <c r="JAG384" s="252"/>
      <c r="JAH384" s="252"/>
      <c r="JAI384" s="252"/>
      <c r="JAJ384" s="252"/>
      <c r="JAK384" s="252"/>
      <c r="JAL384" s="252"/>
      <c r="JAM384" s="252"/>
      <c r="JAN384" s="252"/>
      <c r="JAO384" s="252"/>
      <c r="JAP384" s="252"/>
      <c r="JAQ384" s="252"/>
      <c r="JAR384" s="252"/>
      <c r="JAS384" s="252"/>
      <c r="JAT384" s="252"/>
      <c r="JAU384" s="252"/>
      <c r="JAV384" s="252"/>
      <c r="JAW384" s="252"/>
      <c r="JAX384" s="252"/>
      <c r="JAY384" s="252"/>
      <c r="JAZ384" s="252"/>
      <c r="JBA384" s="252"/>
      <c r="JBB384" s="252"/>
      <c r="JBC384" s="252"/>
      <c r="JBD384" s="252"/>
      <c r="JBE384" s="252"/>
      <c r="JBF384" s="252"/>
      <c r="JBG384" s="252"/>
      <c r="JBH384" s="252"/>
      <c r="JBI384" s="252"/>
      <c r="JBJ384" s="252"/>
      <c r="JBK384" s="252"/>
      <c r="JBL384" s="252"/>
      <c r="JBM384" s="252"/>
      <c r="JBN384" s="252"/>
      <c r="JBO384" s="252"/>
      <c r="JBP384" s="252"/>
      <c r="JBQ384" s="252"/>
      <c r="JBR384" s="252"/>
      <c r="JBS384" s="252"/>
      <c r="JBT384" s="252"/>
      <c r="JBU384" s="252"/>
      <c r="JBV384" s="252"/>
      <c r="JBW384" s="252"/>
      <c r="JBX384" s="252"/>
      <c r="JBY384" s="252"/>
      <c r="JBZ384" s="252"/>
      <c r="JCA384" s="252"/>
      <c r="JCB384" s="252"/>
      <c r="JCC384" s="252"/>
      <c r="JCD384" s="252"/>
      <c r="JCE384" s="252"/>
      <c r="JCF384" s="252"/>
      <c r="JCG384" s="252"/>
      <c r="JCH384" s="252"/>
      <c r="JCI384" s="252"/>
      <c r="JCJ384" s="252"/>
      <c r="JCK384" s="252"/>
      <c r="JCL384" s="252"/>
      <c r="JCM384" s="252"/>
      <c r="JCN384" s="252"/>
      <c r="JCO384" s="252"/>
      <c r="JCP384" s="252"/>
      <c r="JCQ384" s="252"/>
      <c r="JCR384" s="252"/>
      <c r="JCS384" s="252"/>
      <c r="JCT384" s="252"/>
      <c r="JCU384" s="252"/>
      <c r="JCV384" s="252"/>
      <c r="JCW384" s="252"/>
      <c r="JCX384" s="252"/>
      <c r="JCY384" s="252"/>
      <c r="JCZ384" s="252"/>
      <c r="JDA384" s="252"/>
      <c r="JDB384" s="252"/>
      <c r="JDC384" s="252"/>
      <c r="JDD384" s="252"/>
      <c r="JDE384" s="252"/>
      <c r="JDF384" s="252"/>
      <c r="JDG384" s="252"/>
      <c r="JDH384" s="252"/>
      <c r="JDI384" s="252"/>
      <c r="JDJ384" s="252"/>
      <c r="JDK384" s="252"/>
      <c r="JDL384" s="252"/>
      <c r="JDM384" s="252"/>
      <c r="JDN384" s="252"/>
      <c r="JDO384" s="252"/>
      <c r="JDP384" s="252"/>
      <c r="JDQ384" s="252"/>
      <c r="JDR384" s="252"/>
      <c r="JDS384" s="252"/>
      <c r="JDT384" s="252"/>
      <c r="JDU384" s="252"/>
      <c r="JDV384" s="252"/>
      <c r="JDW384" s="252"/>
      <c r="JDX384" s="252"/>
      <c r="JDY384" s="252"/>
      <c r="JDZ384" s="252"/>
      <c r="JEA384" s="252"/>
      <c r="JEB384" s="252"/>
      <c r="JEC384" s="252"/>
      <c r="JED384" s="252"/>
      <c r="JEE384" s="252"/>
      <c r="JEF384" s="252"/>
      <c r="JEG384" s="252"/>
      <c r="JEH384" s="252"/>
      <c r="JEI384" s="252"/>
      <c r="JEJ384" s="252"/>
      <c r="JEK384" s="252"/>
      <c r="JEL384" s="252"/>
      <c r="JEM384" s="252"/>
      <c r="JEN384" s="252"/>
      <c r="JEO384" s="252"/>
      <c r="JEP384" s="252"/>
      <c r="JEQ384" s="252"/>
      <c r="JER384" s="252"/>
      <c r="JES384" s="252"/>
      <c r="JET384" s="252"/>
      <c r="JEU384" s="252"/>
      <c r="JEV384" s="252"/>
      <c r="JEW384" s="252"/>
      <c r="JEX384" s="252"/>
      <c r="JEY384" s="252"/>
      <c r="JEZ384" s="252"/>
      <c r="JFA384" s="252"/>
      <c r="JFB384" s="252"/>
      <c r="JFC384" s="252"/>
      <c r="JFD384" s="252"/>
      <c r="JFE384" s="252"/>
      <c r="JFF384" s="252"/>
      <c r="JFG384" s="252"/>
      <c r="JFH384" s="252"/>
      <c r="JFI384" s="252"/>
      <c r="JFJ384" s="252"/>
      <c r="JFK384" s="252"/>
      <c r="JFL384" s="252"/>
      <c r="JFM384" s="252"/>
      <c r="JFN384" s="252"/>
      <c r="JFO384" s="252"/>
      <c r="JFP384" s="252"/>
      <c r="JFQ384" s="252"/>
      <c r="JFR384" s="252"/>
      <c r="JFS384" s="252"/>
      <c r="JFT384" s="252"/>
      <c r="JFU384" s="252"/>
      <c r="JFV384" s="252"/>
      <c r="JFW384" s="252"/>
      <c r="JFX384" s="252"/>
      <c r="JFY384" s="252"/>
      <c r="JFZ384" s="252"/>
      <c r="JGA384" s="252"/>
      <c r="JGB384" s="252"/>
      <c r="JGC384" s="252"/>
      <c r="JGD384" s="252"/>
      <c r="JGE384" s="252"/>
      <c r="JGF384" s="252"/>
      <c r="JGG384" s="252"/>
      <c r="JGH384" s="252"/>
      <c r="JGI384" s="252"/>
      <c r="JGJ384" s="252"/>
      <c r="JGK384" s="252"/>
      <c r="JGL384" s="252"/>
      <c r="JGM384" s="252"/>
      <c r="JGN384" s="252"/>
      <c r="JGO384" s="252"/>
      <c r="JGP384" s="252"/>
      <c r="JGQ384" s="252"/>
      <c r="JGR384" s="252"/>
      <c r="JGS384" s="252"/>
      <c r="JGT384" s="252"/>
      <c r="JGU384" s="252"/>
      <c r="JGV384" s="252"/>
      <c r="JGW384" s="252"/>
      <c r="JGX384" s="252"/>
      <c r="JGY384" s="252"/>
      <c r="JGZ384" s="252"/>
      <c r="JHA384" s="252"/>
      <c r="JHB384" s="252"/>
      <c r="JHC384" s="252"/>
      <c r="JHD384" s="252"/>
      <c r="JHE384" s="252"/>
      <c r="JHF384" s="252"/>
      <c r="JHG384" s="252"/>
      <c r="JHH384" s="252"/>
      <c r="JHI384" s="252"/>
      <c r="JHJ384" s="252"/>
      <c r="JHK384" s="252"/>
      <c r="JHL384" s="252"/>
      <c r="JHM384" s="252"/>
      <c r="JHN384" s="252"/>
      <c r="JHO384" s="252"/>
      <c r="JHP384" s="252"/>
      <c r="JHQ384" s="252"/>
      <c r="JHR384" s="252"/>
      <c r="JHS384" s="252"/>
      <c r="JHT384" s="252"/>
      <c r="JHU384" s="252"/>
      <c r="JHV384" s="252"/>
      <c r="JHW384" s="252"/>
      <c r="JHX384" s="252"/>
      <c r="JHY384" s="252"/>
      <c r="JHZ384" s="252"/>
      <c r="JIA384" s="252"/>
      <c r="JIB384" s="252"/>
      <c r="JIC384" s="252"/>
      <c r="JID384" s="252"/>
      <c r="JIE384" s="252"/>
      <c r="JIF384" s="252"/>
      <c r="JIG384" s="252"/>
      <c r="JIH384" s="252"/>
      <c r="JII384" s="252"/>
      <c r="JIJ384" s="252"/>
      <c r="JIK384" s="252"/>
      <c r="JIL384" s="252"/>
      <c r="JIM384" s="252"/>
      <c r="JIN384" s="252"/>
      <c r="JIO384" s="252"/>
      <c r="JIP384" s="252"/>
      <c r="JIQ384" s="252"/>
      <c r="JIR384" s="252"/>
      <c r="JIS384" s="252"/>
      <c r="JIT384" s="252"/>
      <c r="JIU384" s="252"/>
      <c r="JIV384" s="252"/>
      <c r="JIW384" s="252"/>
      <c r="JIX384" s="252"/>
      <c r="JIY384" s="252"/>
      <c r="JIZ384" s="252"/>
      <c r="JJA384" s="252"/>
      <c r="JJB384" s="252"/>
      <c r="JJC384" s="252"/>
      <c r="JJD384" s="252"/>
      <c r="JJE384" s="252"/>
      <c r="JJF384" s="252"/>
      <c r="JJG384" s="252"/>
      <c r="JJH384" s="252"/>
      <c r="JJI384" s="252"/>
      <c r="JJJ384" s="252"/>
      <c r="JJK384" s="252"/>
      <c r="JJL384" s="252"/>
      <c r="JJM384" s="252"/>
      <c r="JJN384" s="252"/>
      <c r="JJO384" s="252"/>
      <c r="JJP384" s="252"/>
      <c r="JJQ384" s="252"/>
      <c r="JJR384" s="252"/>
      <c r="JJS384" s="252"/>
      <c r="JJT384" s="252"/>
      <c r="JJU384" s="252"/>
      <c r="JJV384" s="252"/>
      <c r="JJW384" s="252"/>
      <c r="JJX384" s="252"/>
      <c r="JJY384" s="252"/>
      <c r="JJZ384" s="252"/>
      <c r="JKA384" s="252"/>
      <c r="JKB384" s="252"/>
      <c r="JKC384" s="252"/>
      <c r="JKD384" s="252"/>
      <c r="JKE384" s="252"/>
      <c r="JKF384" s="252"/>
      <c r="JKG384" s="252"/>
      <c r="JKH384" s="252"/>
      <c r="JKI384" s="252"/>
      <c r="JKJ384" s="252"/>
      <c r="JKK384" s="252"/>
      <c r="JKL384" s="252"/>
      <c r="JKM384" s="252"/>
      <c r="JKN384" s="252"/>
      <c r="JKO384" s="252"/>
      <c r="JKP384" s="252"/>
      <c r="JKQ384" s="252"/>
      <c r="JKR384" s="252"/>
      <c r="JKS384" s="252"/>
      <c r="JKT384" s="252"/>
      <c r="JKU384" s="252"/>
      <c r="JKV384" s="252"/>
      <c r="JKW384" s="252"/>
      <c r="JKX384" s="252"/>
      <c r="JKY384" s="252"/>
      <c r="JKZ384" s="252"/>
      <c r="JLA384" s="252"/>
      <c r="JLB384" s="252"/>
      <c r="JLC384" s="252"/>
      <c r="JLD384" s="252"/>
      <c r="JLE384" s="252"/>
      <c r="JLF384" s="252"/>
      <c r="JLG384" s="252"/>
      <c r="JLH384" s="252"/>
      <c r="JLI384" s="252"/>
      <c r="JLJ384" s="252"/>
      <c r="JLK384" s="252"/>
      <c r="JLL384" s="252"/>
      <c r="JLM384" s="252"/>
      <c r="JLN384" s="252"/>
      <c r="JLO384" s="252"/>
      <c r="JLP384" s="252"/>
      <c r="JLQ384" s="252"/>
      <c r="JLR384" s="252"/>
      <c r="JLS384" s="252"/>
      <c r="JLT384" s="252"/>
      <c r="JLU384" s="252"/>
      <c r="JLV384" s="252"/>
      <c r="JLW384" s="252"/>
      <c r="JLX384" s="252"/>
      <c r="JLY384" s="252"/>
      <c r="JLZ384" s="252"/>
      <c r="JMA384" s="252"/>
      <c r="JMB384" s="252"/>
      <c r="JMC384" s="252"/>
      <c r="JMD384" s="252"/>
      <c r="JME384" s="252"/>
      <c r="JMF384" s="252"/>
      <c r="JMG384" s="252"/>
      <c r="JMH384" s="252"/>
      <c r="JMI384" s="252"/>
      <c r="JMJ384" s="252"/>
      <c r="JMK384" s="252"/>
      <c r="JML384" s="252"/>
      <c r="JMM384" s="252"/>
      <c r="JMN384" s="252"/>
      <c r="JMO384" s="252"/>
      <c r="JMP384" s="252"/>
      <c r="JMQ384" s="252"/>
      <c r="JMR384" s="252"/>
      <c r="JMS384" s="252"/>
      <c r="JMT384" s="252"/>
      <c r="JMU384" s="252"/>
      <c r="JMV384" s="252"/>
      <c r="JMW384" s="252"/>
      <c r="JMX384" s="252"/>
      <c r="JMY384" s="252"/>
      <c r="JMZ384" s="252"/>
      <c r="JNA384" s="252"/>
      <c r="JNB384" s="252"/>
      <c r="JNC384" s="252"/>
      <c r="JND384" s="252"/>
      <c r="JNE384" s="252"/>
      <c r="JNF384" s="252"/>
      <c r="JNG384" s="252"/>
      <c r="JNH384" s="252"/>
      <c r="JNI384" s="252"/>
      <c r="JNJ384" s="252"/>
      <c r="JNK384" s="252"/>
      <c r="JNL384" s="252"/>
      <c r="JNM384" s="252"/>
      <c r="JNN384" s="252"/>
      <c r="JNO384" s="252"/>
      <c r="JNP384" s="252"/>
      <c r="JNQ384" s="252"/>
      <c r="JNR384" s="252"/>
      <c r="JNS384" s="252"/>
      <c r="JNT384" s="252"/>
      <c r="JNU384" s="252"/>
      <c r="JNV384" s="252"/>
      <c r="JNW384" s="252"/>
      <c r="JNX384" s="252"/>
      <c r="JNY384" s="252"/>
      <c r="JNZ384" s="252"/>
      <c r="JOA384" s="252"/>
      <c r="JOB384" s="252"/>
      <c r="JOC384" s="252"/>
      <c r="JOD384" s="252"/>
      <c r="JOE384" s="252"/>
      <c r="JOF384" s="252"/>
      <c r="JOG384" s="252"/>
      <c r="JOH384" s="252"/>
      <c r="JOI384" s="252"/>
      <c r="JOJ384" s="252"/>
      <c r="JOK384" s="252"/>
      <c r="JOL384" s="252"/>
      <c r="JOM384" s="252"/>
      <c r="JON384" s="252"/>
      <c r="JOO384" s="252"/>
      <c r="JOP384" s="252"/>
      <c r="JOQ384" s="252"/>
      <c r="JOR384" s="252"/>
      <c r="JOS384" s="252"/>
      <c r="JOT384" s="252"/>
      <c r="JOU384" s="252"/>
      <c r="JOV384" s="252"/>
      <c r="JOW384" s="252"/>
      <c r="JOX384" s="252"/>
      <c r="JOY384" s="252"/>
      <c r="JOZ384" s="252"/>
      <c r="JPA384" s="252"/>
      <c r="JPB384" s="252"/>
      <c r="JPC384" s="252"/>
      <c r="JPD384" s="252"/>
      <c r="JPE384" s="252"/>
      <c r="JPF384" s="252"/>
      <c r="JPG384" s="252"/>
      <c r="JPH384" s="252"/>
      <c r="JPI384" s="252"/>
      <c r="JPJ384" s="252"/>
      <c r="JPK384" s="252"/>
      <c r="JPL384" s="252"/>
      <c r="JPM384" s="252"/>
      <c r="JPN384" s="252"/>
      <c r="JPO384" s="252"/>
      <c r="JPP384" s="252"/>
      <c r="JPQ384" s="252"/>
      <c r="JPR384" s="252"/>
      <c r="JPS384" s="252"/>
      <c r="JPT384" s="252"/>
      <c r="JPU384" s="252"/>
      <c r="JPV384" s="252"/>
      <c r="JPW384" s="252"/>
      <c r="JPX384" s="252"/>
      <c r="JPY384" s="252"/>
      <c r="JPZ384" s="252"/>
      <c r="JQA384" s="252"/>
      <c r="JQB384" s="252"/>
      <c r="JQC384" s="252"/>
      <c r="JQD384" s="252"/>
      <c r="JQE384" s="252"/>
      <c r="JQF384" s="252"/>
      <c r="JQG384" s="252"/>
      <c r="JQH384" s="252"/>
      <c r="JQI384" s="252"/>
      <c r="JQJ384" s="252"/>
      <c r="JQK384" s="252"/>
      <c r="JQL384" s="252"/>
      <c r="JQM384" s="252"/>
      <c r="JQN384" s="252"/>
      <c r="JQO384" s="252"/>
      <c r="JQP384" s="252"/>
      <c r="JQQ384" s="252"/>
      <c r="JQR384" s="252"/>
      <c r="JQS384" s="252"/>
      <c r="JQT384" s="252"/>
      <c r="JQU384" s="252"/>
      <c r="JQV384" s="252"/>
      <c r="JQW384" s="252"/>
      <c r="JQX384" s="252"/>
      <c r="JQY384" s="252"/>
      <c r="JQZ384" s="252"/>
      <c r="JRA384" s="252"/>
      <c r="JRB384" s="252"/>
      <c r="JRC384" s="252"/>
      <c r="JRD384" s="252"/>
      <c r="JRE384" s="252"/>
      <c r="JRF384" s="252"/>
      <c r="JRG384" s="252"/>
      <c r="JRH384" s="252"/>
      <c r="JRI384" s="252"/>
      <c r="JRJ384" s="252"/>
      <c r="JRK384" s="252"/>
      <c r="JRL384" s="252"/>
      <c r="JRM384" s="252"/>
      <c r="JRN384" s="252"/>
      <c r="JRO384" s="252"/>
      <c r="JRP384" s="252"/>
      <c r="JRQ384" s="252"/>
      <c r="JRR384" s="252"/>
      <c r="JRS384" s="252"/>
      <c r="JRT384" s="252"/>
      <c r="JRU384" s="252"/>
      <c r="JRV384" s="252"/>
      <c r="JRW384" s="252"/>
      <c r="JRX384" s="252"/>
      <c r="JRY384" s="252"/>
      <c r="JRZ384" s="252"/>
      <c r="JSA384" s="252"/>
      <c r="JSB384" s="252"/>
      <c r="JSC384" s="252"/>
      <c r="JSD384" s="252"/>
      <c r="JSE384" s="252"/>
      <c r="JSF384" s="252"/>
      <c r="JSG384" s="252"/>
      <c r="JSH384" s="252"/>
      <c r="JSI384" s="252"/>
      <c r="JSJ384" s="252"/>
      <c r="JSK384" s="252"/>
      <c r="JSL384" s="252"/>
      <c r="JSM384" s="252"/>
      <c r="JSN384" s="252"/>
      <c r="JSO384" s="252"/>
      <c r="JSP384" s="252"/>
      <c r="JSQ384" s="252"/>
      <c r="JSR384" s="252"/>
      <c r="JSS384" s="252"/>
      <c r="JST384" s="252"/>
      <c r="JSU384" s="252"/>
      <c r="JSV384" s="252"/>
      <c r="JSW384" s="252"/>
      <c r="JSX384" s="252"/>
      <c r="JSY384" s="252"/>
      <c r="JSZ384" s="252"/>
      <c r="JTA384" s="252"/>
      <c r="JTB384" s="252"/>
      <c r="JTC384" s="252"/>
      <c r="JTD384" s="252"/>
      <c r="JTE384" s="252"/>
      <c r="JTF384" s="252"/>
      <c r="JTG384" s="252"/>
      <c r="JTH384" s="252"/>
      <c r="JTI384" s="252"/>
      <c r="JTJ384" s="252"/>
      <c r="JTK384" s="252"/>
      <c r="JTL384" s="252"/>
      <c r="JTM384" s="252"/>
      <c r="JTN384" s="252"/>
      <c r="JTO384" s="252"/>
      <c r="JTP384" s="252"/>
      <c r="JTQ384" s="252"/>
      <c r="JTR384" s="252"/>
      <c r="JTS384" s="252"/>
      <c r="JTT384" s="252"/>
      <c r="JTU384" s="252"/>
      <c r="JTV384" s="252"/>
      <c r="JTW384" s="252"/>
      <c r="JTX384" s="252"/>
      <c r="JTY384" s="252"/>
      <c r="JTZ384" s="252"/>
      <c r="JUA384" s="252"/>
      <c r="JUB384" s="252"/>
      <c r="JUC384" s="252"/>
      <c r="JUD384" s="252"/>
      <c r="JUE384" s="252"/>
      <c r="JUF384" s="252"/>
      <c r="JUG384" s="252"/>
      <c r="JUH384" s="252"/>
      <c r="JUI384" s="252"/>
      <c r="JUJ384" s="252"/>
      <c r="JUK384" s="252"/>
      <c r="JUL384" s="252"/>
      <c r="JUM384" s="252"/>
      <c r="JUN384" s="252"/>
      <c r="JUO384" s="252"/>
      <c r="JUP384" s="252"/>
      <c r="JUQ384" s="252"/>
      <c r="JUR384" s="252"/>
      <c r="JUS384" s="252"/>
      <c r="JUT384" s="252"/>
      <c r="JUU384" s="252"/>
      <c r="JUV384" s="252"/>
      <c r="JUW384" s="252"/>
      <c r="JUX384" s="252"/>
      <c r="JUY384" s="252"/>
      <c r="JUZ384" s="252"/>
      <c r="JVA384" s="252"/>
      <c r="JVB384" s="252"/>
      <c r="JVC384" s="252"/>
      <c r="JVD384" s="252"/>
      <c r="JVE384" s="252"/>
      <c r="JVF384" s="252"/>
      <c r="JVG384" s="252"/>
      <c r="JVH384" s="252"/>
      <c r="JVI384" s="252"/>
      <c r="JVJ384" s="252"/>
      <c r="JVK384" s="252"/>
      <c r="JVL384" s="252"/>
      <c r="JVM384" s="252"/>
      <c r="JVN384" s="252"/>
      <c r="JVO384" s="252"/>
      <c r="JVP384" s="252"/>
      <c r="JVQ384" s="252"/>
      <c r="JVR384" s="252"/>
      <c r="JVS384" s="252"/>
      <c r="JVT384" s="252"/>
      <c r="JVU384" s="252"/>
      <c r="JVV384" s="252"/>
      <c r="JVW384" s="252"/>
      <c r="JVX384" s="252"/>
      <c r="JVY384" s="252"/>
      <c r="JVZ384" s="252"/>
      <c r="JWA384" s="252"/>
      <c r="JWB384" s="252"/>
      <c r="JWC384" s="252"/>
      <c r="JWD384" s="252"/>
      <c r="JWE384" s="252"/>
      <c r="JWF384" s="252"/>
      <c r="JWG384" s="252"/>
      <c r="JWH384" s="252"/>
      <c r="JWI384" s="252"/>
      <c r="JWJ384" s="252"/>
      <c r="JWK384" s="252"/>
      <c r="JWL384" s="252"/>
      <c r="JWM384" s="252"/>
      <c r="JWN384" s="252"/>
      <c r="JWO384" s="252"/>
      <c r="JWP384" s="252"/>
      <c r="JWQ384" s="252"/>
      <c r="JWR384" s="252"/>
      <c r="JWS384" s="252"/>
      <c r="JWT384" s="252"/>
      <c r="JWU384" s="252"/>
      <c r="JWV384" s="252"/>
      <c r="JWW384" s="252"/>
      <c r="JWX384" s="252"/>
      <c r="JWY384" s="252"/>
      <c r="JWZ384" s="252"/>
      <c r="JXA384" s="252"/>
      <c r="JXB384" s="252"/>
      <c r="JXC384" s="252"/>
      <c r="JXD384" s="252"/>
      <c r="JXE384" s="252"/>
      <c r="JXF384" s="252"/>
      <c r="JXG384" s="252"/>
      <c r="JXH384" s="252"/>
      <c r="JXI384" s="252"/>
      <c r="JXJ384" s="252"/>
      <c r="JXK384" s="252"/>
      <c r="JXL384" s="252"/>
      <c r="JXM384" s="252"/>
      <c r="JXN384" s="252"/>
      <c r="JXO384" s="252"/>
      <c r="JXP384" s="252"/>
      <c r="JXQ384" s="252"/>
      <c r="JXR384" s="252"/>
      <c r="JXS384" s="252"/>
      <c r="JXT384" s="252"/>
      <c r="JXU384" s="252"/>
      <c r="JXV384" s="252"/>
      <c r="JXW384" s="252"/>
      <c r="JXX384" s="252"/>
      <c r="JXY384" s="252"/>
      <c r="JXZ384" s="252"/>
      <c r="JYA384" s="252"/>
      <c r="JYB384" s="252"/>
      <c r="JYC384" s="252"/>
      <c r="JYD384" s="252"/>
      <c r="JYE384" s="252"/>
      <c r="JYF384" s="252"/>
      <c r="JYG384" s="252"/>
      <c r="JYH384" s="252"/>
      <c r="JYI384" s="252"/>
      <c r="JYJ384" s="252"/>
      <c r="JYK384" s="252"/>
      <c r="JYL384" s="252"/>
      <c r="JYM384" s="252"/>
      <c r="JYN384" s="252"/>
      <c r="JYO384" s="252"/>
      <c r="JYP384" s="252"/>
      <c r="JYQ384" s="252"/>
      <c r="JYR384" s="252"/>
      <c r="JYS384" s="252"/>
      <c r="JYT384" s="252"/>
      <c r="JYU384" s="252"/>
      <c r="JYV384" s="252"/>
      <c r="JYW384" s="252"/>
      <c r="JYX384" s="252"/>
      <c r="JYY384" s="252"/>
      <c r="JYZ384" s="252"/>
      <c r="JZA384" s="252"/>
      <c r="JZB384" s="252"/>
      <c r="JZC384" s="252"/>
      <c r="JZD384" s="252"/>
      <c r="JZE384" s="252"/>
      <c r="JZF384" s="252"/>
      <c r="JZG384" s="252"/>
      <c r="JZH384" s="252"/>
      <c r="JZI384" s="252"/>
      <c r="JZJ384" s="252"/>
      <c r="JZK384" s="252"/>
      <c r="JZL384" s="252"/>
      <c r="JZM384" s="252"/>
      <c r="JZN384" s="252"/>
      <c r="JZO384" s="252"/>
      <c r="JZP384" s="252"/>
      <c r="JZQ384" s="252"/>
      <c r="JZR384" s="252"/>
      <c r="JZS384" s="252"/>
      <c r="JZT384" s="252"/>
      <c r="JZU384" s="252"/>
      <c r="JZV384" s="252"/>
      <c r="JZW384" s="252"/>
      <c r="JZX384" s="252"/>
      <c r="JZY384" s="252"/>
      <c r="JZZ384" s="252"/>
      <c r="KAA384" s="252"/>
      <c r="KAB384" s="252"/>
      <c r="KAC384" s="252"/>
      <c r="KAD384" s="252"/>
      <c r="KAE384" s="252"/>
      <c r="KAF384" s="252"/>
      <c r="KAG384" s="252"/>
      <c r="KAH384" s="252"/>
      <c r="KAI384" s="252"/>
      <c r="KAJ384" s="252"/>
      <c r="KAK384" s="252"/>
      <c r="KAL384" s="252"/>
      <c r="KAM384" s="252"/>
      <c r="KAN384" s="252"/>
      <c r="KAO384" s="252"/>
      <c r="KAP384" s="252"/>
      <c r="KAQ384" s="252"/>
      <c r="KAR384" s="252"/>
      <c r="KAS384" s="252"/>
      <c r="KAT384" s="252"/>
      <c r="KAU384" s="252"/>
      <c r="KAV384" s="252"/>
      <c r="KAW384" s="252"/>
      <c r="KAX384" s="252"/>
      <c r="KAY384" s="252"/>
      <c r="KAZ384" s="252"/>
      <c r="KBA384" s="252"/>
      <c r="KBB384" s="252"/>
      <c r="KBC384" s="252"/>
      <c r="KBD384" s="252"/>
      <c r="KBE384" s="252"/>
      <c r="KBF384" s="252"/>
      <c r="KBG384" s="252"/>
      <c r="KBH384" s="252"/>
      <c r="KBI384" s="252"/>
      <c r="KBJ384" s="252"/>
      <c r="KBK384" s="252"/>
      <c r="KBL384" s="252"/>
      <c r="KBM384" s="252"/>
      <c r="KBN384" s="252"/>
      <c r="KBO384" s="252"/>
      <c r="KBP384" s="252"/>
      <c r="KBQ384" s="252"/>
      <c r="KBR384" s="252"/>
      <c r="KBS384" s="252"/>
      <c r="KBT384" s="252"/>
      <c r="KBU384" s="252"/>
      <c r="KBV384" s="252"/>
      <c r="KBW384" s="252"/>
      <c r="KBX384" s="252"/>
      <c r="KBY384" s="252"/>
      <c r="KBZ384" s="252"/>
      <c r="KCA384" s="252"/>
      <c r="KCB384" s="252"/>
      <c r="KCC384" s="252"/>
      <c r="KCD384" s="252"/>
      <c r="KCE384" s="252"/>
      <c r="KCF384" s="252"/>
      <c r="KCG384" s="252"/>
      <c r="KCH384" s="252"/>
      <c r="KCI384" s="252"/>
      <c r="KCJ384" s="252"/>
      <c r="KCK384" s="252"/>
      <c r="KCL384" s="252"/>
      <c r="KCM384" s="252"/>
      <c r="KCN384" s="252"/>
      <c r="KCO384" s="252"/>
      <c r="KCP384" s="252"/>
      <c r="KCQ384" s="252"/>
      <c r="KCR384" s="252"/>
      <c r="KCS384" s="252"/>
      <c r="KCT384" s="252"/>
      <c r="KCU384" s="252"/>
      <c r="KCV384" s="252"/>
      <c r="KCW384" s="252"/>
      <c r="KCX384" s="252"/>
      <c r="KCY384" s="252"/>
      <c r="KCZ384" s="252"/>
      <c r="KDA384" s="252"/>
      <c r="KDB384" s="252"/>
      <c r="KDC384" s="252"/>
      <c r="KDD384" s="252"/>
      <c r="KDE384" s="252"/>
      <c r="KDF384" s="252"/>
      <c r="KDG384" s="252"/>
      <c r="KDH384" s="252"/>
      <c r="KDI384" s="252"/>
      <c r="KDJ384" s="252"/>
      <c r="KDK384" s="252"/>
      <c r="KDL384" s="252"/>
      <c r="KDM384" s="252"/>
      <c r="KDN384" s="252"/>
      <c r="KDO384" s="252"/>
      <c r="KDP384" s="252"/>
      <c r="KDQ384" s="252"/>
      <c r="KDR384" s="252"/>
      <c r="KDS384" s="252"/>
      <c r="KDT384" s="252"/>
      <c r="KDU384" s="252"/>
      <c r="KDV384" s="252"/>
      <c r="KDW384" s="252"/>
      <c r="KDX384" s="252"/>
      <c r="KDY384" s="252"/>
      <c r="KDZ384" s="252"/>
      <c r="KEA384" s="252"/>
      <c r="KEB384" s="252"/>
      <c r="KEC384" s="252"/>
      <c r="KED384" s="252"/>
      <c r="KEE384" s="252"/>
      <c r="KEF384" s="252"/>
      <c r="KEG384" s="252"/>
      <c r="KEH384" s="252"/>
      <c r="KEI384" s="252"/>
      <c r="KEJ384" s="252"/>
      <c r="KEK384" s="252"/>
      <c r="KEL384" s="252"/>
      <c r="KEM384" s="252"/>
      <c r="KEN384" s="252"/>
      <c r="KEO384" s="252"/>
      <c r="KEP384" s="252"/>
      <c r="KEQ384" s="252"/>
      <c r="KER384" s="252"/>
      <c r="KES384" s="252"/>
      <c r="KET384" s="252"/>
      <c r="KEU384" s="252"/>
      <c r="KEV384" s="252"/>
      <c r="KEW384" s="252"/>
      <c r="KEX384" s="252"/>
      <c r="KEY384" s="252"/>
      <c r="KEZ384" s="252"/>
      <c r="KFA384" s="252"/>
      <c r="KFB384" s="252"/>
      <c r="KFC384" s="252"/>
      <c r="KFD384" s="252"/>
      <c r="KFE384" s="252"/>
      <c r="KFF384" s="252"/>
      <c r="KFG384" s="252"/>
      <c r="KFH384" s="252"/>
      <c r="KFI384" s="252"/>
      <c r="KFJ384" s="252"/>
      <c r="KFK384" s="252"/>
      <c r="KFL384" s="252"/>
      <c r="KFM384" s="252"/>
      <c r="KFN384" s="252"/>
      <c r="KFO384" s="252"/>
      <c r="KFP384" s="252"/>
      <c r="KFQ384" s="252"/>
      <c r="KFR384" s="252"/>
      <c r="KFS384" s="252"/>
      <c r="KFT384" s="252"/>
      <c r="KFU384" s="252"/>
      <c r="KFV384" s="252"/>
      <c r="KFW384" s="252"/>
      <c r="KFX384" s="252"/>
      <c r="KFY384" s="252"/>
      <c r="KFZ384" s="252"/>
      <c r="KGA384" s="252"/>
      <c r="KGB384" s="252"/>
      <c r="KGC384" s="252"/>
      <c r="KGD384" s="252"/>
      <c r="KGE384" s="252"/>
      <c r="KGF384" s="252"/>
      <c r="KGG384" s="252"/>
      <c r="KGH384" s="252"/>
      <c r="KGI384" s="252"/>
      <c r="KGJ384" s="252"/>
      <c r="KGK384" s="252"/>
      <c r="KGL384" s="252"/>
      <c r="KGM384" s="252"/>
      <c r="KGN384" s="252"/>
      <c r="KGO384" s="252"/>
      <c r="KGP384" s="252"/>
      <c r="KGQ384" s="252"/>
      <c r="KGR384" s="252"/>
      <c r="KGS384" s="252"/>
      <c r="KGT384" s="252"/>
      <c r="KGU384" s="252"/>
      <c r="KGV384" s="252"/>
      <c r="KGW384" s="252"/>
      <c r="KGX384" s="252"/>
      <c r="KGY384" s="252"/>
      <c r="KGZ384" s="252"/>
      <c r="KHA384" s="252"/>
      <c r="KHB384" s="252"/>
      <c r="KHC384" s="252"/>
      <c r="KHD384" s="252"/>
      <c r="KHE384" s="252"/>
      <c r="KHF384" s="252"/>
      <c r="KHG384" s="252"/>
      <c r="KHH384" s="252"/>
      <c r="KHI384" s="252"/>
      <c r="KHJ384" s="252"/>
      <c r="KHK384" s="252"/>
      <c r="KHL384" s="252"/>
      <c r="KHM384" s="252"/>
      <c r="KHN384" s="252"/>
      <c r="KHO384" s="252"/>
      <c r="KHP384" s="252"/>
      <c r="KHQ384" s="252"/>
      <c r="KHR384" s="252"/>
      <c r="KHS384" s="252"/>
      <c r="KHT384" s="252"/>
      <c r="KHU384" s="252"/>
      <c r="KHV384" s="252"/>
      <c r="KHW384" s="252"/>
      <c r="KHX384" s="252"/>
      <c r="KHY384" s="252"/>
      <c r="KHZ384" s="252"/>
      <c r="KIA384" s="252"/>
      <c r="KIB384" s="252"/>
      <c r="KIC384" s="252"/>
      <c r="KID384" s="252"/>
      <c r="KIE384" s="252"/>
      <c r="KIF384" s="252"/>
      <c r="KIG384" s="252"/>
      <c r="KIH384" s="252"/>
      <c r="KII384" s="252"/>
      <c r="KIJ384" s="252"/>
      <c r="KIK384" s="252"/>
      <c r="KIL384" s="252"/>
      <c r="KIM384" s="252"/>
      <c r="KIN384" s="252"/>
      <c r="KIO384" s="252"/>
      <c r="KIP384" s="252"/>
      <c r="KIQ384" s="252"/>
      <c r="KIR384" s="252"/>
      <c r="KIS384" s="252"/>
      <c r="KIT384" s="252"/>
      <c r="KIU384" s="252"/>
      <c r="KIV384" s="252"/>
      <c r="KIW384" s="252"/>
      <c r="KIX384" s="252"/>
      <c r="KIY384" s="252"/>
      <c r="KIZ384" s="252"/>
      <c r="KJA384" s="252"/>
      <c r="KJB384" s="252"/>
      <c r="KJC384" s="252"/>
      <c r="KJD384" s="252"/>
      <c r="KJE384" s="252"/>
      <c r="KJF384" s="252"/>
      <c r="KJG384" s="252"/>
      <c r="KJH384" s="252"/>
      <c r="KJI384" s="252"/>
      <c r="KJJ384" s="252"/>
      <c r="KJK384" s="252"/>
      <c r="KJL384" s="252"/>
      <c r="KJM384" s="252"/>
      <c r="KJN384" s="252"/>
      <c r="KJO384" s="252"/>
      <c r="KJP384" s="252"/>
      <c r="KJQ384" s="252"/>
      <c r="KJR384" s="252"/>
      <c r="KJS384" s="252"/>
      <c r="KJT384" s="252"/>
      <c r="KJU384" s="252"/>
      <c r="KJV384" s="252"/>
      <c r="KJW384" s="252"/>
      <c r="KJX384" s="252"/>
      <c r="KJY384" s="252"/>
      <c r="KJZ384" s="252"/>
      <c r="KKA384" s="252"/>
      <c r="KKB384" s="252"/>
      <c r="KKC384" s="252"/>
      <c r="KKD384" s="252"/>
      <c r="KKE384" s="252"/>
      <c r="KKF384" s="252"/>
      <c r="KKG384" s="252"/>
      <c r="KKH384" s="252"/>
      <c r="KKI384" s="252"/>
      <c r="KKJ384" s="252"/>
      <c r="KKK384" s="252"/>
      <c r="KKL384" s="252"/>
      <c r="KKM384" s="252"/>
      <c r="KKN384" s="252"/>
      <c r="KKO384" s="252"/>
      <c r="KKP384" s="252"/>
      <c r="KKQ384" s="252"/>
      <c r="KKR384" s="252"/>
      <c r="KKS384" s="252"/>
      <c r="KKT384" s="252"/>
      <c r="KKU384" s="252"/>
      <c r="KKV384" s="252"/>
      <c r="KKW384" s="252"/>
      <c r="KKX384" s="252"/>
      <c r="KKY384" s="252"/>
      <c r="KKZ384" s="252"/>
      <c r="KLA384" s="252"/>
      <c r="KLB384" s="252"/>
      <c r="KLC384" s="252"/>
      <c r="KLD384" s="252"/>
      <c r="KLE384" s="252"/>
      <c r="KLF384" s="252"/>
      <c r="KLG384" s="252"/>
      <c r="KLH384" s="252"/>
      <c r="KLI384" s="252"/>
      <c r="KLJ384" s="252"/>
      <c r="KLK384" s="252"/>
      <c r="KLL384" s="252"/>
      <c r="KLM384" s="252"/>
      <c r="KLN384" s="252"/>
      <c r="KLO384" s="252"/>
      <c r="KLP384" s="252"/>
      <c r="KLQ384" s="252"/>
      <c r="KLR384" s="252"/>
      <c r="KLS384" s="252"/>
      <c r="KLT384" s="252"/>
      <c r="KLU384" s="252"/>
      <c r="KLV384" s="252"/>
      <c r="KLW384" s="252"/>
      <c r="KLX384" s="252"/>
      <c r="KLY384" s="252"/>
      <c r="KLZ384" s="252"/>
      <c r="KMA384" s="252"/>
      <c r="KMB384" s="252"/>
      <c r="KMC384" s="252"/>
      <c r="KMD384" s="252"/>
      <c r="KME384" s="252"/>
      <c r="KMF384" s="252"/>
      <c r="KMG384" s="252"/>
      <c r="KMH384" s="252"/>
      <c r="KMI384" s="252"/>
      <c r="KMJ384" s="252"/>
      <c r="KMK384" s="252"/>
      <c r="KML384" s="252"/>
      <c r="KMM384" s="252"/>
      <c r="KMN384" s="252"/>
      <c r="KMO384" s="252"/>
      <c r="KMP384" s="252"/>
      <c r="KMQ384" s="252"/>
      <c r="KMR384" s="252"/>
      <c r="KMS384" s="252"/>
      <c r="KMT384" s="252"/>
      <c r="KMU384" s="252"/>
      <c r="KMV384" s="252"/>
      <c r="KMW384" s="252"/>
      <c r="KMX384" s="252"/>
      <c r="KMY384" s="252"/>
      <c r="KMZ384" s="252"/>
      <c r="KNA384" s="252"/>
      <c r="KNB384" s="252"/>
      <c r="KNC384" s="252"/>
      <c r="KND384" s="252"/>
      <c r="KNE384" s="252"/>
      <c r="KNF384" s="252"/>
      <c r="KNG384" s="252"/>
      <c r="KNH384" s="252"/>
      <c r="KNI384" s="252"/>
      <c r="KNJ384" s="252"/>
      <c r="KNK384" s="252"/>
      <c r="KNL384" s="252"/>
      <c r="KNM384" s="252"/>
      <c r="KNN384" s="252"/>
      <c r="KNO384" s="252"/>
      <c r="KNP384" s="252"/>
      <c r="KNQ384" s="252"/>
      <c r="KNR384" s="252"/>
      <c r="KNS384" s="252"/>
      <c r="KNT384" s="252"/>
      <c r="KNU384" s="252"/>
      <c r="KNV384" s="252"/>
      <c r="KNW384" s="252"/>
      <c r="KNX384" s="252"/>
      <c r="KNY384" s="252"/>
      <c r="KNZ384" s="252"/>
      <c r="KOA384" s="252"/>
      <c r="KOB384" s="252"/>
      <c r="KOC384" s="252"/>
      <c r="KOD384" s="252"/>
      <c r="KOE384" s="252"/>
      <c r="KOF384" s="252"/>
      <c r="KOG384" s="252"/>
      <c r="KOH384" s="252"/>
      <c r="KOI384" s="252"/>
      <c r="KOJ384" s="252"/>
      <c r="KOK384" s="252"/>
      <c r="KOL384" s="252"/>
      <c r="KOM384" s="252"/>
      <c r="KON384" s="252"/>
      <c r="KOO384" s="252"/>
      <c r="KOP384" s="252"/>
      <c r="KOQ384" s="252"/>
      <c r="KOR384" s="252"/>
      <c r="KOS384" s="252"/>
      <c r="KOT384" s="252"/>
      <c r="KOU384" s="252"/>
      <c r="KOV384" s="252"/>
      <c r="KOW384" s="252"/>
      <c r="KOX384" s="252"/>
      <c r="KOY384" s="252"/>
      <c r="KOZ384" s="252"/>
      <c r="KPA384" s="252"/>
      <c r="KPB384" s="252"/>
      <c r="KPC384" s="252"/>
      <c r="KPD384" s="252"/>
      <c r="KPE384" s="252"/>
      <c r="KPF384" s="252"/>
      <c r="KPG384" s="252"/>
      <c r="KPH384" s="252"/>
      <c r="KPI384" s="252"/>
      <c r="KPJ384" s="252"/>
      <c r="KPK384" s="252"/>
      <c r="KPL384" s="252"/>
      <c r="KPM384" s="252"/>
      <c r="KPN384" s="252"/>
      <c r="KPO384" s="252"/>
      <c r="KPP384" s="252"/>
      <c r="KPQ384" s="252"/>
      <c r="KPR384" s="252"/>
      <c r="KPS384" s="252"/>
      <c r="KPT384" s="252"/>
      <c r="KPU384" s="252"/>
      <c r="KPV384" s="252"/>
      <c r="KPW384" s="252"/>
      <c r="KPX384" s="252"/>
      <c r="KPY384" s="252"/>
      <c r="KPZ384" s="252"/>
      <c r="KQA384" s="252"/>
      <c r="KQB384" s="252"/>
      <c r="KQC384" s="252"/>
      <c r="KQD384" s="252"/>
      <c r="KQE384" s="252"/>
      <c r="KQF384" s="252"/>
      <c r="KQG384" s="252"/>
      <c r="KQH384" s="252"/>
      <c r="KQI384" s="252"/>
      <c r="KQJ384" s="252"/>
      <c r="KQK384" s="252"/>
      <c r="KQL384" s="252"/>
      <c r="KQM384" s="252"/>
      <c r="KQN384" s="252"/>
      <c r="KQO384" s="252"/>
      <c r="KQP384" s="252"/>
      <c r="KQQ384" s="252"/>
      <c r="KQR384" s="252"/>
      <c r="KQS384" s="252"/>
      <c r="KQT384" s="252"/>
      <c r="KQU384" s="252"/>
      <c r="KQV384" s="252"/>
      <c r="KQW384" s="252"/>
      <c r="KQX384" s="252"/>
      <c r="KQY384" s="252"/>
      <c r="KQZ384" s="252"/>
      <c r="KRA384" s="252"/>
      <c r="KRB384" s="252"/>
      <c r="KRC384" s="252"/>
      <c r="KRD384" s="252"/>
      <c r="KRE384" s="252"/>
      <c r="KRF384" s="252"/>
      <c r="KRG384" s="252"/>
      <c r="KRH384" s="252"/>
      <c r="KRI384" s="252"/>
      <c r="KRJ384" s="252"/>
      <c r="KRK384" s="252"/>
      <c r="KRL384" s="252"/>
      <c r="KRM384" s="252"/>
      <c r="KRN384" s="252"/>
      <c r="KRO384" s="252"/>
      <c r="KRP384" s="252"/>
      <c r="KRQ384" s="252"/>
      <c r="KRR384" s="252"/>
      <c r="KRS384" s="252"/>
      <c r="KRT384" s="252"/>
      <c r="KRU384" s="252"/>
      <c r="KRV384" s="252"/>
      <c r="KRW384" s="252"/>
      <c r="KRX384" s="252"/>
      <c r="KRY384" s="252"/>
      <c r="KRZ384" s="252"/>
      <c r="KSA384" s="252"/>
      <c r="KSB384" s="252"/>
      <c r="KSC384" s="252"/>
      <c r="KSD384" s="252"/>
      <c r="KSE384" s="252"/>
      <c r="KSF384" s="252"/>
      <c r="KSG384" s="252"/>
      <c r="KSH384" s="252"/>
      <c r="KSI384" s="252"/>
      <c r="KSJ384" s="252"/>
      <c r="KSK384" s="252"/>
      <c r="KSL384" s="252"/>
      <c r="KSM384" s="252"/>
      <c r="KSN384" s="252"/>
      <c r="KSO384" s="252"/>
      <c r="KSP384" s="252"/>
      <c r="KSQ384" s="252"/>
      <c r="KSR384" s="252"/>
      <c r="KSS384" s="252"/>
      <c r="KST384" s="252"/>
      <c r="KSU384" s="252"/>
      <c r="KSV384" s="252"/>
      <c r="KSW384" s="252"/>
      <c r="KSX384" s="252"/>
      <c r="KSY384" s="252"/>
      <c r="KSZ384" s="252"/>
      <c r="KTA384" s="252"/>
      <c r="KTB384" s="252"/>
      <c r="KTC384" s="252"/>
      <c r="KTD384" s="252"/>
      <c r="KTE384" s="252"/>
      <c r="KTF384" s="252"/>
      <c r="KTG384" s="252"/>
      <c r="KTH384" s="252"/>
      <c r="KTI384" s="252"/>
      <c r="KTJ384" s="252"/>
      <c r="KTK384" s="252"/>
      <c r="KTL384" s="252"/>
      <c r="KTM384" s="252"/>
      <c r="KTN384" s="252"/>
      <c r="KTO384" s="252"/>
      <c r="KTP384" s="252"/>
      <c r="KTQ384" s="252"/>
      <c r="KTR384" s="252"/>
      <c r="KTS384" s="252"/>
      <c r="KTT384" s="252"/>
      <c r="KTU384" s="252"/>
      <c r="KTV384" s="252"/>
      <c r="KTW384" s="252"/>
      <c r="KTX384" s="252"/>
      <c r="KTY384" s="252"/>
      <c r="KTZ384" s="252"/>
      <c r="KUA384" s="252"/>
      <c r="KUB384" s="252"/>
      <c r="KUC384" s="252"/>
      <c r="KUD384" s="252"/>
      <c r="KUE384" s="252"/>
      <c r="KUF384" s="252"/>
      <c r="KUG384" s="252"/>
      <c r="KUH384" s="252"/>
      <c r="KUI384" s="252"/>
      <c r="KUJ384" s="252"/>
      <c r="KUK384" s="252"/>
      <c r="KUL384" s="252"/>
      <c r="KUM384" s="252"/>
      <c r="KUN384" s="252"/>
      <c r="KUO384" s="252"/>
      <c r="KUP384" s="252"/>
      <c r="KUQ384" s="252"/>
      <c r="KUR384" s="252"/>
      <c r="KUS384" s="252"/>
      <c r="KUT384" s="252"/>
      <c r="KUU384" s="252"/>
      <c r="KUV384" s="252"/>
      <c r="KUW384" s="252"/>
      <c r="KUX384" s="252"/>
      <c r="KUY384" s="252"/>
      <c r="KUZ384" s="252"/>
      <c r="KVA384" s="252"/>
      <c r="KVB384" s="252"/>
      <c r="KVC384" s="252"/>
      <c r="KVD384" s="252"/>
      <c r="KVE384" s="252"/>
      <c r="KVF384" s="252"/>
      <c r="KVG384" s="252"/>
      <c r="KVH384" s="252"/>
      <c r="KVI384" s="252"/>
      <c r="KVJ384" s="252"/>
      <c r="KVK384" s="252"/>
      <c r="KVL384" s="252"/>
      <c r="KVM384" s="252"/>
      <c r="KVN384" s="252"/>
      <c r="KVO384" s="252"/>
      <c r="KVP384" s="252"/>
      <c r="KVQ384" s="252"/>
      <c r="KVR384" s="252"/>
      <c r="KVS384" s="252"/>
      <c r="KVT384" s="252"/>
      <c r="KVU384" s="252"/>
      <c r="KVV384" s="252"/>
      <c r="KVW384" s="252"/>
      <c r="KVX384" s="252"/>
      <c r="KVY384" s="252"/>
      <c r="KVZ384" s="252"/>
      <c r="KWA384" s="252"/>
      <c r="KWB384" s="252"/>
      <c r="KWC384" s="252"/>
      <c r="KWD384" s="252"/>
      <c r="KWE384" s="252"/>
      <c r="KWF384" s="252"/>
      <c r="KWG384" s="252"/>
      <c r="KWH384" s="252"/>
      <c r="KWI384" s="252"/>
      <c r="KWJ384" s="252"/>
      <c r="KWK384" s="252"/>
      <c r="KWL384" s="252"/>
      <c r="KWM384" s="252"/>
      <c r="KWN384" s="252"/>
      <c r="KWO384" s="252"/>
      <c r="KWP384" s="252"/>
      <c r="KWQ384" s="252"/>
      <c r="KWR384" s="252"/>
      <c r="KWS384" s="252"/>
      <c r="KWT384" s="252"/>
      <c r="KWU384" s="252"/>
      <c r="KWV384" s="252"/>
      <c r="KWW384" s="252"/>
      <c r="KWX384" s="252"/>
      <c r="KWY384" s="252"/>
      <c r="KWZ384" s="252"/>
      <c r="KXA384" s="252"/>
      <c r="KXB384" s="252"/>
      <c r="KXC384" s="252"/>
      <c r="KXD384" s="252"/>
      <c r="KXE384" s="252"/>
      <c r="KXF384" s="252"/>
      <c r="KXG384" s="252"/>
      <c r="KXH384" s="252"/>
      <c r="KXI384" s="252"/>
      <c r="KXJ384" s="252"/>
      <c r="KXK384" s="252"/>
      <c r="KXL384" s="252"/>
      <c r="KXM384" s="252"/>
      <c r="KXN384" s="252"/>
      <c r="KXO384" s="252"/>
      <c r="KXP384" s="252"/>
      <c r="KXQ384" s="252"/>
      <c r="KXR384" s="252"/>
      <c r="KXS384" s="252"/>
      <c r="KXT384" s="252"/>
      <c r="KXU384" s="252"/>
      <c r="KXV384" s="252"/>
      <c r="KXW384" s="252"/>
      <c r="KXX384" s="252"/>
      <c r="KXY384" s="252"/>
      <c r="KXZ384" s="252"/>
      <c r="KYA384" s="252"/>
      <c r="KYB384" s="252"/>
      <c r="KYC384" s="252"/>
      <c r="KYD384" s="252"/>
      <c r="KYE384" s="252"/>
      <c r="KYF384" s="252"/>
      <c r="KYG384" s="252"/>
      <c r="KYH384" s="252"/>
      <c r="KYI384" s="252"/>
      <c r="KYJ384" s="252"/>
      <c r="KYK384" s="252"/>
      <c r="KYL384" s="252"/>
      <c r="KYM384" s="252"/>
      <c r="KYN384" s="252"/>
      <c r="KYO384" s="252"/>
      <c r="KYP384" s="252"/>
      <c r="KYQ384" s="252"/>
      <c r="KYR384" s="252"/>
      <c r="KYS384" s="252"/>
      <c r="KYT384" s="252"/>
      <c r="KYU384" s="252"/>
      <c r="KYV384" s="252"/>
      <c r="KYW384" s="252"/>
      <c r="KYX384" s="252"/>
      <c r="KYY384" s="252"/>
      <c r="KYZ384" s="252"/>
      <c r="KZA384" s="252"/>
      <c r="KZB384" s="252"/>
      <c r="KZC384" s="252"/>
      <c r="KZD384" s="252"/>
      <c r="KZE384" s="252"/>
      <c r="KZF384" s="252"/>
      <c r="KZG384" s="252"/>
      <c r="KZH384" s="252"/>
      <c r="KZI384" s="252"/>
      <c r="KZJ384" s="252"/>
      <c r="KZK384" s="252"/>
      <c r="KZL384" s="252"/>
      <c r="KZM384" s="252"/>
      <c r="KZN384" s="252"/>
      <c r="KZO384" s="252"/>
      <c r="KZP384" s="252"/>
      <c r="KZQ384" s="252"/>
      <c r="KZR384" s="252"/>
      <c r="KZS384" s="252"/>
      <c r="KZT384" s="252"/>
      <c r="KZU384" s="252"/>
      <c r="KZV384" s="252"/>
      <c r="KZW384" s="252"/>
      <c r="KZX384" s="252"/>
      <c r="KZY384" s="252"/>
      <c r="KZZ384" s="252"/>
      <c r="LAA384" s="252"/>
      <c r="LAB384" s="252"/>
      <c r="LAC384" s="252"/>
      <c r="LAD384" s="252"/>
      <c r="LAE384" s="252"/>
      <c r="LAF384" s="252"/>
      <c r="LAG384" s="252"/>
      <c r="LAH384" s="252"/>
      <c r="LAI384" s="252"/>
      <c r="LAJ384" s="252"/>
      <c r="LAK384" s="252"/>
      <c r="LAL384" s="252"/>
      <c r="LAM384" s="252"/>
      <c r="LAN384" s="252"/>
      <c r="LAO384" s="252"/>
      <c r="LAP384" s="252"/>
      <c r="LAQ384" s="252"/>
      <c r="LAR384" s="252"/>
      <c r="LAS384" s="252"/>
      <c r="LAT384" s="252"/>
      <c r="LAU384" s="252"/>
      <c r="LAV384" s="252"/>
      <c r="LAW384" s="252"/>
      <c r="LAX384" s="252"/>
      <c r="LAY384" s="252"/>
      <c r="LAZ384" s="252"/>
      <c r="LBA384" s="252"/>
      <c r="LBB384" s="252"/>
      <c r="LBC384" s="252"/>
      <c r="LBD384" s="252"/>
      <c r="LBE384" s="252"/>
      <c r="LBF384" s="252"/>
      <c r="LBG384" s="252"/>
      <c r="LBH384" s="252"/>
      <c r="LBI384" s="252"/>
      <c r="LBJ384" s="252"/>
      <c r="LBK384" s="252"/>
      <c r="LBL384" s="252"/>
      <c r="LBM384" s="252"/>
      <c r="LBN384" s="252"/>
      <c r="LBO384" s="252"/>
      <c r="LBP384" s="252"/>
      <c r="LBQ384" s="252"/>
      <c r="LBR384" s="252"/>
      <c r="LBS384" s="252"/>
      <c r="LBT384" s="252"/>
      <c r="LBU384" s="252"/>
      <c r="LBV384" s="252"/>
      <c r="LBW384" s="252"/>
      <c r="LBX384" s="252"/>
      <c r="LBY384" s="252"/>
      <c r="LBZ384" s="252"/>
      <c r="LCA384" s="252"/>
      <c r="LCB384" s="252"/>
      <c r="LCC384" s="252"/>
      <c r="LCD384" s="252"/>
      <c r="LCE384" s="252"/>
      <c r="LCF384" s="252"/>
      <c r="LCG384" s="252"/>
      <c r="LCH384" s="252"/>
      <c r="LCI384" s="252"/>
      <c r="LCJ384" s="252"/>
      <c r="LCK384" s="252"/>
      <c r="LCL384" s="252"/>
      <c r="LCM384" s="252"/>
      <c r="LCN384" s="252"/>
      <c r="LCO384" s="252"/>
      <c r="LCP384" s="252"/>
      <c r="LCQ384" s="252"/>
      <c r="LCR384" s="252"/>
      <c r="LCS384" s="252"/>
      <c r="LCT384" s="252"/>
      <c r="LCU384" s="252"/>
      <c r="LCV384" s="252"/>
      <c r="LCW384" s="252"/>
      <c r="LCX384" s="252"/>
      <c r="LCY384" s="252"/>
      <c r="LCZ384" s="252"/>
      <c r="LDA384" s="252"/>
      <c r="LDB384" s="252"/>
      <c r="LDC384" s="252"/>
      <c r="LDD384" s="252"/>
      <c r="LDE384" s="252"/>
      <c r="LDF384" s="252"/>
      <c r="LDG384" s="252"/>
      <c r="LDH384" s="252"/>
      <c r="LDI384" s="252"/>
      <c r="LDJ384" s="252"/>
      <c r="LDK384" s="252"/>
      <c r="LDL384" s="252"/>
      <c r="LDM384" s="252"/>
      <c r="LDN384" s="252"/>
      <c r="LDO384" s="252"/>
      <c r="LDP384" s="252"/>
      <c r="LDQ384" s="252"/>
      <c r="LDR384" s="252"/>
      <c r="LDS384" s="252"/>
      <c r="LDT384" s="252"/>
      <c r="LDU384" s="252"/>
      <c r="LDV384" s="252"/>
      <c r="LDW384" s="252"/>
      <c r="LDX384" s="252"/>
      <c r="LDY384" s="252"/>
      <c r="LDZ384" s="252"/>
      <c r="LEA384" s="252"/>
      <c r="LEB384" s="252"/>
      <c r="LEC384" s="252"/>
      <c r="LED384" s="252"/>
      <c r="LEE384" s="252"/>
      <c r="LEF384" s="252"/>
      <c r="LEG384" s="252"/>
      <c r="LEH384" s="252"/>
      <c r="LEI384" s="252"/>
      <c r="LEJ384" s="252"/>
      <c r="LEK384" s="252"/>
      <c r="LEL384" s="252"/>
      <c r="LEM384" s="252"/>
      <c r="LEN384" s="252"/>
      <c r="LEO384" s="252"/>
      <c r="LEP384" s="252"/>
      <c r="LEQ384" s="252"/>
      <c r="LER384" s="252"/>
      <c r="LES384" s="252"/>
      <c r="LET384" s="252"/>
      <c r="LEU384" s="252"/>
      <c r="LEV384" s="252"/>
      <c r="LEW384" s="252"/>
      <c r="LEX384" s="252"/>
      <c r="LEY384" s="252"/>
      <c r="LEZ384" s="252"/>
      <c r="LFA384" s="252"/>
      <c r="LFB384" s="252"/>
      <c r="LFC384" s="252"/>
      <c r="LFD384" s="252"/>
      <c r="LFE384" s="252"/>
      <c r="LFF384" s="252"/>
      <c r="LFG384" s="252"/>
      <c r="LFH384" s="252"/>
      <c r="LFI384" s="252"/>
      <c r="LFJ384" s="252"/>
      <c r="LFK384" s="252"/>
      <c r="LFL384" s="252"/>
      <c r="LFM384" s="252"/>
      <c r="LFN384" s="252"/>
      <c r="LFO384" s="252"/>
      <c r="LFP384" s="252"/>
      <c r="LFQ384" s="252"/>
      <c r="LFR384" s="252"/>
      <c r="LFS384" s="252"/>
      <c r="LFT384" s="252"/>
      <c r="LFU384" s="252"/>
      <c r="LFV384" s="252"/>
      <c r="LFW384" s="252"/>
      <c r="LFX384" s="252"/>
      <c r="LFY384" s="252"/>
      <c r="LFZ384" s="252"/>
      <c r="LGA384" s="252"/>
      <c r="LGB384" s="252"/>
      <c r="LGC384" s="252"/>
      <c r="LGD384" s="252"/>
      <c r="LGE384" s="252"/>
      <c r="LGF384" s="252"/>
      <c r="LGG384" s="252"/>
      <c r="LGH384" s="252"/>
      <c r="LGI384" s="252"/>
      <c r="LGJ384" s="252"/>
      <c r="LGK384" s="252"/>
      <c r="LGL384" s="252"/>
      <c r="LGM384" s="252"/>
      <c r="LGN384" s="252"/>
      <c r="LGO384" s="252"/>
      <c r="LGP384" s="252"/>
      <c r="LGQ384" s="252"/>
      <c r="LGR384" s="252"/>
      <c r="LGS384" s="252"/>
      <c r="LGT384" s="252"/>
      <c r="LGU384" s="252"/>
      <c r="LGV384" s="252"/>
      <c r="LGW384" s="252"/>
      <c r="LGX384" s="252"/>
      <c r="LGY384" s="252"/>
      <c r="LGZ384" s="252"/>
      <c r="LHA384" s="252"/>
      <c r="LHB384" s="252"/>
      <c r="LHC384" s="252"/>
      <c r="LHD384" s="252"/>
      <c r="LHE384" s="252"/>
      <c r="LHF384" s="252"/>
      <c r="LHG384" s="252"/>
      <c r="LHH384" s="252"/>
      <c r="LHI384" s="252"/>
      <c r="LHJ384" s="252"/>
      <c r="LHK384" s="252"/>
      <c r="LHL384" s="252"/>
      <c r="LHM384" s="252"/>
      <c r="LHN384" s="252"/>
      <c r="LHO384" s="252"/>
      <c r="LHP384" s="252"/>
      <c r="LHQ384" s="252"/>
      <c r="LHR384" s="252"/>
      <c r="LHS384" s="252"/>
      <c r="LHT384" s="252"/>
      <c r="LHU384" s="252"/>
      <c r="LHV384" s="252"/>
      <c r="LHW384" s="252"/>
      <c r="LHX384" s="252"/>
      <c r="LHY384" s="252"/>
      <c r="LHZ384" s="252"/>
      <c r="LIA384" s="252"/>
      <c r="LIB384" s="252"/>
      <c r="LIC384" s="252"/>
      <c r="LID384" s="252"/>
      <c r="LIE384" s="252"/>
      <c r="LIF384" s="252"/>
      <c r="LIG384" s="252"/>
      <c r="LIH384" s="252"/>
      <c r="LII384" s="252"/>
      <c r="LIJ384" s="252"/>
      <c r="LIK384" s="252"/>
      <c r="LIL384" s="252"/>
      <c r="LIM384" s="252"/>
      <c r="LIN384" s="252"/>
      <c r="LIO384" s="252"/>
      <c r="LIP384" s="252"/>
      <c r="LIQ384" s="252"/>
      <c r="LIR384" s="252"/>
      <c r="LIS384" s="252"/>
      <c r="LIT384" s="252"/>
      <c r="LIU384" s="252"/>
      <c r="LIV384" s="252"/>
      <c r="LIW384" s="252"/>
      <c r="LIX384" s="252"/>
      <c r="LIY384" s="252"/>
      <c r="LIZ384" s="252"/>
      <c r="LJA384" s="252"/>
      <c r="LJB384" s="252"/>
      <c r="LJC384" s="252"/>
      <c r="LJD384" s="252"/>
      <c r="LJE384" s="252"/>
      <c r="LJF384" s="252"/>
      <c r="LJG384" s="252"/>
      <c r="LJH384" s="252"/>
      <c r="LJI384" s="252"/>
      <c r="LJJ384" s="252"/>
      <c r="LJK384" s="252"/>
      <c r="LJL384" s="252"/>
      <c r="LJM384" s="252"/>
      <c r="LJN384" s="252"/>
      <c r="LJO384" s="252"/>
      <c r="LJP384" s="252"/>
      <c r="LJQ384" s="252"/>
      <c r="LJR384" s="252"/>
      <c r="LJS384" s="252"/>
      <c r="LJT384" s="252"/>
      <c r="LJU384" s="252"/>
      <c r="LJV384" s="252"/>
      <c r="LJW384" s="252"/>
      <c r="LJX384" s="252"/>
      <c r="LJY384" s="252"/>
      <c r="LJZ384" s="252"/>
      <c r="LKA384" s="252"/>
      <c r="LKB384" s="252"/>
      <c r="LKC384" s="252"/>
      <c r="LKD384" s="252"/>
      <c r="LKE384" s="252"/>
      <c r="LKF384" s="252"/>
      <c r="LKG384" s="252"/>
      <c r="LKH384" s="252"/>
      <c r="LKI384" s="252"/>
      <c r="LKJ384" s="252"/>
      <c r="LKK384" s="252"/>
      <c r="LKL384" s="252"/>
      <c r="LKM384" s="252"/>
      <c r="LKN384" s="252"/>
      <c r="LKO384" s="252"/>
      <c r="LKP384" s="252"/>
      <c r="LKQ384" s="252"/>
      <c r="LKR384" s="252"/>
      <c r="LKS384" s="252"/>
      <c r="LKT384" s="252"/>
      <c r="LKU384" s="252"/>
      <c r="LKV384" s="252"/>
      <c r="LKW384" s="252"/>
      <c r="LKX384" s="252"/>
      <c r="LKY384" s="252"/>
      <c r="LKZ384" s="252"/>
      <c r="LLA384" s="252"/>
      <c r="LLB384" s="252"/>
      <c r="LLC384" s="252"/>
      <c r="LLD384" s="252"/>
      <c r="LLE384" s="252"/>
      <c r="LLF384" s="252"/>
      <c r="LLG384" s="252"/>
      <c r="LLH384" s="252"/>
      <c r="LLI384" s="252"/>
      <c r="LLJ384" s="252"/>
      <c r="LLK384" s="252"/>
      <c r="LLL384" s="252"/>
      <c r="LLM384" s="252"/>
      <c r="LLN384" s="252"/>
      <c r="LLO384" s="252"/>
      <c r="LLP384" s="252"/>
      <c r="LLQ384" s="252"/>
      <c r="LLR384" s="252"/>
      <c r="LLS384" s="252"/>
      <c r="LLT384" s="252"/>
      <c r="LLU384" s="252"/>
      <c r="LLV384" s="252"/>
      <c r="LLW384" s="252"/>
      <c r="LLX384" s="252"/>
      <c r="LLY384" s="252"/>
      <c r="LLZ384" s="252"/>
      <c r="LMA384" s="252"/>
      <c r="LMB384" s="252"/>
      <c r="LMC384" s="252"/>
      <c r="LMD384" s="252"/>
      <c r="LME384" s="252"/>
      <c r="LMF384" s="252"/>
      <c r="LMG384" s="252"/>
      <c r="LMH384" s="252"/>
      <c r="LMI384" s="252"/>
      <c r="LMJ384" s="252"/>
      <c r="LMK384" s="252"/>
      <c r="LML384" s="252"/>
      <c r="LMM384" s="252"/>
      <c r="LMN384" s="252"/>
      <c r="LMO384" s="252"/>
      <c r="LMP384" s="252"/>
      <c r="LMQ384" s="252"/>
      <c r="LMR384" s="252"/>
      <c r="LMS384" s="252"/>
      <c r="LMT384" s="252"/>
      <c r="LMU384" s="252"/>
      <c r="LMV384" s="252"/>
      <c r="LMW384" s="252"/>
      <c r="LMX384" s="252"/>
      <c r="LMY384" s="252"/>
      <c r="LMZ384" s="252"/>
      <c r="LNA384" s="252"/>
      <c r="LNB384" s="252"/>
      <c r="LNC384" s="252"/>
      <c r="LND384" s="252"/>
      <c r="LNE384" s="252"/>
      <c r="LNF384" s="252"/>
      <c r="LNG384" s="252"/>
      <c r="LNH384" s="252"/>
      <c r="LNI384" s="252"/>
      <c r="LNJ384" s="252"/>
      <c r="LNK384" s="252"/>
      <c r="LNL384" s="252"/>
      <c r="LNM384" s="252"/>
      <c r="LNN384" s="252"/>
      <c r="LNO384" s="252"/>
      <c r="LNP384" s="252"/>
      <c r="LNQ384" s="252"/>
      <c r="LNR384" s="252"/>
      <c r="LNS384" s="252"/>
      <c r="LNT384" s="252"/>
      <c r="LNU384" s="252"/>
      <c r="LNV384" s="252"/>
      <c r="LNW384" s="252"/>
      <c r="LNX384" s="252"/>
      <c r="LNY384" s="252"/>
      <c r="LNZ384" s="252"/>
      <c r="LOA384" s="252"/>
      <c r="LOB384" s="252"/>
      <c r="LOC384" s="252"/>
      <c r="LOD384" s="252"/>
      <c r="LOE384" s="252"/>
      <c r="LOF384" s="252"/>
      <c r="LOG384" s="252"/>
      <c r="LOH384" s="252"/>
      <c r="LOI384" s="252"/>
      <c r="LOJ384" s="252"/>
      <c r="LOK384" s="252"/>
      <c r="LOL384" s="252"/>
      <c r="LOM384" s="252"/>
      <c r="LON384" s="252"/>
      <c r="LOO384" s="252"/>
      <c r="LOP384" s="252"/>
      <c r="LOQ384" s="252"/>
      <c r="LOR384" s="252"/>
      <c r="LOS384" s="252"/>
      <c r="LOT384" s="252"/>
      <c r="LOU384" s="252"/>
      <c r="LOV384" s="252"/>
      <c r="LOW384" s="252"/>
      <c r="LOX384" s="252"/>
      <c r="LOY384" s="252"/>
      <c r="LOZ384" s="252"/>
      <c r="LPA384" s="252"/>
      <c r="LPB384" s="252"/>
      <c r="LPC384" s="252"/>
      <c r="LPD384" s="252"/>
      <c r="LPE384" s="252"/>
      <c r="LPF384" s="252"/>
      <c r="LPG384" s="252"/>
      <c r="LPH384" s="252"/>
      <c r="LPI384" s="252"/>
      <c r="LPJ384" s="252"/>
      <c r="LPK384" s="252"/>
      <c r="LPL384" s="252"/>
      <c r="LPM384" s="252"/>
      <c r="LPN384" s="252"/>
      <c r="LPO384" s="252"/>
      <c r="LPP384" s="252"/>
      <c r="LPQ384" s="252"/>
      <c r="LPR384" s="252"/>
      <c r="LPS384" s="252"/>
      <c r="LPT384" s="252"/>
      <c r="LPU384" s="252"/>
      <c r="LPV384" s="252"/>
      <c r="LPW384" s="252"/>
      <c r="LPX384" s="252"/>
      <c r="LPY384" s="252"/>
      <c r="LPZ384" s="252"/>
      <c r="LQA384" s="252"/>
      <c r="LQB384" s="252"/>
      <c r="LQC384" s="252"/>
      <c r="LQD384" s="252"/>
      <c r="LQE384" s="252"/>
      <c r="LQF384" s="252"/>
      <c r="LQG384" s="252"/>
      <c r="LQH384" s="252"/>
      <c r="LQI384" s="252"/>
      <c r="LQJ384" s="252"/>
      <c r="LQK384" s="252"/>
      <c r="LQL384" s="252"/>
      <c r="LQM384" s="252"/>
      <c r="LQN384" s="252"/>
      <c r="LQO384" s="252"/>
      <c r="LQP384" s="252"/>
      <c r="LQQ384" s="252"/>
      <c r="LQR384" s="252"/>
      <c r="LQS384" s="252"/>
      <c r="LQT384" s="252"/>
      <c r="LQU384" s="252"/>
      <c r="LQV384" s="252"/>
      <c r="LQW384" s="252"/>
      <c r="LQX384" s="252"/>
      <c r="LQY384" s="252"/>
      <c r="LQZ384" s="252"/>
      <c r="LRA384" s="252"/>
      <c r="LRB384" s="252"/>
      <c r="LRC384" s="252"/>
      <c r="LRD384" s="252"/>
      <c r="LRE384" s="252"/>
      <c r="LRF384" s="252"/>
      <c r="LRG384" s="252"/>
      <c r="LRH384" s="252"/>
      <c r="LRI384" s="252"/>
      <c r="LRJ384" s="252"/>
      <c r="LRK384" s="252"/>
      <c r="LRL384" s="252"/>
      <c r="LRM384" s="252"/>
      <c r="LRN384" s="252"/>
      <c r="LRO384" s="252"/>
      <c r="LRP384" s="252"/>
      <c r="LRQ384" s="252"/>
      <c r="LRR384" s="252"/>
      <c r="LRS384" s="252"/>
      <c r="LRT384" s="252"/>
      <c r="LRU384" s="252"/>
      <c r="LRV384" s="252"/>
      <c r="LRW384" s="252"/>
      <c r="LRX384" s="252"/>
      <c r="LRY384" s="252"/>
      <c r="LRZ384" s="252"/>
      <c r="LSA384" s="252"/>
      <c r="LSB384" s="252"/>
      <c r="LSC384" s="252"/>
      <c r="LSD384" s="252"/>
      <c r="LSE384" s="252"/>
      <c r="LSF384" s="252"/>
      <c r="LSG384" s="252"/>
      <c r="LSH384" s="252"/>
      <c r="LSI384" s="252"/>
      <c r="LSJ384" s="252"/>
      <c r="LSK384" s="252"/>
      <c r="LSL384" s="252"/>
      <c r="LSM384" s="252"/>
      <c r="LSN384" s="252"/>
      <c r="LSO384" s="252"/>
      <c r="LSP384" s="252"/>
      <c r="LSQ384" s="252"/>
      <c r="LSR384" s="252"/>
      <c r="LSS384" s="252"/>
      <c r="LST384" s="252"/>
      <c r="LSU384" s="252"/>
      <c r="LSV384" s="252"/>
      <c r="LSW384" s="252"/>
      <c r="LSX384" s="252"/>
      <c r="LSY384" s="252"/>
      <c r="LSZ384" s="252"/>
      <c r="LTA384" s="252"/>
      <c r="LTB384" s="252"/>
      <c r="LTC384" s="252"/>
      <c r="LTD384" s="252"/>
      <c r="LTE384" s="252"/>
      <c r="LTF384" s="252"/>
      <c r="LTG384" s="252"/>
      <c r="LTH384" s="252"/>
      <c r="LTI384" s="252"/>
      <c r="LTJ384" s="252"/>
      <c r="LTK384" s="252"/>
      <c r="LTL384" s="252"/>
      <c r="LTM384" s="252"/>
      <c r="LTN384" s="252"/>
      <c r="LTO384" s="252"/>
      <c r="LTP384" s="252"/>
      <c r="LTQ384" s="252"/>
      <c r="LTR384" s="252"/>
      <c r="LTS384" s="252"/>
      <c r="LTT384" s="252"/>
      <c r="LTU384" s="252"/>
      <c r="LTV384" s="252"/>
      <c r="LTW384" s="252"/>
      <c r="LTX384" s="252"/>
      <c r="LTY384" s="252"/>
      <c r="LTZ384" s="252"/>
      <c r="LUA384" s="252"/>
      <c r="LUB384" s="252"/>
      <c r="LUC384" s="252"/>
      <c r="LUD384" s="252"/>
      <c r="LUE384" s="252"/>
      <c r="LUF384" s="252"/>
      <c r="LUG384" s="252"/>
      <c r="LUH384" s="252"/>
      <c r="LUI384" s="252"/>
      <c r="LUJ384" s="252"/>
      <c r="LUK384" s="252"/>
      <c r="LUL384" s="252"/>
      <c r="LUM384" s="252"/>
      <c r="LUN384" s="252"/>
      <c r="LUO384" s="252"/>
      <c r="LUP384" s="252"/>
      <c r="LUQ384" s="252"/>
      <c r="LUR384" s="252"/>
      <c r="LUS384" s="252"/>
      <c r="LUT384" s="252"/>
      <c r="LUU384" s="252"/>
      <c r="LUV384" s="252"/>
      <c r="LUW384" s="252"/>
      <c r="LUX384" s="252"/>
      <c r="LUY384" s="252"/>
      <c r="LUZ384" s="252"/>
      <c r="LVA384" s="252"/>
      <c r="LVB384" s="252"/>
      <c r="LVC384" s="252"/>
      <c r="LVD384" s="252"/>
      <c r="LVE384" s="252"/>
      <c r="LVF384" s="252"/>
      <c r="LVG384" s="252"/>
      <c r="LVH384" s="252"/>
      <c r="LVI384" s="252"/>
      <c r="LVJ384" s="252"/>
      <c r="LVK384" s="252"/>
      <c r="LVL384" s="252"/>
      <c r="LVM384" s="252"/>
      <c r="LVN384" s="252"/>
      <c r="LVO384" s="252"/>
      <c r="LVP384" s="252"/>
      <c r="LVQ384" s="252"/>
      <c r="LVR384" s="252"/>
      <c r="LVS384" s="252"/>
      <c r="LVT384" s="252"/>
      <c r="LVU384" s="252"/>
      <c r="LVV384" s="252"/>
      <c r="LVW384" s="252"/>
      <c r="LVX384" s="252"/>
      <c r="LVY384" s="252"/>
      <c r="LVZ384" s="252"/>
      <c r="LWA384" s="252"/>
      <c r="LWB384" s="252"/>
      <c r="LWC384" s="252"/>
      <c r="LWD384" s="252"/>
      <c r="LWE384" s="252"/>
      <c r="LWF384" s="252"/>
      <c r="LWG384" s="252"/>
      <c r="LWH384" s="252"/>
      <c r="LWI384" s="252"/>
      <c r="LWJ384" s="252"/>
      <c r="LWK384" s="252"/>
      <c r="LWL384" s="252"/>
      <c r="LWM384" s="252"/>
      <c r="LWN384" s="252"/>
      <c r="LWO384" s="252"/>
      <c r="LWP384" s="252"/>
      <c r="LWQ384" s="252"/>
      <c r="LWR384" s="252"/>
      <c r="LWS384" s="252"/>
      <c r="LWT384" s="252"/>
      <c r="LWU384" s="252"/>
      <c r="LWV384" s="252"/>
      <c r="LWW384" s="252"/>
      <c r="LWX384" s="252"/>
      <c r="LWY384" s="252"/>
      <c r="LWZ384" s="252"/>
      <c r="LXA384" s="252"/>
      <c r="LXB384" s="252"/>
      <c r="LXC384" s="252"/>
      <c r="LXD384" s="252"/>
      <c r="LXE384" s="252"/>
      <c r="LXF384" s="252"/>
      <c r="LXG384" s="252"/>
      <c r="LXH384" s="252"/>
      <c r="LXI384" s="252"/>
      <c r="LXJ384" s="252"/>
      <c r="LXK384" s="252"/>
      <c r="LXL384" s="252"/>
      <c r="LXM384" s="252"/>
      <c r="LXN384" s="252"/>
      <c r="LXO384" s="252"/>
      <c r="LXP384" s="252"/>
      <c r="LXQ384" s="252"/>
      <c r="LXR384" s="252"/>
      <c r="LXS384" s="252"/>
      <c r="LXT384" s="252"/>
      <c r="LXU384" s="252"/>
      <c r="LXV384" s="252"/>
      <c r="LXW384" s="252"/>
      <c r="LXX384" s="252"/>
      <c r="LXY384" s="252"/>
      <c r="LXZ384" s="252"/>
      <c r="LYA384" s="252"/>
      <c r="LYB384" s="252"/>
      <c r="LYC384" s="252"/>
      <c r="LYD384" s="252"/>
      <c r="LYE384" s="252"/>
      <c r="LYF384" s="252"/>
      <c r="LYG384" s="252"/>
      <c r="LYH384" s="252"/>
      <c r="LYI384" s="252"/>
      <c r="LYJ384" s="252"/>
      <c r="LYK384" s="252"/>
      <c r="LYL384" s="252"/>
      <c r="LYM384" s="252"/>
      <c r="LYN384" s="252"/>
      <c r="LYO384" s="252"/>
      <c r="LYP384" s="252"/>
      <c r="LYQ384" s="252"/>
      <c r="LYR384" s="252"/>
      <c r="LYS384" s="252"/>
      <c r="LYT384" s="252"/>
      <c r="LYU384" s="252"/>
      <c r="LYV384" s="252"/>
      <c r="LYW384" s="252"/>
      <c r="LYX384" s="252"/>
      <c r="LYY384" s="252"/>
      <c r="LYZ384" s="252"/>
      <c r="LZA384" s="252"/>
      <c r="LZB384" s="252"/>
      <c r="LZC384" s="252"/>
      <c r="LZD384" s="252"/>
      <c r="LZE384" s="252"/>
      <c r="LZF384" s="252"/>
      <c r="LZG384" s="252"/>
      <c r="LZH384" s="252"/>
      <c r="LZI384" s="252"/>
      <c r="LZJ384" s="252"/>
      <c r="LZK384" s="252"/>
      <c r="LZL384" s="252"/>
      <c r="LZM384" s="252"/>
      <c r="LZN384" s="252"/>
      <c r="LZO384" s="252"/>
      <c r="LZP384" s="252"/>
      <c r="LZQ384" s="252"/>
      <c r="LZR384" s="252"/>
      <c r="LZS384" s="252"/>
      <c r="LZT384" s="252"/>
      <c r="LZU384" s="252"/>
      <c r="LZV384" s="252"/>
      <c r="LZW384" s="252"/>
      <c r="LZX384" s="252"/>
      <c r="LZY384" s="252"/>
      <c r="LZZ384" s="252"/>
      <c r="MAA384" s="252"/>
      <c r="MAB384" s="252"/>
      <c r="MAC384" s="252"/>
      <c r="MAD384" s="252"/>
      <c r="MAE384" s="252"/>
      <c r="MAF384" s="252"/>
      <c r="MAG384" s="252"/>
      <c r="MAH384" s="252"/>
      <c r="MAI384" s="252"/>
      <c r="MAJ384" s="252"/>
      <c r="MAK384" s="252"/>
      <c r="MAL384" s="252"/>
      <c r="MAM384" s="252"/>
      <c r="MAN384" s="252"/>
      <c r="MAO384" s="252"/>
      <c r="MAP384" s="252"/>
      <c r="MAQ384" s="252"/>
      <c r="MAR384" s="252"/>
      <c r="MAS384" s="252"/>
      <c r="MAT384" s="252"/>
      <c r="MAU384" s="252"/>
      <c r="MAV384" s="252"/>
      <c r="MAW384" s="252"/>
      <c r="MAX384" s="252"/>
      <c r="MAY384" s="252"/>
      <c r="MAZ384" s="252"/>
      <c r="MBA384" s="252"/>
      <c r="MBB384" s="252"/>
      <c r="MBC384" s="252"/>
      <c r="MBD384" s="252"/>
      <c r="MBE384" s="252"/>
      <c r="MBF384" s="252"/>
      <c r="MBG384" s="252"/>
      <c r="MBH384" s="252"/>
      <c r="MBI384" s="252"/>
      <c r="MBJ384" s="252"/>
      <c r="MBK384" s="252"/>
      <c r="MBL384" s="252"/>
      <c r="MBM384" s="252"/>
      <c r="MBN384" s="252"/>
      <c r="MBO384" s="252"/>
      <c r="MBP384" s="252"/>
      <c r="MBQ384" s="252"/>
      <c r="MBR384" s="252"/>
      <c r="MBS384" s="252"/>
      <c r="MBT384" s="252"/>
      <c r="MBU384" s="252"/>
      <c r="MBV384" s="252"/>
      <c r="MBW384" s="252"/>
      <c r="MBX384" s="252"/>
      <c r="MBY384" s="252"/>
      <c r="MBZ384" s="252"/>
      <c r="MCA384" s="252"/>
      <c r="MCB384" s="252"/>
      <c r="MCC384" s="252"/>
      <c r="MCD384" s="252"/>
      <c r="MCE384" s="252"/>
      <c r="MCF384" s="252"/>
      <c r="MCG384" s="252"/>
      <c r="MCH384" s="252"/>
      <c r="MCI384" s="252"/>
      <c r="MCJ384" s="252"/>
      <c r="MCK384" s="252"/>
      <c r="MCL384" s="252"/>
      <c r="MCM384" s="252"/>
      <c r="MCN384" s="252"/>
      <c r="MCO384" s="252"/>
      <c r="MCP384" s="252"/>
      <c r="MCQ384" s="252"/>
      <c r="MCR384" s="252"/>
      <c r="MCS384" s="252"/>
      <c r="MCT384" s="252"/>
      <c r="MCU384" s="252"/>
      <c r="MCV384" s="252"/>
      <c r="MCW384" s="252"/>
      <c r="MCX384" s="252"/>
      <c r="MCY384" s="252"/>
      <c r="MCZ384" s="252"/>
      <c r="MDA384" s="252"/>
      <c r="MDB384" s="252"/>
      <c r="MDC384" s="252"/>
      <c r="MDD384" s="252"/>
      <c r="MDE384" s="252"/>
      <c r="MDF384" s="252"/>
      <c r="MDG384" s="252"/>
      <c r="MDH384" s="252"/>
      <c r="MDI384" s="252"/>
      <c r="MDJ384" s="252"/>
      <c r="MDK384" s="252"/>
      <c r="MDL384" s="252"/>
      <c r="MDM384" s="252"/>
      <c r="MDN384" s="252"/>
      <c r="MDO384" s="252"/>
      <c r="MDP384" s="252"/>
      <c r="MDQ384" s="252"/>
      <c r="MDR384" s="252"/>
      <c r="MDS384" s="252"/>
      <c r="MDT384" s="252"/>
      <c r="MDU384" s="252"/>
      <c r="MDV384" s="252"/>
      <c r="MDW384" s="252"/>
      <c r="MDX384" s="252"/>
      <c r="MDY384" s="252"/>
      <c r="MDZ384" s="252"/>
      <c r="MEA384" s="252"/>
      <c r="MEB384" s="252"/>
      <c r="MEC384" s="252"/>
      <c r="MED384" s="252"/>
      <c r="MEE384" s="252"/>
      <c r="MEF384" s="252"/>
      <c r="MEG384" s="252"/>
      <c r="MEH384" s="252"/>
      <c r="MEI384" s="252"/>
      <c r="MEJ384" s="252"/>
      <c r="MEK384" s="252"/>
      <c r="MEL384" s="252"/>
      <c r="MEM384" s="252"/>
      <c r="MEN384" s="252"/>
      <c r="MEO384" s="252"/>
      <c r="MEP384" s="252"/>
      <c r="MEQ384" s="252"/>
      <c r="MER384" s="252"/>
      <c r="MES384" s="252"/>
      <c r="MET384" s="252"/>
      <c r="MEU384" s="252"/>
      <c r="MEV384" s="252"/>
      <c r="MEW384" s="252"/>
      <c r="MEX384" s="252"/>
      <c r="MEY384" s="252"/>
      <c r="MEZ384" s="252"/>
      <c r="MFA384" s="252"/>
      <c r="MFB384" s="252"/>
      <c r="MFC384" s="252"/>
      <c r="MFD384" s="252"/>
      <c r="MFE384" s="252"/>
      <c r="MFF384" s="252"/>
      <c r="MFG384" s="252"/>
      <c r="MFH384" s="252"/>
      <c r="MFI384" s="252"/>
      <c r="MFJ384" s="252"/>
      <c r="MFK384" s="252"/>
      <c r="MFL384" s="252"/>
      <c r="MFM384" s="252"/>
      <c r="MFN384" s="252"/>
      <c r="MFO384" s="252"/>
      <c r="MFP384" s="252"/>
      <c r="MFQ384" s="252"/>
      <c r="MFR384" s="252"/>
      <c r="MFS384" s="252"/>
      <c r="MFT384" s="252"/>
      <c r="MFU384" s="252"/>
      <c r="MFV384" s="252"/>
      <c r="MFW384" s="252"/>
      <c r="MFX384" s="252"/>
      <c r="MFY384" s="252"/>
      <c r="MFZ384" s="252"/>
      <c r="MGA384" s="252"/>
      <c r="MGB384" s="252"/>
      <c r="MGC384" s="252"/>
      <c r="MGD384" s="252"/>
      <c r="MGE384" s="252"/>
      <c r="MGF384" s="252"/>
      <c r="MGG384" s="252"/>
      <c r="MGH384" s="252"/>
      <c r="MGI384" s="252"/>
      <c r="MGJ384" s="252"/>
      <c r="MGK384" s="252"/>
      <c r="MGL384" s="252"/>
      <c r="MGM384" s="252"/>
      <c r="MGN384" s="252"/>
      <c r="MGO384" s="252"/>
      <c r="MGP384" s="252"/>
      <c r="MGQ384" s="252"/>
      <c r="MGR384" s="252"/>
      <c r="MGS384" s="252"/>
      <c r="MGT384" s="252"/>
      <c r="MGU384" s="252"/>
      <c r="MGV384" s="252"/>
      <c r="MGW384" s="252"/>
      <c r="MGX384" s="252"/>
      <c r="MGY384" s="252"/>
      <c r="MGZ384" s="252"/>
      <c r="MHA384" s="252"/>
      <c r="MHB384" s="252"/>
      <c r="MHC384" s="252"/>
      <c r="MHD384" s="252"/>
      <c r="MHE384" s="252"/>
      <c r="MHF384" s="252"/>
      <c r="MHG384" s="252"/>
      <c r="MHH384" s="252"/>
      <c r="MHI384" s="252"/>
      <c r="MHJ384" s="252"/>
      <c r="MHK384" s="252"/>
      <c r="MHL384" s="252"/>
      <c r="MHM384" s="252"/>
      <c r="MHN384" s="252"/>
      <c r="MHO384" s="252"/>
      <c r="MHP384" s="252"/>
      <c r="MHQ384" s="252"/>
      <c r="MHR384" s="252"/>
      <c r="MHS384" s="252"/>
      <c r="MHT384" s="252"/>
      <c r="MHU384" s="252"/>
      <c r="MHV384" s="252"/>
      <c r="MHW384" s="252"/>
      <c r="MHX384" s="252"/>
      <c r="MHY384" s="252"/>
      <c r="MHZ384" s="252"/>
      <c r="MIA384" s="252"/>
      <c r="MIB384" s="252"/>
      <c r="MIC384" s="252"/>
      <c r="MID384" s="252"/>
      <c r="MIE384" s="252"/>
      <c r="MIF384" s="252"/>
      <c r="MIG384" s="252"/>
      <c r="MIH384" s="252"/>
      <c r="MII384" s="252"/>
      <c r="MIJ384" s="252"/>
      <c r="MIK384" s="252"/>
      <c r="MIL384" s="252"/>
      <c r="MIM384" s="252"/>
      <c r="MIN384" s="252"/>
      <c r="MIO384" s="252"/>
      <c r="MIP384" s="252"/>
      <c r="MIQ384" s="252"/>
      <c r="MIR384" s="252"/>
      <c r="MIS384" s="252"/>
      <c r="MIT384" s="252"/>
      <c r="MIU384" s="252"/>
      <c r="MIV384" s="252"/>
      <c r="MIW384" s="252"/>
      <c r="MIX384" s="252"/>
      <c r="MIY384" s="252"/>
      <c r="MIZ384" s="252"/>
      <c r="MJA384" s="252"/>
      <c r="MJB384" s="252"/>
      <c r="MJC384" s="252"/>
      <c r="MJD384" s="252"/>
      <c r="MJE384" s="252"/>
      <c r="MJF384" s="252"/>
      <c r="MJG384" s="252"/>
      <c r="MJH384" s="252"/>
      <c r="MJI384" s="252"/>
      <c r="MJJ384" s="252"/>
      <c r="MJK384" s="252"/>
      <c r="MJL384" s="252"/>
      <c r="MJM384" s="252"/>
      <c r="MJN384" s="252"/>
      <c r="MJO384" s="252"/>
      <c r="MJP384" s="252"/>
      <c r="MJQ384" s="252"/>
      <c r="MJR384" s="252"/>
      <c r="MJS384" s="252"/>
      <c r="MJT384" s="252"/>
      <c r="MJU384" s="252"/>
      <c r="MJV384" s="252"/>
      <c r="MJW384" s="252"/>
      <c r="MJX384" s="252"/>
      <c r="MJY384" s="252"/>
      <c r="MJZ384" s="252"/>
      <c r="MKA384" s="252"/>
      <c r="MKB384" s="252"/>
      <c r="MKC384" s="252"/>
      <c r="MKD384" s="252"/>
      <c r="MKE384" s="252"/>
      <c r="MKF384" s="252"/>
      <c r="MKG384" s="252"/>
      <c r="MKH384" s="252"/>
      <c r="MKI384" s="252"/>
      <c r="MKJ384" s="252"/>
      <c r="MKK384" s="252"/>
      <c r="MKL384" s="252"/>
      <c r="MKM384" s="252"/>
      <c r="MKN384" s="252"/>
      <c r="MKO384" s="252"/>
      <c r="MKP384" s="252"/>
      <c r="MKQ384" s="252"/>
      <c r="MKR384" s="252"/>
      <c r="MKS384" s="252"/>
      <c r="MKT384" s="252"/>
      <c r="MKU384" s="252"/>
      <c r="MKV384" s="252"/>
      <c r="MKW384" s="252"/>
      <c r="MKX384" s="252"/>
      <c r="MKY384" s="252"/>
      <c r="MKZ384" s="252"/>
      <c r="MLA384" s="252"/>
      <c r="MLB384" s="252"/>
      <c r="MLC384" s="252"/>
      <c r="MLD384" s="252"/>
      <c r="MLE384" s="252"/>
      <c r="MLF384" s="252"/>
      <c r="MLG384" s="252"/>
      <c r="MLH384" s="252"/>
      <c r="MLI384" s="252"/>
      <c r="MLJ384" s="252"/>
      <c r="MLK384" s="252"/>
      <c r="MLL384" s="252"/>
      <c r="MLM384" s="252"/>
      <c r="MLN384" s="252"/>
      <c r="MLO384" s="252"/>
      <c r="MLP384" s="252"/>
      <c r="MLQ384" s="252"/>
      <c r="MLR384" s="252"/>
      <c r="MLS384" s="252"/>
      <c r="MLT384" s="252"/>
      <c r="MLU384" s="252"/>
      <c r="MLV384" s="252"/>
      <c r="MLW384" s="252"/>
      <c r="MLX384" s="252"/>
      <c r="MLY384" s="252"/>
      <c r="MLZ384" s="252"/>
      <c r="MMA384" s="252"/>
      <c r="MMB384" s="252"/>
      <c r="MMC384" s="252"/>
      <c r="MMD384" s="252"/>
      <c r="MME384" s="252"/>
      <c r="MMF384" s="252"/>
      <c r="MMG384" s="252"/>
      <c r="MMH384" s="252"/>
      <c r="MMI384" s="252"/>
      <c r="MMJ384" s="252"/>
      <c r="MMK384" s="252"/>
      <c r="MML384" s="252"/>
      <c r="MMM384" s="252"/>
      <c r="MMN384" s="252"/>
      <c r="MMO384" s="252"/>
      <c r="MMP384" s="252"/>
      <c r="MMQ384" s="252"/>
      <c r="MMR384" s="252"/>
      <c r="MMS384" s="252"/>
      <c r="MMT384" s="252"/>
      <c r="MMU384" s="252"/>
      <c r="MMV384" s="252"/>
      <c r="MMW384" s="252"/>
      <c r="MMX384" s="252"/>
      <c r="MMY384" s="252"/>
      <c r="MMZ384" s="252"/>
      <c r="MNA384" s="252"/>
      <c r="MNB384" s="252"/>
      <c r="MNC384" s="252"/>
      <c r="MND384" s="252"/>
      <c r="MNE384" s="252"/>
      <c r="MNF384" s="252"/>
      <c r="MNG384" s="252"/>
      <c r="MNH384" s="252"/>
      <c r="MNI384" s="252"/>
      <c r="MNJ384" s="252"/>
      <c r="MNK384" s="252"/>
      <c r="MNL384" s="252"/>
      <c r="MNM384" s="252"/>
      <c r="MNN384" s="252"/>
      <c r="MNO384" s="252"/>
      <c r="MNP384" s="252"/>
      <c r="MNQ384" s="252"/>
      <c r="MNR384" s="252"/>
      <c r="MNS384" s="252"/>
      <c r="MNT384" s="252"/>
      <c r="MNU384" s="252"/>
      <c r="MNV384" s="252"/>
      <c r="MNW384" s="252"/>
      <c r="MNX384" s="252"/>
      <c r="MNY384" s="252"/>
      <c r="MNZ384" s="252"/>
      <c r="MOA384" s="252"/>
      <c r="MOB384" s="252"/>
      <c r="MOC384" s="252"/>
      <c r="MOD384" s="252"/>
      <c r="MOE384" s="252"/>
      <c r="MOF384" s="252"/>
      <c r="MOG384" s="252"/>
      <c r="MOH384" s="252"/>
      <c r="MOI384" s="252"/>
      <c r="MOJ384" s="252"/>
      <c r="MOK384" s="252"/>
      <c r="MOL384" s="252"/>
      <c r="MOM384" s="252"/>
      <c r="MON384" s="252"/>
      <c r="MOO384" s="252"/>
      <c r="MOP384" s="252"/>
      <c r="MOQ384" s="252"/>
      <c r="MOR384" s="252"/>
      <c r="MOS384" s="252"/>
      <c r="MOT384" s="252"/>
      <c r="MOU384" s="252"/>
      <c r="MOV384" s="252"/>
      <c r="MOW384" s="252"/>
      <c r="MOX384" s="252"/>
      <c r="MOY384" s="252"/>
      <c r="MOZ384" s="252"/>
      <c r="MPA384" s="252"/>
      <c r="MPB384" s="252"/>
      <c r="MPC384" s="252"/>
      <c r="MPD384" s="252"/>
      <c r="MPE384" s="252"/>
      <c r="MPF384" s="252"/>
      <c r="MPG384" s="252"/>
      <c r="MPH384" s="252"/>
      <c r="MPI384" s="252"/>
      <c r="MPJ384" s="252"/>
      <c r="MPK384" s="252"/>
      <c r="MPL384" s="252"/>
      <c r="MPM384" s="252"/>
      <c r="MPN384" s="252"/>
      <c r="MPO384" s="252"/>
      <c r="MPP384" s="252"/>
      <c r="MPQ384" s="252"/>
      <c r="MPR384" s="252"/>
      <c r="MPS384" s="252"/>
      <c r="MPT384" s="252"/>
      <c r="MPU384" s="252"/>
      <c r="MPV384" s="252"/>
      <c r="MPW384" s="252"/>
      <c r="MPX384" s="252"/>
      <c r="MPY384" s="252"/>
      <c r="MPZ384" s="252"/>
      <c r="MQA384" s="252"/>
      <c r="MQB384" s="252"/>
      <c r="MQC384" s="252"/>
      <c r="MQD384" s="252"/>
      <c r="MQE384" s="252"/>
      <c r="MQF384" s="252"/>
      <c r="MQG384" s="252"/>
      <c r="MQH384" s="252"/>
      <c r="MQI384" s="252"/>
      <c r="MQJ384" s="252"/>
      <c r="MQK384" s="252"/>
      <c r="MQL384" s="252"/>
      <c r="MQM384" s="252"/>
      <c r="MQN384" s="252"/>
      <c r="MQO384" s="252"/>
      <c r="MQP384" s="252"/>
      <c r="MQQ384" s="252"/>
      <c r="MQR384" s="252"/>
      <c r="MQS384" s="252"/>
      <c r="MQT384" s="252"/>
      <c r="MQU384" s="252"/>
      <c r="MQV384" s="252"/>
      <c r="MQW384" s="252"/>
      <c r="MQX384" s="252"/>
      <c r="MQY384" s="252"/>
      <c r="MQZ384" s="252"/>
      <c r="MRA384" s="252"/>
      <c r="MRB384" s="252"/>
      <c r="MRC384" s="252"/>
      <c r="MRD384" s="252"/>
      <c r="MRE384" s="252"/>
      <c r="MRF384" s="252"/>
      <c r="MRG384" s="252"/>
      <c r="MRH384" s="252"/>
      <c r="MRI384" s="252"/>
      <c r="MRJ384" s="252"/>
      <c r="MRK384" s="252"/>
      <c r="MRL384" s="252"/>
      <c r="MRM384" s="252"/>
      <c r="MRN384" s="252"/>
      <c r="MRO384" s="252"/>
      <c r="MRP384" s="252"/>
      <c r="MRQ384" s="252"/>
      <c r="MRR384" s="252"/>
      <c r="MRS384" s="252"/>
      <c r="MRT384" s="252"/>
      <c r="MRU384" s="252"/>
      <c r="MRV384" s="252"/>
      <c r="MRW384" s="252"/>
      <c r="MRX384" s="252"/>
      <c r="MRY384" s="252"/>
      <c r="MRZ384" s="252"/>
      <c r="MSA384" s="252"/>
      <c r="MSB384" s="252"/>
      <c r="MSC384" s="252"/>
      <c r="MSD384" s="252"/>
      <c r="MSE384" s="252"/>
      <c r="MSF384" s="252"/>
      <c r="MSG384" s="252"/>
      <c r="MSH384" s="252"/>
      <c r="MSI384" s="252"/>
      <c r="MSJ384" s="252"/>
      <c r="MSK384" s="252"/>
      <c r="MSL384" s="252"/>
      <c r="MSM384" s="252"/>
      <c r="MSN384" s="252"/>
      <c r="MSO384" s="252"/>
      <c r="MSP384" s="252"/>
      <c r="MSQ384" s="252"/>
      <c r="MSR384" s="252"/>
      <c r="MSS384" s="252"/>
      <c r="MST384" s="252"/>
      <c r="MSU384" s="252"/>
      <c r="MSV384" s="252"/>
      <c r="MSW384" s="252"/>
      <c r="MSX384" s="252"/>
      <c r="MSY384" s="252"/>
      <c r="MSZ384" s="252"/>
      <c r="MTA384" s="252"/>
      <c r="MTB384" s="252"/>
      <c r="MTC384" s="252"/>
      <c r="MTD384" s="252"/>
      <c r="MTE384" s="252"/>
      <c r="MTF384" s="252"/>
      <c r="MTG384" s="252"/>
      <c r="MTH384" s="252"/>
      <c r="MTI384" s="252"/>
      <c r="MTJ384" s="252"/>
      <c r="MTK384" s="252"/>
      <c r="MTL384" s="252"/>
      <c r="MTM384" s="252"/>
      <c r="MTN384" s="252"/>
      <c r="MTO384" s="252"/>
      <c r="MTP384" s="252"/>
      <c r="MTQ384" s="252"/>
      <c r="MTR384" s="252"/>
      <c r="MTS384" s="252"/>
      <c r="MTT384" s="252"/>
      <c r="MTU384" s="252"/>
      <c r="MTV384" s="252"/>
      <c r="MTW384" s="252"/>
      <c r="MTX384" s="252"/>
      <c r="MTY384" s="252"/>
      <c r="MTZ384" s="252"/>
      <c r="MUA384" s="252"/>
      <c r="MUB384" s="252"/>
      <c r="MUC384" s="252"/>
      <c r="MUD384" s="252"/>
      <c r="MUE384" s="252"/>
      <c r="MUF384" s="252"/>
      <c r="MUG384" s="252"/>
      <c r="MUH384" s="252"/>
      <c r="MUI384" s="252"/>
      <c r="MUJ384" s="252"/>
      <c r="MUK384" s="252"/>
      <c r="MUL384" s="252"/>
      <c r="MUM384" s="252"/>
      <c r="MUN384" s="252"/>
      <c r="MUO384" s="252"/>
      <c r="MUP384" s="252"/>
      <c r="MUQ384" s="252"/>
      <c r="MUR384" s="252"/>
      <c r="MUS384" s="252"/>
      <c r="MUT384" s="252"/>
      <c r="MUU384" s="252"/>
      <c r="MUV384" s="252"/>
      <c r="MUW384" s="252"/>
      <c r="MUX384" s="252"/>
      <c r="MUY384" s="252"/>
      <c r="MUZ384" s="252"/>
      <c r="MVA384" s="252"/>
      <c r="MVB384" s="252"/>
      <c r="MVC384" s="252"/>
      <c r="MVD384" s="252"/>
      <c r="MVE384" s="252"/>
      <c r="MVF384" s="252"/>
      <c r="MVG384" s="252"/>
      <c r="MVH384" s="252"/>
      <c r="MVI384" s="252"/>
      <c r="MVJ384" s="252"/>
      <c r="MVK384" s="252"/>
      <c r="MVL384" s="252"/>
      <c r="MVM384" s="252"/>
      <c r="MVN384" s="252"/>
      <c r="MVO384" s="252"/>
      <c r="MVP384" s="252"/>
      <c r="MVQ384" s="252"/>
      <c r="MVR384" s="252"/>
      <c r="MVS384" s="252"/>
      <c r="MVT384" s="252"/>
      <c r="MVU384" s="252"/>
      <c r="MVV384" s="252"/>
      <c r="MVW384" s="252"/>
      <c r="MVX384" s="252"/>
      <c r="MVY384" s="252"/>
      <c r="MVZ384" s="252"/>
      <c r="MWA384" s="252"/>
      <c r="MWB384" s="252"/>
      <c r="MWC384" s="252"/>
      <c r="MWD384" s="252"/>
      <c r="MWE384" s="252"/>
      <c r="MWF384" s="252"/>
      <c r="MWG384" s="252"/>
      <c r="MWH384" s="252"/>
      <c r="MWI384" s="252"/>
      <c r="MWJ384" s="252"/>
      <c r="MWK384" s="252"/>
      <c r="MWL384" s="252"/>
      <c r="MWM384" s="252"/>
      <c r="MWN384" s="252"/>
      <c r="MWO384" s="252"/>
      <c r="MWP384" s="252"/>
      <c r="MWQ384" s="252"/>
      <c r="MWR384" s="252"/>
      <c r="MWS384" s="252"/>
      <c r="MWT384" s="252"/>
      <c r="MWU384" s="252"/>
      <c r="MWV384" s="252"/>
      <c r="MWW384" s="252"/>
      <c r="MWX384" s="252"/>
      <c r="MWY384" s="252"/>
      <c r="MWZ384" s="252"/>
      <c r="MXA384" s="252"/>
      <c r="MXB384" s="252"/>
      <c r="MXC384" s="252"/>
      <c r="MXD384" s="252"/>
      <c r="MXE384" s="252"/>
      <c r="MXF384" s="252"/>
      <c r="MXG384" s="252"/>
      <c r="MXH384" s="252"/>
      <c r="MXI384" s="252"/>
      <c r="MXJ384" s="252"/>
      <c r="MXK384" s="252"/>
      <c r="MXL384" s="252"/>
      <c r="MXM384" s="252"/>
      <c r="MXN384" s="252"/>
      <c r="MXO384" s="252"/>
      <c r="MXP384" s="252"/>
      <c r="MXQ384" s="252"/>
      <c r="MXR384" s="252"/>
      <c r="MXS384" s="252"/>
      <c r="MXT384" s="252"/>
      <c r="MXU384" s="252"/>
      <c r="MXV384" s="252"/>
      <c r="MXW384" s="252"/>
      <c r="MXX384" s="252"/>
      <c r="MXY384" s="252"/>
      <c r="MXZ384" s="252"/>
      <c r="MYA384" s="252"/>
      <c r="MYB384" s="252"/>
      <c r="MYC384" s="252"/>
      <c r="MYD384" s="252"/>
      <c r="MYE384" s="252"/>
      <c r="MYF384" s="252"/>
      <c r="MYG384" s="252"/>
      <c r="MYH384" s="252"/>
      <c r="MYI384" s="252"/>
      <c r="MYJ384" s="252"/>
      <c r="MYK384" s="252"/>
      <c r="MYL384" s="252"/>
      <c r="MYM384" s="252"/>
      <c r="MYN384" s="252"/>
      <c r="MYO384" s="252"/>
      <c r="MYP384" s="252"/>
      <c r="MYQ384" s="252"/>
      <c r="MYR384" s="252"/>
      <c r="MYS384" s="252"/>
      <c r="MYT384" s="252"/>
      <c r="MYU384" s="252"/>
      <c r="MYV384" s="252"/>
      <c r="MYW384" s="252"/>
      <c r="MYX384" s="252"/>
      <c r="MYY384" s="252"/>
      <c r="MYZ384" s="252"/>
      <c r="MZA384" s="252"/>
      <c r="MZB384" s="252"/>
      <c r="MZC384" s="252"/>
      <c r="MZD384" s="252"/>
      <c r="MZE384" s="252"/>
      <c r="MZF384" s="252"/>
      <c r="MZG384" s="252"/>
      <c r="MZH384" s="252"/>
      <c r="MZI384" s="252"/>
      <c r="MZJ384" s="252"/>
      <c r="MZK384" s="252"/>
      <c r="MZL384" s="252"/>
      <c r="MZM384" s="252"/>
      <c r="MZN384" s="252"/>
      <c r="MZO384" s="252"/>
      <c r="MZP384" s="252"/>
      <c r="MZQ384" s="252"/>
      <c r="MZR384" s="252"/>
      <c r="MZS384" s="252"/>
      <c r="MZT384" s="252"/>
      <c r="MZU384" s="252"/>
      <c r="MZV384" s="252"/>
      <c r="MZW384" s="252"/>
      <c r="MZX384" s="252"/>
      <c r="MZY384" s="252"/>
      <c r="MZZ384" s="252"/>
      <c r="NAA384" s="252"/>
      <c r="NAB384" s="252"/>
      <c r="NAC384" s="252"/>
      <c r="NAD384" s="252"/>
      <c r="NAE384" s="252"/>
      <c r="NAF384" s="252"/>
      <c r="NAG384" s="252"/>
      <c r="NAH384" s="252"/>
      <c r="NAI384" s="252"/>
      <c r="NAJ384" s="252"/>
      <c r="NAK384" s="252"/>
      <c r="NAL384" s="252"/>
      <c r="NAM384" s="252"/>
      <c r="NAN384" s="252"/>
      <c r="NAO384" s="252"/>
      <c r="NAP384" s="252"/>
      <c r="NAQ384" s="252"/>
      <c r="NAR384" s="252"/>
      <c r="NAS384" s="252"/>
      <c r="NAT384" s="252"/>
      <c r="NAU384" s="252"/>
      <c r="NAV384" s="252"/>
      <c r="NAW384" s="252"/>
      <c r="NAX384" s="252"/>
      <c r="NAY384" s="252"/>
      <c r="NAZ384" s="252"/>
      <c r="NBA384" s="252"/>
      <c r="NBB384" s="252"/>
      <c r="NBC384" s="252"/>
      <c r="NBD384" s="252"/>
      <c r="NBE384" s="252"/>
      <c r="NBF384" s="252"/>
      <c r="NBG384" s="252"/>
      <c r="NBH384" s="252"/>
      <c r="NBI384" s="252"/>
      <c r="NBJ384" s="252"/>
      <c r="NBK384" s="252"/>
      <c r="NBL384" s="252"/>
      <c r="NBM384" s="252"/>
      <c r="NBN384" s="252"/>
      <c r="NBO384" s="252"/>
      <c r="NBP384" s="252"/>
      <c r="NBQ384" s="252"/>
      <c r="NBR384" s="252"/>
      <c r="NBS384" s="252"/>
      <c r="NBT384" s="252"/>
      <c r="NBU384" s="252"/>
      <c r="NBV384" s="252"/>
      <c r="NBW384" s="252"/>
      <c r="NBX384" s="252"/>
      <c r="NBY384" s="252"/>
      <c r="NBZ384" s="252"/>
      <c r="NCA384" s="252"/>
      <c r="NCB384" s="252"/>
      <c r="NCC384" s="252"/>
      <c r="NCD384" s="252"/>
      <c r="NCE384" s="252"/>
      <c r="NCF384" s="252"/>
      <c r="NCG384" s="252"/>
      <c r="NCH384" s="252"/>
      <c r="NCI384" s="252"/>
      <c r="NCJ384" s="252"/>
      <c r="NCK384" s="252"/>
      <c r="NCL384" s="252"/>
      <c r="NCM384" s="252"/>
      <c r="NCN384" s="252"/>
      <c r="NCO384" s="252"/>
      <c r="NCP384" s="252"/>
      <c r="NCQ384" s="252"/>
      <c r="NCR384" s="252"/>
      <c r="NCS384" s="252"/>
      <c r="NCT384" s="252"/>
      <c r="NCU384" s="252"/>
      <c r="NCV384" s="252"/>
      <c r="NCW384" s="252"/>
      <c r="NCX384" s="252"/>
      <c r="NCY384" s="252"/>
      <c r="NCZ384" s="252"/>
      <c r="NDA384" s="252"/>
      <c r="NDB384" s="252"/>
      <c r="NDC384" s="252"/>
      <c r="NDD384" s="252"/>
      <c r="NDE384" s="252"/>
      <c r="NDF384" s="252"/>
      <c r="NDG384" s="252"/>
      <c r="NDH384" s="252"/>
      <c r="NDI384" s="252"/>
      <c r="NDJ384" s="252"/>
      <c r="NDK384" s="252"/>
      <c r="NDL384" s="252"/>
      <c r="NDM384" s="252"/>
      <c r="NDN384" s="252"/>
      <c r="NDO384" s="252"/>
      <c r="NDP384" s="252"/>
      <c r="NDQ384" s="252"/>
      <c r="NDR384" s="252"/>
      <c r="NDS384" s="252"/>
      <c r="NDT384" s="252"/>
      <c r="NDU384" s="252"/>
      <c r="NDV384" s="252"/>
      <c r="NDW384" s="252"/>
      <c r="NDX384" s="252"/>
      <c r="NDY384" s="252"/>
      <c r="NDZ384" s="252"/>
      <c r="NEA384" s="252"/>
      <c r="NEB384" s="252"/>
      <c r="NEC384" s="252"/>
      <c r="NED384" s="252"/>
      <c r="NEE384" s="252"/>
      <c r="NEF384" s="252"/>
      <c r="NEG384" s="252"/>
      <c r="NEH384" s="252"/>
      <c r="NEI384" s="252"/>
      <c r="NEJ384" s="252"/>
      <c r="NEK384" s="252"/>
      <c r="NEL384" s="252"/>
      <c r="NEM384" s="252"/>
      <c r="NEN384" s="252"/>
      <c r="NEO384" s="252"/>
      <c r="NEP384" s="252"/>
      <c r="NEQ384" s="252"/>
      <c r="NER384" s="252"/>
      <c r="NES384" s="252"/>
      <c r="NET384" s="252"/>
      <c r="NEU384" s="252"/>
      <c r="NEV384" s="252"/>
      <c r="NEW384" s="252"/>
      <c r="NEX384" s="252"/>
      <c r="NEY384" s="252"/>
      <c r="NEZ384" s="252"/>
      <c r="NFA384" s="252"/>
      <c r="NFB384" s="252"/>
      <c r="NFC384" s="252"/>
      <c r="NFD384" s="252"/>
      <c r="NFE384" s="252"/>
      <c r="NFF384" s="252"/>
      <c r="NFG384" s="252"/>
      <c r="NFH384" s="252"/>
      <c r="NFI384" s="252"/>
      <c r="NFJ384" s="252"/>
      <c r="NFK384" s="252"/>
      <c r="NFL384" s="252"/>
      <c r="NFM384" s="252"/>
      <c r="NFN384" s="252"/>
      <c r="NFO384" s="252"/>
      <c r="NFP384" s="252"/>
      <c r="NFQ384" s="252"/>
      <c r="NFR384" s="252"/>
      <c r="NFS384" s="252"/>
      <c r="NFT384" s="252"/>
      <c r="NFU384" s="252"/>
      <c r="NFV384" s="252"/>
      <c r="NFW384" s="252"/>
      <c r="NFX384" s="252"/>
      <c r="NFY384" s="252"/>
      <c r="NFZ384" s="252"/>
      <c r="NGA384" s="252"/>
      <c r="NGB384" s="252"/>
      <c r="NGC384" s="252"/>
      <c r="NGD384" s="252"/>
      <c r="NGE384" s="252"/>
      <c r="NGF384" s="252"/>
      <c r="NGG384" s="252"/>
      <c r="NGH384" s="252"/>
      <c r="NGI384" s="252"/>
      <c r="NGJ384" s="252"/>
      <c r="NGK384" s="252"/>
      <c r="NGL384" s="252"/>
      <c r="NGM384" s="252"/>
      <c r="NGN384" s="252"/>
      <c r="NGO384" s="252"/>
      <c r="NGP384" s="252"/>
      <c r="NGQ384" s="252"/>
      <c r="NGR384" s="252"/>
      <c r="NGS384" s="252"/>
      <c r="NGT384" s="252"/>
      <c r="NGU384" s="252"/>
      <c r="NGV384" s="252"/>
      <c r="NGW384" s="252"/>
      <c r="NGX384" s="252"/>
      <c r="NGY384" s="252"/>
      <c r="NGZ384" s="252"/>
      <c r="NHA384" s="252"/>
      <c r="NHB384" s="252"/>
      <c r="NHC384" s="252"/>
      <c r="NHD384" s="252"/>
      <c r="NHE384" s="252"/>
      <c r="NHF384" s="252"/>
      <c r="NHG384" s="252"/>
      <c r="NHH384" s="252"/>
      <c r="NHI384" s="252"/>
      <c r="NHJ384" s="252"/>
      <c r="NHK384" s="252"/>
      <c r="NHL384" s="252"/>
      <c r="NHM384" s="252"/>
      <c r="NHN384" s="252"/>
      <c r="NHO384" s="252"/>
      <c r="NHP384" s="252"/>
      <c r="NHQ384" s="252"/>
      <c r="NHR384" s="252"/>
      <c r="NHS384" s="252"/>
      <c r="NHT384" s="252"/>
      <c r="NHU384" s="252"/>
      <c r="NHV384" s="252"/>
      <c r="NHW384" s="252"/>
      <c r="NHX384" s="252"/>
      <c r="NHY384" s="252"/>
      <c r="NHZ384" s="252"/>
      <c r="NIA384" s="252"/>
      <c r="NIB384" s="252"/>
      <c r="NIC384" s="252"/>
      <c r="NID384" s="252"/>
      <c r="NIE384" s="252"/>
      <c r="NIF384" s="252"/>
      <c r="NIG384" s="252"/>
      <c r="NIH384" s="252"/>
      <c r="NII384" s="252"/>
      <c r="NIJ384" s="252"/>
      <c r="NIK384" s="252"/>
      <c r="NIL384" s="252"/>
      <c r="NIM384" s="252"/>
      <c r="NIN384" s="252"/>
      <c r="NIO384" s="252"/>
      <c r="NIP384" s="252"/>
      <c r="NIQ384" s="252"/>
      <c r="NIR384" s="252"/>
      <c r="NIS384" s="252"/>
      <c r="NIT384" s="252"/>
      <c r="NIU384" s="252"/>
      <c r="NIV384" s="252"/>
      <c r="NIW384" s="252"/>
      <c r="NIX384" s="252"/>
      <c r="NIY384" s="252"/>
      <c r="NIZ384" s="252"/>
      <c r="NJA384" s="252"/>
      <c r="NJB384" s="252"/>
      <c r="NJC384" s="252"/>
      <c r="NJD384" s="252"/>
      <c r="NJE384" s="252"/>
      <c r="NJF384" s="252"/>
      <c r="NJG384" s="252"/>
      <c r="NJH384" s="252"/>
      <c r="NJI384" s="252"/>
      <c r="NJJ384" s="252"/>
      <c r="NJK384" s="252"/>
      <c r="NJL384" s="252"/>
      <c r="NJM384" s="252"/>
      <c r="NJN384" s="252"/>
      <c r="NJO384" s="252"/>
      <c r="NJP384" s="252"/>
      <c r="NJQ384" s="252"/>
      <c r="NJR384" s="252"/>
      <c r="NJS384" s="252"/>
      <c r="NJT384" s="252"/>
      <c r="NJU384" s="252"/>
      <c r="NJV384" s="252"/>
      <c r="NJW384" s="252"/>
      <c r="NJX384" s="252"/>
      <c r="NJY384" s="252"/>
      <c r="NJZ384" s="252"/>
      <c r="NKA384" s="252"/>
      <c r="NKB384" s="252"/>
      <c r="NKC384" s="252"/>
      <c r="NKD384" s="252"/>
      <c r="NKE384" s="252"/>
      <c r="NKF384" s="252"/>
      <c r="NKG384" s="252"/>
      <c r="NKH384" s="252"/>
      <c r="NKI384" s="252"/>
      <c r="NKJ384" s="252"/>
      <c r="NKK384" s="252"/>
      <c r="NKL384" s="252"/>
      <c r="NKM384" s="252"/>
      <c r="NKN384" s="252"/>
      <c r="NKO384" s="252"/>
      <c r="NKP384" s="252"/>
      <c r="NKQ384" s="252"/>
      <c r="NKR384" s="252"/>
      <c r="NKS384" s="252"/>
      <c r="NKT384" s="252"/>
      <c r="NKU384" s="252"/>
      <c r="NKV384" s="252"/>
      <c r="NKW384" s="252"/>
      <c r="NKX384" s="252"/>
      <c r="NKY384" s="252"/>
      <c r="NKZ384" s="252"/>
      <c r="NLA384" s="252"/>
      <c r="NLB384" s="252"/>
      <c r="NLC384" s="252"/>
      <c r="NLD384" s="252"/>
      <c r="NLE384" s="252"/>
      <c r="NLF384" s="252"/>
      <c r="NLG384" s="252"/>
      <c r="NLH384" s="252"/>
      <c r="NLI384" s="252"/>
      <c r="NLJ384" s="252"/>
      <c r="NLK384" s="252"/>
      <c r="NLL384" s="252"/>
      <c r="NLM384" s="252"/>
      <c r="NLN384" s="252"/>
      <c r="NLO384" s="252"/>
      <c r="NLP384" s="252"/>
      <c r="NLQ384" s="252"/>
      <c r="NLR384" s="252"/>
      <c r="NLS384" s="252"/>
      <c r="NLT384" s="252"/>
      <c r="NLU384" s="252"/>
      <c r="NLV384" s="252"/>
      <c r="NLW384" s="252"/>
      <c r="NLX384" s="252"/>
      <c r="NLY384" s="252"/>
      <c r="NLZ384" s="252"/>
      <c r="NMA384" s="252"/>
      <c r="NMB384" s="252"/>
      <c r="NMC384" s="252"/>
      <c r="NMD384" s="252"/>
      <c r="NME384" s="252"/>
      <c r="NMF384" s="252"/>
      <c r="NMG384" s="252"/>
      <c r="NMH384" s="252"/>
      <c r="NMI384" s="252"/>
      <c r="NMJ384" s="252"/>
      <c r="NMK384" s="252"/>
      <c r="NML384" s="252"/>
      <c r="NMM384" s="252"/>
      <c r="NMN384" s="252"/>
      <c r="NMO384" s="252"/>
      <c r="NMP384" s="252"/>
      <c r="NMQ384" s="252"/>
      <c r="NMR384" s="252"/>
      <c r="NMS384" s="252"/>
      <c r="NMT384" s="252"/>
      <c r="NMU384" s="252"/>
      <c r="NMV384" s="252"/>
      <c r="NMW384" s="252"/>
      <c r="NMX384" s="252"/>
      <c r="NMY384" s="252"/>
      <c r="NMZ384" s="252"/>
      <c r="NNA384" s="252"/>
      <c r="NNB384" s="252"/>
      <c r="NNC384" s="252"/>
      <c r="NND384" s="252"/>
      <c r="NNE384" s="252"/>
      <c r="NNF384" s="252"/>
      <c r="NNG384" s="252"/>
      <c r="NNH384" s="252"/>
      <c r="NNI384" s="252"/>
      <c r="NNJ384" s="252"/>
      <c r="NNK384" s="252"/>
      <c r="NNL384" s="252"/>
      <c r="NNM384" s="252"/>
      <c r="NNN384" s="252"/>
      <c r="NNO384" s="252"/>
      <c r="NNP384" s="252"/>
      <c r="NNQ384" s="252"/>
      <c r="NNR384" s="252"/>
      <c r="NNS384" s="252"/>
      <c r="NNT384" s="252"/>
      <c r="NNU384" s="252"/>
      <c r="NNV384" s="252"/>
      <c r="NNW384" s="252"/>
      <c r="NNX384" s="252"/>
      <c r="NNY384" s="252"/>
      <c r="NNZ384" s="252"/>
      <c r="NOA384" s="252"/>
      <c r="NOB384" s="252"/>
      <c r="NOC384" s="252"/>
      <c r="NOD384" s="252"/>
      <c r="NOE384" s="252"/>
      <c r="NOF384" s="252"/>
      <c r="NOG384" s="252"/>
      <c r="NOH384" s="252"/>
      <c r="NOI384" s="252"/>
      <c r="NOJ384" s="252"/>
      <c r="NOK384" s="252"/>
      <c r="NOL384" s="252"/>
      <c r="NOM384" s="252"/>
      <c r="NON384" s="252"/>
      <c r="NOO384" s="252"/>
      <c r="NOP384" s="252"/>
      <c r="NOQ384" s="252"/>
      <c r="NOR384" s="252"/>
      <c r="NOS384" s="252"/>
      <c r="NOT384" s="252"/>
      <c r="NOU384" s="252"/>
      <c r="NOV384" s="252"/>
      <c r="NOW384" s="252"/>
      <c r="NOX384" s="252"/>
      <c r="NOY384" s="252"/>
      <c r="NOZ384" s="252"/>
      <c r="NPA384" s="252"/>
      <c r="NPB384" s="252"/>
      <c r="NPC384" s="252"/>
      <c r="NPD384" s="252"/>
      <c r="NPE384" s="252"/>
      <c r="NPF384" s="252"/>
      <c r="NPG384" s="252"/>
      <c r="NPH384" s="252"/>
      <c r="NPI384" s="252"/>
      <c r="NPJ384" s="252"/>
      <c r="NPK384" s="252"/>
      <c r="NPL384" s="252"/>
      <c r="NPM384" s="252"/>
      <c r="NPN384" s="252"/>
      <c r="NPO384" s="252"/>
      <c r="NPP384" s="252"/>
      <c r="NPQ384" s="252"/>
      <c r="NPR384" s="252"/>
      <c r="NPS384" s="252"/>
      <c r="NPT384" s="252"/>
      <c r="NPU384" s="252"/>
      <c r="NPV384" s="252"/>
      <c r="NPW384" s="252"/>
      <c r="NPX384" s="252"/>
      <c r="NPY384" s="252"/>
      <c r="NPZ384" s="252"/>
      <c r="NQA384" s="252"/>
      <c r="NQB384" s="252"/>
      <c r="NQC384" s="252"/>
      <c r="NQD384" s="252"/>
      <c r="NQE384" s="252"/>
      <c r="NQF384" s="252"/>
      <c r="NQG384" s="252"/>
      <c r="NQH384" s="252"/>
      <c r="NQI384" s="252"/>
      <c r="NQJ384" s="252"/>
      <c r="NQK384" s="252"/>
      <c r="NQL384" s="252"/>
      <c r="NQM384" s="252"/>
      <c r="NQN384" s="252"/>
      <c r="NQO384" s="252"/>
      <c r="NQP384" s="252"/>
      <c r="NQQ384" s="252"/>
      <c r="NQR384" s="252"/>
      <c r="NQS384" s="252"/>
      <c r="NQT384" s="252"/>
      <c r="NQU384" s="252"/>
      <c r="NQV384" s="252"/>
      <c r="NQW384" s="252"/>
      <c r="NQX384" s="252"/>
      <c r="NQY384" s="252"/>
      <c r="NQZ384" s="252"/>
      <c r="NRA384" s="252"/>
      <c r="NRB384" s="252"/>
      <c r="NRC384" s="252"/>
      <c r="NRD384" s="252"/>
      <c r="NRE384" s="252"/>
      <c r="NRF384" s="252"/>
      <c r="NRG384" s="252"/>
      <c r="NRH384" s="252"/>
      <c r="NRI384" s="252"/>
      <c r="NRJ384" s="252"/>
      <c r="NRK384" s="252"/>
      <c r="NRL384" s="252"/>
      <c r="NRM384" s="252"/>
      <c r="NRN384" s="252"/>
      <c r="NRO384" s="252"/>
      <c r="NRP384" s="252"/>
      <c r="NRQ384" s="252"/>
      <c r="NRR384" s="252"/>
      <c r="NRS384" s="252"/>
      <c r="NRT384" s="252"/>
      <c r="NRU384" s="252"/>
      <c r="NRV384" s="252"/>
      <c r="NRW384" s="252"/>
      <c r="NRX384" s="252"/>
      <c r="NRY384" s="252"/>
      <c r="NRZ384" s="252"/>
      <c r="NSA384" s="252"/>
      <c r="NSB384" s="252"/>
      <c r="NSC384" s="252"/>
      <c r="NSD384" s="252"/>
      <c r="NSE384" s="252"/>
      <c r="NSF384" s="252"/>
      <c r="NSG384" s="252"/>
      <c r="NSH384" s="252"/>
      <c r="NSI384" s="252"/>
      <c r="NSJ384" s="252"/>
      <c r="NSK384" s="252"/>
      <c r="NSL384" s="252"/>
      <c r="NSM384" s="252"/>
      <c r="NSN384" s="252"/>
      <c r="NSO384" s="252"/>
      <c r="NSP384" s="252"/>
      <c r="NSQ384" s="252"/>
      <c r="NSR384" s="252"/>
      <c r="NSS384" s="252"/>
      <c r="NST384" s="252"/>
      <c r="NSU384" s="252"/>
      <c r="NSV384" s="252"/>
      <c r="NSW384" s="252"/>
      <c r="NSX384" s="252"/>
      <c r="NSY384" s="252"/>
      <c r="NSZ384" s="252"/>
      <c r="NTA384" s="252"/>
      <c r="NTB384" s="252"/>
      <c r="NTC384" s="252"/>
      <c r="NTD384" s="252"/>
      <c r="NTE384" s="252"/>
      <c r="NTF384" s="252"/>
      <c r="NTG384" s="252"/>
      <c r="NTH384" s="252"/>
      <c r="NTI384" s="252"/>
      <c r="NTJ384" s="252"/>
      <c r="NTK384" s="252"/>
      <c r="NTL384" s="252"/>
      <c r="NTM384" s="252"/>
      <c r="NTN384" s="252"/>
      <c r="NTO384" s="252"/>
      <c r="NTP384" s="252"/>
      <c r="NTQ384" s="252"/>
      <c r="NTR384" s="252"/>
      <c r="NTS384" s="252"/>
      <c r="NTT384" s="252"/>
      <c r="NTU384" s="252"/>
      <c r="NTV384" s="252"/>
      <c r="NTW384" s="252"/>
      <c r="NTX384" s="252"/>
      <c r="NTY384" s="252"/>
      <c r="NTZ384" s="252"/>
      <c r="NUA384" s="252"/>
      <c r="NUB384" s="252"/>
      <c r="NUC384" s="252"/>
      <c r="NUD384" s="252"/>
      <c r="NUE384" s="252"/>
      <c r="NUF384" s="252"/>
      <c r="NUG384" s="252"/>
      <c r="NUH384" s="252"/>
      <c r="NUI384" s="252"/>
      <c r="NUJ384" s="252"/>
      <c r="NUK384" s="252"/>
      <c r="NUL384" s="252"/>
      <c r="NUM384" s="252"/>
      <c r="NUN384" s="252"/>
      <c r="NUO384" s="252"/>
      <c r="NUP384" s="252"/>
      <c r="NUQ384" s="252"/>
      <c r="NUR384" s="252"/>
      <c r="NUS384" s="252"/>
      <c r="NUT384" s="252"/>
      <c r="NUU384" s="252"/>
      <c r="NUV384" s="252"/>
      <c r="NUW384" s="252"/>
      <c r="NUX384" s="252"/>
      <c r="NUY384" s="252"/>
      <c r="NUZ384" s="252"/>
      <c r="NVA384" s="252"/>
      <c r="NVB384" s="252"/>
      <c r="NVC384" s="252"/>
      <c r="NVD384" s="252"/>
      <c r="NVE384" s="252"/>
      <c r="NVF384" s="252"/>
      <c r="NVG384" s="252"/>
      <c r="NVH384" s="252"/>
      <c r="NVI384" s="252"/>
      <c r="NVJ384" s="252"/>
      <c r="NVK384" s="252"/>
      <c r="NVL384" s="252"/>
      <c r="NVM384" s="252"/>
      <c r="NVN384" s="252"/>
      <c r="NVO384" s="252"/>
      <c r="NVP384" s="252"/>
      <c r="NVQ384" s="252"/>
      <c r="NVR384" s="252"/>
      <c r="NVS384" s="252"/>
      <c r="NVT384" s="252"/>
      <c r="NVU384" s="252"/>
      <c r="NVV384" s="252"/>
      <c r="NVW384" s="252"/>
      <c r="NVX384" s="252"/>
      <c r="NVY384" s="252"/>
      <c r="NVZ384" s="252"/>
      <c r="NWA384" s="252"/>
      <c r="NWB384" s="252"/>
      <c r="NWC384" s="252"/>
      <c r="NWD384" s="252"/>
      <c r="NWE384" s="252"/>
      <c r="NWF384" s="252"/>
      <c r="NWG384" s="252"/>
      <c r="NWH384" s="252"/>
      <c r="NWI384" s="252"/>
      <c r="NWJ384" s="252"/>
      <c r="NWK384" s="252"/>
      <c r="NWL384" s="252"/>
      <c r="NWM384" s="252"/>
      <c r="NWN384" s="252"/>
      <c r="NWO384" s="252"/>
      <c r="NWP384" s="252"/>
      <c r="NWQ384" s="252"/>
      <c r="NWR384" s="252"/>
      <c r="NWS384" s="252"/>
      <c r="NWT384" s="252"/>
      <c r="NWU384" s="252"/>
      <c r="NWV384" s="252"/>
      <c r="NWW384" s="252"/>
      <c r="NWX384" s="252"/>
      <c r="NWY384" s="252"/>
      <c r="NWZ384" s="252"/>
      <c r="NXA384" s="252"/>
      <c r="NXB384" s="252"/>
      <c r="NXC384" s="252"/>
      <c r="NXD384" s="252"/>
      <c r="NXE384" s="252"/>
      <c r="NXF384" s="252"/>
      <c r="NXG384" s="252"/>
      <c r="NXH384" s="252"/>
      <c r="NXI384" s="252"/>
      <c r="NXJ384" s="252"/>
      <c r="NXK384" s="252"/>
      <c r="NXL384" s="252"/>
      <c r="NXM384" s="252"/>
      <c r="NXN384" s="252"/>
      <c r="NXO384" s="252"/>
      <c r="NXP384" s="252"/>
      <c r="NXQ384" s="252"/>
      <c r="NXR384" s="252"/>
      <c r="NXS384" s="252"/>
      <c r="NXT384" s="252"/>
      <c r="NXU384" s="252"/>
      <c r="NXV384" s="252"/>
      <c r="NXW384" s="252"/>
      <c r="NXX384" s="252"/>
      <c r="NXY384" s="252"/>
      <c r="NXZ384" s="252"/>
      <c r="NYA384" s="252"/>
      <c r="NYB384" s="252"/>
      <c r="NYC384" s="252"/>
      <c r="NYD384" s="252"/>
      <c r="NYE384" s="252"/>
      <c r="NYF384" s="252"/>
      <c r="NYG384" s="252"/>
      <c r="NYH384" s="252"/>
      <c r="NYI384" s="252"/>
      <c r="NYJ384" s="252"/>
      <c r="NYK384" s="252"/>
      <c r="NYL384" s="252"/>
      <c r="NYM384" s="252"/>
      <c r="NYN384" s="252"/>
      <c r="NYO384" s="252"/>
      <c r="NYP384" s="252"/>
      <c r="NYQ384" s="252"/>
      <c r="NYR384" s="252"/>
      <c r="NYS384" s="252"/>
      <c r="NYT384" s="252"/>
      <c r="NYU384" s="252"/>
      <c r="NYV384" s="252"/>
      <c r="NYW384" s="252"/>
      <c r="NYX384" s="252"/>
      <c r="NYY384" s="252"/>
      <c r="NYZ384" s="252"/>
      <c r="NZA384" s="252"/>
      <c r="NZB384" s="252"/>
      <c r="NZC384" s="252"/>
      <c r="NZD384" s="252"/>
      <c r="NZE384" s="252"/>
      <c r="NZF384" s="252"/>
      <c r="NZG384" s="252"/>
      <c r="NZH384" s="252"/>
      <c r="NZI384" s="252"/>
      <c r="NZJ384" s="252"/>
      <c r="NZK384" s="252"/>
      <c r="NZL384" s="252"/>
      <c r="NZM384" s="252"/>
      <c r="NZN384" s="252"/>
      <c r="NZO384" s="252"/>
      <c r="NZP384" s="252"/>
      <c r="NZQ384" s="252"/>
      <c r="NZR384" s="252"/>
      <c r="NZS384" s="252"/>
      <c r="NZT384" s="252"/>
      <c r="NZU384" s="252"/>
      <c r="NZV384" s="252"/>
      <c r="NZW384" s="252"/>
      <c r="NZX384" s="252"/>
      <c r="NZY384" s="252"/>
      <c r="NZZ384" s="252"/>
      <c r="OAA384" s="252"/>
      <c r="OAB384" s="252"/>
      <c r="OAC384" s="252"/>
      <c r="OAD384" s="252"/>
      <c r="OAE384" s="252"/>
      <c r="OAF384" s="252"/>
      <c r="OAG384" s="252"/>
      <c r="OAH384" s="252"/>
      <c r="OAI384" s="252"/>
      <c r="OAJ384" s="252"/>
      <c r="OAK384" s="252"/>
      <c r="OAL384" s="252"/>
      <c r="OAM384" s="252"/>
      <c r="OAN384" s="252"/>
      <c r="OAO384" s="252"/>
      <c r="OAP384" s="252"/>
      <c r="OAQ384" s="252"/>
      <c r="OAR384" s="252"/>
      <c r="OAS384" s="252"/>
      <c r="OAT384" s="252"/>
      <c r="OAU384" s="252"/>
      <c r="OAV384" s="252"/>
      <c r="OAW384" s="252"/>
      <c r="OAX384" s="252"/>
      <c r="OAY384" s="252"/>
      <c r="OAZ384" s="252"/>
      <c r="OBA384" s="252"/>
      <c r="OBB384" s="252"/>
      <c r="OBC384" s="252"/>
      <c r="OBD384" s="252"/>
      <c r="OBE384" s="252"/>
      <c r="OBF384" s="252"/>
      <c r="OBG384" s="252"/>
      <c r="OBH384" s="252"/>
      <c r="OBI384" s="252"/>
      <c r="OBJ384" s="252"/>
      <c r="OBK384" s="252"/>
      <c r="OBL384" s="252"/>
      <c r="OBM384" s="252"/>
      <c r="OBN384" s="252"/>
      <c r="OBO384" s="252"/>
      <c r="OBP384" s="252"/>
      <c r="OBQ384" s="252"/>
      <c r="OBR384" s="252"/>
      <c r="OBS384" s="252"/>
      <c r="OBT384" s="252"/>
      <c r="OBU384" s="252"/>
      <c r="OBV384" s="252"/>
      <c r="OBW384" s="252"/>
      <c r="OBX384" s="252"/>
      <c r="OBY384" s="252"/>
      <c r="OBZ384" s="252"/>
      <c r="OCA384" s="252"/>
      <c r="OCB384" s="252"/>
      <c r="OCC384" s="252"/>
      <c r="OCD384" s="252"/>
      <c r="OCE384" s="252"/>
      <c r="OCF384" s="252"/>
      <c r="OCG384" s="252"/>
      <c r="OCH384" s="252"/>
      <c r="OCI384" s="252"/>
      <c r="OCJ384" s="252"/>
      <c r="OCK384" s="252"/>
      <c r="OCL384" s="252"/>
      <c r="OCM384" s="252"/>
      <c r="OCN384" s="252"/>
      <c r="OCO384" s="252"/>
      <c r="OCP384" s="252"/>
      <c r="OCQ384" s="252"/>
      <c r="OCR384" s="252"/>
      <c r="OCS384" s="252"/>
      <c r="OCT384" s="252"/>
      <c r="OCU384" s="252"/>
      <c r="OCV384" s="252"/>
      <c r="OCW384" s="252"/>
      <c r="OCX384" s="252"/>
      <c r="OCY384" s="252"/>
      <c r="OCZ384" s="252"/>
      <c r="ODA384" s="252"/>
      <c r="ODB384" s="252"/>
      <c r="ODC384" s="252"/>
      <c r="ODD384" s="252"/>
      <c r="ODE384" s="252"/>
      <c r="ODF384" s="252"/>
      <c r="ODG384" s="252"/>
      <c r="ODH384" s="252"/>
      <c r="ODI384" s="252"/>
      <c r="ODJ384" s="252"/>
      <c r="ODK384" s="252"/>
      <c r="ODL384" s="252"/>
      <c r="ODM384" s="252"/>
      <c r="ODN384" s="252"/>
      <c r="ODO384" s="252"/>
      <c r="ODP384" s="252"/>
      <c r="ODQ384" s="252"/>
      <c r="ODR384" s="252"/>
      <c r="ODS384" s="252"/>
      <c r="ODT384" s="252"/>
      <c r="ODU384" s="252"/>
      <c r="ODV384" s="252"/>
      <c r="ODW384" s="252"/>
      <c r="ODX384" s="252"/>
      <c r="ODY384" s="252"/>
      <c r="ODZ384" s="252"/>
      <c r="OEA384" s="252"/>
      <c r="OEB384" s="252"/>
      <c r="OEC384" s="252"/>
      <c r="OED384" s="252"/>
      <c r="OEE384" s="252"/>
      <c r="OEF384" s="252"/>
      <c r="OEG384" s="252"/>
      <c r="OEH384" s="252"/>
      <c r="OEI384" s="252"/>
      <c r="OEJ384" s="252"/>
      <c r="OEK384" s="252"/>
      <c r="OEL384" s="252"/>
      <c r="OEM384" s="252"/>
      <c r="OEN384" s="252"/>
      <c r="OEO384" s="252"/>
      <c r="OEP384" s="252"/>
      <c r="OEQ384" s="252"/>
      <c r="OER384" s="252"/>
      <c r="OES384" s="252"/>
      <c r="OET384" s="252"/>
      <c r="OEU384" s="252"/>
      <c r="OEV384" s="252"/>
      <c r="OEW384" s="252"/>
      <c r="OEX384" s="252"/>
      <c r="OEY384" s="252"/>
      <c r="OEZ384" s="252"/>
      <c r="OFA384" s="252"/>
      <c r="OFB384" s="252"/>
      <c r="OFC384" s="252"/>
      <c r="OFD384" s="252"/>
      <c r="OFE384" s="252"/>
      <c r="OFF384" s="252"/>
      <c r="OFG384" s="252"/>
      <c r="OFH384" s="252"/>
      <c r="OFI384" s="252"/>
      <c r="OFJ384" s="252"/>
      <c r="OFK384" s="252"/>
      <c r="OFL384" s="252"/>
      <c r="OFM384" s="252"/>
      <c r="OFN384" s="252"/>
      <c r="OFO384" s="252"/>
      <c r="OFP384" s="252"/>
      <c r="OFQ384" s="252"/>
      <c r="OFR384" s="252"/>
      <c r="OFS384" s="252"/>
      <c r="OFT384" s="252"/>
      <c r="OFU384" s="252"/>
      <c r="OFV384" s="252"/>
      <c r="OFW384" s="252"/>
      <c r="OFX384" s="252"/>
      <c r="OFY384" s="252"/>
      <c r="OFZ384" s="252"/>
      <c r="OGA384" s="252"/>
      <c r="OGB384" s="252"/>
      <c r="OGC384" s="252"/>
      <c r="OGD384" s="252"/>
      <c r="OGE384" s="252"/>
      <c r="OGF384" s="252"/>
      <c r="OGG384" s="252"/>
      <c r="OGH384" s="252"/>
      <c r="OGI384" s="252"/>
      <c r="OGJ384" s="252"/>
      <c r="OGK384" s="252"/>
      <c r="OGL384" s="252"/>
      <c r="OGM384" s="252"/>
      <c r="OGN384" s="252"/>
      <c r="OGO384" s="252"/>
      <c r="OGP384" s="252"/>
      <c r="OGQ384" s="252"/>
      <c r="OGR384" s="252"/>
      <c r="OGS384" s="252"/>
      <c r="OGT384" s="252"/>
      <c r="OGU384" s="252"/>
      <c r="OGV384" s="252"/>
      <c r="OGW384" s="252"/>
      <c r="OGX384" s="252"/>
      <c r="OGY384" s="252"/>
      <c r="OGZ384" s="252"/>
      <c r="OHA384" s="252"/>
      <c r="OHB384" s="252"/>
      <c r="OHC384" s="252"/>
      <c r="OHD384" s="252"/>
      <c r="OHE384" s="252"/>
      <c r="OHF384" s="252"/>
      <c r="OHG384" s="252"/>
      <c r="OHH384" s="252"/>
      <c r="OHI384" s="252"/>
      <c r="OHJ384" s="252"/>
      <c r="OHK384" s="252"/>
      <c r="OHL384" s="252"/>
      <c r="OHM384" s="252"/>
      <c r="OHN384" s="252"/>
      <c r="OHO384" s="252"/>
      <c r="OHP384" s="252"/>
      <c r="OHQ384" s="252"/>
      <c r="OHR384" s="252"/>
      <c r="OHS384" s="252"/>
      <c r="OHT384" s="252"/>
      <c r="OHU384" s="252"/>
      <c r="OHV384" s="252"/>
      <c r="OHW384" s="252"/>
      <c r="OHX384" s="252"/>
      <c r="OHY384" s="252"/>
      <c r="OHZ384" s="252"/>
      <c r="OIA384" s="252"/>
      <c r="OIB384" s="252"/>
      <c r="OIC384" s="252"/>
      <c r="OID384" s="252"/>
      <c r="OIE384" s="252"/>
      <c r="OIF384" s="252"/>
      <c r="OIG384" s="252"/>
      <c r="OIH384" s="252"/>
      <c r="OII384" s="252"/>
      <c r="OIJ384" s="252"/>
      <c r="OIK384" s="252"/>
      <c r="OIL384" s="252"/>
      <c r="OIM384" s="252"/>
      <c r="OIN384" s="252"/>
      <c r="OIO384" s="252"/>
      <c r="OIP384" s="252"/>
      <c r="OIQ384" s="252"/>
      <c r="OIR384" s="252"/>
      <c r="OIS384" s="252"/>
      <c r="OIT384" s="252"/>
      <c r="OIU384" s="252"/>
      <c r="OIV384" s="252"/>
      <c r="OIW384" s="252"/>
      <c r="OIX384" s="252"/>
      <c r="OIY384" s="252"/>
      <c r="OIZ384" s="252"/>
      <c r="OJA384" s="252"/>
      <c r="OJB384" s="252"/>
      <c r="OJC384" s="252"/>
      <c r="OJD384" s="252"/>
      <c r="OJE384" s="252"/>
      <c r="OJF384" s="252"/>
      <c r="OJG384" s="252"/>
      <c r="OJH384" s="252"/>
      <c r="OJI384" s="252"/>
      <c r="OJJ384" s="252"/>
      <c r="OJK384" s="252"/>
      <c r="OJL384" s="252"/>
      <c r="OJM384" s="252"/>
      <c r="OJN384" s="252"/>
      <c r="OJO384" s="252"/>
      <c r="OJP384" s="252"/>
      <c r="OJQ384" s="252"/>
      <c r="OJR384" s="252"/>
      <c r="OJS384" s="252"/>
      <c r="OJT384" s="252"/>
      <c r="OJU384" s="252"/>
      <c r="OJV384" s="252"/>
      <c r="OJW384" s="252"/>
      <c r="OJX384" s="252"/>
      <c r="OJY384" s="252"/>
      <c r="OJZ384" s="252"/>
      <c r="OKA384" s="252"/>
      <c r="OKB384" s="252"/>
      <c r="OKC384" s="252"/>
      <c r="OKD384" s="252"/>
      <c r="OKE384" s="252"/>
      <c r="OKF384" s="252"/>
      <c r="OKG384" s="252"/>
      <c r="OKH384" s="252"/>
      <c r="OKI384" s="252"/>
      <c r="OKJ384" s="252"/>
      <c r="OKK384" s="252"/>
      <c r="OKL384" s="252"/>
      <c r="OKM384" s="252"/>
      <c r="OKN384" s="252"/>
      <c r="OKO384" s="252"/>
      <c r="OKP384" s="252"/>
      <c r="OKQ384" s="252"/>
      <c r="OKR384" s="252"/>
      <c r="OKS384" s="252"/>
      <c r="OKT384" s="252"/>
      <c r="OKU384" s="252"/>
      <c r="OKV384" s="252"/>
      <c r="OKW384" s="252"/>
      <c r="OKX384" s="252"/>
      <c r="OKY384" s="252"/>
      <c r="OKZ384" s="252"/>
      <c r="OLA384" s="252"/>
      <c r="OLB384" s="252"/>
      <c r="OLC384" s="252"/>
      <c r="OLD384" s="252"/>
      <c r="OLE384" s="252"/>
      <c r="OLF384" s="252"/>
      <c r="OLG384" s="252"/>
      <c r="OLH384" s="252"/>
      <c r="OLI384" s="252"/>
      <c r="OLJ384" s="252"/>
      <c r="OLK384" s="252"/>
      <c r="OLL384" s="252"/>
      <c r="OLM384" s="252"/>
      <c r="OLN384" s="252"/>
      <c r="OLO384" s="252"/>
      <c r="OLP384" s="252"/>
      <c r="OLQ384" s="252"/>
      <c r="OLR384" s="252"/>
      <c r="OLS384" s="252"/>
      <c r="OLT384" s="252"/>
      <c r="OLU384" s="252"/>
      <c r="OLV384" s="252"/>
      <c r="OLW384" s="252"/>
      <c r="OLX384" s="252"/>
      <c r="OLY384" s="252"/>
      <c r="OLZ384" s="252"/>
      <c r="OMA384" s="252"/>
      <c r="OMB384" s="252"/>
      <c r="OMC384" s="252"/>
      <c r="OMD384" s="252"/>
      <c r="OME384" s="252"/>
      <c r="OMF384" s="252"/>
      <c r="OMG384" s="252"/>
      <c r="OMH384" s="252"/>
      <c r="OMI384" s="252"/>
      <c r="OMJ384" s="252"/>
      <c r="OMK384" s="252"/>
      <c r="OML384" s="252"/>
      <c r="OMM384" s="252"/>
      <c r="OMN384" s="252"/>
      <c r="OMO384" s="252"/>
      <c r="OMP384" s="252"/>
      <c r="OMQ384" s="252"/>
      <c r="OMR384" s="252"/>
      <c r="OMS384" s="252"/>
      <c r="OMT384" s="252"/>
      <c r="OMU384" s="252"/>
      <c r="OMV384" s="252"/>
      <c r="OMW384" s="252"/>
      <c r="OMX384" s="252"/>
      <c r="OMY384" s="252"/>
      <c r="OMZ384" s="252"/>
      <c r="ONA384" s="252"/>
      <c r="ONB384" s="252"/>
      <c r="ONC384" s="252"/>
      <c r="OND384" s="252"/>
      <c r="ONE384" s="252"/>
      <c r="ONF384" s="252"/>
      <c r="ONG384" s="252"/>
      <c r="ONH384" s="252"/>
      <c r="ONI384" s="252"/>
      <c r="ONJ384" s="252"/>
      <c r="ONK384" s="252"/>
      <c r="ONL384" s="252"/>
      <c r="ONM384" s="252"/>
      <c r="ONN384" s="252"/>
      <c r="ONO384" s="252"/>
      <c r="ONP384" s="252"/>
      <c r="ONQ384" s="252"/>
      <c r="ONR384" s="252"/>
      <c r="ONS384" s="252"/>
      <c r="ONT384" s="252"/>
      <c r="ONU384" s="252"/>
      <c r="ONV384" s="252"/>
      <c r="ONW384" s="252"/>
      <c r="ONX384" s="252"/>
      <c r="ONY384" s="252"/>
      <c r="ONZ384" s="252"/>
      <c r="OOA384" s="252"/>
      <c r="OOB384" s="252"/>
      <c r="OOC384" s="252"/>
      <c r="OOD384" s="252"/>
      <c r="OOE384" s="252"/>
      <c r="OOF384" s="252"/>
      <c r="OOG384" s="252"/>
      <c r="OOH384" s="252"/>
      <c r="OOI384" s="252"/>
      <c r="OOJ384" s="252"/>
      <c r="OOK384" s="252"/>
      <c r="OOL384" s="252"/>
      <c r="OOM384" s="252"/>
      <c r="OON384" s="252"/>
      <c r="OOO384" s="252"/>
      <c r="OOP384" s="252"/>
      <c r="OOQ384" s="252"/>
      <c r="OOR384" s="252"/>
      <c r="OOS384" s="252"/>
      <c r="OOT384" s="252"/>
      <c r="OOU384" s="252"/>
      <c r="OOV384" s="252"/>
      <c r="OOW384" s="252"/>
      <c r="OOX384" s="252"/>
      <c r="OOY384" s="252"/>
      <c r="OOZ384" s="252"/>
      <c r="OPA384" s="252"/>
      <c r="OPB384" s="252"/>
      <c r="OPC384" s="252"/>
      <c r="OPD384" s="252"/>
      <c r="OPE384" s="252"/>
      <c r="OPF384" s="252"/>
      <c r="OPG384" s="252"/>
      <c r="OPH384" s="252"/>
      <c r="OPI384" s="252"/>
      <c r="OPJ384" s="252"/>
      <c r="OPK384" s="252"/>
      <c r="OPL384" s="252"/>
      <c r="OPM384" s="252"/>
      <c r="OPN384" s="252"/>
      <c r="OPO384" s="252"/>
      <c r="OPP384" s="252"/>
      <c r="OPQ384" s="252"/>
      <c r="OPR384" s="252"/>
      <c r="OPS384" s="252"/>
      <c r="OPT384" s="252"/>
      <c r="OPU384" s="252"/>
      <c r="OPV384" s="252"/>
      <c r="OPW384" s="252"/>
      <c r="OPX384" s="252"/>
      <c r="OPY384" s="252"/>
      <c r="OPZ384" s="252"/>
      <c r="OQA384" s="252"/>
      <c r="OQB384" s="252"/>
      <c r="OQC384" s="252"/>
      <c r="OQD384" s="252"/>
      <c r="OQE384" s="252"/>
      <c r="OQF384" s="252"/>
      <c r="OQG384" s="252"/>
      <c r="OQH384" s="252"/>
      <c r="OQI384" s="252"/>
      <c r="OQJ384" s="252"/>
      <c r="OQK384" s="252"/>
      <c r="OQL384" s="252"/>
      <c r="OQM384" s="252"/>
      <c r="OQN384" s="252"/>
      <c r="OQO384" s="252"/>
      <c r="OQP384" s="252"/>
      <c r="OQQ384" s="252"/>
      <c r="OQR384" s="252"/>
      <c r="OQS384" s="252"/>
      <c r="OQT384" s="252"/>
      <c r="OQU384" s="252"/>
      <c r="OQV384" s="252"/>
      <c r="OQW384" s="252"/>
      <c r="OQX384" s="252"/>
      <c r="OQY384" s="252"/>
      <c r="OQZ384" s="252"/>
      <c r="ORA384" s="252"/>
      <c r="ORB384" s="252"/>
      <c r="ORC384" s="252"/>
      <c r="ORD384" s="252"/>
      <c r="ORE384" s="252"/>
      <c r="ORF384" s="252"/>
      <c r="ORG384" s="252"/>
      <c r="ORH384" s="252"/>
      <c r="ORI384" s="252"/>
      <c r="ORJ384" s="252"/>
      <c r="ORK384" s="252"/>
      <c r="ORL384" s="252"/>
      <c r="ORM384" s="252"/>
      <c r="ORN384" s="252"/>
      <c r="ORO384" s="252"/>
      <c r="ORP384" s="252"/>
      <c r="ORQ384" s="252"/>
      <c r="ORR384" s="252"/>
      <c r="ORS384" s="252"/>
      <c r="ORT384" s="252"/>
      <c r="ORU384" s="252"/>
      <c r="ORV384" s="252"/>
      <c r="ORW384" s="252"/>
      <c r="ORX384" s="252"/>
      <c r="ORY384" s="252"/>
      <c r="ORZ384" s="252"/>
      <c r="OSA384" s="252"/>
      <c r="OSB384" s="252"/>
      <c r="OSC384" s="252"/>
      <c r="OSD384" s="252"/>
      <c r="OSE384" s="252"/>
      <c r="OSF384" s="252"/>
      <c r="OSG384" s="252"/>
      <c r="OSH384" s="252"/>
      <c r="OSI384" s="252"/>
      <c r="OSJ384" s="252"/>
      <c r="OSK384" s="252"/>
      <c r="OSL384" s="252"/>
      <c r="OSM384" s="252"/>
      <c r="OSN384" s="252"/>
      <c r="OSO384" s="252"/>
      <c r="OSP384" s="252"/>
      <c r="OSQ384" s="252"/>
      <c r="OSR384" s="252"/>
      <c r="OSS384" s="252"/>
      <c r="OST384" s="252"/>
      <c r="OSU384" s="252"/>
      <c r="OSV384" s="252"/>
      <c r="OSW384" s="252"/>
      <c r="OSX384" s="252"/>
      <c r="OSY384" s="252"/>
      <c r="OSZ384" s="252"/>
      <c r="OTA384" s="252"/>
      <c r="OTB384" s="252"/>
      <c r="OTC384" s="252"/>
      <c r="OTD384" s="252"/>
      <c r="OTE384" s="252"/>
      <c r="OTF384" s="252"/>
      <c r="OTG384" s="252"/>
      <c r="OTH384" s="252"/>
      <c r="OTI384" s="252"/>
      <c r="OTJ384" s="252"/>
      <c r="OTK384" s="252"/>
      <c r="OTL384" s="252"/>
      <c r="OTM384" s="252"/>
      <c r="OTN384" s="252"/>
      <c r="OTO384" s="252"/>
      <c r="OTP384" s="252"/>
      <c r="OTQ384" s="252"/>
      <c r="OTR384" s="252"/>
      <c r="OTS384" s="252"/>
      <c r="OTT384" s="252"/>
      <c r="OTU384" s="252"/>
      <c r="OTV384" s="252"/>
      <c r="OTW384" s="252"/>
      <c r="OTX384" s="252"/>
      <c r="OTY384" s="252"/>
      <c r="OTZ384" s="252"/>
      <c r="OUA384" s="252"/>
      <c r="OUB384" s="252"/>
      <c r="OUC384" s="252"/>
      <c r="OUD384" s="252"/>
      <c r="OUE384" s="252"/>
      <c r="OUF384" s="252"/>
      <c r="OUG384" s="252"/>
      <c r="OUH384" s="252"/>
      <c r="OUI384" s="252"/>
      <c r="OUJ384" s="252"/>
      <c r="OUK384" s="252"/>
      <c r="OUL384" s="252"/>
      <c r="OUM384" s="252"/>
      <c r="OUN384" s="252"/>
      <c r="OUO384" s="252"/>
      <c r="OUP384" s="252"/>
      <c r="OUQ384" s="252"/>
      <c r="OUR384" s="252"/>
      <c r="OUS384" s="252"/>
      <c r="OUT384" s="252"/>
      <c r="OUU384" s="252"/>
      <c r="OUV384" s="252"/>
      <c r="OUW384" s="252"/>
      <c r="OUX384" s="252"/>
      <c r="OUY384" s="252"/>
      <c r="OUZ384" s="252"/>
      <c r="OVA384" s="252"/>
      <c r="OVB384" s="252"/>
      <c r="OVC384" s="252"/>
      <c r="OVD384" s="252"/>
      <c r="OVE384" s="252"/>
      <c r="OVF384" s="252"/>
      <c r="OVG384" s="252"/>
      <c r="OVH384" s="252"/>
      <c r="OVI384" s="252"/>
      <c r="OVJ384" s="252"/>
      <c r="OVK384" s="252"/>
      <c r="OVL384" s="252"/>
      <c r="OVM384" s="252"/>
      <c r="OVN384" s="252"/>
      <c r="OVO384" s="252"/>
      <c r="OVP384" s="252"/>
      <c r="OVQ384" s="252"/>
      <c r="OVR384" s="252"/>
      <c r="OVS384" s="252"/>
      <c r="OVT384" s="252"/>
      <c r="OVU384" s="252"/>
      <c r="OVV384" s="252"/>
      <c r="OVW384" s="252"/>
      <c r="OVX384" s="252"/>
      <c r="OVY384" s="252"/>
      <c r="OVZ384" s="252"/>
      <c r="OWA384" s="252"/>
      <c r="OWB384" s="252"/>
      <c r="OWC384" s="252"/>
      <c r="OWD384" s="252"/>
      <c r="OWE384" s="252"/>
      <c r="OWF384" s="252"/>
      <c r="OWG384" s="252"/>
      <c r="OWH384" s="252"/>
      <c r="OWI384" s="252"/>
      <c r="OWJ384" s="252"/>
      <c r="OWK384" s="252"/>
      <c r="OWL384" s="252"/>
      <c r="OWM384" s="252"/>
      <c r="OWN384" s="252"/>
      <c r="OWO384" s="252"/>
      <c r="OWP384" s="252"/>
      <c r="OWQ384" s="252"/>
      <c r="OWR384" s="252"/>
      <c r="OWS384" s="252"/>
      <c r="OWT384" s="252"/>
      <c r="OWU384" s="252"/>
      <c r="OWV384" s="252"/>
      <c r="OWW384" s="252"/>
      <c r="OWX384" s="252"/>
      <c r="OWY384" s="252"/>
      <c r="OWZ384" s="252"/>
      <c r="OXA384" s="252"/>
      <c r="OXB384" s="252"/>
      <c r="OXC384" s="252"/>
      <c r="OXD384" s="252"/>
      <c r="OXE384" s="252"/>
      <c r="OXF384" s="252"/>
      <c r="OXG384" s="252"/>
      <c r="OXH384" s="252"/>
      <c r="OXI384" s="252"/>
      <c r="OXJ384" s="252"/>
      <c r="OXK384" s="252"/>
      <c r="OXL384" s="252"/>
      <c r="OXM384" s="252"/>
      <c r="OXN384" s="252"/>
      <c r="OXO384" s="252"/>
      <c r="OXP384" s="252"/>
      <c r="OXQ384" s="252"/>
      <c r="OXR384" s="252"/>
      <c r="OXS384" s="252"/>
      <c r="OXT384" s="252"/>
      <c r="OXU384" s="252"/>
      <c r="OXV384" s="252"/>
      <c r="OXW384" s="252"/>
      <c r="OXX384" s="252"/>
      <c r="OXY384" s="252"/>
      <c r="OXZ384" s="252"/>
      <c r="OYA384" s="252"/>
      <c r="OYB384" s="252"/>
      <c r="OYC384" s="252"/>
      <c r="OYD384" s="252"/>
      <c r="OYE384" s="252"/>
      <c r="OYF384" s="252"/>
      <c r="OYG384" s="252"/>
      <c r="OYH384" s="252"/>
      <c r="OYI384" s="252"/>
      <c r="OYJ384" s="252"/>
      <c r="OYK384" s="252"/>
      <c r="OYL384" s="252"/>
      <c r="OYM384" s="252"/>
      <c r="OYN384" s="252"/>
      <c r="OYO384" s="252"/>
      <c r="OYP384" s="252"/>
      <c r="OYQ384" s="252"/>
      <c r="OYR384" s="252"/>
      <c r="OYS384" s="252"/>
      <c r="OYT384" s="252"/>
      <c r="OYU384" s="252"/>
      <c r="OYV384" s="252"/>
      <c r="OYW384" s="252"/>
      <c r="OYX384" s="252"/>
      <c r="OYY384" s="252"/>
      <c r="OYZ384" s="252"/>
      <c r="OZA384" s="252"/>
      <c r="OZB384" s="252"/>
      <c r="OZC384" s="252"/>
      <c r="OZD384" s="252"/>
      <c r="OZE384" s="252"/>
      <c r="OZF384" s="252"/>
      <c r="OZG384" s="252"/>
      <c r="OZH384" s="252"/>
      <c r="OZI384" s="252"/>
      <c r="OZJ384" s="252"/>
      <c r="OZK384" s="252"/>
      <c r="OZL384" s="252"/>
      <c r="OZM384" s="252"/>
      <c r="OZN384" s="252"/>
      <c r="OZO384" s="252"/>
      <c r="OZP384" s="252"/>
      <c r="OZQ384" s="252"/>
      <c r="OZR384" s="252"/>
      <c r="OZS384" s="252"/>
      <c r="OZT384" s="252"/>
      <c r="OZU384" s="252"/>
      <c r="OZV384" s="252"/>
      <c r="OZW384" s="252"/>
      <c r="OZX384" s="252"/>
      <c r="OZY384" s="252"/>
      <c r="OZZ384" s="252"/>
      <c r="PAA384" s="252"/>
      <c r="PAB384" s="252"/>
      <c r="PAC384" s="252"/>
      <c r="PAD384" s="252"/>
      <c r="PAE384" s="252"/>
      <c r="PAF384" s="252"/>
      <c r="PAG384" s="252"/>
      <c r="PAH384" s="252"/>
      <c r="PAI384" s="252"/>
      <c r="PAJ384" s="252"/>
      <c r="PAK384" s="252"/>
      <c r="PAL384" s="252"/>
      <c r="PAM384" s="252"/>
      <c r="PAN384" s="252"/>
      <c r="PAO384" s="252"/>
      <c r="PAP384" s="252"/>
      <c r="PAQ384" s="252"/>
      <c r="PAR384" s="252"/>
      <c r="PAS384" s="252"/>
      <c r="PAT384" s="252"/>
      <c r="PAU384" s="252"/>
      <c r="PAV384" s="252"/>
      <c r="PAW384" s="252"/>
      <c r="PAX384" s="252"/>
      <c r="PAY384" s="252"/>
      <c r="PAZ384" s="252"/>
      <c r="PBA384" s="252"/>
      <c r="PBB384" s="252"/>
      <c r="PBC384" s="252"/>
      <c r="PBD384" s="252"/>
      <c r="PBE384" s="252"/>
      <c r="PBF384" s="252"/>
      <c r="PBG384" s="252"/>
      <c r="PBH384" s="252"/>
      <c r="PBI384" s="252"/>
      <c r="PBJ384" s="252"/>
      <c r="PBK384" s="252"/>
      <c r="PBL384" s="252"/>
      <c r="PBM384" s="252"/>
      <c r="PBN384" s="252"/>
      <c r="PBO384" s="252"/>
      <c r="PBP384" s="252"/>
      <c r="PBQ384" s="252"/>
      <c r="PBR384" s="252"/>
      <c r="PBS384" s="252"/>
      <c r="PBT384" s="252"/>
      <c r="PBU384" s="252"/>
      <c r="PBV384" s="252"/>
      <c r="PBW384" s="252"/>
      <c r="PBX384" s="252"/>
      <c r="PBY384" s="252"/>
      <c r="PBZ384" s="252"/>
      <c r="PCA384" s="252"/>
      <c r="PCB384" s="252"/>
      <c r="PCC384" s="252"/>
      <c r="PCD384" s="252"/>
      <c r="PCE384" s="252"/>
      <c r="PCF384" s="252"/>
      <c r="PCG384" s="252"/>
      <c r="PCH384" s="252"/>
      <c r="PCI384" s="252"/>
      <c r="PCJ384" s="252"/>
      <c r="PCK384" s="252"/>
      <c r="PCL384" s="252"/>
      <c r="PCM384" s="252"/>
      <c r="PCN384" s="252"/>
      <c r="PCO384" s="252"/>
      <c r="PCP384" s="252"/>
      <c r="PCQ384" s="252"/>
      <c r="PCR384" s="252"/>
      <c r="PCS384" s="252"/>
      <c r="PCT384" s="252"/>
      <c r="PCU384" s="252"/>
      <c r="PCV384" s="252"/>
      <c r="PCW384" s="252"/>
      <c r="PCX384" s="252"/>
      <c r="PCY384" s="252"/>
      <c r="PCZ384" s="252"/>
      <c r="PDA384" s="252"/>
      <c r="PDB384" s="252"/>
      <c r="PDC384" s="252"/>
      <c r="PDD384" s="252"/>
      <c r="PDE384" s="252"/>
      <c r="PDF384" s="252"/>
      <c r="PDG384" s="252"/>
      <c r="PDH384" s="252"/>
      <c r="PDI384" s="252"/>
      <c r="PDJ384" s="252"/>
      <c r="PDK384" s="252"/>
      <c r="PDL384" s="252"/>
      <c r="PDM384" s="252"/>
      <c r="PDN384" s="252"/>
      <c r="PDO384" s="252"/>
      <c r="PDP384" s="252"/>
      <c r="PDQ384" s="252"/>
      <c r="PDR384" s="252"/>
      <c r="PDS384" s="252"/>
      <c r="PDT384" s="252"/>
      <c r="PDU384" s="252"/>
      <c r="PDV384" s="252"/>
      <c r="PDW384" s="252"/>
      <c r="PDX384" s="252"/>
      <c r="PDY384" s="252"/>
      <c r="PDZ384" s="252"/>
      <c r="PEA384" s="252"/>
      <c r="PEB384" s="252"/>
      <c r="PEC384" s="252"/>
      <c r="PED384" s="252"/>
      <c r="PEE384" s="252"/>
      <c r="PEF384" s="252"/>
      <c r="PEG384" s="252"/>
      <c r="PEH384" s="252"/>
      <c r="PEI384" s="252"/>
      <c r="PEJ384" s="252"/>
      <c r="PEK384" s="252"/>
      <c r="PEL384" s="252"/>
      <c r="PEM384" s="252"/>
      <c r="PEN384" s="252"/>
      <c r="PEO384" s="252"/>
      <c r="PEP384" s="252"/>
      <c r="PEQ384" s="252"/>
      <c r="PER384" s="252"/>
      <c r="PES384" s="252"/>
      <c r="PET384" s="252"/>
      <c r="PEU384" s="252"/>
      <c r="PEV384" s="252"/>
      <c r="PEW384" s="252"/>
      <c r="PEX384" s="252"/>
      <c r="PEY384" s="252"/>
      <c r="PEZ384" s="252"/>
      <c r="PFA384" s="252"/>
      <c r="PFB384" s="252"/>
      <c r="PFC384" s="252"/>
      <c r="PFD384" s="252"/>
      <c r="PFE384" s="252"/>
      <c r="PFF384" s="252"/>
      <c r="PFG384" s="252"/>
      <c r="PFH384" s="252"/>
      <c r="PFI384" s="252"/>
      <c r="PFJ384" s="252"/>
      <c r="PFK384" s="252"/>
      <c r="PFL384" s="252"/>
      <c r="PFM384" s="252"/>
      <c r="PFN384" s="252"/>
      <c r="PFO384" s="252"/>
      <c r="PFP384" s="252"/>
      <c r="PFQ384" s="252"/>
      <c r="PFR384" s="252"/>
      <c r="PFS384" s="252"/>
      <c r="PFT384" s="252"/>
      <c r="PFU384" s="252"/>
      <c r="PFV384" s="252"/>
      <c r="PFW384" s="252"/>
      <c r="PFX384" s="252"/>
      <c r="PFY384" s="252"/>
      <c r="PFZ384" s="252"/>
      <c r="PGA384" s="252"/>
      <c r="PGB384" s="252"/>
      <c r="PGC384" s="252"/>
      <c r="PGD384" s="252"/>
      <c r="PGE384" s="252"/>
      <c r="PGF384" s="252"/>
      <c r="PGG384" s="252"/>
      <c r="PGH384" s="252"/>
      <c r="PGI384" s="252"/>
      <c r="PGJ384" s="252"/>
      <c r="PGK384" s="252"/>
      <c r="PGL384" s="252"/>
      <c r="PGM384" s="252"/>
      <c r="PGN384" s="252"/>
      <c r="PGO384" s="252"/>
      <c r="PGP384" s="252"/>
      <c r="PGQ384" s="252"/>
      <c r="PGR384" s="252"/>
      <c r="PGS384" s="252"/>
      <c r="PGT384" s="252"/>
      <c r="PGU384" s="252"/>
      <c r="PGV384" s="252"/>
      <c r="PGW384" s="252"/>
      <c r="PGX384" s="252"/>
      <c r="PGY384" s="252"/>
      <c r="PGZ384" s="252"/>
      <c r="PHA384" s="252"/>
      <c r="PHB384" s="252"/>
      <c r="PHC384" s="252"/>
      <c r="PHD384" s="252"/>
      <c r="PHE384" s="252"/>
      <c r="PHF384" s="252"/>
      <c r="PHG384" s="252"/>
      <c r="PHH384" s="252"/>
      <c r="PHI384" s="252"/>
      <c r="PHJ384" s="252"/>
      <c r="PHK384" s="252"/>
      <c r="PHL384" s="252"/>
      <c r="PHM384" s="252"/>
      <c r="PHN384" s="252"/>
      <c r="PHO384" s="252"/>
      <c r="PHP384" s="252"/>
      <c r="PHQ384" s="252"/>
      <c r="PHR384" s="252"/>
      <c r="PHS384" s="252"/>
      <c r="PHT384" s="252"/>
      <c r="PHU384" s="252"/>
      <c r="PHV384" s="252"/>
      <c r="PHW384" s="252"/>
      <c r="PHX384" s="252"/>
      <c r="PHY384" s="252"/>
      <c r="PHZ384" s="252"/>
      <c r="PIA384" s="252"/>
      <c r="PIB384" s="252"/>
      <c r="PIC384" s="252"/>
      <c r="PID384" s="252"/>
      <c r="PIE384" s="252"/>
      <c r="PIF384" s="252"/>
      <c r="PIG384" s="252"/>
      <c r="PIH384" s="252"/>
      <c r="PII384" s="252"/>
      <c r="PIJ384" s="252"/>
      <c r="PIK384" s="252"/>
      <c r="PIL384" s="252"/>
      <c r="PIM384" s="252"/>
      <c r="PIN384" s="252"/>
      <c r="PIO384" s="252"/>
      <c r="PIP384" s="252"/>
      <c r="PIQ384" s="252"/>
      <c r="PIR384" s="252"/>
      <c r="PIS384" s="252"/>
      <c r="PIT384" s="252"/>
      <c r="PIU384" s="252"/>
      <c r="PIV384" s="252"/>
      <c r="PIW384" s="252"/>
      <c r="PIX384" s="252"/>
      <c r="PIY384" s="252"/>
      <c r="PIZ384" s="252"/>
      <c r="PJA384" s="252"/>
      <c r="PJB384" s="252"/>
      <c r="PJC384" s="252"/>
      <c r="PJD384" s="252"/>
      <c r="PJE384" s="252"/>
      <c r="PJF384" s="252"/>
      <c r="PJG384" s="252"/>
      <c r="PJH384" s="252"/>
      <c r="PJI384" s="252"/>
      <c r="PJJ384" s="252"/>
      <c r="PJK384" s="252"/>
      <c r="PJL384" s="252"/>
      <c r="PJM384" s="252"/>
      <c r="PJN384" s="252"/>
      <c r="PJO384" s="252"/>
      <c r="PJP384" s="252"/>
      <c r="PJQ384" s="252"/>
      <c r="PJR384" s="252"/>
      <c r="PJS384" s="252"/>
      <c r="PJT384" s="252"/>
      <c r="PJU384" s="252"/>
      <c r="PJV384" s="252"/>
      <c r="PJW384" s="252"/>
      <c r="PJX384" s="252"/>
      <c r="PJY384" s="252"/>
      <c r="PJZ384" s="252"/>
      <c r="PKA384" s="252"/>
      <c r="PKB384" s="252"/>
      <c r="PKC384" s="252"/>
      <c r="PKD384" s="252"/>
      <c r="PKE384" s="252"/>
      <c r="PKF384" s="252"/>
      <c r="PKG384" s="252"/>
      <c r="PKH384" s="252"/>
      <c r="PKI384" s="252"/>
      <c r="PKJ384" s="252"/>
      <c r="PKK384" s="252"/>
      <c r="PKL384" s="252"/>
      <c r="PKM384" s="252"/>
      <c r="PKN384" s="252"/>
      <c r="PKO384" s="252"/>
      <c r="PKP384" s="252"/>
      <c r="PKQ384" s="252"/>
      <c r="PKR384" s="252"/>
      <c r="PKS384" s="252"/>
      <c r="PKT384" s="252"/>
      <c r="PKU384" s="252"/>
      <c r="PKV384" s="252"/>
      <c r="PKW384" s="252"/>
      <c r="PKX384" s="252"/>
      <c r="PKY384" s="252"/>
      <c r="PKZ384" s="252"/>
      <c r="PLA384" s="252"/>
      <c r="PLB384" s="252"/>
      <c r="PLC384" s="252"/>
      <c r="PLD384" s="252"/>
      <c r="PLE384" s="252"/>
      <c r="PLF384" s="252"/>
      <c r="PLG384" s="252"/>
      <c r="PLH384" s="252"/>
      <c r="PLI384" s="252"/>
      <c r="PLJ384" s="252"/>
      <c r="PLK384" s="252"/>
      <c r="PLL384" s="252"/>
      <c r="PLM384" s="252"/>
      <c r="PLN384" s="252"/>
      <c r="PLO384" s="252"/>
      <c r="PLP384" s="252"/>
      <c r="PLQ384" s="252"/>
      <c r="PLR384" s="252"/>
      <c r="PLS384" s="252"/>
      <c r="PLT384" s="252"/>
      <c r="PLU384" s="252"/>
      <c r="PLV384" s="252"/>
      <c r="PLW384" s="252"/>
      <c r="PLX384" s="252"/>
      <c r="PLY384" s="252"/>
      <c r="PLZ384" s="252"/>
      <c r="PMA384" s="252"/>
      <c r="PMB384" s="252"/>
      <c r="PMC384" s="252"/>
      <c r="PMD384" s="252"/>
      <c r="PME384" s="252"/>
      <c r="PMF384" s="252"/>
      <c r="PMG384" s="252"/>
      <c r="PMH384" s="252"/>
      <c r="PMI384" s="252"/>
      <c r="PMJ384" s="252"/>
      <c r="PMK384" s="252"/>
      <c r="PML384" s="252"/>
      <c r="PMM384" s="252"/>
      <c r="PMN384" s="252"/>
      <c r="PMO384" s="252"/>
      <c r="PMP384" s="252"/>
      <c r="PMQ384" s="252"/>
      <c r="PMR384" s="252"/>
      <c r="PMS384" s="252"/>
      <c r="PMT384" s="252"/>
      <c r="PMU384" s="252"/>
      <c r="PMV384" s="252"/>
      <c r="PMW384" s="252"/>
      <c r="PMX384" s="252"/>
      <c r="PMY384" s="252"/>
      <c r="PMZ384" s="252"/>
      <c r="PNA384" s="252"/>
      <c r="PNB384" s="252"/>
      <c r="PNC384" s="252"/>
      <c r="PND384" s="252"/>
      <c r="PNE384" s="252"/>
      <c r="PNF384" s="252"/>
      <c r="PNG384" s="252"/>
      <c r="PNH384" s="252"/>
      <c r="PNI384" s="252"/>
      <c r="PNJ384" s="252"/>
      <c r="PNK384" s="252"/>
      <c r="PNL384" s="252"/>
      <c r="PNM384" s="252"/>
      <c r="PNN384" s="252"/>
      <c r="PNO384" s="252"/>
      <c r="PNP384" s="252"/>
      <c r="PNQ384" s="252"/>
      <c r="PNR384" s="252"/>
      <c r="PNS384" s="252"/>
      <c r="PNT384" s="252"/>
      <c r="PNU384" s="252"/>
      <c r="PNV384" s="252"/>
      <c r="PNW384" s="252"/>
      <c r="PNX384" s="252"/>
      <c r="PNY384" s="252"/>
      <c r="PNZ384" s="252"/>
      <c r="POA384" s="252"/>
      <c r="POB384" s="252"/>
      <c r="POC384" s="252"/>
      <c r="POD384" s="252"/>
      <c r="POE384" s="252"/>
      <c r="POF384" s="252"/>
      <c r="POG384" s="252"/>
      <c r="POH384" s="252"/>
      <c r="POI384" s="252"/>
      <c r="POJ384" s="252"/>
      <c r="POK384" s="252"/>
      <c r="POL384" s="252"/>
      <c r="POM384" s="252"/>
      <c r="PON384" s="252"/>
      <c r="POO384" s="252"/>
      <c r="POP384" s="252"/>
      <c r="POQ384" s="252"/>
      <c r="POR384" s="252"/>
      <c r="POS384" s="252"/>
      <c r="POT384" s="252"/>
      <c r="POU384" s="252"/>
      <c r="POV384" s="252"/>
      <c r="POW384" s="252"/>
      <c r="POX384" s="252"/>
      <c r="POY384" s="252"/>
      <c r="POZ384" s="252"/>
      <c r="PPA384" s="252"/>
      <c r="PPB384" s="252"/>
      <c r="PPC384" s="252"/>
      <c r="PPD384" s="252"/>
      <c r="PPE384" s="252"/>
      <c r="PPF384" s="252"/>
      <c r="PPG384" s="252"/>
      <c r="PPH384" s="252"/>
      <c r="PPI384" s="252"/>
      <c r="PPJ384" s="252"/>
      <c r="PPK384" s="252"/>
      <c r="PPL384" s="252"/>
      <c r="PPM384" s="252"/>
      <c r="PPN384" s="252"/>
      <c r="PPO384" s="252"/>
      <c r="PPP384" s="252"/>
      <c r="PPQ384" s="252"/>
      <c r="PPR384" s="252"/>
      <c r="PPS384" s="252"/>
      <c r="PPT384" s="252"/>
      <c r="PPU384" s="252"/>
      <c r="PPV384" s="252"/>
      <c r="PPW384" s="252"/>
      <c r="PPX384" s="252"/>
      <c r="PPY384" s="252"/>
      <c r="PPZ384" s="252"/>
      <c r="PQA384" s="252"/>
      <c r="PQB384" s="252"/>
      <c r="PQC384" s="252"/>
      <c r="PQD384" s="252"/>
      <c r="PQE384" s="252"/>
      <c r="PQF384" s="252"/>
      <c r="PQG384" s="252"/>
      <c r="PQH384" s="252"/>
      <c r="PQI384" s="252"/>
      <c r="PQJ384" s="252"/>
      <c r="PQK384" s="252"/>
      <c r="PQL384" s="252"/>
      <c r="PQM384" s="252"/>
      <c r="PQN384" s="252"/>
      <c r="PQO384" s="252"/>
      <c r="PQP384" s="252"/>
      <c r="PQQ384" s="252"/>
      <c r="PQR384" s="252"/>
      <c r="PQS384" s="252"/>
      <c r="PQT384" s="252"/>
      <c r="PQU384" s="252"/>
      <c r="PQV384" s="252"/>
      <c r="PQW384" s="252"/>
      <c r="PQX384" s="252"/>
      <c r="PQY384" s="252"/>
      <c r="PQZ384" s="252"/>
      <c r="PRA384" s="252"/>
      <c r="PRB384" s="252"/>
      <c r="PRC384" s="252"/>
      <c r="PRD384" s="252"/>
      <c r="PRE384" s="252"/>
      <c r="PRF384" s="252"/>
      <c r="PRG384" s="252"/>
      <c r="PRH384" s="252"/>
      <c r="PRI384" s="252"/>
      <c r="PRJ384" s="252"/>
      <c r="PRK384" s="252"/>
      <c r="PRL384" s="252"/>
      <c r="PRM384" s="252"/>
      <c r="PRN384" s="252"/>
      <c r="PRO384" s="252"/>
      <c r="PRP384" s="252"/>
      <c r="PRQ384" s="252"/>
      <c r="PRR384" s="252"/>
      <c r="PRS384" s="252"/>
      <c r="PRT384" s="252"/>
      <c r="PRU384" s="252"/>
      <c r="PRV384" s="252"/>
      <c r="PRW384" s="252"/>
      <c r="PRX384" s="252"/>
      <c r="PRY384" s="252"/>
      <c r="PRZ384" s="252"/>
      <c r="PSA384" s="252"/>
      <c r="PSB384" s="252"/>
      <c r="PSC384" s="252"/>
      <c r="PSD384" s="252"/>
      <c r="PSE384" s="252"/>
      <c r="PSF384" s="252"/>
      <c r="PSG384" s="252"/>
      <c r="PSH384" s="252"/>
      <c r="PSI384" s="252"/>
      <c r="PSJ384" s="252"/>
      <c r="PSK384" s="252"/>
      <c r="PSL384" s="252"/>
      <c r="PSM384" s="252"/>
      <c r="PSN384" s="252"/>
      <c r="PSO384" s="252"/>
      <c r="PSP384" s="252"/>
      <c r="PSQ384" s="252"/>
      <c r="PSR384" s="252"/>
      <c r="PSS384" s="252"/>
      <c r="PST384" s="252"/>
      <c r="PSU384" s="252"/>
      <c r="PSV384" s="252"/>
      <c r="PSW384" s="252"/>
      <c r="PSX384" s="252"/>
      <c r="PSY384" s="252"/>
      <c r="PSZ384" s="252"/>
      <c r="PTA384" s="252"/>
      <c r="PTB384" s="252"/>
      <c r="PTC384" s="252"/>
      <c r="PTD384" s="252"/>
      <c r="PTE384" s="252"/>
      <c r="PTF384" s="252"/>
      <c r="PTG384" s="252"/>
      <c r="PTH384" s="252"/>
      <c r="PTI384" s="252"/>
      <c r="PTJ384" s="252"/>
      <c r="PTK384" s="252"/>
      <c r="PTL384" s="252"/>
      <c r="PTM384" s="252"/>
      <c r="PTN384" s="252"/>
      <c r="PTO384" s="252"/>
      <c r="PTP384" s="252"/>
      <c r="PTQ384" s="252"/>
      <c r="PTR384" s="252"/>
      <c r="PTS384" s="252"/>
      <c r="PTT384" s="252"/>
      <c r="PTU384" s="252"/>
      <c r="PTV384" s="252"/>
      <c r="PTW384" s="252"/>
      <c r="PTX384" s="252"/>
      <c r="PTY384" s="252"/>
      <c r="PTZ384" s="252"/>
      <c r="PUA384" s="252"/>
      <c r="PUB384" s="252"/>
      <c r="PUC384" s="252"/>
      <c r="PUD384" s="252"/>
      <c r="PUE384" s="252"/>
      <c r="PUF384" s="252"/>
      <c r="PUG384" s="252"/>
      <c r="PUH384" s="252"/>
      <c r="PUI384" s="252"/>
      <c r="PUJ384" s="252"/>
      <c r="PUK384" s="252"/>
      <c r="PUL384" s="252"/>
      <c r="PUM384" s="252"/>
      <c r="PUN384" s="252"/>
      <c r="PUO384" s="252"/>
      <c r="PUP384" s="252"/>
      <c r="PUQ384" s="252"/>
      <c r="PUR384" s="252"/>
      <c r="PUS384" s="252"/>
      <c r="PUT384" s="252"/>
      <c r="PUU384" s="252"/>
      <c r="PUV384" s="252"/>
      <c r="PUW384" s="252"/>
      <c r="PUX384" s="252"/>
      <c r="PUY384" s="252"/>
      <c r="PUZ384" s="252"/>
      <c r="PVA384" s="252"/>
      <c r="PVB384" s="252"/>
      <c r="PVC384" s="252"/>
      <c r="PVD384" s="252"/>
      <c r="PVE384" s="252"/>
      <c r="PVF384" s="252"/>
      <c r="PVG384" s="252"/>
      <c r="PVH384" s="252"/>
      <c r="PVI384" s="252"/>
      <c r="PVJ384" s="252"/>
      <c r="PVK384" s="252"/>
      <c r="PVL384" s="252"/>
      <c r="PVM384" s="252"/>
      <c r="PVN384" s="252"/>
      <c r="PVO384" s="252"/>
      <c r="PVP384" s="252"/>
      <c r="PVQ384" s="252"/>
      <c r="PVR384" s="252"/>
      <c r="PVS384" s="252"/>
      <c r="PVT384" s="252"/>
      <c r="PVU384" s="252"/>
      <c r="PVV384" s="252"/>
      <c r="PVW384" s="252"/>
      <c r="PVX384" s="252"/>
      <c r="PVY384" s="252"/>
      <c r="PVZ384" s="252"/>
      <c r="PWA384" s="252"/>
      <c r="PWB384" s="252"/>
      <c r="PWC384" s="252"/>
      <c r="PWD384" s="252"/>
      <c r="PWE384" s="252"/>
      <c r="PWF384" s="252"/>
      <c r="PWG384" s="252"/>
      <c r="PWH384" s="252"/>
      <c r="PWI384" s="252"/>
      <c r="PWJ384" s="252"/>
      <c r="PWK384" s="252"/>
      <c r="PWL384" s="252"/>
      <c r="PWM384" s="252"/>
      <c r="PWN384" s="252"/>
      <c r="PWO384" s="252"/>
      <c r="PWP384" s="252"/>
      <c r="PWQ384" s="252"/>
      <c r="PWR384" s="252"/>
      <c r="PWS384" s="252"/>
      <c r="PWT384" s="252"/>
      <c r="PWU384" s="252"/>
      <c r="PWV384" s="252"/>
      <c r="PWW384" s="252"/>
      <c r="PWX384" s="252"/>
      <c r="PWY384" s="252"/>
      <c r="PWZ384" s="252"/>
      <c r="PXA384" s="252"/>
      <c r="PXB384" s="252"/>
      <c r="PXC384" s="252"/>
      <c r="PXD384" s="252"/>
      <c r="PXE384" s="252"/>
      <c r="PXF384" s="252"/>
      <c r="PXG384" s="252"/>
      <c r="PXH384" s="252"/>
      <c r="PXI384" s="252"/>
      <c r="PXJ384" s="252"/>
      <c r="PXK384" s="252"/>
      <c r="PXL384" s="252"/>
      <c r="PXM384" s="252"/>
      <c r="PXN384" s="252"/>
      <c r="PXO384" s="252"/>
      <c r="PXP384" s="252"/>
      <c r="PXQ384" s="252"/>
      <c r="PXR384" s="252"/>
      <c r="PXS384" s="252"/>
      <c r="PXT384" s="252"/>
      <c r="PXU384" s="252"/>
      <c r="PXV384" s="252"/>
      <c r="PXW384" s="252"/>
      <c r="PXX384" s="252"/>
      <c r="PXY384" s="252"/>
      <c r="PXZ384" s="252"/>
      <c r="PYA384" s="252"/>
      <c r="PYB384" s="252"/>
      <c r="PYC384" s="252"/>
      <c r="PYD384" s="252"/>
      <c r="PYE384" s="252"/>
      <c r="PYF384" s="252"/>
      <c r="PYG384" s="252"/>
      <c r="PYH384" s="252"/>
      <c r="PYI384" s="252"/>
      <c r="PYJ384" s="252"/>
      <c r="PYK384" s="252"/>
      <c r="PYL384" s="252"/>
      <c r="PYM384" s="252"/>
      <c r="PYN384" s="252"/>
      <c r="PYO384" s="252"/>
      <c r="PYP384" s="252"/>
      <c r="PYQ384" s="252"/>
      <c r="PYR384" s="252"/>
      <c r="PYS384" s="252"/>
      <c r="PYT384" s="252"/>
      <c r="PYU384" s="252"/>
      <c r="PYV384" s="252"/>
      <c r="PYW384" s="252"/>
      <c r="PYX384" s="252"/>
      <c r="PYY384" s="252"/>
      <c r="PYZ384" s="252"/>
      <c r="PZA384" s="252"/>
      <c r="PZB384" s="252"/>
      <c r="PZC384" s="252"/>
      <c r="PZD384" s="252"/>
      <c r="PZE384" s="252"/>
      <c r="PZF384" s="252"/>
      <c r="PZG384" s="252"/>
      <c r="PZH384" s="252"/>
      <c r="PZI384" s="252"/>
      <c r="PZJ384" s="252"/>
      <c r="PZK384" s="252"/>
      <c r="PZL384" s="252"/>
      <c r="PZM384" s="252"/>
      <c r="PZN384" s="252"/>
      <c r="PZO384" s="252"/>
      <c r="PZP384" s="252"/>
      <c r="PZQ384" s="252"/>
      <c r="PZR384" s="252"/>
      <c r="PZS384" s="252"/>
      <c r="PZT384" s="252"/>
      <c r="PZU384" s="252"/>
      <c r="PZV384" s="252"/>
      <c r="PZW384" s="252"/>
      <c r="PZX384" s="252"/>
      <c r="PZY384" s="252"/>
      <c r="PZZ384" s="252"/>
      <c r="QAA384" s="252"/>
      <c r="QAB384" s="252"/>
      <c r="QAC384" s="252"/>
      <c r="QAD384" s="252"/>
      <c r="QAE384" s="252"/>
      <c r="QAF384" s="252"/>
      <c r="QAG384" s="252"/>
      <c r="QAH384" s="252"/>
      <c r="QAI384" s="252"/>
      <c r="QAJ384" s="252"/>
      <c r="QAK384" s="252"/>
      <c r="QAL384" s="252"/>
      <c r="QAM384" s="252"/>
      <c r="QAN384" s="252"/>
      <c r="QAO384" s="252"/>
      <c r="QAP384" s="252"/>
      <c r="QAQ384" s="252"/>
      <c r="QAR384" s="252"/>
      <c r="QAS384" s="252"/>
      <c r="QAT384" s="252"/>
      <c r="QAU384" s="252"/>
      <c r="QAV384" s="252"/>
      <c r="QAW384" s="252"/>
      <c r="QAX384" s="252"/>
      <c r="QAY384" s="252"/>
      <c r="QAZ384" s="252"/>
      <c r="QBA384" s="252"/>
      <c r="QBB384" s="252"/>
      <c r="QBC384" s="252"/>
      <c r="QBD384" s="252"/>
      <c r="QBE384" s="252"/>
      <c r="QBF384" s="252"/>
      <c r="QBG384" s="252"/>
      <c r="QBH384" s="252"/>
      <c r="QBI384" s="252"/>
      <c r="QBJ384" s="252"/>
      <c r="QBK384" s="252"/>
      <c r="QBL384" s="252"/>
      <c r="QBM384" s="252"/>
      <c r="QBN384" s="252"/>
      <c r="QBO384" s="252"/>
      <c r="QBP384" s="252"/>
      <c r="QBQ384" s="252"/>
      <c r="QBR384" s="252"/>
      <c r="QBS384" s="252"/>
      <c r="QBT384" s="252"/>
      <c r="QBU384" s="252"/>
      <c r="QBV384" s="252"/>
      <c r="QBW384" s="252"/>
      <c r="QBX384" s="252"/>
      <c r="QBY384" s="252"/>
      <c r="QBZ384" s="252"/>
      <c r="QCA384" s="252"/>
      <c r="QCB384" s="252"/>
      <c r="QCC384" s="252"/>
      <c r="QCD384" s="252"/>
      <c r="QCE384" s="252"/>
      <c r="QCF384" s="252"/>
      <c r="QCG384" s="252"/>
      <c r="QCH384" s="252"/>
      <c r="QCI384" s="252"/>
      <c r="QCJ384" s="252"/>
      <c r="QCK384" s="252"/>
      <c r="QCL384" s="252"/>
      <c r="QCM384" s="252"/>
      <c r="QCN384" s="252"/>
      <c r="QCO384" s="252"/>
      <c r="QCP384" s="252"/>
      <c r="QCQ384" s="252"/>
      <c r="QCR384" s="252"/>
      <c r="QCS384" s="252"/>
      <c r="QCT384" s="252"/>
      <c r="QCU384" s="252"/>
      <c r="QCV384" s="252"/>
      <c r="QCW384" s="252"/>
      <c r="QCX384" s="252"/>
      <c r="QCY384" s="252"/>
      <c r="QCZ384" s="252"/>
      <c r="QDA384" s="252"/>
      <c r="QDB384" s="252"/>
      <c r="QDC384" s="252"/>
      <c r="QDD384" s="252"/>
      <c r="QDE384" s="252"/>
      <c r="QDF384" s="252"/>
      <c r="QDG384" s="252"/>
      <c r="QDH384" s="252"/>
      <c r="QDI384" s="252"/>
      <c r="QDJ384" s="252"/>
      <c r="QDK384" s="252"/>
      <c r="QDL384" s="252"/>
      <c r="QDM384" s="252"/>
      <c r="QDN384" s="252"/>
      <c r="QDO384" s="252"/>
      <c r="QDP384" s="252"/>
      <c r="QDQ384" s="252"/>
      <c r="QDR384" s="252"/>
      <c r="QDS384" s="252"/>
      <c r="QDT384" s="252"/>
      <c r="QDU384" s="252"/>
      <c r="QDV384" s="252"/>
      <c r="QDW384" s="252"/>
      <c r="QDX384" s="252"/>
      <c r="QDY384" s="252"/>
      <c r="QDZ384" s="252"/>
      <c r="QEA384" s="252"/>
      <c r="QEB384" s="252"/>
      <c r="QEC384" s="252"/>
      <c r="QED384" s="252"/>
      <c r="QEE384" s="252"/>
      <c r="QEF384" s="252"/>
      <c r="QEG384" s="252"/>
      <c r="QEH384" s="252"/>
      <c r="QEI384" s="252"/>
      <c r="QEJ384" s="252"/>
      <c r="QEK384" s="252"/>
      <c r="QEL384" s="252"/>
      <c r="QEM384" s="252"/>
      <c r="QEN384" s="252"/>
      <c r="QEO384" s="252"/>
      <c r="QEP384" s="252"/>
      <c r="QEQ384" s="252"/>
      <c r="QER384" s="252"/>
      <c r="QES384" s="252"/>
      <c r="QET384" s="252"/>
      <c r="QEU384" s="252"/>
      <c r="QEV384" s="252"/>
      <c r="QEW384" s="252"/>
      <c r="QEX384" s="252"/>
      <c r="QEY384" s="252"/>
      <c r="QEZ384" s="252"/>
      <c r="QFA384" s="252"/>
      <c r="QFB384" s="252"/>
      <c r="QFC384" s="252"/>
      <c r="QFD384" s="252"/>
      <c r="QFE384" s="252"/>
      <c r="QFF384" s="252"/>
      <c r="QFG384" s="252"/>
      <c r="QFH384" s="252"/>
      <c r="QFI384" s="252"/>
      <c r="QFJ384" s="252"/>
      <c r="QFK384" s="252"/>
      <c r="QFL384" s="252"/>
      <c r="QFM384" s="252"/>
      <c r="QFN384" s="252"/>
      <c r="QFO384" s="252"/>
      <c r="QFP384" s="252"/>
      <c r="QFQ384" s="252"/>
      <c r="QFR384" s="252"/>
      <c r="QFS384" s="252"/>
      <c r="QFT384" s="252"/>
      <c r="QFU384" s="252"/>
      <c r="QFV384" s="252"/>
      <c r="QFW384" s="252"/>
      <c r="QFX384" s="252"/>
      <c r="QFY384" s="252"/>
      <c r="QFZ384" s="252"/>
      <c r="QGA384" s="252"/>
      <c r="QGB384" s="252"/>
      <c r="QGC384" s="252"/>
      <c r="QGD384" s="252"/>
      <c r="QGE384" s="252"/>
      <c r="QGF384" s="252"/>
      <c r="QGG384" s="252"/>
      <c r="QGH384" s="252"/>
      <c r="QGI384" s="252"/>
      <c r="QGJ384" s="252"/>
      <c r="QGK384" s="252"/>
      <c r="QGL384" s="252"/>
      <c r="QGM384" s="252"/>
      <c r="QGN384" s="252"/>
      <c r="QGO384" s="252"/>
      <c r="QGP384" s="252"/>
      <c r="QGQ384" s="252"/>
      <c r="QGR384" s="252"/>
      <c r="QGS384" s="252"/>
      <c r="QGT384" s="252"/>
      <c r="QGU384" s="252"/>
      <c r="QGV384" s="252"/>
      <c r="QGW384" s="252"/>
      <c r="QGX384" s="252"/>
      <c r="QGY384" s="252"/>
      <c r="QGZ384" s="252"/>
      <c r="QHA384" s="252"/>
      <c r="QHB384" s="252"/>
      <c r="QHC384" s="252"/>
      <c r="QHD384" s="252"/>
      <c r="QHE384" s="252"/>
      <c r="QHF384" s="252"/>
      <c r="QHG384" s="252"/>
      <c r="QHH384" s="252"/>
      <c r="QHI384" s="252"/>
      <c r="QHJ384" s="252"/>
      <c r="QHK384" s="252"/>
      <c r="QHL384" s="252"/>
      <c r="QHM384" s="252"/>
      <c r="QHN384" s="252"/>
      <c r="QHO384" s="252"/>
      <c r="QHP384" s="252"/>
      <c r="QHQ384" s="252"/>
      <c r="QHR384" s="252"/>
      <c r="QHS384" s="252"/>
      <c r="QHT384" s="252"/>
      <c r="QHU384" s="252"/>
      <c r="QHV384" s="252"/>
      <c r="QHW384" s="252"/>
      <c r="QHX384" s="252"/>
      <c r="QHY384" s="252"/>
      <c r="QHZ384" s="252"/>
      <c r="QIA384" s="252"/>
      <c r="QIB384" s="252"/>
      <c r="QIC384" s="252"/>
      <c r="QID384" s="252"/>
      <c r="QIE384" s="252"/>
      <c r="QIF384" s="252"/>
      <c r="QIG384" s="252"/>
      <c r="QIH384" s="252"/>
      <c r="QII384" s="252"/>
      <c r="QIJ384" s="252"/>
      <c r="QIK384" s="252"/>
      <c r="QIL384" s="252"/>
      <c r="QIM384" s="252"/>
      <c r="QIN384" s="252"/>
      <c r="QIO384" s="252"/>
      <c r="QIP384" s="252"/>
      <c r="QIQ384" s="252"/>
      <c r="QIR384" s="252"/>
      <c r="QIS384" s="252"/>
      <c r="QIT384" s="252"/>
      <c r="QIU384" s="252"/>
      <c r="QIV384" s="252"/>
      <c r="QIW384" s="252"/>
      <c r="QIX384" s="252"/>
      <c r="QIY384" s="252"/>
      <c r="QIZ384" s="252"/>
      <c r="QJA384" s="252"/>
      <c r="QJB384" s="252"/>
      <c r="QJC384" s="252"/>
      <c r="QJD384" s="252"/>
      <c r="QJE384" s="252"/>
      <c r="QJF384" s="252"/>
      <c r="QJG384" s="252"/>
      <c r="QJH384" s="252"/>
      <c r="QJI384" s="252"/>
      <c r="QJJ384" s="252"/>
      <c r="QJK384" s="252"/>
      <c r="QJL384" s="252"/>
      <c r="QJM384" s="252"/>
      <c r="QJN384" s="252"/>
      <c r="QJO384" s="252"/>
      <c r="QJP384" s="252"/>
      <c r="QJQ384" s="252"/>
      <c r="QJR384" s="252"/>
      <c r="QJS384" s="252"/>
      <c r="QJT384" s="252"/>
      <c r="QJU384" s="252"/>
      <c r="QJV384" s="252"/>
      <c r="QJW384" s="252"/>
      <c r="QJX384" s="252"/>
      <c r="QJY384" s="252"/>
      <c r="QJZ384" s="252"/>
      <c r="QKA384" s="252"/>
      <c r="QKB384" s="252"/>
      <c r="QKC384" s="252"/>
      <c r="QKD384" s="252"/>
      <c r="QKE384" s="252"/>
      <c r="QKF384" s="252"/>
      <c r="QKG384" s="252"/>
      <c r="QKH384" s="252"/>
      <c r="QKI384" s="252"/>
      <c r="QKJ384" s="252"/>
      <c r="QKK384" s="252"/>
      <c r="QKL384" s="252"/>
      <c r="QKM384" s="252"/>
      <c r="QKN384" s="252"/>
      <c r="QKO384" s="252"/>
      <c r="QKP384" s="252"/>
      <c r="QKQ384" s="252"/>
      <c r="QKR384" s="252"/>
      <c r="QKS384" s="252"/>
      <c r="QKT384" s="252"/>
      <c r="QKU384" s="252"/>
      <c r="QKV384" s="252"/>
      <c r="QKW384" s="252"/>
      <c r="QKX384" s="252"/>
      <c r="QKY384" s="252"/>
      <c r="QKZ384" s="252"/>
      <c r="QLA384" s="252"/>
      <c r="QLB384" s="252"/>
      <c r="QLC384" s="252"/>
      <c r="QLD384" s="252"/>
      <c r="QLE384" s="252"/>
      <c r="QLF384" s="252"/>
      <c r="QLG384" s="252"/>
      <c r="QLH384" s="252"/>
      <c r="QLI384" s="252"/>
      <c r="QLJ384" s="252"/>
      <c r="QLK384" s="252"/>
      <c r="QLL384" s="252"/>
      <c r="QLM384" s="252"/>
      <c r="QLN384" s="252"/>
      <c r="QLO384" s="252"/>
      <c r="QLP384" s="252"/>
      <c r="QLQ384" s="252"/>
      <c r="QLR384" s="252"/>
      <c r="QLS384" s="252"/>
      <c r="QLT384" s="252"/>
      <c r="QLU384" s="252"/>
      <c r="QLV384" s="252"/>
      <c r="QLW384" s="252"/>
      <c r="QLX384" s="252"/>
      <c r="QLY384" s="252"/>
      <c r="QLZ384" s="252"/>
      <c r="QMA384" s="252"/>
      <c r="QMB384" s="252"/>
      <c r="QMC384" s="252"/>
      <c r="QMD384" s="252"/>
      <c r="QME384" s="252"/>
      <c r="QMF384" s="252"/>
      <c r="QMG384" s="252"/>
      <c r="QMH384" s="252"/>
      <c r="QMI384" s="252"/>
      <c r="QMJ384" s="252"/>
      <c r="QMK384" s="252"/>
      <c r="QML384" s="252"/>
      <c r="QMM384" s="252"/>
      <c r="QMN384" s="252"/>
      <c r="QMO384" s="252"/>
      <c r="QMP384" s="252"/>
      <c r="QMQ384" s="252"/>
      <c r="QMR384" s="252"/>
      <c r="QMS384" s="252"/>
      <c r="QMT384" s="252"/>
      <c r="QMU384" s="252"/>
      <c r="QMV384" s="252"/>
      <c r="QMW384" s="252"/>
      <c r="QMX384" s="252"/>
      <c r="QMY384" s="252"/>
      <c r="QMZ384" s="252"/>
      <c r="QNA384" s="252"/>
      <c r="QNB384" s="252"/>
      <c r="QNC384" s="252"/>
      <c r="QND384" s="252"/>
      <c r="QNE384" s="252"/>
      <c r="QNF384" s="252"/>
      <c r="QNG384" s="252"/>
      <c r="QNH384" s="252"/>
      <c r="QNI384" s="252"/>
      <c r="QNJ384" s="252"/>
      <c r="QNK384" s="252"/>
      <c r="QNL384" s="252"/>
      <c r="QNM384" s="252"/>
      <c r="QNN384" s="252"/>
      <c r="QNO384" s="252"/>
      <c r="QNP384" s="252"/>
      <c r="QNQ384" s="252"/>
      <c r="QNR384" s="252"/>
      <c r="QNS384" s="252"/>
      <c r="QNT384" s="252"/>
      <c r="QNU384" s="252"/>
      <c r="QNV384" s="252"/>
      <c r="QNW384" s="252"/>
      <c r="QNX384" s="252"/>
      <c r="QNY384" s="252"/>
      <c r="QNZ384" s="252"/>
      <c r="QOA384" s="252"/>
      <c r="QOB384" s="252"/>
      <c r="QOC384" s="252"/>
      <c r="QOD384" s="252"/>
      <c r="QOE384" s="252"/>
      <c r="QOF384" s="252"/>
      <c r="QOG384" s="252"/>
      <c r="QOH384" s="252"/>
      <c r="QOI384" s="252"/>
      <c r="QOJ384" s="252"/>
      <c r="QOK384" s="252"/>
      <c r="QOL384" s="252"/>
      <c r="QOM384" s="252"/>
      <c r="QON384" s="252"/>
      <c r="QOO384" s="252"/>
      <c r="QOP384" s="252"/>
      <c r="QOQ384" s="252"/>
      <c r="QOR384" s="252"/>
      <c r="QOS384" s="252"/>
      <c r="QOT384" s="252"/>
      <c r="QOU384" s="252"/>
      <c r="QOV384" s="252"/>
      <c r="QOW384" s="252"/>
      <c r="QOX384" s="252"/>
      <c r="QOY384" s="252"/>
      <c r="QOZ384" s="252"/>
      <c r="QPA384" s="252"/>
      <c r="QPB384" s="252"/>
      <c r="QPC384" s="252"/>
      <c r="QPD384" s="252"/>
      <c r="QPE384" s="252"/>
      <c r="QPF384" s="252"/>
      <c r="QPG384" s="252"/>
      <c r="QPH384" s="252"/>
      <c r="QPI384" s="252"/>
      <c r="QPJ384" s="252"/>
      <c r="QPK384" s="252"/>
      <c r="QPL384" s="252"/>
      <c r="QPM384" s="252"/>
      <c r="QPN384" s="252"/>
      <c r="QPO384" s="252"/>
      <c r="QPP384" s="252"/>
      <c r="QPQ384" s="252"/>
      <c r="QPR384" s="252"/>
      <c r="QPS384" s="252"/>
      <c r="QPT384" s="252"/>
      <c r="QPU384" s="252"/>
      <c r="QPV384" s="252"/>
      <c r="QPW384" s="252"/>
      <c r="QPX384" s="252"/>
      <c r="QPY384" s="252"/>
      <c r="QPZ384" s="252"/>
      <c r="QQA384" s="252"/>
      <c r="QQB384" s="252"/>
      <c r="QQC384" s="252"/>
      <c r="QQD384" s="252"/>
      <c r="QQE384" s="252"/>
      <c r="QQF384" s="252"/>
      <c r="QQG384" s="252"/>
      <c r="QQH384" s="252"/>
      <c r="QQI384" s="252"/>
      <c r="QQJ384" s="252"/>
      <c r="QQK384" s="252"/>
      <c r="QQL384" s="252"/>
      <c r="QQM384" s="252"/>
      <c r="QQN384" s="252"/>
      <c r="QQO384" s="252"/>
      <c r="QQP384" s="252"/>
      <c r="QQQ384" s="252"/>
      <c r="QQR384" s="252"/>
      <c r="QQS384" s="252"/>
      <c r="QQT384" s="252"/>
      <c r="QQU384" s="252"/>
      <c r="QQV384" s="252"/>
      <c r="QQW384" s="252"/>
      <c r="QQX384" s="252"/>
      <c r="QQY384" s="252"/>
      <c r="QQZ384" s="252"/>
      <c r="QRA384" s="252"/>
      <c r="QRB384" s="252"/>
      <c r="QRC384" s="252"/>
      <c r="QRD384" s="252"/>
      <c r="QRE384" s="252"/>
      <c r="QRF384" s="252"/>
      <c r="QRG384" s="252"/>
      <c r="QRH384" s="252"/>
      <c r="QRI384" s="252"/>
      <c r="QRJ384" s="252"/>
      <c r="QRK384" s="252"/>
      <c r="QRL384" s="252"/>
      <c r="QRM384" s="252"/>
      <c r="QRN384" s="252"/>
      <c r="QRO384" s="252"/>
      <c r="QRP384" s="252"/>
      <c r="QRQ384" s="252"/>
      <c r="QRR384" s="252"/>
      <c r="QRS384" s="252"/>
      <c r="QRT384" s="252"/>
      <c r="QRU384" s="252"/>
      <c r="QRV384" s="252"/>
      <c r="QRW384" s="252"/>
      <c r="QRX384" s="252"/>
      <c r="QRY384" s="252"/>
      <c r="QRZ384" s="252"/>
      <c r="QSA384" s="252"/>
      <c r="QSB384" s="252"/>
      <c r="QSC384" s="252"/>
      <c r="QSD384" s="252"/>
      <c r="QSE384" s="252"/>
      <c r="QSF384" s="252"/>
      <c r="QSG384" s="252"/>
      <c r="QSH384" s="252"/>
      <c r="QSI384" s="252"/>
      <c r="QSJ384" s="252"/>
      <c r="QSK384" s="252"/>
      <c r="QSL384" s="252"/>
      <c r="QSM384" s="252"/>
      <c r="QSN384" s="252"/>
      <c r="QSO384" s="252"/>
      <c r="QSP384" s="252"/>
      <c r="QSQ384" s="252"/>
      <c r="QSR384" s="252"/>
      <c r="QSS384" s="252"/>
      <c r="QST384" s="252"/>
      <c r="QSU384" s="252"/>
      <c r="QSV384" s="252"/>
      <c r="QSW384" s="252"/>
      <c r="QSX384" s="252"/>
      <c r="QSY384" s="252"/>
      <c r="QSZ384" s="252"/>
      <c r="QTA384" s="252"/>
      <c r="QTB384" s="252"/>
      <c r="QTC384" s="252"/>
      <c r="QTD384" s="252"/>
      <c r="QTE384" s="252"/>
      <c r="QTF384" s="252"/>
      <c r="QTG384" s="252"/>
      <c r="QTH384" s="252"/>
      <c r="QTI384" s="252"/>
      <c r="QTJ384" s="252"/>
      <c r="QTK384" s="252"/>
      <c r="QTL384" s="252"/>
      <c r="QTM384" s="252"/>
      <c r="QTN384" s="252"/>
      <c r="QTO384" s="252"/>
      <c r="QTP384" s="252"/>
      <c r="QTQ384" s="252"/>
      <c r="QTR384" s="252"/>
      <c r="QTS384" s="252"/>
      <c r="QTT384" s="252"/>
      <c r="QTU384" s="252"/>
      <c r="QTV384" s="252"/>
      <c r="QTW384" s="252"/>
      <c r="QTX384" s="252"/>
      <c r="QTY384" s="252"/>
      <c r="QTZ384" s="252"/>
      <c r="QUA384" s="252"/>
      <c r="QUB384" s="252"/>
      <c r="QUC384" s="252"/>
      <c r="QUD384" s="252"/>
      <c r="QUE384" s="252"/>
      <c r="QUF384" s="252"/>
      <c r="QUG384" s="252"/>
      <c r="QUH384" s="252"/>
      <c r="QUI384" s="252"/>
      <c r="QUJ384" s="252"/>
      <c r="QUK384" s="252"/>
      <c r="QUL384" s="252"/>
      <c r="QUM384" s="252"/>
      <c r="QUN384" s="252"/>
      <c r="QUO384" s="252"/>
      <c r="QUP384" s="252"/>
      <c r="QUQ384" s="252"/>
      <c r="QUR384" s="252"/>
      <c r="QUS384" s="252"/>
      <c r="QUT384" s="252"/>
      <c r="QUU384" s="252"/>
      <c r="QUV384" s="252"/>
      <c r="QUW384" s="252"/>
      <c r="QUX384" s="252"/>
      <c r="QUY384" s="252"/>
      <c r="QUZ384" s="252"/>
      <c r="QVA384" s="252"/>
      <c r="QVB384" s="252"/>
      <c r="QVC384" s="252"/>
      <c r="QVD384" s="252"/>
      <c r="QVE384" s="252"/>
      <c r="QVF384" s="252"/>
      <c r="QVG384" s="252"/>
      <c r="QVH384" s="252"/>
      <c r="QVI384" s="252"/>
      <c r="QVJ384" s="252"/>
      <c r="QVK384" s="252"/>
      <c r="QVL384" s="252"/>
      <c r="QVM384" s="252"/>
      <c r="QVN384" s="252"/>
      <c r="QVO384" s="252"/>
      <c r="QVP384" s="252"/>
      <c r="QVQ384" s="252"/>
      <c r="QVR384" s="252"/>
      <c r="QVS384" s="252"/>
      <c r="QVT384" s="252"/>
      <c r="QVU384" s="252"/>
      <c r="QVV384" s="252"/>
      <c r="QVW384" s="252"/>
      <c r="QVX384" s="252"/>
      <c r="QVY384" s="252"/>
      <c r="QVZ384" s="252"/>
      <c r="QWA384" s="252"/>
      <c r="QWB384" s="252"/>
      <c r="QWC384" s="252"/>
      <c r="QWD384" s="252"/>
      <c r="QWE384" s="252"/>
      <c r="QWF384" s="252"/>
      <c r="QWG384" s="252"/>
      <c r="QWH384" s="252"/>
      <c r="QWI384" s="252"/>
      <c r="QWJ384" s="252"/>
      <c r="QWK384" s="252"/>
      <c r="QWL384" s="252"/>
      <c r="QWM384" s="252"/>
      <c r="QWN384" s="252"/>
      <c r="QWO384" s="252"/>
      <c r="QWP384" s="252"/>
      <c r="QWQ384" s="252"/>
      <c r="QWR384" s="252"/>
      <c r="QWS384" s="252"/>
      <c r="QWT384" s="252"/>
      <c r="QWU384" s="252"/>
      <c r="QWV384" s="252"/>
      <c r="QWW384" s="252"/>
      <c r="QWX384" s="252"/>
      <c r="QWY384" s="252"/>
      <c r="QWZ384" s="252"/>
      <c r="QXA384" s="252"/>
      <c r="QXB384" s="252"/>
      <c r="QXC384" s="252"/>
      <c r="QXD384" s="252"/>
      <c r="QXE384" s="252"/>
      <c r="QXF384" s="252"/>
      <c r="QXG384" s="252"/>
      <c r="QXH384" s="252"/>
      <c r="QXI384" s="252"/>
      <c r="QXJ384" s="252"/>
      <c r="QXK384" s="252"/>
      <c r="QXL384" s="252"/>
      <c r="QXM384" s="252"/>
      <c r="QXN384" s="252"/>
      <c r="QXO384" s="252"/>
      <c r="QXP384" s="252"/>
      <c r="QXQ384" s="252"/>
      <c r="QXR384" s="252"/>
      <c r="QXS384" s="252"/>
      <c r="QXT384" s="252"/>
      <c r="QXU384" s="252"/>
      <c r="QXV384" s="252"/>
      <c r="QXW384" s="252"/>
      <c r="QXX384" s="252"/>
      <c r="QXY384" s="252"/>
      <c r="QXZ384" s="252"/>
      <c r="QYA384" s="252"/>
      <c r="QYB384" s="252"/>
      <c r="QYC384" s="252"/>
      <c r="QYD384" s="252"/>
      <c r="QYE384" s="252"/>
      <c r="QYF384" s="252"/>
      <c r="QYG384" s="252"/>
      <c r="QYH384" s="252"/>
      <c r="QYI384" s="252"/>
      <c r="QYJ384" s="252"/>
      <c r="QYK384" s="252"/>
      <c r="QYL384" s="252"/>
      <c r="QYM384" s="252"/>
      <c r="QYN384" s="252"/>
      <c r="QYO384" s="252"/>
      <c r="QYP384" s="252"/>
      <c r="QYQ384" s="252"/>
      <c r="QYR384" s="252"/>
      <c r="QYS384" s="252"/>
      <c r="QYT384" s="252"/>
      <c r="QYU384" s="252"/>
      <c r="QYV384" s="252"/>
      <c r="QYW384" s="252"/>
      <c r="QYX384" s="252"/>
      <c r="QYY384" s="252"/>
      <c r="QYZ384" s="252"/>
      <c r="QZA384" s="252"/>
      <c r="QZB384" s="252"/>
      <c r="QZC384" s="252"/>
      <c r="QZD384" s="252"/>
      <c r="QZE384" s="252"/>
      <c r="QZF384" s="252"/>
      <c r="QZG384" s="252"/>
      <c r="QZH384" s="252"/>
      <c r="QZI384" s="252"/>
      <c r="QZJ384" s="252"/>
      <c r="QZK384" s="252"/>
      <c r="QZL384" s="252"/>
      <c r="QZM384" s="252"/>
      <c r="QZN384" s="252"/>
      <c r="QZO384" s="252"/>
      <c r="QZP384" s="252"/>
      <c r="QZQ384" s="252"/>
      <c r="QZR384" s="252"/>
      <c r="QZS384" s="252"/>
      <c r="QZT384" s="252"/>
      <c r="QZU384" s="252"/>
      <c r="QZV384" s="252"/>
      <c r="QZW384" s="252"/>
      <c r="QZX384" s="252"/>
      <c r="QZY384" s="252"/>
      <c r="QZZ384" s="252"/>
      <c r="RAA384" s="252"/>
      <c r="RAB384" s="252"/>
      <c r="RAC384" s="252"/>
      <c r="RAD384" s="252"/>
      <c r="RAE384" s="252"/>
      <c r="RAF384" s="252"/>
      <c r="RAG384" s="252"/>
      <c r="RAH384" s="252"/>
      <c r="RAI384" s="252"/>
      <c r="RAJ384" s="252"/>
      <c r="RAK384" s="252"/>
      <c r="RAL384" s="252"/>
      <c r="RAM384" s="252"/>
      <c r="RAN384" s="252"/>
      <c r="RAO384" s="252"/>
      <c r="RAP384" s="252"/>
      <c r="RAQ384" s="252"/>
      <c r="RAR384" s="252"/>
      <c r="RAS384" s="252"/>
      <c r="RAT384" s="252"/>
      <c r="RAU384" s="252"/>
      <c r="RAV384" s="252"/>
      <c r="RAW384" s="252"/>
      <c r="RAX384" s="252"/>
      <c r="RAY384" s="252"/>
      <c r="RAZ384" s="252"/>
      <c r="RBA384" s="252"/>
      <c r="RBB384" s="252"/>
      <c r="RBC384" s="252"/>
      <c r="RBD384" s="252"/>
      <c r="RBE384" s="252"/>
      <c r="RBF384" s="252"/>
      <c r="RBG384" s="252"/>
      <c r="RBH384" s="252"/>
      <c r="RBI384" s="252"/>
      <c r="RBJ384" s="252"/>
      <c r="RBK384" s="252"/>
      <c r="RBL384" s="252"/>
      <c r="RBM384" s="252"/>
      <c r="RBN384" s="252"/>
      <c r="RBO384" s="252"/>
      <c r="RBP384" s="252"/>
      <c r="RBQ384" s="252"/>
      <c r="RBR384" s="252"/>
      <c r="RBS384" s="252"/>
      <c r="RBT384" s="252"/>
      <c r="RBU384" s="252"/>
      <c r="RBV384" s="252"/>
      <c r="RBW384" s="252"/>
      <c r="RBX384" s="252"/>
      <c r="RBY384" s="252"/>
      <c r="RBZ384" s="252"/>
      <c r="RCA384" s="252"/>
      <c r="RCB384" s="252"/>
      <c r="RCC384" s="252"/>
      <c r="RCD384" s="252"/>
      <c r="RCE384" s="252"/>
      <c r="RCF384" s="252"/>
      <c r="RCG384" s="252"/>
      <c r="RCH384" s="252"/>
      <c r="RCI384" s="252"/>
      <c r="RCJ384" s="252"/>
      <c r="RCK384" s="252"/>
      <c r="RCL384" s="252"/>
      <c r="RCM384" s="252"/>
      <c r="RCN384" s="252"/>
      <c r="RCO384" s="252"/>
      <c r="RCP384" s="252"/>
      <c r="RCQ384" s="252"/>
      <c r="RCR384" s="252"/>
      <c r="RCS384" s="252"/>
      <c r="RCT384" s="252"/>
      <c r="RCU384" s="252"/>
      <c r="RCV384" s="252"/>
      <c r="RCW384" s="252"/>
      <c r="RCX384" s="252"/>
      <c r="RCY384" s="252"/>
      <c r="RCZ384" s="252"/>
      <c r="RDA384" s="252"/>
      <c r="RDB384" s="252"/>
      <c r="RDC384" s="252"/>
      <c r="RDD384" s="252"/>
      <c r="RDE384" s="252"/>
      <c r="RDF384" s="252"/>
      <c r="RDG384" s="252"/>
      <c r="RDH384" s="252"/>
      <c r="RDI384" s="252"/>
      <c r="RDJ384" s="252"/>
      <c r="RDK384" s="252"/>
      <c r="RDL384" s="252"/>
      <c r="RDM384" s="252"/>
      <c r="RDN384" s="252"/>
      <c r="RDO384" s="252"/>
      <c r="RDP384" s="252"/>
      <c r="RDQ384" s="252"/>
      <c r="RDR384" s="252"/>
      <c r="RDS384" s="252"/>
      <c r="RDT384" s="252"/>
      <c r="RDU384" s="252"/>
      <c r="RDV384" s="252"/>
      <c r="RDW384" s="252"/>
      <c r="RDX384" s="252"/>
      <c r="RDY384" s="252"/>
      <c r="RDZ384" s="252"/>
      <c r="REA384" s="252"/>
      <c r="REB384" s="252"/>
      <c r="REC384" s="252"/>
      <c r="RED384" s="252"/>
      <c r="REE384" s="252"/>
      <c r="REF384" s="252"/>
      <c r="REG384" s="252"/>
      <c r="REH384" s="252"/>
      <c r="REI384" s="252"/>
      <c r="REJ384" s="252"/>
      <c r="REK384" s="252"/>
      <c r="REL384" s="252"/>
      <c r="REM384" s="252"/>
      <c r="REN384" s="252"/>
      <c r="REO384" s="252"/>
      <c r="REP384" s="252"/>
      <c r="REQ384" s="252"/>
      <c r="RER384" s="252"/>
      <c r="RES384" s="252"/>
      <c r="RET384" s="252"/>
      <c r="REU384" s="252"/>
      <c r="REV384" s="252"/>
      <c r="REW384" s="252"/>
      <c r="REX384" s="252"/>
      <c r="REY384" s="252"/>
      <c r="REZ384" s="252"/>
      <c r="RFA384" s="252"/>
      <c r="RFB384" s="252"/>
      <c r="RFC384" s="252"/>
      <c r="RFD384" s="252"/>
      <c r="RFE384" s="252"/>
      <c r="RFF384" s="252"/>
      <c r="RFG384" s="252"/>
      <c r="RFH384" s="252"/>
      <c r="RFI384" s="252"/>
      <c r="RFJ384" s="252"/>
      <c r="RFK384" s="252"/>
      <c r="RFL384" s="252"/>
      <c r="RFM384" s="252"/>
      <c r="RFN384" s="252"/>
      <c r="RFO384" s="252"/>
      <c r="RFP384" s="252"/>
      <c r="RFQ384" s="252"/>
      <c r="RFR384" s="252"/>
      <c r="RFS384" s="252"/>
      <c r="RFT384" s="252"/>
      <c r="RFU384" s="252"/>
      <c r="RFV384" s="252"/>
      <c r="RFW384" s="252"/>
      <c r="RFX384" s="252"/>
      <c r="RFY384" s="252"/>
      <c r="RFZ384" s="252"/>
      <c r="RGA384" s="252"/>
      <c r="RGB384" s="252"/>
      <c r="RGC384" s="252"/>
      <c r="RGD384" s="252"/>
      <c r="RGE384" s="252"/>
      <c r="RGF384" s="252"/>
      <c r="RGG384" s="252"/>
      <c r="RGH384" s="252"/>
      <c r="RGI384" s="252"/>
      <c r="RGJ384" s="252"/>
      <c r="RGK384" s="252"/>
      <c r="RGL384" s="252"/>
      <c r="RGM384" s="252"/>
      <c r="RGN384" s="252"/>
      <c r="RGO384" s="252"/>
      <c r="RGP384" s="252"/>
      <c r="RGQ384" s="252"/>
      <c r="RGR384" s="252"/>
      <c r="RGS384" s="252"/>
      <c r="RGT384" s="252"/>
      <c r="RGU384" s="252"/>
      <c r="RGV384" s="252"/>
      <c r="RGW384" s="252"/>
      <c r="RGX384" s="252"/>
      <c r="RGY384" s="252"/>
      <c r="RGZ384" s="252"/>
      <c r="RHA384" s="252"/>
      <c r="RHB384" s="252"/>
      <c r="RHC384" s="252"/>
      <c r="RHD384" s="252"/>
      <c r="RHE384" s="252"/>
      <c r="RHF384" s="252"/>
      <c r="RHG384" s="252"/>
      <c r="RHH384" s="252"/>
      <c r="RHI384" s="252"/>
      <c r="RHJ384" s="252"/>
      <c r="RHK384" s="252"/>
      <c r="RHL384" s="252"/>
      <c r="RHM384" s="252"/>
      <c r="RHN384" s="252"/>
      <c r="RHO384" s="252"/>
      <c r="RHP384" s="252"/>
      <c r="RHQ384" s="252"/>
      <c r="RHR384" s="252"/>
      <c r="RHS384" s="252"/>
      <c r="RHT384" s="252"/>
      <c r="RHU384" s="252"/>
      <c r="RHV384" s="252"/>
      <c r="RHW384" s="252"/>
      <c r="RHX384" s="252"/>
      <c r="RHY384" s="252"/>
      <c r="RHZ384" s="252"/>
      <c r="RIA384" s="252"/>
      <c r="RIB384" s="252"/>
      <c r="RIC384" s="252"/>
      <c r="RID384" s="252"/>
      <c r="RIE384" s="252"/>
      <c r="RIF384" s="252"/>
      <c r="RIG384" s="252"/>
      <c r="RIH384" s="252"/>
      <c r="RII384" s="252"/>
      <c r="RIJ384" s="252"/>
      <c r="RIK384" s="252"/>
      <c r="RIL384" s="252"/>
      <c r="RIM384" s="252"/>
      <c r="RIN384" s="252"/>
      <c r="RIO384" s="252"/>
      <c r="RIP384" s="252"/>
      <c r="RIQ384" s="252"/>
      <c r="RIR384" s="252"/>
      <c r="RIS384" s="252"/>
      <c r="RIT384" s="252"/>
      <c r="RIU384" s="252"/>
      <c r="RIV384" s="252"/>
      <c r="RIW384" s="252"/>
      <c r="RIX384" s="252"/>
      <c r="RIY384" s="252"/>
      <c r="RIZ384" s="252"/>
      <c r="RJA384" s="252"/>
      <c r="RJB384" s="252"/>
      <c r="RJC384" s="252"/>
      <c r="RJD384" s="252"/>
      <c r="RJE384" s="252"/>
      <c r="RJF384" s="252"/>
      <c r="RJG384" s="252"/>
      <c r="RJH384" s="252"/>
      <c r="RJI384" s="252"/>
      <c r="RJJ384" s="252"/>
      <c r="RJK384" s="252"/>
      <c r="RJL384" s="252"/>
      <c r="RJM384" s="252"/>
      <c r="RJN384" s="252"/>
      <c r="RJO384" s="252"/>
      <c r="RJP384" s="252"/>
      <c r="RJQ384" s="252"/>
      <c r="RJR384" s="252"/>
      <c r="RJS384" s="252"/>
      <c r="RJT384" s="252"/>
      <c r="RJU384" s="252"/>
      <c r="RJV384" s="252"/>
      <c r="RJW384" s="252"/>
      <c r="RJX384" s="252"/>
      <c r="RJY384" s="252"/>
      <c r="RJZ384" s="252"/>
      <c r="RKA384" s="252"/>
      <c r="RKB384" s="252"/>
      <c r="RKC384" s="252"/>
      <c r="RKD384" s="252"/>
      <c r="RKE384" s="252"/>
      <c r="RKF384" s="252"/>
      <c r="RKG384" s="252"/>
      <c r="RKH384" s="252"/>
      <c r="RKI384" s="252"/>
      <c r="RKJ384" s="252"/>
      <c r="RKK384" s="252"/>
      <c r="RKL384" s="252"/>
      <c r="RKM384" s="252"/>
      <c r="RKN384" s="252"/>
      <c r="RKO384" s="252"/>
      <c r="RKP384" s="252"/>
      <c r="RKQ384" s="252"/>
      <c r="RKR384" s="252"/>
      <c r="RKS384" s="252"/>
      <c r="RKT384" s="252"/>
      <c r="RKU384" s="252"/>
      <c r="RKV384" s="252"/>
      <c r="RKW384" s="252"/>
      <c r="RKX384" s="252"/>
      <c r="RKY384" s="252"/>
      <c r="RKZ384" s="252"/>
      <c r="RLA384" s="252"/>
      <c r="RLB384" s="252"/>
      <c r="RLC384" s="252"/>
      <c r="RLD384" s="252"/>
      <c r="RLE384" s="252"/>
      <c r="RLF384" s="252"/>
      <c r="RLG384" s="252"/>
      <c r="RLH384" s="252"/>
      <c r="RLI384" s="252"/>
      <c r="RLJ384" s="252"/>
      <c r="RLK384" s="252"/>
      <c r="RLL384" s="252"/>
      <c r="RLM384" s="252"/>
      <c r="RLN384" s="252"/>
      <c r="RLO384" s="252"/>
      <c r="RLP384" s="252"/>
      <c r="RLQ384" s="252"/>
      <c r="RLR384" s="252"/>
      <c r="RLS384" s="252"/>
      <c r="RLT384" s="252"/>
      <c r="RLU384" s="252"/>
      <c r="RLV384" s="252"/>
      <c r="RLW384" s="252"/>
      <c r="RLX384" s="252"/>
      <c r="RLY384" s="252"/>
      <c r="RLZ384" s="252"/>
      <c r="RMA384" s="252"/>
      <c r="RMB384" s="252"/>
      <c r="RMC384" s="252"/>
      <c r="RMD384" s="252"/>
      <c r="RME384" s="252"/>
      <c r="RMF384" s="252"/>
      <c r="RMG384" s="252"/>
      <c r="RMH384" s="252"/>
      <c r="RMI384" s="252"/>
      <c r="RMJ384" s="252"/>
      <c r="RMK384" s="252"/>
      <c r="RML384" s="252"/>
      <c r="RMM384" s="252"/>
      <c r="RMN384" s="252"/>
      <c r="RMO384" s="252"/>
      <c r="RMP384" s="252"/>
      <c r="RMQ384" s="252"/>
      <c r="RMR384" s="252"/>
      <c r="RMS384" s="252"/>
      <c r="RMT384" s="252"/>
      <c r="RMU384" s="252"/>
      <c r="RMV384" s="252"/>
      <c r="RMW384" s="252"/>
      <c r="RMX384" s="252"/>
      <c r="RMY384" s="252"/>
      <c r="RMZ384" s="252"/>
      <c r="RNA384" s="252"/>
      <c r="RNB384" s="252"/>
      <c r="RNC384" s="252"/>
      <c r="RND384" s="252"/>
      <c r="RNE384" s="252"/>
      <c r="RNF384" s="252"/>
      <c r="RNG384" s="252"/>
      <c r="RNH384" s="252"/>
      <c r="RNI384" s="252"/>
      <c r="RNJ384" s="252"/>
      <c r="RNK384" s="252"/>
      <c r="RNL384" s="252"/>
      <c r="RNM384" s="252"/>
      <c r="RNN384" s="252"/>
      <c r="RNO384" s="252"/>
      <c r="RNP384" s="252"/>
      <c r="RNQ384" s="252"/>
      <c r="RNR384" s="252"/>
      <c r="RNS384" s="252"/>
      <c r="RNT384" s="252"/>
      <c r="RNU384" s="252"/>
      <c r="RNV384" s="252"/>
      <c r="RNW384" s="252"/>
      <c r="RNX384" s="252"/>
      <c r="RNY384" s="252"/>
      <c r="RNZ384" s="252"/>
      <c r="ROA384" s="252"/>
      <c r="ROB384" s="252"/>
      <c r="ROC384" s="252"/>
      <c r="ROD384" s="252"/>
      <c r="ROE384" s="252"/>
      <c r="ROF384" s="252"/>
      <c r="ROG384" s="252"/>
      <c r="ROH384" s="252"/>
      <c r="ROI384" s="252"/>
      <c r="ROJ384" s="252"/>
      <c r="ROK384" s="252"/>
      <c r="ROL384" s="252"/>
      <c r="ROM384" s="252"/>
      <c r="RON384" s="252"/>
      <c r="ROO384" s="252"/>
      <c r="ROP384" s="252"/>
      <c r="ROQ384" s="252"/>
      <c r="ROR384" s="252"/>
      <c r="ROS384" s="252"/>
      <c r="ROT384" s="252"/>
      <c r="ROU384" s="252"/>
      <c r="ROV384" s="252"/>
      <c r="ROW384" s="252"/>
      <c r="ROX384" s="252"/>
      <c r="ROY384" s="252"/>
      <c r="ROZ384" s="252"/>
      <c r="RPA384" s="252"/>
      <c r="RPB384" s="252"/>
      <c r="RPC384" s="252"/>
      <c r="RPD384" s="252"/>
      <c r="RPE384" s="252"/>
      <c r="RPF384" s="252"/>
      <c r="RPG384" s="252"/>
      <c r="RPH384" s="252"/>
      <c r="RPI384" s="252"/>
      <c r="RPJ384" s="252"/>
      <c r="RPK384" s="252"/>
      <c r="RPL384" s="252"/>
      <c r="RPM384" s="252"/>
      <c r="RPN384" s="252"/>
      <c r="RPO384" s="252"/>
      <c r="RPP384" s="252"/>
      <c r="RPQ384" s="252"/>
      <c r="RPR384" s="252"/>
      <c r="RPS384" s="252"/>
      <c r="RPT384" s="252"/>
      <c r="RPU384" s="252"/>
      <c r="RPV384" s="252"/>
      <c r="RPW384" s="252"/>
      <c r="RPX384" s="252"/>
      <c r="RPY384" s="252"/>
      <c r="RPZ384" s="252"/>
      <c r="RQA384" s="252"/>
      <c r="RQB384" s="252"/>
      <c r="RQC384" s="252"/>
      <c r="RQD384" s="252"/>
      <c r="RQE384" s="252"/>
      <c r="RQF384" s="252"/>
      <c r="RQG384" s="252"/>
      <c r="RQH384" s="252"/>
      <c r="RQI384" s="252"/>
      <c r="RQJ384" s="252"/>
      <c r="RQK384" s="252"/>
      <c r="RQL384" s="252"/>
      <c r="RQM384" s="252"/>
      <c r="RQN384" s="252"/>
      <c r="RQO384" s="252"/>
      <c r="RQP384" s="252"/>
      <c r="RQQ384" s="252"/>
      <c r="RQR384" s="252"/>
      <c r="RQS384" s="252"/>
      <c r="RQT384" s="252"/>
      <c r="RQU384" s="252"/>
      <c r="RQV384" s="252"/>
      <c r="RQW384" s="252"/>
      <c r="RQX384" s="252"/>
      <c r="RQY384" s="252"/>
      <c r="RQZ384" s="252"/>
      <c r="RRA384" s="252"/>
      <c r="RRB384" s="252"/>
      <c r="RRC384" s="252"/>
      <c r="RRD384" s="252"/>
      <c r="RRE384" s="252"/>
      <c r="RRF384" s="252"/>
      <c r="RRG384" s="252"/>
      <c r="RRH384" s="252"/>
      <c r="RRI384" s="252"/>
      <c r="RRJ384" s="252"/>
      <c r="RRK384" s="252"/>
      <c r="RRL384" s="252"/>
      <c r="RRM384" s="252"/>
      <c r="RRN384" s="252"/>
      <c r="RRO384" s="252"/>
      <c r="RRP384" s="252"/>
      <c r="RRQ384" s="252"/>
      <c r="RRR384" s="252"/>
      <c r="RRS384" s="252"/>
      <c r="RRT384" s="252"/>
      <c r="RRU384" s="252"/>
      <c r="RRV384" s="252"/>
      <c r="RRW384" s="252"/>
      <c r="RRX384" s="252"/>
      <c r="RRY384" s="252"/>
      <c r="RRZ384" s="252"/>
      <c r="RSA384" s="252"/>
      <c r="RSB384" s="252"/>
      <c r="RSC384" s="252"/>
      <c r="RSD384" s="252"/>
      <c r="RSE384" s="252"/>
      <c r="RSF384" s="252"/>
      <c r="RSG384" s="252"/>
      <c r="RSH384" s="252"/>
      <c r="RSI384" s="252"/>
      <c r="RSJ384" s="252"/>
      <c r="RSK384" s="252"/>
      <c r="RSL384" s="252"/>
      <c r="RSM384" s="252"/>
      <c r="RSN384" s="252"/>
      <c r="RSO384" s="252"/>
      <c r="RSP384" s="252"/>
      <c r="RSQ384" s="252"/>
      <c r="RSR384" s="252"/>
      <c r="RSS384" s="252"/>
      <c r="RST384" s="252"/>
      <c r="RSU384" s="252"/>
      <c r="RSV384" s="252"/>
      <c r="RSW384" s="252"/>
      <c r="RSX384" s="252"/>
      <c r="RSY384" s="252"/>
      <c r="RSZ384" s="252"/>
      <c r="RTA384" s="252"/>
      <c r="RTB384" s="252"/>
      <c r="RTC384" s="252"/>
      <c r="RTD384" s="252"/>
      <c r="RTE384" s="252"/>
      <c r="RTF384" s="252"/>
      <c r="RTG384" s="252"/>
      <c r="RTH384" s="252"/>
      <c r="RTI384" s="252"/>
      <c r="RTJ384" s="252"/>
      <c r="RTK384" s="252"/>
      <c r="RTL384" s="252"/>
      <c r="RTM384" s="252"/>
      <c r="RTN384" s="252"/>
      <c r="RTO384" s="252"/>
      <c r="RTP384" s="252"/>
      <c r="RTQ384" s="252"/>
      <c r="RTR384" s="252"/>
      <c r="RTS384" s="252"/>
      <c r="RTT384" s="252"/>
      <c r="RTU384" s="252"/>
      <c r="RTV384" s="252"/>
      <c r="RTW384" s="252"/>
      <c r="RTX384" s="252"/>
      <c r="RTY384" s="252"/>
      <c r="RTZ384" s="252"/>
      <c r="RUA384" s="252"/>
      <c r="RUB384" s="252"/>
      <c r="RUC384" s="252"/>
      <c r="RUD384" s="252"/>
      <c r="RUE384" s="252"/>
      <c r="RUF384" s="252"/>
      <c r="RUG384" s="252"/>
      <c r="RUH384" s="252"/>
      <c r="RUI384" s="252"/>
      <c r="RUJ384" s="252"/>
      <c r="RUK384" s="252"/>
      <c r="RUL384" s="252"/>
      <c r="RUM384" s="252"/>
      <c r="RUN384" s="252"/>
      <c r="RUO384" s="252"/>
      <c r="RUP384" s="252"/>
      <c r="RUQ384" s="252"/>
      <c r="RUR384" s="252"/>
      <c r="RUS384" s="252"/>
      <c r="RUT384" s="252"/>
      <c r="RUU384" s="252"/>
      <c r="RUV384" s="252"/>
      <c r="RUW384" s="252"/>
      <c r="RUX384" s="252"/>
      <c r="RUY384" s="252"/>
      <c r="RUZ384" s="252"/>
      <c r="RVA384" s="252"/>
      <c r="RVB384" s="252"/>
      <c r="RVC384" s="252"/>
      <c r="RVD384" s="252"/>
      <c r="RVE384" s="252"/>
      <c r="RVF384" s="252"/>
      <c r="RVG384" s="252"/>
      <c r="RVH384" s="252"/>
      <c r="RVI384" s="252"/>
      <c r="RVJ384" s="252"/>
      <c r="RVK384" s="252"/>
      <c r="RVL384" s="252"/>
      <c r="RVM384" s="252"/>
      <c r="RVN384" s="252"/>
      <c r="RVO384" s="252"/>
      <c r="RVP384" s="252"/>
      <c r="RVQ384" s="252"/>
      <c r="RVR384" s="252"/>
      <c r="RVS384" s="252"/>
      <c r="RVT384" s="252"/>
      <c r="RVU384" s="252"/>
      <c r="RVV384" s="252"/>
      <c r="RVW384" s="252"/>
      <c r="RVX384" s="252"/>
      <c r="RVY384" s="252"/>
      <c r="RVZ384" s="252"/>
      <c r="RWA384" s="252"/>
      <c r="RWB384" s="252"/>
      <c r="RWC384" s="252"/>
      <c r="RWD384" s="252"/>
      <c r="RWE384" s="252"/>
      <c r="RWF384" s="252"/>
      <c r="RWG384" s="252"/>
      <c r="RWH384" s="252"/>
      <c r="RWI384" s="252"/>
      <c r="RWJ384" s="252"/>
      <c r="RWK384" s="252"/>
      <c r="RWL384" s="252"/>
      <c r="RWM384" s="252"/>
      <c r="RWN384" s="252"/>
      <c r="RWO384" s="252"/>
      <c r="RWP384" s="252"/>
      <c r="RWQ384" s="252"/>
      <c r="RWR384" s="252"/>
      <c r="RWS384" s="252"/>
      <c r="RWT384" s="252"/>
      <c r="RWU384" s="252"/>
      <c r="RWV384" s="252"/>
      <c r="RWW384" s="252"/>
      <c r="RWX384" s="252"/>
      <c r="RWY384" s="252"/>
      <c r="RWZ384" s="252"/>
      <c r="RXA384" s="252"/>
      <c r="RXB384" s="252"/>
      <c r="RXC384" s="252"/>
      <c r="RXD384" s="252"/>
      <c r="RXE384" s="252"/>
      <c r="RXF384" s="252"/>
      <c r="RXG384" s="252"/>
      <c r="RXH384" s="252"/>
      <c r="RXI384" s="252"/>
      <c r="RXJ384" s="252"/>
      <c r="RXK384" s="252"/>
      <c r="RXL384" s="252"/>
      <c r="RXM384" s="252"/>
      <c r="RXN384" s="252"/>
      <c r="RXO384" s="252"/>
      <c r="RXP384" s="252"/>
      <c r="RXQ384" s="252"/>
      <c r="RXR384" s="252"/>
      <c r="RXS384" s="252"/>
      <c r="RXT384" s="252"/>
      <c r="RXU384" s="252"/>
      <c r="RXV384" s="252"/>
      <c r="RXW384" s="252"/>
      <c r="RXX384" s="252"/>
      <c r="RXY384" s="252"/>
      <c r="RXZ384" s="252"/>
      <c r="RYA384" s="252"/>
      <c r="RYB384" s="252"/>
      <c r="RYC384" s="252"/>
      <c r="RYD384" s="252"/>
      <c r="RYE384" s="252"/>
      <c r="RYF384" s="252"/>
      <c r="RYG384" s="252"/>
      <c r="RYH384" s="252"/>
      <c r="RYI384" s="252"/>
      <c r="RYJ384" s="252"/>
      <c r="RYK384" s="252"/>
      <c r="RYL384" s="252"/>
      <c r="RYM384" s="252"/>
      <c r="RYN384" s="252"/>
      <c r="RYO384" s="252"/>
      <c r="RYP384" s="252"/>
      <c r="RYQ384" s="252"/>
      <c r="RYR384" s="252"/>
      <c r="RYS384" s="252"/>
      <c r="RYT384" s="252"/>
      <c r="RYU384" s="252"/>
      <c r="RYV384" s="252"/>
      <c r="RYW384" s="252"/>
      <c r="RYX384" s="252"/>
      <c r="RYY384" s="252"/>
      <c r="RYZ384" s="252"/>
      <c r="RZA384" s="252"/>
      <c r="RZB384" s="252"/>
      <c r="RZC384" s="252"/>
      <c r="RZD384" s="252"/>
      <c r="RZE384" s="252"/>
      <c r="RZF384" s="252"/>
      <c r="RZG384" s="252"/>
      <c r="RZH384" s="252"/>
      <c r="RZI384" s="252"/>
      <c r="RZJ384" s="252"/>
      <c r="RZK384" s="252"/>
      <c r="RZL384" s="252"/>
      <c r="RZM384" s="252"/>
      <c r="RZN384" s="252"/>
      <c r="RZO384" s="252"/>
      <c r="RZP384" s="252"/>
      <c r="RZQ384" s="252"/>
      <c r="RZR384" s="252"/>
      <c r="RZS384" s="252"/>
      <c r="RZT384" s="252"/>
      <c r="RZU384" s="252"/>
      <c r="RZV384" s="252"/>
      <c r="RZW384" s="252"/>
      <c r="RZX384" s="252"/>
      <c r="RZY384" s="252"/>
      <c r="RZZ384" s="252"/>
      <c r="SAA384" s="252"/>
      <c r="SAB384" s="252"/>
      <c r="SAC384" s="252"/>
      <c r="SAD384" s="252"/>
      <c r="SAE384" s="252"/>
      <c r="SAF384" s="252"/>
      <c r="SAG384" s="252"/>
      <c r="SAH384" s="252"/>
      <c r="SAI384" s="252"/>
      <c r="SAJ384" s="252"/>
      <c r="SAK384" s="252"/>
      <c r="SAL384" s="252"/>
      <c r="SAM384" s="252"/>
      <c r="SAN384" s="252"/>
      <c r="SAO384" s="252"/>
      <c r="SAP384" s="252"/>
      <c r="SAQ384" s="252"/>
      <c r="SAR384" s="252"/>
      <c r="SAS384" s="252"/>
      <c r="SAT384" s="252"/>
      <c r="SAU384" s="252"/>
      <c r="SAV384" s="252"/>
      <c r="SAW384" s="252"/>
      <c r="SAX384" s="252"/>
      <c r="SAY384" s="252"/>
      <c r="SAZ384" s="252"/>
      <c r="SBA384" s="252"/>
      <c r="SBB384" s="252"/>
      <c r="SBC384" s="252"/>
      <c r="SBD384" s="252"/>
      <c r="SBE384" s="252"/>
      <c r="SBF384" s="252"/>
      <c r="SBG384" s="252"/>
      <c r="SBH384" s="252"/>
      <c r="SBI384" s="252"/>
      <c r="SBJ384" s="252"/>
      <c r="SBK384" s="252"/>
      <c r="SBL384" s="252"/>
      <c r="SBM384" s="252"/>
      <c r="SBN384" s="252"/>
      <c r="SBO384" s="252"/>
      <c r="SBP384" s="252"/>
      <c r="SBQ384" s="252"/>
      <c r="SBR384" s="252"/>
      <c r="SBS384" s="252"/>
      <c r="SBT384" s="252"/>
      <c r="SBU384" s="252"/>
      <c r="SBV384" s="252"/>
      <c r="SBW384" s="252"/>
      <c r="SBX384" s="252"/>
      <c r="SBY384" s="252"/>
      <c r="SBZ384" s="252"/>
      <c r="SCA384" s="252"/>
      <c r="SCB384" s="252"/>
      <c r="SCC384" s="252"/>
      <c r="SCD384" s="252"/>
      <c r="SCE384" s="252"/>
      <c r="SCF384" s="252"/>
      <c r="SCG384" s="252"/>
      <c r="SCH384" s="252"/>
      <c r="SCI384" s="252"/>
      <c r="SCJ384" s="252"/>
      <c r="SCK384" s="252"/>
      <c r="SCL384" s="252"/>
      <c r="SCM384" s="252"/>
      <c r="SCN384" s="252"/>
      <c r="SCO384" s="252"/>
      <c r="SCP384" s="252"/>
      <c r="SCQ384" s="252"/>
      <c r="SCR384" s="252"/>
      <c r="SCS384" s="252"/>
      <c r="SCT384" s="252"/>
      <c r="SCU384" s="252"/>
      <c r="SCV384" s="252"/>
      <c r="SCW384" s="252"/>
      <c r="SCX384" s="252"/>
      <c r="SCY384" s="252"/>
      <c r="SCZ384" s="252"/>
      <c r="SDA384" s="252"/>
      <c r="SDB384" s="252"/>
      <c r="SDC384" s="252"/>
      <c r="SDD384" s="252"/>
      <c r="SDE384" s="252"/>
      <c r="SDF384" s="252"/>
      <c r="SDG384" s="252"/>
      <c r="SDH384" s="252"/>
      <c r="SDI384" s="252"/>
      <c r="SDJ384" s="252"/>
      <c r="SDK384" s="252"/>
      <c r="SDL384" s="252"/>
      <c r="SDM384" s="252"/>
      <c r="SDN384" s="252"/>
      <c r="SDO384" s="252"/>
      <c r="SDP384" s="252"/>
      <c r="SDQ384" s="252"/>
      <c r="SDR384" s="252"/>
      <c r="SDS384" s="252"/>
      <c r="SDT384" s="252"/>
      <c r="SDU384" s="252"/>
      <c r="SDV384" s="252"/>
      <c r="SDW384" s="252"/>
      <c r="SDX384" s="252"/>
      <c r="SDY384" s="252"/>
      <c r="SDZ384" s="252"/>
      <c r="SEA384" s="252"/>
      <c r="SEB384" s="252"/>
      <c r="SEC384" s="252"/>
      <c r="SED384" s="252"/>
      <c r="SEE384" s="252"/>
      <c r="SEF384" s="252"/>
      <c r="SEG384" s="252"/>
      <c r="SEH384" s="252"/>
      <c r="SEI384" s="252"/>
      <c r="SEJ384" s="252"/>
      <c r="SEK384" s="252"/>
      <c r="SEL384" s="252"/>
      <c r="SEM384" s="252"/>
      <c r="SEN384" s="252"/>
      <c r="SEO384" s="252"/>
      <c r="SEP384" s="252"/>
      <c r="SEQ384" s="252"/>
      <c r="SER384" s="252"/>
      <c r="SES384" s="252"/>
      <c r="SET384" s="252"/>
      <c r="SEU384" s="252"/>
      <c r="SEV384" s="252"/>
      <c r="SEW384" s="252"/>
      <c r="SEX384" s="252"/>
      <c r="SEY384" s="252"/>
      <c r="SEZ384" s="252"/>
      <c r="SFA384" s="252"/>
      <c r="SFB384" s="252"/>
      <c r="SFC384" s="252"/>
      <c r="SFD384" s="252"/>
      <c r="SFE384" s="252"/>
      <c r="SFF384" s="252"/>
      <c r="SFG384" s="252"/>
      <c r="SFH384" s="252"/>
      <c r="SFI384" s="252"/>
      <c r="SFJ384" s="252"/>
      <c r="SFK384" s="252"/>
      <c r="SFL384" s="252"/>
      <c r="SFM384" s="252"/>
      <c r="SFN384" s="252"/>
      <c r="SFO384" s="252"/>
      <c r="SFP384" s="252"/>
      <c r="SFQ384" s="252"/>
      <c r="SFR384" s="252"/>
      <c r="SFS384" s="252"/>
      <c r="SFT384" s="252"/>
      <c r="SFU384" s="252"/>
      <c r="SFV384" s="252"/>
      <c r="SFW384" s="252"/>
      <c r="SFX384" s="252"/>
      <c r="SFY384" s="252"/>
      <c r="SFZ384" s="252"/>
      <c r="SGA384" s="252"/>
      <c r="SGB384" s="252"/>
      <c r="SGC384" s="252"/>
      <c r="SGD384" s="252"/>
      <c r="SGE384" s="252"/>
      <c r="SGF384" s="252"/>
      <c r="SGG384" s="252"/>
      <c r="SGH384" s="252"/>
      <c r="SGI384" s="252"/>
      <c r="SGJ384" s="252"/>
      <c r="SGK384" s="252"/>
      <c r="SGL384" s="252"/>
      <c r="SGM384" s="252"/>
      <c r="SGN384" s="252"/>
      <c r="SGO384" s="252"/>
      <c r="SGP384" s="252"/>
      <c r="SGQ384" s="252"/>
      <c r="SGR384" s="252"/>
      <c r="SGS384" s="252"/>
      <c r="SGT384" s="252"/>
      <c r="SGU384" s="252"/>
      <c r="SGV384" s="252"/>
      <c r="SGW384" s="252"/>
      <c r="SGX384" s="252"/>
      <c r="SGY384" s="252"/>
      <c r="SGZ384" s="252"/>
      <c r="SHA384" s="252"/>
      <c r="SHB384" s="252"/>
      <c r="SHC384" s="252"/>
      <c r="SHD384" s="252"/>
      <c r="SHE384" s="252"/>
      <c r="SHF384" s="252"/>
      <c r="SHG384" s="252"/>
      <c r="SHH384" s="252"/>
      <c r="SHI384" s="252"/>
      <c r="SHJ384" s="252"/>
      <c r="SHK384" s="252"/>
      <c r="SHL384" s="252"/>
      <c r="SHM384" s="252"/>
      <c r="SHN384" s="252"/>
      <c r="SHO384" s="252"/>
      <c r="SHP384" s="252"/>
      <c r="SHQ384" s="252"/>
      <c r="SHR384" s="252"/>
      <c r="SHS384" s="252"/>
      <c r="SHT384" s="252"/>
      <c r="SHU384" s="252"/>
      <c r="SHV384" s="252"/>
      <c r="SHW384" s="252"/>
      <c r="SHX384" s="252"/>
      <c r="SHY384" s="252"/>
      <c r="SHZ384" s="252"/>
      <c r="SIA384" s="252"/>
      <c r="SIB384" s="252"/>
      <c r="SIC384" s="252"/>
      <c r="SID384" s="252"/>
      <c r="SIE384" s="252"/>
      <c r="SIF384" s="252"/>
      <c r="SIG384" s="252"/>
      <c r="SIH384" s="252"/>
      <c r="SII384" s="252"/>
      <c r="SIJ384" s="252"/>
      <c r="SIK384" s="252"/>
      <c r="SIL384" s="252"/>
      <c r="SIM384" s="252"/>
      <c r="SIN384" s="252"/>
      <c r="SIO384" s="252"/>
      <c r="SIP384" s="252"/>
      <c r="SIQ384" s="252"/>
      <c r="SIR384" s="252"/>
      <c r="SIS384" s="252"/>
      <c r="SIT384" s="252"/>
      <c r="SIU384" s="252"/>
      <c r="SIV384" s="252"/>
      <c r="SIW384" s="252"/>
      <c r="SIX384" s="252"/>
      <c r="SIY384" s="252"/>
      <c r="SIZ384" s="252"/>
      <c r="SJA384" s="252"/>
      <c r="SJB384" s="252"/>
      <c r="SJC384" s="252"/>
      <c r="SJD384" s="252"/>
      <c r="SJE384" s="252"/>
      <c r="SJF384" s="252"/>
      <c r="SJG384" s="252"/>
      <c r="SJH384" s="252"/>
      <c r="SJI384" s="252"/>
      <c r="SJJ384" s="252"/>
      <c r="SJK384" s="252"/>
      <c r="SJL384" s="252"/>
      <c r="SJM384" s="252"/>
      <c r="SJN384" s="252"/>
      <c r="SJO384" s="252"/>
      <c r="SJP384" s="252"/>
      <c r="SJQ384" s="252"/>
      <c r="SJR384" s="252"/>
      <c r="SJS384" s="252"/>
      <c r="SJT384" s="252"/>
      <c r="SJU384" s="252"/>
      <c r="SJV384" s="252"/>
      <c r="SJW384" s="252"/>
      <c r="SJX384" s="252"/>
      <c r="SJY384" s="252"/>
      <c r="SJZ384" s="252"/>
      <c r="SKA384" s="252"/>
      <c r="SKB384" s="252"/>
      <c r="SKC384" s="252"/>
      <c r="SKD384" s="252"/>
      <c r="SKE384" s="252"/>
      <c r="SKF384" s="252"/>
      <c r="SKG384" s="252"/>
      <c r="SKH384" s="252"/>
      <c r="SKI384" s="252"/>
      <c r="SKJ384" s="252"/>
      <c r="SKK384" s="252"/>
      <c r="SKL384" s="252"/>
      <c r="SKM384" s="252"/>
      <c r="SKN384" s="252"/>
      <c r="SKO384" s="252"/>
      <c r="SKP384" s="252"/>
      <c r="SKQ384" s="252"/>
      <c r="SKR384" s="252"/>
      <c r="SKS384" s="252"/>
      <c r="SKT384" s="252"/>
      <c r="SKU384" s="252"/>
      <c r="SKV384" s="252"/>
      <c r="SKW384" s="252"/>
      <c r="SKX384" s="252"/>
      <c r="SKY384" s="252"/>
      <c r="SKZ384" s="252"/>
      <c r="SLA384" s="252"/>
      <c r="SLB384" s="252"/>
      <c r="SLC384" s="252"/>
      <c r="SLD384" s="252"/>
      <c r="SLE384" s="252"/>
      <c r="SLF384" s="252"/>
      <c r="SLG384" s="252"/>
      <c r="SLH384" s="252"/>
      <c r="SLI384" s="252"/>
      <c r="SLJ384" s="252"/>
      <c r="SLK384" s="252"/>
      <c r="SLL384" s="252"/>
      <c r="SLM384" s="252"/>
      <c r="SLN384" s="252"/>
      <c r="SLO384" s="252"/>
      <c r="SLP384" s="252"/>
      <c r="SLQ384" s="252"/>
      <c r="SLR384" s="252"/>
      <c r="SLS384" s="252"/>
      <c r="SLT384" s="252"/>
      <c r="SLU384" s="252"/>
      <c r="SLV384" s="252"/>
      <c r="SLW384" s="252"/>
      <c r="SLX384" s="252"/>
      <c r="SLY384" s="252"/>
      <c r="SLZ384" s="252"/>
      <c r="SMA384" s="252"/>
      <c r="SMB384" s="252"/>
      <c r="SMC384" s="252"/>
      <c r="SMD384" s="252"/>
      <c r="SME384" s="252"/>
      <c r="SMF384" s="252"/>
      <c r="SMG384" s="252"/>
      <c r="SMH384" s="252"/>
      <c r="SMI384" s="252"/>
      <c r="SMJ384" s="252"/>
      <c r="SMK384" s="252"/>
      <c r="SML384" s="252"/>
      <c r="SMM384" s="252"/>
      <c r="SMN384" s="252"/>
      <c r="SMO384" s="252"/>
      <c r="SMP384" s="252"/>
      <c r="SMQ384" s="252"/>
      <c r="SMR384" s="252"/>
      <c r="SMS384" s="252"/>
      <c r="SMT384" s="252"/>
      <c r="SMU384" s="252"/>
      <c r="SMV384" s="252"/>
      <c r="SMW384" s="252"/>
      <c r="SMX384" s="252"/>
      <c r="SMY384" s="252"/>
      <c r="SMZ384" s="252"/>
      <c r="SNA384" s="252"/>
      <c r="SNB384" s="252"/>
      <c r="SNC384" s="252"/>
      <c r="SND384" s="252"/>
      <c r="SNE384" s="252"/>
      <c r="SNF384" s="252"/>
      <c r="SNG384" s="252"/>
      <c r="SNH384" s="252"/>
      <c r="SNI384" s="252"/>
      <c r="SNJ384" s="252"/>
      <c r="SNK384" s="252"/>
      <c r="SNL384" s="252"/>
      <c r="SNM384" s="252"/>
      <c r="SNN384" s="252"/>
      <c r="SNO384" s="252"/>
      <c r="SNP384" s="252"/>
      <c r="SNQ384" s="252"/>
      <c r="SNR384" s="252"/>
      <c r="SNS384" s="252"/>
      <c r="SNT384" s="252"/>
      <c r="SNU384" s="252"/>
      <c r="SNV384" s="252"/>
      <c r="SNW384" s="252"/>
      <c r="SNX384" s="252"/>
      <c r="SNY384" s="252"/>
      <c r="SNZ384" s="252"/>
      <c r="SOA384" s="252"/>
      <c r="SOB384" s="252"/>
      <c r="SOC384" s="252"/>
      <c r="SOD384" s="252"/>
      <c r="SOE384" s="252"/>
      <c r="SOF384" s="252"/>
      <c r="SOG384" s="252"/>
      <c r="SOH384" s="252"/>
      <c r="SOI384" s="252"/>
      <c r="SOJ384" s="252"/>
      <c r="SOK384" s="252"/>
      <c r="SOL384" s="252"/>
      <c r="SOM384" s="252"/>
      <c r="SON384" s="252"/>
      <c r="SOO384" s="252"/>
      <c r="SOP384" s="252"/>
      <c r="SOQ384" s="252"/>
      <c r="SOR384" s="252"/>
      <c r="SOS384" s="252"/>
      <c r="SOT384" s="252"/>
      <c r="SOU384" s="252"/>
      <c r="SOV384" s="252"/>
      <c r="SOW384" s="252"/>
      <c r="SOX384" s="252"/>
      <c r="SOY384" s="252"/>
      <c r="SOZ384" s="252"/>
      <c r="SPA384" s="252"/>
      <c r="SPB384" s="252"/>
      <c r="SPC384" s="252"/>
      <c r="SPD384" s="252"/>
      <c r="SPE384" s="252"/>
      <c r="SPF384" s="252"/>
      <c r="SPG384" s="252"/>
      <c r="SPH384" s="252"/>
      <c r="SPI384" s="252"/>
      <c r="SPJ384" s="252"/>
      <c r="SPK384" s="252"/>
      <c r="SPL384" s="252"/>
      <c r="SPM384" s="252"/>
      <c r="SPN384" s="252"/>
      <c r="SPO384" s="252"/>
      <c r="SPP384" s="252"/>
      <c r="SPQ384" s="252"/>
      <c r="SPR384" s="252"/>
      <c r="SPS384" s="252"/>
      <c r="SPT384" s="252"/>
      <c r="SPU384" s="252"/>
      <c r="SPV384" s="252"/>
      <c r="SPW384" s="252"/>
      <c r="SPX384" s="252"/>
      <c r="SPY384" s="252"/>
      <c r="SPZ384" s="252"/>
      <c r="SQA384" s="252"/>
      <c r="SQB384" s="252"/>
      <c r="SQC384" s="252"/>
      <c r="SQD384" s="252"/>
      <c r="SQE384" s="252"/>
      <c r="SQF384" s="252"/>
      <c r="SQG384" s="252"/>
      <c r="SQH384" s="252"/>
      <c r="SQI384" s="252"/>
      <c r="SQJ384" s="252"/>
      <c r="SQK384" s="252"/>
      <c r="SQL384" s="252"/>
      <c r="SQM384" s="252"/>
      <c r="SQN384" s="252"/>
      <c r="SQO384" s="252"/>
      <c r="SQP384" s="252"/>
      <c r="SQQ384" s="252"/>
      <c r="SQR384" s="252"/>
      <c r="SQS384" s="252"/>
      <c r="SQT384" s="252"/>
      <c r="SQU384" s="252"/>
      <c r="SQV384" s="252"/>
      <c r="SQW384" s="252"/>
      <c r="SQX384" s="252"/>
      <c r="SQY384" s="252"/>
      <c r="SQZ384" s="252"/>
      <c r="SRA384" s="252"/>
      <c r="SRB384" s="252"/>
      <c r="SRC384" s="252"/>
      <c r="SRD384" s="252"/>
      <c r="SRE384" s="252"/>
      <c r="SRF384" s="252"/>
      <c r="SRG384" s="252"/>
      <c r="SRH384" s="252"/>
      <c r="SRI384" s="252"/>
      <c r="SRJ384" s="252"/>
      <c r="SRK384" s="252"/>
      <c r="SRL384" s="252"/>
      <c r="SRM384" s="252"/>
      <c r="SRN384" s="252"/>
      <c r="SRO384" s="252"/>
      <c r="SRP384" s="252"/>
      <c r="SRQ384" s="252"/>
      <c r="SRR384" s="252"/>
      <c r="SRS384" s="252"/>
      <c r="SRT384" s="252"/>
      <c r="SRU384" s="252"/>
      <c r="SRV384" s="252"/>
      <c r="SRW384" s="252"/>
      <c r="SRX384" s="252"/>
      <c r="SRY384" s="252"/>
      <c r="SRZ384" s="252"/>
      <c r="SSA384" s="252"/>
      <c r="SSB384" s="252"/>
      <c r="SSC384" s="252"/>
      <c r="SSD384" s="252"/>
      <c r="SSE384" s="252"/>
      <c r="SSF384" s="252"/>
      <c r="SSG384" s="252"/>
      <c r="SSH384" s="252"/>
      <c r="SSI384" s="252"/>
      <c r="SSJ384" s="252"/>
      <c r="SSK384" s="252"/>
      <c r="SSL384" s="252"/>
      <c r="SSM384" s="252"/>
      <c r="SSN384" s="252"/>
      <c r="SSO384" s="252"/>
      <c r="SSP384" s="252"/>
      <c r="SSQ384" s="252"/>
      <c r="SSR384" s="252"/>
      <c r="SSS384" s="252"/>
      <c r="SST384" s="252"/>
      <c r="SSU384" s="252"/>
      <c r="SSV384" s="252"/>
      <c r="SSW384" s="252"/>
      <c r="SSX384" s="252"/>
      <c r="SSY384" s="252"/>
      <c r="SSZ384" s="252"/>
      <c r="STA384" s="252"/>
      <c r="STB384" s="252"/>
      <c r="STC384" s="252"/>
      <c r="STD384" s="252"/>
      <c r="STE384" s="252"/>
      <c r="STF384" s="252"/>
      <c r="STG384" s="252"/>
      <c r="STH384" s="252"/>
      <c r="STI384" s="252"/>
      <c r="STJ384" s="252"/>
      <c r="STK384" s="252"/>
      <c r="STL384" s="252"/>
      <c r="STM384" s="252"/>
      <c r="STN384" s="252"/>
      <c r="STO384" s="252"/>
      <c r="STP384" s="252"/>
      <c r="STQ384" s="252"/>
      <c r="STR384" s="252"/>
      <c r="STS384" s="252"/>
      <c r="STT384" s="252"/>
      <c r="STU384" s="252"/>
      <c r="STV384" s="252"/>
      <c r="STW384" s="252"/>
      <c r="STX384" s="252"/>
      <c r="STY384" s="252"/>
      <c r="STZ384" s="252"/>
      <c r="SUA384" s="252"/>
      <c r="SUB384" s="252"/>
      <c r="SUC384" s="252"/>
      <c r="SUD384" s="252"/>
      <c r="SUE384" s="252"/>
      <c r="SUF384" s="252"/>
      <c r="SUG384" s="252"/>
      <c r="SUH384" s="252"/>
      <c r="SUI384" s="252"/>
      <c r="SUJ384" s="252"/>
      <c r="SUK384" s="252"/>
      <c r="SUL384" s="252"/>
      <c r="SUM384" s="252"/>
      <c r="SUN384" s="252"/>
      <c r="SUO384" s="252"/>
      <c r="SUP384" s="252"/>
      <c r="SUQ384" s="252"/>
      <c r="SUR384" s="252"/>
      <c r="SUS384" s="252"/>
      <c r="SUT384" s="252"/>
      <c r="SUU384" s="252"/>
      <c r="SUV384" s="252"/>
      <c r="SUW384" s="252"/>
      <c r="SUX384" s="252"/>
      <c r="SUY384" s="252"/>
      <c r="SUZ384" s="252"/>
      <c r="SVA384" s="252"/>
      <c r="SVB384" s="252"/>
      <c r="SVC384" s="252"/>
      <c r="SVD384" s="252"/>
      <c r="SVE384" s="252"/>
      <c r="SVF384" s="252"/>
      <c r="SVG384" s="252"/>
      <c r="SVH384" s="252"/>
      <c r="SVI384" s="252"/>
      <c r="SVJ384" s="252"/>
      <c r="SVK384" s="252"/>
      <c r="SVL384" s="252"/>
      <c r="SVM384" s="252"/>
      <c r="SVN384" s="252"/>
      <c r="SVO384" s="252"/>
      <c r="SVP384" s="252"/>
      <c r="SVQ384" s="252"/>
      <c r="SVR384" s="252"/>
      <c r="SVS384" s="252"/>
      <c r="SVT384" s="252"/>
      <c r="SVU384" s="252"/>
      <c r="SVV384" s="252"/>
      <c r="SVW384" s="252"/>
      <c r="SVX384" s="252"/>
      <c r="SVY384" s="252"/>
      <c r="SVZ384" s="252"/>
      <c r="SWA384" s="252"/>
      <c r="SWB384" s="252"/>
      <c r="SWC384" s="252"/>
      <c r="SWD384" s="252"/>
      <c r="SWE384" s="252"/>
      <c r="SWF384" s="252"/>
      <c r="SWG384" s="252"/>
      <c r="SWH384" s="252"/>
      <c r="SWI384" s="252"/>
      <c r="SWJ384" s="252"/>
      <c r="SWK384" s="252"/>
      <c r="SWL384" s="252"/>
      <c r="SWM384" s="252"/>
      <c r="SWN384" s="252"/>
      <c r="SWO384" s="252"/>
      <c r="SWP384" s="252"/>
      <c r="SWQ384" s="252"/>
      <c r="SWR384" s="252"/>
      <c r="SWS384" s="252"/>
      <c r="SWT384" s="252"/>
      <c r="SWU384" s="252"/>
      <c r="SWV384" s="252"/>
      <c r="SWW384" s="252"/>
      <c r="SWX384" s="252"/>
      <c r="SWY384" s="252"/>
      <c r="SWZ384" s="252"/>
      <c r="SXA384" s="252"/>
      <c r="SXB384" s="252"/>
      <c r="SXC384" s="252"/>
      <c r="SXD384" s="252"/>
      <c r="SXE384" s="252"/>
      <c r="SXF384" s="252"/>
      <c r="SXG384" s="252"/>
      <c r="SXH384" s="252"/>
      <c r="SXI384" s="252"/>
      <c r="SXJ384" s="252"/>
      <c r="SXK384" s="252"/>
      <c r="SXL384" s="252"/>
      <c r="SXM384" s="252"/>
      <c r="SXN384" s="252"/>
      <c r="SXO384" s="252"/>
      <c r="SXP384" s="252"/>
      <c r="SXQ384" s="252"/>
      <c r="SXR384" s="252"/>
      <c r="SXS384" s="252"/>
      <c r="SXT384" s="252"/>
      <c r="SXU384" s="252"/>
      <c r="SXV384" s="252"/>
      <c r="SXW384" s="252"/>
      <c r="SXX384" s="252"/>
      <c r="SXY384" s="252"/>
      <c r="SXZ384" s="252"/>
      <c r="SYA384" s="252"/>
      <c r="SYB384" s="252"/>
      <c r="SYC384" s="252"/>
      <c r="SYD384" s="252"/>
      <c r="SYE384" s="252"/>
      <c r="SYF384" s="252"/>
      <c r="SYG384" s="252"/>
      <c r="SYH384" s="252"/>
      <c r="SYI384" s="252"/>
      <c r="SYJ384" s="252"/>
      <c r="SYK384" s="252"/>
      <c r="SYL384" s="252"/>
      <c r="SYM384" s="252"/>
      <c r="SYN384" s="252"/>
      <c r="SYO384" s="252"/>
      <c r="SYP384" s="252"/>
      <c r="SYQ384" s="252"/>
      <c r="SYR384" s="252"/>
      <c r="SYS384" s="252"/>
      <c r="SYT384" s="252"/>
      <c r="SYU384" s="252"/>
      <c r="SYV384" s="252"/>
      <c r="SYW384" s="252"/>
      <c r="SYX384" s="252"/>
      <c r="SYY384" s="252"/>
      <c r="SYZ384" s="252"/>
      <c r="SZA384" s="252"/>
      <c r="SZB384" s="252"/>
      <c r="SZC384" s="252"/>
      <c r="SZD384" s="252"/>
      <c r="SZE384" s="252"/>
      <c r="SZF384" s="252"/>
      <c r="SZG384" s="252"/>
      <c r="SZH384" s="252"/>
      <c r="SZI384" s="252"/>
      <c r="SZJ384" s="252"/>
      <c r="SZK384" s="252"/>
      <c r="SZL384" s="252"/>
      <c r="SZM384" s="252"/>
      <c r="SZN384" s="252"/>
      <c r="SZO384" s="252"/>
      <c r="SZP384" s="252"/>
      <c r="SZQ384" s="252"/>
      <c r="SZR384" s="252"/>
      <c r="SZS384" s="252"/>
      <c r="SZT384" s="252"/>
      <c r="SZU384" s="252"/>
      <c r="SZV384" s="252"/>
      <c r="SZW384" s="252"/>
      <c r="SZX384" s="252"/>
      <c r="SZY384" s="252"/>
      <c r="SZZ384" s="252"/>
      <c r="TAA384" s="252"/>
      <c r="TAB384" s="252"/>
      <c r="TAC384" s="252"/>
      <c r="TAD384" s="252"/>
      <c r="TAE384" s="252"/>
      <c r="TAF384" s="252"/>
      <c r="TAG384" s="252"/>
      <c r="TAH384" s="252"/>
      <c r="TAI384" s="252"/>
      <c r="TAJ384" s="252"/>
      <c r="TAK384" s="252"/>
      <c r="TAL384" s="252"/>
      <c r="TAM384" s="252"/>
      <c r="TAN384" s="252"/>
      <c r="TAO384" s="252"/>
      <c r="TAP384" s="252"/>
      <c r="TAQ384" s="252"/>
      <c r="TAR384" s="252"/>
      <c r="TAS384" s="252"/>
      <c r="TAT384" s="252"/>
      <c r="TAU384" s="252"/>
      <c r="TAV384" s="252"/>
      <c r="TAW384" s="252"/>
      <c r="TAX384" s="252"/>
      <c r="TAY384" s="252"/>
      <c r="TAZ384" s="252"/>
      <c r="TBA384" s="252"/>
      <c r="TBB384" s="252"/>
      <c r="TBC384" s="252"/>
      <c r="TBD384" s="252"/>
      <c r="TBE384" s="252"/>
      <c r="TBF384" s="252"/>
      <c r="TBG384" s="252"/>
      <c r="TBH384" s="252"/>
      <c r="TBI384" s="252"/>
      <c r="TBJ384" s="252"/>
      <c r="TBK384" s="252"/>
      <c r="TBL384" s="252"/>
      <c r="TBM384" s="252"/>
      <c r="TBN384" s="252"/>
      <c r="TBO384" s="252"/>
      <c r="TBP384" s="252"/>
      <c r="TBQ384" s="252"/>
      <c r="TBR384" s="252"/>
      <c r="TBS384" s="252"/>
      <c r="TBT384" s="252"/>
      <c r="TBU384" s="252"/>
      <c r="TBV384" s="252"/>
      <c r="TBW384" s="252"/>
      <c r="TBX384" s="252"/>
      <c r="TBY384" s="252"/>
      <c r="TBZ384" s="252"/>
      <c r="TCA384" s="252"/>
      <c r="TCB384" s="252"/>
      <c r="TCC384" s="252"/>
      <c r="TCD384" s="252"/>
      <c r="TCE384" s="252"/>
      <c r="TCF384" s="252"/>
      <c r="TCG384" s="252"/>
      <c r="TCH384" s="252"/>
      <c r="TCI384" s="252"/>
      <c r="TCJ384" s="252"/>
      <c r="TCK384" s="252"/>
      <c r="TCL384" s="252"/>
      <c r="TCM384" s="252"/>
      <c r="TCN384" s="252"/>
      <c r="TCO384" s="252"/>
      <c r="TCP384" s="252"/>
      <c r="TCQ384" s="252"/>
      <c r="TCR384" s="252"/>
      <c r="TCS384" s="252"/>
      <c r="TCT384" s="252"/>
      <c r="TCU384" s="252"/>
      <c r="TCV384" s="252"/>
      <c r="TCW384" s="252"/>
      <c r="TCX384" s="252"/>
      <c r="TCY384" s="252"/>
      <c r="TCZ384" s="252"/>
      <c r="TDA384" s="252"/>
      <c r="TDB384" s="252"/>
      <c r="TDC384" s="252"/>
      <c r="TDD384" s="252"/>
      <c r="TDE384" s="252"/>
      <c r="TDF384" s="252"/>
      <c r="TDG384" s="252"/>
      <c r="TDH384" s="252"/>
      <c r="TDI384" s="252"/>
      <c r="TDJ384" s="252"/>
      <c r="TDK384" s="252"/>
      <c r="TDL384" s="252"/>
      <c r="TDM384" s="252"/>
      <c r="TDN384" s="252"/>
      <c r="TDO384" s="252"/>
      <c r="TDP384" s="252"/>
      <c r="TDQ384" s="252"/>
      <c r="TDR384" s="252"/>
      <c r="TDS384" s="252"/>
      <c r="TDT384" s="252"/>
      <c r="TDU384" s="252"/>
      <c r="TDV384" s="252"/>
      <c r="TDW384" s="252"/>
      <c r="TDX384" s="252"/>
      <c r="TDY384" s="252"/>
      <c r="TDZ384" s="252"/>
      <c r="TEA384" s="252"/>
      <c r="TEB384" s="252"/>
      <c r="TEC384" s="252"/>
      <c r="TED384" s="252"/>
      <c r="TEE384" s="252"/>
      <c r="TEF384" s="252"/>
      <c r="TEG384" s="252"/>
      <c r="TEH384" s="252"/>
      <c r="TEI384" s="252"/>
      <c r="TEJ384" s="252"/>
      <c r="TEK384" s="252"/>
      <c r="TEL384" s="252"/>
      <c r="TEM384" s="252"/>
      <c r="TEN384" s="252"/>
      <c r="TEO384" s="252"/>
      <c r="TEP384" s="252"/>
      <c r="TEQ384" s="252"/>
      <c r="TER384" s="252"/>
      <c r="TES384" s="252"/>
      <c r="TET384" s="252"/>
      <c r="TEU384" s="252"/>
      <c r="TEV384" s="252"/>
      <c r="TEW384" s="252"/>
      <c r="TEX384" s="252"/>
      <c r="TEY384" s="252"/>
      <c r="TEZ384" s="252"/>
      <c r="TFA384" s="252"/>
      <c r="TFB384" s="252"/>
      <c r="TFC384" s="252"/>
      <c r="TFD384" s="252"/>
      <c r="TFE384" s="252"/>
      <c r="TFF384" s="252"/>
      <c r="TFG384" s="252"/>
      <c r="TFH384" s="252"/>
      <c r="TFI384" s="252"/>
      <c r="TFJ384" s="252"/>
      <c r="TFK384" s="252"/>
      <c r="TFL384" s="252"/>
      <c r="TFM384" s="252"/>
      <c r="TFN384" s="252"/>
      <c r="TFO384" s="252"/>
      <c r="TFP384" s="252"/>
      <c r="TFQ384" s="252"/>
      <c r="TFR384" s="252"/>
      <c r="TFS384" s="252"/>
      <c r="TFT384" s="252"/>
      <c r="TFU384" s="252"/>
      <c r="TFV384" s="252"/>
      <c r="TFW384" s="252"/>
      <c r="TFX384" s="252"/>
      <c r="TFY384" s="252"/>
      <c r="TFZ384" s="252"/>
      <c r="TGA384" s="252"/>
      <c r="TGB384" s="252"/>
      <c r="TGC384" s="252"/>
      <c r="TGD384" s="252"/>
      <c r="TGE384" s="252"/>
      <c r="TGF384" s="252"/>
      <c r="TGG384" s="252"/>
      <c r="TGH384" s="252"/>
      <c r="TGI384" s="252"/>
      <c r="TGJ384" s="252"/>
      <c r="TGK384" s="252"/>
      <c r="TGL384" s="252"/>
      <c r="TGM384" s="252"/>
      <c r="TGN384" s="252"/>
      <c r="TGO384" s="252"/>
      <c r="TGP384" s="252"/>
      <c r="TGQ384" s="252"/>
      <c r="TGR384" s="252"/>
      <c r="TGS384" s="252"/>
      <c r="TGT384" s="252"/>
      <c r="TGU384" s="252"/>
      <c r="TGV384" s="252"/>
      <c r="TGW384" s="252"/>
      <c r="TGX384" s="252"/>
      <c r="TGY384" s="252"/>
      <c r="TGZ384" s="252"/>
      <c r="THA384" s="252"/>
      <c r="THB384" s="252"/>
      <c r="THC384" s="252"/>
      <c r="THD384" s="252"/>
      <c r="THE384" s="252"/>
      <c r="THF384" s="252"/>
      <c r="THG384" s="252"/>
      <c r="THH384" s="252"/>
      <c r="THI384" s="252"/>
      <c r="THJ384" s="252"/>
      <c r="THK384" s="252"/>
      <c r="THL384" s="252"/>
      <c r="THM384" s="252"/>
      <c r="THN384" s="252"/>
      <c r="THO384" s="252"/>
      <c r="THP384" s="252"/>
      <c r="THQ384" s="252"/>
      <c r="THR384" s="252"/>
      <c r="THS384" s="252"/>
      <c r="THT384" s="252"/>
      <c r="THU384" s="252"/>
      <c r="THV384" s="252"/>
      <c r="THW384" s="252"/>
      <c r="THX384" s="252"/>
      <c r="THY384" s="252"/>
      <c r="THZ384" s="252"/>
      <c r="TIA384" s="252"/>
      <c r="TIB384" s="252"/>
      <c r="TIC384" s="252"/>
      <c r="TID384" s="252"/>
      <c r="TIE384" s="252"/>
      <c r="TIF384" s="252"/>
      <c r="TIG384" s="252"/>
      <c r="TIH384" s="252"/>
      <c r="TII384" s="252"/>
      <c r="TIJ384" s="252"/>
      <c r="TIK384" s="252"/>
      <c r="TIL384" s="252"/>
      <c r="TIM384" s="252"/>
      <c r="TIN384" s="252"/>
      <c r="TIO384" s="252"/>
      <c r="TIP384" s="252"/>
      <c r="TIQ384" s="252"/>
      <c r="TIR384" s="252"/>
      <c r="TIS384" s="252"/>
      <c r="TIT384" s="252"/>
      <c r="TIU384" s="252"/>
      <c r="TIV384" s="252"/>
      <c r="TIW384" s="252"/>
      <c r="TIX384" s="252"/>
      <c r="TIY384" s="252"/>
      <c r="TIZ384" s="252"/>
      <c r="TJA384" s="252"/>
      <c r="TJB384" s="252"/>
      <c r="TJC384" s="252"/>
      <c r="TJD384" s="252"/>
      <c r="TJE384" s="252"/>
      <c r="TJF384" s="252"/>
      <c r="TJG384" s="252"/>
      <c r="TJH384" s="252"/>
      <c r="TJI384" s="252"/>
      <c r="TJJ384" s="252"/>
      <c r="TJK384" s="252"/>
      <c r="TJL384" s="252"/>
      <c r="TJM384" s="252"/>
      <c r="TJN384" s="252"/>
      <c r="TJO384" s="252"/>
      <c r="TJP384" s="252"/>
      <c r="TJQ384" s="252"/>
      <c r="TJR384" s="252"/>
      <c r="TJS384" s="252"/>
      <c r="TJT384" s="252"/>
      <c r="TJU384" s="252"/>
      <c r="TJV384" s="252"/>
      <c r="TJW384" s="252"/>
      <c r="TJX384" s="252"/>
      <c r="TJY384" s="252"/>
      <c r="TJZ384" s="252"/>
      <c r="TKA384" s="252"/>
      <c r="TKB384" s="252"/>
      <c r="TKC384" s="252"/>
      <c r="TKD384" s="252"/>
      <c r="TKE384" s="252"/>
      <c r="TKF384" s="252"/>
      <c r="TKG384" s="252"/>
      <c r="TKH384" s="252"/>
      <c r="TKI384" s="252"/>
      <c r="TKJ384" s="252"/>
      <c r="TKK384" s="252"/>
      <c r="TKL384" s="252"/>
      <c r="TKM384" s="252"/>
      <c r="TKN384" s="252"/>
      <c r="TKO384" s="252"/>
      <c r="TKP384" s="252"/>
      <c r="TKQ384" s="252"/>
      <c r="TKR384" s="252"/>
      <c r="TKS384" s="252"/>
      <c r="TKT384" s="252"/>
      <c r="TKU384" s="252"/>
      <c r="TKV384" s="252"/>
      <c r="TKW384" s="252"/>
      <c r="TKX384" s="252"/>
      <c r="TKY384" s="252"/>
      <c r="TKZ384" s="252"/>
      <c r="TLA384" s="252"/>
      <c r="TLB384" s="252"/>
      <c r="TLC384" s="252"/>
      <c r="TLD384" s="252"/>
      <c r="TLE384" s="252"/>
      <c r="TLF384" s="252"/>
      <c r="TLG384" s="252"/>
      <c r="TLH384" s="252"/>
      <c r="TLI384" s="252"/>
      <c r="TLJ384" s="252"/>
      <c r="TLK384" s="252"/>
      <c r="TLL384" s="252"/>
      <c r="TLM384" s="252"/>
      <c r="TLN384" s="252"/>
      <c r="TLO384" s="252"/>
      <c r="TLP384" s="252"/>
      <c r="TLQ384" s="252"/>
      <c r="TLR384" s="252"/>
      <c r="TLS384" s="252"/>
      <c r="TLT384" s="252"/>
      <c r="TLU384" s="252"/>
      <c r="TLV384" s="252"/>
      <c r="TLW384" s="252"/>
      <c r="TLX384" s="252"/>
      <c r="TLY384" s="252"/>
      <c r="TLZ384" s="252"/>
      <c r="TMA384" s="252"/>
      <c r="TMB384" s="252"/>
      <c r="TMC384" s="252"/>
      <c r="TMD384" s="252"/>
      <c r="TME384" s="252"/>
      <c r="TMF384" s="252"/>
      <c r="TMG384" s="252"/>
      <c r="TMH384" s="252"/>
      <c r="TMI384" s="252"/>
      <c r="TMJ384" s="252"/>
      <c r="TMK384" s="252"/>
      <c r="TML384" s="252"/>
      <c r="TMM384" s="252"/>
      <c r="TMN384" s="252"/>
      <c r="TMO384" s="252"/>
      <c r="TMP384" s="252"/>
      <c r="TMQ384" s="252"/>
      <c r="TMR384" s="252"/>
      <c r="TMS384" s="252"/>
      <c r="TMT384" s="252"/>
      <c r="TMU384" s="252"/>
      <c r="TMV384" s="252"/>
      <c r="TMW384" s="252"/>
      <c r="TMX384" s="252"/>
      <c r="TMY384" s="252"/>
      <c r="TMZ384" s="252"/>
      <c r="TNA384" s="252"/>
      <c r="TNB384" s="252"/>
      <c r="TNC384" s="252"/>
      <c r="TND384" s="252"/>
      <c r="TNE384" s="252"/>
      <c r="TNF384" s="252"/>
      <c r="TNG384" s="252"/>
      <c r="TNH384" s="252"/>
      <c r="TNI384" s="252"/>
      <c r="TNJ384" s="252"/>
      <c r="TNK384" s="252"/>
      <c r="TNL384" s="252"/>
      <c r="TNM384" s="252"/>
      <c r="TNN384" s="252"/>
      <c r="TNO384" s="252"/>
      <c r="TNP384" s="252"/>
      <c r="TNQ384" s="252"/>
      <c r="TNR384" s="252"/>
      <c r="TNS384" s="252"/>
      <c r="TNT384" s="252"/>
      <c r="TNU384" s="252"/>
      <c r="TNV384" s="252"/>
      <c r="TNW384" s="252"/>
      <c r="TNX384" s="252"/>
      <c r="TNY384" s="252"/>
      <c r="TNZ384" s="252"/>
      <c r="TOA384" s="252"/>
      <c r="TOB384" s="252"/>
      <c r="TOC384" s="252"/>
      <c r="TOD384" s="252"/>
      <c r="TOE384" s="252"/>
      <c r="TOF384" s="252"/>
      <c r="TOG384" s="252"/>
      <c r="TOH384" s="252"/>
      <c r="TOI384" s="252"/>
      <c r="TOJ384" s="252"/>
      <c r="TOK384" s="252"/>
      <c r="TOL384" s="252"/>
      <c r="TOM384" s="252"/>
      <c r="TON384" s="252"/>
      <c r="TOO384" s="252"/>
      <c r="TOP384" s="252"/>
      <c r="TOQ384" s="252"/>
      <c r="TOR384" s="252"/>
      <c r="TOS384" s="252"/>
      <c r="TOT384" s="252"/>
      <c r="TOU384" s="252"/>
      <c r="TOV384" s="252"/>
      <c r="TOW384" s="252"/>
      <c r="TOX384" s="252"/>
      <c r="TOY384" s="252"/>
      <c r="TOZ384" s="252"/>
      <c r="TPA384" s="252"/>
      <c r="TPB384" s="252"/>
      <c r="TPC384" s="252"/>
      <c r="TPD384" s="252"/>
      <c r="TPE384" s="252"/>
      <c r="TPF384" s="252"/>
      <c r="TPG384" s="252"/>
      <c r="TPH384" s="252"/>
      <c r="TPI384" s="252"/>
      <c r="TPJ384" s="252"/>
      <c r="TPK384" s="252"/>
      <c r="TPL384" s="252"/>
      <c r="TPM384" s="252"/>
      <c r="TPN384" s="252"/>
      <c r="TPO384" s="252"/>
      <c r="TPP384" s="252"/>
      <c r="TPQ384" s="252"/>
      <c r="TPR384" s="252"/>
      <c r="TPS384" s="252"/>
      <c r="TPT384" s="252"/>
      <c r="TPU384" s="252"/>
      <c r="TPV384" s="252"/>
      <c r="TPW384" s="252"/>
      <c r="TPX384" s="252"/>
      <c r="TPY384" s="252"/>
      <c r="TPZ384" s="252"/>
      <c r="TQA384" s="252"/>
      <c r="TQB384" s="252"/>
      <c r="TQC384" s="252"/>
      <c r="TQD384" s="252"/>
      <c r="TQE384" s="252"/>
      <c r="TQF384" s="252"/>
      <c r="TQG384" s="252"/>
      <c r="TQH384" s="252"/>
      <c r="TQI384" s="252"/>
      <c r="TQJ384" s="252"/>
      <c r="TQK384" s="252"/>
      <c r="TQL384" s="252"/>
      <c r="TQM384" s="252"/>
      <c r="TQN384" s="252"/>
      <c r="TQO384" s="252"/>
      <c r="TQP384" s="252"/>
      <c r="TQQ384" s="252"/>
      <c r="TQR384" s="252"/>
      <c r="TQS384" s="252"/>
      <c r="TQT384" s="252"/>
      <c r="TQU384" s="252"/>
      <c r="TQV384" s="252"/>
      <c r="TQW384" s="252"/>
      <c r="TQX384" s="252"/>
      <c r="TQY384" s="252"/>
      <c r="TQZ384" s="252"/>
      <c r="TRA384" s="252"/>
      <c r="TRB384" s="252"/>
      <c r="TRC384" s="252"/>
      <c r="TRD384" s="252"/>
      <c r="TRE384" s="252"/>
      <c r="TRF384" s="252"/>
      <c r="TRG384" s="252"/>
      <c r="TRH384" s="252"/>
      <c r="TRI384" s="252"/>
      <c r="TRJ384" s="252"/>
      <c r="TRK384" s="252"/>
      <c r="TRL384" s="252"/>
      <c r="TRM384" s="252"/>
      <c r="TRN384" s="252"/>
      <c r="TRO384" s="252"/>
      <c r="TRP384" s="252"/>
      <c r="TRQ384" s="252"/>
      <c r="TRR384" s="252"/>
      <c r="TRS384" s="252"/>
      <c r="TRT384" s="252"/>
      <c r="TRU384" s="252"/>
      <c r="TRV384" s="252"/>
      <c r="TRW384" s="252"/>
      <c r="TRX384" s="252"/>
      <c r="TRY384" s="252"/>
      <c r="TRZ384" s="252"/>
      <c r="TSA384" s="252"/>
      <c r="TSB384" s="252"/>
      <c r="TSC384" s="252"/>
      <c r="TSD384" s="252"/>
      <c r="TSE384" s="252"/>
      <c r="TSF384" s="252"/>
      <c r="TSG384" s="252"/>
      <c r="TSH384" s="252"/>
      <c r="TSI384" s="252"/>
      <c r="TSJ384" s="252"/>
      <c r="TSK384" s="252"/>
      <c r="TSL384" s="252"/>
      <c r="TSM384" s="252"/>
      <c r="TSN384" s="252"/>
      <c r="TSO384" s="252"/>
      <c r="TSP384" s="252"/>
      <c r="TSQ384" s="252"/>
      <c r="TSR384" s="252"/>
      <c r="TSS384" s="252"/>
      <c r="TST384" s="252"/>
      <c r="TSU384" s="252"/>
      <c r="TSV384" s="252"/>
      <c r="TSW384" s="252"/>
      <c r="TSX384" s="252"/>
      <c r="TSY384" s="252"/>
      <c r="TSZ384" s="252"/>
      <c r="TTA384" s="252"/>
      <c r="TTB384" s="252"/>
      <c r="TTC384" s="252"/>
      <c r="TTD384" s="252"/>
      <c r="TTE384" s="252"/>
      <c r="TTF384" s="252"/>
      <c r="TTG384" s="252"/>
      <c r="TTH384" s="252"/>
      <c r="TTI384" s="252"/>
      <c r="TTJ384" s="252"/>
      <c r="TTK384" s="252"/>
      <c r="TTL384" s="252"/>
      <c r="TTM384" s="252"/>
      <c r="TTN384" s="252"/>
      <c r="TTO384" s="252"/>
      <c r="TTP384" s="252"/>
      <c r="TTQ384" s="252"/>
      <c r="TTR384" s="252"/>
      <c r="TTS384" s="252"/>
      <c r="TTT384" s="252"/>
      <c r="TTU384" s="252"/>
      <c r="TTV384" s="252"/>
      <c r="TTW384" s="252"/>
      <c r="TTX384" s="252"/>
      <c r="TTY384" s="252"/>
      <c r="TTZ384" s="252"/>
      <c r="TUA384" s="252"/>
      <c r="TUB384" s="252"/>
      <c r="TUC384" s="252"/>
      <c r="TUD384" s="252"/>
      <c r="TUE384" s="252"/>
      <c r="TUF384" s="252"/>
      <c r="TUG384" s="252"/>
      <c r="TUH384" s="252"/>
      <c r="TUI384" s="252"/>
      <c r="TUJ384" s="252"/>
      <c r="TUK384" s="252"/>
      <c r="TUL384" s="252"/>
      <c r="TUM384" s="252"/>
      <c r="TUN384" s="252"/>
      <c r="TUO384" s="252"/>
      <c r="TUP384" s="252"/>
      <c r="TUQ384" s="252"/>
      <c r="TUR384" s="252"/>
      <c r="TUS384" s="252"/>
      <c r="TUT384" s="252"/>
      <c r="TUU384" s="252"/>
      <c r="TUV384" s="252"/>
      <c r="TUW384" s="252"/>
      <c r="TUX384" s="252"/>
      <c r="TUY384" s="252"/>
      <c r="TUZ384" s="252"/>
      <c r="TVA384" s="252"/>
      <c r="TVB384" s="252"/>
      <c r="TVC384" s="252"/>
      <c r="TVD384" s="252"/>
      <c r="TVE384" s="252"/>
      <c r="TVF384" s="252"/>
      <c r="TVG384" s="252"/>
      <c r="TVH384" s="252"/>
      <c r="TVI384" s="252"/>
      <c r="TVJ384" s="252"/>
      <c r="TVK384" s="252"/>
      <c r="TVL384" s="252"/>
      <c r="TVM384" s="252"/>
      <c r="TVN384" s="252"/>
      <c r="TVO384" s="252"/>
      <c r="TVP384" s="252"/>
      <c r="TVQ384" s="252"/>
      <c r="TVR384" s="252"/>
      <c r="TVS384" s="252"/>
      <c r="TVT384" s="252"/>
      <c r="TVU384" s="252"/>
      <c r="TVV384" s="252"/>
      <c r="TVW384" s="252"/>
      <c r="TVX384" s="252"/>
      <c r="TVY384" s="252"/>
      <c r="TVZ384" s="252"/>
      <c r="TWA384" s="252"/>
      <c r="TWB384" s="252"/>
      <c r="TWC384" s="252"/>
      <c r="TWD384" s="252"/>
      <c r="TWE384" s="252"/>
      <c r="TWF384" s="252"/>
      <c r="TWG384" s="252"/>
      <c r="TWH384" s="252"/>
      <c r="TWI384" s="252"/>
      <c r="TWJ384" s="252"/>
      <c r="TWK384" s="252"/>
      <c r="TWL384" s="252"/>
      <c r="TWM384" s="252"/>
      <c r="TWN384" s="252"/>
      <c r="TWO384" s="252"/>
      <c r="TWP384" s="252"/>
      <c r="TWQ384" s="252"/>
      <c r="TWR384" s="252"/>
      <c r="TWS384" s="252"/>
      <c r="TWT384" s="252"/>
      <c r="TWU384" s="252"/>
      <c r="TWV384" s="252"/>
      <c r="TWW384" s="252"/>
      <c r="TWX384" s="252"/>
      <c r="TWY384" s="252"/>
      <c r="TWZ384" s="252"/>
      <c r="TXA384" s="252"/>
      <c r="TXB384" s="252"/>
      <c r="TXC384" s="252"/>
      <c r="TXD384" s="252"/>
      <c r="TXE384" s="252"/>
      <c r="TXF384" s="252"/>
      <c r="TXG384" s="252"/>
      <c r="TXH384" s="252"/>
      <c r="TXI384" s="252"/>
      <c r="TXJ384" s="252"/>
      <c r="TXK384" s="252"/>
      <c r="TXL384" s="252"/>
      <c r="TXM384" s="252"/>
      <c r="TXN384" s="252"/>
      <c r="TXO384" s="252"/>
      <c r="TXP384" s="252"/>
      <c r="TXQ384" s="252"/>
      <c r="TXR384" s="252"/>
      <c r="TXS384" s="252"/>
      <c r="TXT384" s="252"/>
      <c r="TXU384" s="252"/>
      <c r="TXV384" s="252"/>
      <c r="TXW384" s="252"/>
      <c r="TXX384" s="252"/>
      <c r="TXY384" s="252"/>
      <c r="TXZ384" s="252"/>
      <c r="TYA384" s="252"/>
      <c r="TYB384" s="252"/>
      <c r="TYC384" s="252"/>
      <c r="TYD384" s="252"/>
      <c r="TYE384" s="252"/>
      <c r="TYF384" s="252"/>
      <c r="TYG384" s="252"/>
      <c r="TYH384" s="252"/>
      <c r="TYI384" s="252"/>
      <c r="TYJ384" s="252"/>
      <c r="TYK384" s="252"/>
      <c r="TYL384" s="252"/>
      <c r="TYM384" s="252"/>
      <c r="TYN384" s="252"/>
      <c r="TYO384" s="252"/>
      <c r="TYP384" s="252"/>
      <c r="TYQ384" s="252"/>
      <c r="TYR384" s="252"/>
      <c r="TYS384" s="252"/>
      <c r="TYT384" s="252"/>
      <c r="TYU384" s="252"/>
      <c r="TYV384" s="252"/>
      <c r="TYW384" s="252"/>
      <c r="TYX384" s="252"/>
      <c r="TYY384" s="252"/>
      <c r="TYZ384" s="252"/>
      <c r="TZA384" s="252"/>
      <c r="TZB384" s="252"/>
      <c r="TZC384" s="252"/>
      <c r="TZD384" s="252"/>
      <c r="TZE384" s="252"/>
      <c r="TZF384" s="252"/>
      <c r="TZG384" s="252"/>
      <c r="TZH384" s="252"/>
      <c r="TZI384" s="252"/>
      <c r="TZJ384" s="252"/>
      <c r="TZK384" s="252"/>
      <c r="TZL384" s="252"/>
      <c r="TZM384" s="252"/>
      <c r="TZN384" s="252"/>
      <c r="TZO384" s="252"/>
      <c r="TZP384" s="252"/>
      <c r="TZQ384" s="252"/>
      <c r="TZR384" s="252"/>
      <c r="TZS384" s="252"/>
      <c r="TZT384" s="252"/>
      <c r="TZU384" s="252"/>
      <c r="TZV384" s="252"/>
      <c r="TZW384" s="252"/>
      <c r="TZX384" s="252"/>
      <c r="TZY384" s="252"/>
      <c r="TZZ384" s="252"/>
      <c r="UAA384" s="252"/>
      <c r="UAB384" s="252"/>
      <c r="UAC384" s="252"/>
      <c r="UAD384" s="252"/>
      <c r="UAE384" s="252"/>
      <c r="UAF384" s="252"/>
      <c r="UAG384" s="252"/>
      <c r="UAH384" s="252"/>
      <c r="UAI384" s="252"/>
      <c r="UAJ384" s="252"/>
      <c r="UAK384" s="252"/>
      <c r="UAL384" s="252"/>
      <c r="UAM384" s="252"/>
      <c r="UAN384" s="252"/>
      <c r="UAO384" s="252"/>
      <c r="UAP384" s="252"/>
      <c r="UAQ384" s="252"/>
      <c r="UAR384" s="252"/>
      <c r="UAS384" s="252"/>
      <c r="UAT384" s="252"/>
      <c r="UAU384" s="252"/>
      <c r="UAV384" s="252"/>
      <c r="UAW384" s="252"/>
      <c r="UAX384" s="252"/>
      <c r="UAY384" s="252"/>
      <c r="UAZ384" s="252"/>
      <c r="UBA384" s="252"/>
      <c r="UBB384" s="252"/>
      <c r="UBC384" s="252"/>
      <c r="UBD384" s="252"/>
      <c r="UBE384" s="252"/>
      <c r="UBF384" s="252"/>
      <c r="UBG384" s="252"/>
      <c r="UBH384" s="252"/>
      <c r="UBI384" s="252"/>
      <c r="UBJ384" s="252"/>
      <c r="UBK384" s="252"/>
      <c r="UBL384" s="252"/>
      <c r="UBM384" s="252"/>
      <c r="UBN384" s="252"/>
      <c r="UBO384" s="252"/>
      <c r="UBP384" s="252"/>
      <c r="UBQ384" s="252"/>
      <c r="UBR384" s="252"/>
      <c r="UBS384" s="252"/>
      <c r="UBT384" s="252"/>
      <c r="UBU384" s="252"/>
      <c r="UBV384" s="252"/>
      <c r="UBW384" s="252"/>
      <c r="UBX384" s="252"/>
      <c r="UBY384" s="252"/>
      <c r="UBZ384" s="252"/>
      <c r="UCA384" s="252"/>
      <c r="UCB384" s="252"/>
      <c r="UCC384" s="252"/>
      <c r="UCD384" s="252"/>
      <c r="UCE384" s="252"/>
      <c r="UCF384" s="252"/>
      <c r="UCG384" s="252"/>
      <c r="UCH384" s="252"/>
      <c r="UCI384" s="252"/>
      <c r="UCJ384" s="252"/>
      <c r="UCK384" s="252"/>
      <c r="UCL384" s="252"/>
      <c r="UCM384" s="252"/>
      <c r="UCN384" s="252"/>
      <c r="UCO384" s="252"/>
      <c r="UCP384" s="252"/>
      <c r="UCQ384" s="252"/>
      <c r="UCR384" s="252"/>
      <c r="UCS384" s="252"/>
      <c r="UCT384" s="252"/>
      <c r="UCU384" s="252"/>
      <c r="UCV384" s="252"/>
      <c r="UCW384" s="252"/>
      <c r="UCX384" s="252"/>
      <c r="UCY384" s="252"/>
      <c r="UCZ384" s="252"/>
      <c r="UDA384" s="252"/>
      <c r="UDB384" s="252"/>
      <c r="UDC384" s="252"/>
      <c r="UDD384" s="252"/>
      <c r="UDE384" s="252"/>
      <c r="UDF384" s="252"/>
      <c r="UDG384" s="252"/>
      <c r="UDH384" s="252"/>
      <c r="UDI384" s="252"/>
      <c r="UDJ384" s="252"/>
      <c r="UDK384" s="252"/>
      <c r="UDL384" s="252"/>
      <c r="UDM384" s="252"/>
      <c r="UDN384" s="252"/>
      <c r="UDO384" s="252"/>
      <c r="UDP384" s="252"/>
      <c r="UDQ384" s="252"/>
      <c r="UDR384" s="252"/>
      <c r="UDS384" s="252"/>
      <c r="UDT384" s="252"/>
      <c r="UDU384" s="252"/>
      <c r="UDV384" s="252"/>
      <c r="UDW384" s="252"/>
      <c r="UDX384" s="252"/>
      <c r="UDY384" s="252"/>
      <c r="UDZ384" s="252"/>
      <c r="UEA384" s="252"/>
      <c r="UEB384" s="252"/>
      <c r="UEC384" s="252"/>
      <c r="UED384" s="252"/>
      <c r="UEE384" s="252"/>
      <c r="UEF384" s="252"/>
      <c r="UEG384" s="252"/>
      <c r="UEH384" s="252"/>
      <c r="UEI384" s="252"/>
      <c r="UEJ384" s="252"/>
      <c r="UEK384" s="252"/>
      <c r="UEL384" s="252"/>
      <c r="UEM384" s="252"/>
      <c r="UEN384" s="252"/>
      <c r="UEO384" s="252"/>
      <c r="UEP384" s="252"/>
      <c r="UEQ384" s="252"/>
      <c r="UER384" s="252"/>
      <c r="UES384" s="252"/>
      <c r="UET384" s="252"/>
      <c r="UEU384" s="252"/>
      <c r="UEV384" s="252"/>
      <c r="UEW384" s="252"/>
      <c r="UEX384" s="252"/>
      <c r="UEY384" s="252"/>
      <c r="UEZ384" s="252"/>
      <c r="UFA384" s="252"/>
      <c r="UFB384" s="252"/>
      <c r="UFC384" s="252"/>
      <c r="UFD384" s="252"/>
      <c r="UFE384" s="252"/>
      <c r="UFF384" s="252"/>
      <c r="UFG384" s="252"/>
      <c r="UFH384" s="252"/>
      <c r="UFI384" s="252"/>
      <c r="UFJ384" s="252"/>
      <c r="UFK384" s="252"/>
      <c r="UFL384" s="252"/>
      <c r="UFM384" s="252"/>
      <c r="UFN384" s="252"/>
      <c r="UFO384" s="252"/>
      <c r="UFP384" s="252"/>
      <c r="UFQ384" s="252"/>
      <c r="UFR384" s="252"/>
      <c r="UFS384" s="252"/>
      <c r="UFT384" s="252"/>
      <c r="UFU384" s="252"/>
      <c r="UFV384" s="252"/>
      <c r="UFW384" s="252"/>
      <c r="UFX384" s="252"/>
      <c r="UFY384" s="252"/>
      <c r="UFZ384" s="252"/>
      <c r="UGA384" s="252"/>
      <c r="UGB384" s="252"/>
      <c r="UGC384" s="252"/>
      <c r="UGD384" s="252"/>
      <c r="UGE384" s="252"/>
      <c r="UGF384" s="252"/>
      <c r="UGG384" s="252"/>
      <c r="UGH384" s="252"/>
      <c r="UGI384" s="252"/>
      <c r="UGJ384" s="252"/>
      <c r="UGK384" s="252"/>
      <c r="UGL384" s="252"/>
      <c r="UGM384" s="252"/>
      <c r="UGN384" s="252"/>
      <c r="UGO384" s="252"/>
      <c r="UGP384" s="252"/>
      <c r="UGQ384" s="252"/>
      <c r="UGR384" s="252"/>
      <c r="UGS384" s="252"/>
      <c r="UGT384" s="252"/>
      <c r="UGU384" s="252"/>
      <c r="UGV384" s="252"/>
      <c r="UGW384" s="252"/>
      <c r="UGX384" s="252"/>
      <c r="UGY384" s="252"/>
      <c r="UGZ384" s="252"/>
      <c r="UHA384" s="252"/>
      <c r="UHB384" s="252"/>
      <c r="UHC384" s="252"/>
      <c r="UHD384" s="252"/>
      <c r="UHE384" s="252"/>
      <c r="UHF384" s="252"/>
      <c r="UHG384" s="252"/>
      <c r="UHH384" s="252"/>
      <c r="UHI384" s="252"/>
      <c r="UHJ384" s="252"/>
      <c r="UHK384" s="252"/>
      <c r="UHL384" s="252"/>
      <c r="UHM384" s="252"/>
      <c r="UHN384" s="252"/>
      <c r="UHO384" s="252"/>
      <c r="UHP384" s="252"/>
      <c r="UHQ384" s="252"/>
      <c r="UHR384" s="252"/>
      <c r="UHS384" s="252"/>
      <c r="UHT384" s="252"/>
      <c r="UHU384" s="252"/>
      <c r="UHV384" s="252"/>
      <c r="UHW384" s="252"/>
      <c r="UHX384" s="252"/>
      <c r="UHY384" s="252"/>
      <c r="UHZ384" s="252"/>
      <c r="UIA384" s="252"/>
      <c r="UIB384" s="252"/>
      <c r="UIC384" s="252"/>
      <c r="UID384" s="252"/>
      <c r="UIE384" s="252"/>
      <c r="UIF384" s="252"/>
      <c r="UIG384" s="252"/>
      <c r="UIH384" s="252"/>
      <c r="UII384" s="252"/>
      <c r="UIJ384" s="252"/>
      <c r="UIK384" s="252"/>
      <c r="UIL384" s="252"/>
      <c r="UIM384" s="252"/>
      <c r="UIN384" s="252"/>
      <c r="UIO384" s="252"/>
      <c r="UIP384" s="252"/>
      <c r="UIQ384" s="252"/>
      <c r="UIR384" s="252"/>
      <c r="UIS384" s="252"/>
      <c r="UIT384" s="252"/>
      <c r="UIU384" s="252"/>
      <c r="UIV384" s="252"/>
      <c r="UIW384" s="252"/>
      <c r="UIX384" s="252"/>
      <c r="UIY384" s="252"/>
      <c r="UIZ384" s="252"/>
      <c r="UJA384" s="252"/>
      <c r="UJB384" s="252"/>
      <c r="UJC384" s="252"/>
      <c r="UJD384" s="252"/>
      <c r="UJE384" s="252"/>
      <c r="UJF384" s="252"/>
      <c r="UJG384" s="252"/>
      <c r="UJH384" s="252"/>
      <c r="UJI384" s="252"/>
      <c r="UJJ384" s="252"/>
      <c r="UJK384" s="252"/>
      <c r="UJL384" s="252"/>
      <c r="UJM384" s="252"/>
      <c r="UJN384" s="252"/>
      <c r="UJO384" s="252"/>
      <c r="UJP384" s="252"/>
      <c r="UJQ384" s="252"/>
      <c r="UJR384" s="252"/>
      <c r="UJS384" s="252"/>
      <c r="UJT384" s="252"/>
      <c r="UJU384" s="252"/>
      <c r="UJV384" s="252"/>
      <c r="UJW384" s="252"/>
      <c r="UJX384" s="252"/>
      <c r="UJY384" s="252"/>
      <c r="UJZ384" s="252"/>
      <c r="UKA384" s="252"/>
      <c r="UKB384" s="252"/>
      <c r="UKC384" s="252"/>
      <c r="UKD384" s="252"/>
      <c r="UKE384" s="252"/>
      <c r="UKF384" s="252"/>
      <c r="UKG384" s="252"/>
      <c r="UKH384" s="252"/>
      <c r="UKI384" s="252"/>
      <c r="UKJ384" s="252"/>
      <c r="UKK384" s="252"/>
      <c r="UKL384" s="252"/>
      <c r="UKM384" s="252"/>
      <c r="UKN384" s="252"/>
      <c r="UKO384" s="252"/>
      <c r="UKP384" s="252"/>
      <c r="UKQ384" s="252"/>
      <c r="UKR384" s="252"/>
      <c r="UKS384" s="252"/>
      <c r="UKT384" s="252"/>
      <c r="UKU384" s="252"/>
      <c r="UKV384" s="252"/>
      <c r="UKW384" s="252"/>
      <c r="UKX384" s="252"/>
      <c r="UKY384" s="252"/>
      <c r="UKZ384" s="252"/>
      <c r="ULA384" s="252"/>
      <c r="ULB384" s="252"/>
      <c r="ULC384" s="252"/>
      <c r="ULD384" s="252"/>
      <c r="ULE384" s="252"/>
      <c r="ULF384" s="252"/>
      <c r="ULG384" s="252"/>
      <c r="ULH384" s="252"/>
      <c r="ULI384" s="252"/>
      <c r="ULJ384" s="252"/>
      <c r="ULK384" s="252"/>
      <c r="ULL384" s="252"/>
      <c r="ULM384" s="252"/>
      <c r="ULN384" s="252"/>
      <c r="ULO384" s="252"/>
      <c r="ULP384" s="252"/>
      <c r="ULQ384" s="252"/>
      <c r="ULR384" s="252"/>
      <c r="ULS384" s="252"/>
      <c r="ULT384" s="252"/>
      <c r="ULU384" s="252"/>
      <c r="ULV384" s="252"/>
      <c r="ULW384" s="252"/>
      <c r="ULX384" s="252"/>
      <c r="ULY384" s="252"/>
      <c r="ULZ384" s="252"/>
      <c r="UMA384" s="252"/>
      <c r="UMB384" s="252"/>
      <c r="UMC384" s="252"/>
      <c r="UMD384" s="252"/>
      <c r="UME384" s="252"/>
      <c r="UMF384" s="252"/>
      <c r="UMG384" s="252"/>
      <c r="UMH384" s="252"/>
      <c r="UMI384" s="252"/>
      <c r="UMJ384" s="252"/>
      <c r="UMK384" s="252"/>
      <c r="UML384" s="252"/>
      <c r="UMM384" s="252"/>
      <c r="UMN384" s="252"/>
      <c r="UMO384" s="252"/>
      <c r="UMP384" s="252"/>
      <c r="UMQ384" s="252"/>
      <c r="UMR384" s="252"/>
      <c r="UMS384" s="252"/>
      <c r="UMT384" s="252"/>
      <c r="UMU384" s="252"/>
      <c r="UMV384" s="252"/>
      <c r="UMW384" s="252"/>
      <c r="UMX384" s="252"/>
      <c r="UMY384" s="252"/>
      <c r="UMZ384" s="252"/>
      <c r="UNA384" s="252"/>
      <c r="UNB384" s="252"/>
      <c r="UNC384" s="252"/>
      <c r="UND384" s="252"/>
      <c r="UNE384" s="252"/>
      <c r="UNF384" s="252"/>
      <c r="UNG384" s="252"/>
      <c r="UNH384" s="252"/>
      <c r="UNI384" s="252"/>
      <c r="UNJ384" s="252"/>
      <c r="UNK384" s="252"/>
      <c r="UNL384" s="252"/>
      <c r="UNM384" s="252"/>
      <c r="UNN384" s="252"/>
      <c r="UNO384" s="252"/>
      <c r="UNP384" s="252"/>
      <c r="UNQ384" s="252"/>
      <c r="UNR384" s="252"/>
      <c r="UNS384" s="252"/>
      <c r="UNT384" s="252"/>
      <c r="UNU384" s="252"/>
      <c r="UNV384" s="252"/>
      <c r="UNW384" s="252"/>
      <c r="UNX384" s="252"/>
      <c r="UNY384" s="252"/>
      <c r="UNZ384" s="252"/>
      <c r="UOA384" s="252"/>
      <c r="UOB384" s="252"/>
      <c r="UOC384" s="252"/>
      <c r="UOD384" s="252"/>
      <c r="UOE384" s="252"/>
      <c r="UOF384" s="252"/>
      <c r="UOG384" s="252"/>
      <c r="UOH384" s="252"/>
      <c r="UOI384" s="252"/>
      <c r="UOJ384" s="252"/>
      <c r="UOK384" s="252"/>
      <c r="UOL384" s="252"/>
      <c r="UOM384" s="252"/>
      <c r="UON384" s="252"/>
      <c r="UOO384" s="252"/>
      <c r="UOP384" s="252"/>
      <c r="UOQ384" s="252"/>
      <c r="UOR384" s="252"/>
      <c r="UOS384" s="252"/>
      <c r="UOT384" s="252"/>
      <c r="UOU384" s="252"/>
      <c r="UOV384" s="252"/>
      <c r="UOW384" s="252"/>
      <c r="UOX384" s="252"/>
      <c r="UOY384" s="252"/>
      <c r="UOZ384" s="252"/>
      <c r="UPA384" s="252"/>
      <c r="UPB384" s="252"/>
      <c r="UPC384" s="252"/>
      <c r="UPD384" s="252"/>
      <c r="UPE384" s="252"/>
      <c r="UPF384" s="252"/>
      <c r="UPG384" s="252"/>
      <c r="UPH384" s="252"/>
      <c r="UPI384" s="252"/>
      <c r="UPJ384" s="252"/>
      <c r="UPK384" s="252"/>
      <c r="UPL384" s="252"/>
      <c r="UPM384" s="252"/>
      <c r="UPN384" s="252"/>
      <c r="UPO384" s="252"/>
      <c r="UPP384" s="252"/>
      <c r="UPQ384" s="252"/>
      <c r="UPR384" s="252"/>
      <c r="UPS384" s="252"/>
      <c r="UPT384" s="252"/>
      <c r="UPU384" s="252"/>
      <c r="UPV384" s="252"/>
      <c r="UPW384" s="252"/>
      <c r="UPX384" s="252"/>
      <c r="UPY384" s="252"/>
      <c r="UPZ384" s="252"/>
      <c r="UQA384" s="252"/>
      <c r="UQB384" s="252"/>
      <c r="UQC384" s="252"/>
      <c r="UQD384" s="252"/>
      <c r="UQE384" s="252"/>
      <c r="UQF384" s="252"/>
      <c r="UQG384" s="252"/>
      <c r="UQH384" s="252"/>
      <c r="UQI384" s="252"/>
      <c r="UQJ384" s="252"/>
      <c r="UQK384" s="252"/>
      <c r="UQL384" s="252"/>
      <c r="UQM384" s="252"/>
      <c r="UQN384" s="252"/>
      <c r="UQO384" s="252"/>
      <c r="UQP384" s="252"/>
      <c r="UQQ384" s="252"/>
      <c r="UQR384" s="252"/>
      <c r="UQS384" s="252"/>
      <c r="UQT384" s="252"/>
      <c r="UQU384" s="252"/>
      <c r="UQV384" s="252"/>
      <c r="UQW384" s="252"/>
      <c r="UQX384" s="252"/>
      <c r="UQY384" s="252"/>
      <c r="UQZ384" s="252"/>
      <c r="URA384" s="252"/>
      <c r="URB384" s="252"/>
      <c r="URC384" s="252"/>
      <c r="URD384" s="252"/>
      <c r="URE384" s="252"/>
      <c r="URF384" s="252"/>
      <c r="URG384" s="252"/>
      <c r="URH384" s="252"/>
      <c r="URI384" s="252"/>
      <c r="URJ384" s="252"/>
      <c r="URK384" s="252"/>
      <c r="URL384" s="252"/>
      <c r="URM384" s="252"/>
      <c r="URN384" s="252"/>
      <c r="URO384" s="252"/>
      <c r="URP384" s="252"/>
      <c r="URQ384" s="252"/>
      <c r="URR384" s="252"/>
      <c r="URS384" s="252"/>
      <c r="URT384" s="252"/>
      <c r="URU384" s="252"/>
      <c r="URV384" s="252"/>
      <c r="URW384" s="252"/>
      <c r="URX384" s="252"/>
      <c r="URY384" s="252"/>
      <c r="URZ384" s="252"/>
      <c r="USA384" s="252"/>
      <c r="USB384" s="252"/>
      <c r="USC384" s="252"/>
      <c r="USD384" s="252"/>
      <c r="USE384" s="252"/>
      <c r="USF384" s="252"/>
      <c r="USG384" s="252"/>
      <c r="USH384" s="252"/>
      <c r="USI384" s="252"/>
      <c r="USJ384" s="252"/>
      <c r="USK384" s="252"/>
      <c r="USL384" s="252"/>
      <c r="USM384" s="252"/>
      <c r="USN384" s="252"/>
      <c r="USO384" s="252"/>
      <c r="USP384" s="252"/>
      <c r="USQ384" s="252"/>
      <c r="USR384" s="252"/>
      <c r="USS384" s="252"/>
      <c r="UST384" s="252"/>
      <c r="USU384" s="252"/>
      <c r="USV384" s="252"/>
      <c r="USW384" s="252"/>
      <c r="USX384" s="252"/>
      <c r="USY384" s="252"/>
      <c r="USZ384" s="252"/>
      <c r="UTA384" s="252"/>
      <c r="UTB384" s="252"/>
      <c r="UTC384" s="252"/>
      <c r="UTD384" s="252"/>
      <c r="UTE384" s="252"/>
      <c r="UTF384" s="252"/>
      <c r="UTG384" s="252"/>
      <c r="UTH384" s="252"/>
      <c r="UTI384" s="252"/>
      <c r="UTJ384" s="252"/>
      <c r="UTK384" s="252"/>
      <c r="UTL384" s="252"/>
      <c r="UTM384" s="252"/>
      <c r="UTN384" s="252"/>
      <c r="UTO384" s="252"/>
      <c r="UTP384" s="252"/>
      <c r="UTQ384" s="252"/>
      <c r="UTR384" s="252"/>
      <c r="UTS384" s="252"/>
      <c r="UTT384" s="252"/>
      <c r="UTU384" s="252"/>
      <c r="UTV384" s="252"/>
      <c r="UTW384" s="252"/>
      <c r="UTX384" s="252"/>
      <c r="UTY384" s="252"/>
      <c r="UTZ384" s="252"/>
      <c r="UUA384" s="252"/>
      <c r="UUB384" s="252"/>
      <c r="UUC384" s="252"/>
      <c r="UUD384" s="252"/>
      <c r="UUE384" s="252"/>
      <c r="UUF384" s="252"/>
      <c r="UUG384" s="252"/>
      <c r="UUH384" s="252"/>
      <c r="UUI384" s="252"/>
      <c r="UUJ384" s="252"/>
      <c r="UUK384" s="252"/>
      <c r="UUL384" s="252"/>
      <c r="UUM384" s="252"/>
      <c r="UUN384" s="252"/>
      <c r="UUO384" s="252"/>
      <c r="UUP384" s="252"/>
      <c r="UUQ384" s="252"/>
      <c r="UUR384" s="252"/>
      <c r="UUS384" s="252"/>
      <c r="UUT384" s="252"/>
      <c r="UUU384" s="252"/>
      <c r="UUV384" s="252"/>
      <c r="UUW384" s="252"/>
      <c r="UUX384" s="252"/>
      <c r="UUY384" s="252"/>
      <c r="UUZ384" s="252"/>
      <c r="UVA384" s="252"/>
      <c r="UVB384" s="252"/>
      <c r="UVC384" s="252"/>
      <c r="UVD384" s="252"/>
      <c r="UVE384" s="252"/>
      <c r="UVF384" s="252"/>
      <c r="UVG384" s="252"/>
      <c r="UVH384" s="252"/>
      <c r="UVI384" s="252"/>
      <c r="UVJ384" s="252"/>
      <c r="UVK384" s="252"/>
      <c r="UVL384" s="252"/>
      <c r="UVM384" s="252"/>
      <c r="UVN384" s="252"/>
      <c r="UVO384" s="252"/>
      <c r="UVP384" s="252"/>
      <c r="UVQ384" s="252"/>
      <c r="UVR384" s="252"/>
      <c r="UVS384" s="252"/>
      <c r="UVT384" s="252"/>
      <c r="UVU384" s="252"/>
      <c r="UVV384" s="252"/>
      <c r="UVW384" s="252"/>
      <c r="UVX384" s="252"/>
      <c r="UVY384" s="252"/>
      <c r="UVZ384" s="252"/>
      <c r="UWA384" s="252"/>
      <c r="UWB384" s="252"/>
      <c r="UWC384" s="252"/>
      <c r="UWD384" s="252"/>
      <c r="UWE384" s="252"/>
      <c r="UWF384" s="252"/>
      <c r="UWG384" s="252"/>
      <c r="UWH384" s="252"/>
      <c r="UWI384" s="252"/>
      <c r="UWJ384" s="252"/>
      <c r="UWK384" s="252"/>
      <c r="UWL384" s="252"/>
      <c r="UWM384" s="252"/>
      <c r="UWN384" s="252"/>
      <c r="UWO384" s="252"/>
      <c r="UWP384" s="252"/>
      <c r="UWQ384" s="252"/>
      <c r="UWR384" s="252"/>
      <c r="UWS384" s="252"/>
      <c r="UWT384" s="252"/>
      <c r="UWU384" s="252"/>
      <c r="UWV384" s="252"/>
      <c r="UWW384" s="252"/>
      <c r="UWX384" s="252"/>
      <c r="UWY384" s="252"/>
      <c r="UWZ384" s="252"/>
      <c r="UXA384" s="252"/>
      <c r="UXB384" s="252"/>
      <c r="UXC384" s="252"/>
      <c r="UXD384" s="252"/>
      <c r="UXE384" s="252"/>
      <c r="UXF384" s="252"/>
      <c r="UXG384" s="252"/>
      <c r="UXH384" s="252"/>
      <c r="UXI384" s="252"/>
      <c r="UXJ384" s="252"/>
      <c r="UXK384" s="252"/>
      <c r="UXL384" s="252"/>
      <c r="UXM384" s="252"/>
      <c r="UXN384" s="252"/>
      <c r="UXO384" s="252"/>
      <c r="UXP384" s="252"/>
      <c r="UXQ384" s="252"/>
      <c r="UXR384" s="252"/>
      <c r="UXS384" s="252"/>
      <c r="UXT384" s="252"/>
      <c r="UXU384" s="252"/>
      <c r="UXV384" s="252"/>
      <c r="UXW384" s="252"/>
      <c r="UXX384" s="252"/>
      <c r="UXY384" s="252"/>
      <c r="UXZ384" s="252"/>
      <c r="UYA384" s="252"/>
      <c r="UYB384" s="252"/>
      <c r="UYC384" s="252"/>
      <c r="UYD384" s="252"/>
      <c r="UYE384" s="252"/>
      <c r="UYF384" s="252"/>
      <c r="UYG384" s="252"/>
      <c r="UYH384" s="252"/>
      <c r="UYI384" s="252"/>
      <c r="UYJ384" s="252"/>
      <c r="UYK384" s="252"/>
      <c r="UYL384" s="252"/>
      <c r="UYM384" s="252"/>
      <c r="UYN384" s="252"/>
      <c r="UYO384" s="252"/>
      <c r="UYP384" s="252"/>
      <c r="UYQ384" s="252"/>
      <c r="UYR384" s="252"/>
      <c r="UYS384" s="252"/>
      <c r="UYT384" s="252"/>
      <c r="UYU384" s="252"/>
      <c r="UYV384" s="252"/>
      <c r="UYW384" s="252"/>
      <c r="UYX384" s="252"/>
      <c r="UYY384" s="252"/>
      <c r="UYZ384" s="252"/>
      <c r="UZA384" s="252"/>
      <c r="UZB384" s="252"/>
      <c r="UZC384" s="252"/>
      <c r="UZD384" s="252"/>
      <c r="UZE384" s="252"/>
      <c r="UZF384" s="252"/>
      <c r="UZG384" s="252"/>
      <c r="UZH384" s="252"/>
      <c r="UZI384" s="252"/>
      <c r="UZJ384" s="252"/>
      <c r="UZK384" s="252"/>
      <c r="UZL384" s="252"/>
      <c r="UZM384" s="252"/>
      <c r="UZN384" s="252"/>
      <c r="UZO384" s="252"/>
      <c r="UZP384" s="252"/>
      <c r="UZQ384" s="252"/>
      <c r="UZR384" s="252"/>
      <c r="UZS384" s="252"/>
      <c r="UZT384" s="252"/>
      <c r="UZU384" s="252"/>
      <c r="UZV384" s="252"/>
      <c r="UZW384" s="252"/>
      <c r="UZX384" s="252"/>
      <c r="UZY384" s="252"/>
      <c r="UZZ384" s="252"/>
      <c r="VAA384" s="252"/>
      <c r="VAB384" s="252"/>
      <c r="VAC384" s="252"/>
      <c r="VAD384" s="252"/>
      <c r="VAE384" s="252"/>
      <c r="VAF384" s="252"/>
      <c r="VAG384" s="252"/>
      <c r="VAH384" s="252"/>
      <c r="VAI384" s="252"/>
      <c r="VAJ384" s="252"/>
      <c r="VAK384" s="252"/>
      <c r="VAL384" s="252"/>
      <c r="VAM384" s="252"/>
      <c r="VAN384" s="252"/>
      <c r="VAO384" s="252"/>
      <c r="VAP384" s="252"/>
      <c r="VAQ384" s="252"/>
      <c r="VAR384" s="252"/>
      <c r="VAS384" s="252"/>
      <c r="VAT384" s="252"/>
      <c r="VAU384" s="252"/>
      <c r="VAV384" s="252"/>
      <c r="VAW384" s="252"/>
      <c r="VAX384" s="252"/>
      <c r="VAY384" s="252"/>
      <c r="VAZ384" s="252"/>
      <c r="VBA384" s="252"/>
      <c r="VBB384" s="252"/>
      <c r="VBC384" s="252"/>
      <c r="VBD384" s="252"/>
      <c r="VBE384" s="252"/>
      <c r="VBF384" s="252"/>
      <c r="VBG384" s="252"/>
      <c r="VBH384" s="252"/>
      <c r="VBI384" s="252"/>
      <c r="VBJ384" s="252"/>
      <c r="VBK384" s="252"/>
      <c r="VBL384" s="252"/>
      <c r="VBM384" s="252"/>
      <c r="VBN384" s="252"/>
      <c r="VBO384" s="252"/>
      <c r="VBP384" s="252"/>
      <c r="VBQ384" s="252"/>
      <c r="VBR384" s="252"/>
      <c r="VBS384" s="252"/>
      <c r="VBT384" s="252"/>
      <c r="VBU384" s="252"/>
      <c r="VBV384" s="252"/>
      <c r="VBW384" s="252"/>
      <c r="VBX384" s="252"/>
      <c r="VBY384" s="252"/>
      <c r="VBZ384" s="252"/>
      <c r="VCA384" s="252"/>
      <c r="VCB384" s="252"/>
      <c r="VCC384" s="252"/>
      <c r="VCD384" s="252"/>
      <c r="VCE384" s="252"/>
      <c r="VCF384" s="252"/>
      <c r="VCG384" s="252"/>
      <c r="VCH384" s="252"/>
      <c r="VCI384" s="252"/>
      <c r="VCJ384" s="252"/>
      <c r="VCK384" s="252"/>
      <c r="VCL384" s="252"/>
      <c r="VCM384" s="252"/>
      <c r="VCN384" s="252"/>
      <c r="VCO384" s="252"/>
      <c r="VCP384" s="252"/>
      <c r="VCQ384" s="252"/>
      <c r="VCR384" s="252"/>
      <c r="VCS384" s="252"/>
      <c r="VCT384" s="252"/>
      <c r="VCU384" s="252"/>
      <c r="VCV384" s="252"/>
      <c r="VCW384" s="252"/>
      <c r="VCX384" s="252"/>
      <c r="VCY384" s="252"/>
      <c r="VCZ384" s="252"/>
      <c r="VDA384" s="252"/>
      <c r="VDB384" s="252"/>
      <c r="VDC384" s="252"/>
      <c r="VDD384" s="252"/>
      <c r="VDE384" s="252"/>
      <c r="VDF384" s="252"/>
      <c r="VDG384" s="252"/>
      <c r="VDH384" s="252"/>
      <c r="VDI384" s="252"/>
      <c r="VDJ384" s="252"/>
      <c r="VDK384" s="252"/>
      <c r="VDL384" s="252"/>
      <c r="VDM384" s="252"/>
      <c r="VDN384" s="252"/>
      <c r="VDO384" s="252"/>
      <c r="VDP384" s="252"/>
      <c r="VDQ384" s="252"/>
      <c r="VDR384" s="252"/>
      <c r="VDS384" s="252"/>
      <c r="VDT384" s="252"/>
      <c r="VDU384" s="252"/>
      <c r="VDV384" s="252"/>
      <c r="VDW384" s="252"/>
      <c r="VDX384" s="252"/>
      <c r="VDY384" s="252"/>
      <c r="VDZ384" s="252"/>
      <c r="VEA384" s="252"/>
      <c r="VEB384" s="252"/>
      <c r="VEC384" s="252"/>
      <c r="VED384" s="252"/>
      <c r="VEE384" s="252"/>
      <c r="VEF384" s="252"/>
      <c r="VEG384" s="252"/>
      <c r="VEH384" s="252"/>
      <c r="VEI384" s="252"/>
      <c r="VEJ384" s="252"/>
      <c r="VEK384" s="252"/>
      <c r="VEL384" s="252"/>
      <c r="VEM384" s="252"/>
      <c r="VEN384" s="252"/>
      <c r="VEO384" s="252"/>
      <c r="VEP384" s="252"/>
      <c r="VEQ384" s="252"/>
      <c r="VER384" s="252"/>
      <c r="VES384" s="252"/>
      <c r="VET384" s="252"/>
      <c r="VEU384" s="252"/>
      <c r="VEV384" s="252"/>
      <c r="VEW384" s="252"/>
      <c r="VEX384" s="252"/>
      <c r="VEY384" s="252"/>
      <c r="VEZ384" s="252"/>
      <c r="VFA384" s="252"/>
      <c r="VFB384" s="252"/>
      <c r="VFC384" s="252"/>
      <c r="VFD384" s="252"/>
      <c r="VFE384" s="252"/>
      <c r="VFF384" s="252"/>
      <c r="VFG384" s="252"/>
      <c r="VFH384" s="252"/>
      <c r="VFI384" s="252"/>
      <c r="VFJ384" s="252"/>
      <c r="VFK384" s="252"/>
      <c r="VFL384" s="252"/>
      <c r="VFM384" s="252"/>
      <c r="VFN384" s="252"/>
      <c r="VFO384" s="252"/>
      <c r="VFP384" s="252"/>
      <c r="VFQ384" s="252"/>
      <c r="VFR384" s="252"/>
      <c r="VFS384" s="252"/>
      <c r="VFT384" s="252"/>
      <c r="VFU384" s="252"/>
      <c r="VFV384" s="252"/>
      <c r="VFW384" s="252"/>
      <c r="VFX384" s="252"/>
      <c r="VFY384" s="252"/>
      <c r="VFZ384" s="252"/>
      <c r="VGA384" s="252"/>
      <c r="VGB384" s="252"/>
      <c r="VGC384" s="252"/>
      <c r="VGD384" s="252"/>
      <c r="VGE384" s="252"/>
      <c r="VGF384" s="252"/>
      <c r="VGG384" s="252"/>
      <c r="VGH384" s="252"/>
      <c r="VGI384" s="252"/>
      <c r="VGJ384" s="252"/>
      <c r="VGK384" s="252"/>
      <c r="VGL384" s="252"/>
      <c r="VGM384" s="252"/>
      <c r="VGN384" s="252"/>
      <c r="VGO384" s="252"/>
      <c r="VGP384" s="252"/>
      <c r="VGQ384" s="252"/>
      <c r="VGR384" s="252"/>
      <c r="VGS384" s="252"/>
      <c r="VGT384" s="252"/>
      <c r="VGU384" s="252"/>
      <c r="VGV384" s="252"/>
      <c r="VGW384" s="252"/>
      <c r="VGX384" s="252"/>
      <c r="VGY384" s="252"/>
      <c r="VGZ384" s="252"/>
      <c r="VHA384" s="252"/>
      <c r="VHB384" s="252"/>
      <c r="VHC384" s="252"/>
      <c r="VHD384" s="252"/>
      <c r="VHE384" s="252"/>
      <c r="VHF384" s="252"/>
      <c r="VHG384" s="252"/>
      <c r="VHH384" s="252"/>
      <c r="VHI384" s="252"/>
      <c r="VHJ384" s="252"/>
      <c r="VHK384" s="252"/>
      <c r="VHL384" s="252"/>
      <c r="VHM384" s="252"/>
      <c r="VHN384" s="252"/>
      <c r="VHO384" s="252"/>
      <c r="VHP384" s="252"/>
      <c r="VHQ384" s="252"/>
      <c r="VHR384" s="252"/>
      <c r="VHS384" s="252"/>
      <c r="VHT384" s="252"/>
      <c r="VHU384" s="252"/>
      <c r="VHV384" s="252"/>
      <c r="VHW384" s="252"/>
      <c r="VHX384" s="252"/>
      <c r="VHY384" s="252"/>
      <c r="VHZ384" s="252"/>
      <c r="VIA384" s="252"/>
      <c r="VIB384" s="252"/>
      <c r="VIC384" s="252"/>
      <c r="VID384" s="252"/>
      <c r="VIE384" s="252"/>
      <c r="VIF384" s="252"/>
      <c r="VIG384" s="252"/>
      <c r="VIH384" s="252"/>
      <c r="VII384" s="252"/>
      <c r="VIJ384" s="252"/>
      <c r="VIK384" s="252"/>
      <c r="VIL384" s="252"/>
      <c r="VIM384" s="252"/>
      <c r="VIN384" s="252"/>
      <c r="VIO384" s="252"/>
      <c r="VIP384" s="252"/>
      <c r="VIQ384" s="252"/>
      <c r="VIR384" s="252"/>
      <c r="VIS384" s="252"/>
      <c r="VIT384" s="252"/>
      <c r="VIU384" s="252"/>
      <c r="VIV384" s="252"/>
      <c r="VIW384" s="252"/>
      <c r="VIX384" s="252"/>
      <c r="VIY384" s="252"/>
      <c r="VIZ384" s="252"/>
      <c r="VJA384" s="252"/>
      <c r="VJB384" s="252"/>
      <c r="VJC384" s="252"/>
      <c r="VJD384" s="252"/>
      <c r="VJE384" s="252"/>
      <c r="VJF384" s="252"/>
      <c r="VJG384" s="252"/>
      <c r="VJH384" s="252"/>
      <c r="VJI384" s="252"/>
      <c r="VJJ384" s="252"/>
      <c r="VJK384" s="252"/>
      <c r="VJL384" s="252"/>
      <c r="VJM384" s="252"/>
      <c r="VJN384" s="252"/>
      <c r="VJO384" s="252"/>
      <c r="VJP384" s="252"/>
      <c r="VJQ384" s="252"/>
      <c r="VJR384" s="252"/>
      <c r="VJS384" s="252"/>
      <c r="VJT384" s="252"/>
      <c r="VJU384" s="252"/>
      <c r="VJV384" s="252"/>
      <c r="VJW384" s="252"/>
      <c r="VJX384" s="252"/>
      <c r="VJY384" s="252"/>
      <c r="VJZ384" s="252"/>
      <c r="VKA384" s="252"/>
      <c r="VKB384" s="252"/>
      <c r="VKC384" s="252"/>
      <c r="VKD384" s="252"/>
      <c r="VKE384" s="252"/>
      <c r="VKF384" s="252"/>
      <c r="VKG384" s="252"/>
      <c r="VKH384" s="252"/>
      <c r="VKI384" s="252"/>
      <c r="VKJ384" s="252"/>
      <c r="VKK384" s="252"/>
      <c r="VKL384" s="252"/>
      <c r="VKM384" s="252"/>
      <c r="VKN384" s="252"/>
      <c r="VKO384" s="252"/>
      <c r="VKP384" s="252"/>
      <c r="VKQ384" s="252"/>
      <c r="VKR384" s="252"/>
      <c r="VKS384" s="252"/>
      <c r="VKT384" s="252"/>
      <c r="VKU384" s="252"/>
      <c r="VKV384" s="252"/>
      <c r="VKW384" s="252"/>
      <c r="VKX384" s="252"/>
      <c r="VKY384" s="252"/>
      <c r="VKZ384" s="252"/>
      <c r="VLA384" s="252"/>
      <c r="VLB384" s="252"/>
      <c r="VLC384" s="252"/>
      <c r="VLD384" s="252"/>
      <c r="VLE384" s="252"/>
      <c r="VLF384" s="252"/>
      <c r="VLG384" s="252"/>
      <c r="VLH384" s="252"/>
      <c r="VLI384" s="252"/>
      <c r="VLJ384" s="252"/>
      <c r="VLK384" s="252"/>
      <c r="VLL384" s="252"/>
      <c r="VLM384" s="252"/>
      <c r="VLN384" s="252"/>
      <c r="VLO384" s="252"/>
      <c r="VLP384" s="252"/>
      <c r="VLQ384" s="252"/>
      <c r="VLR384" s="252"/>
      <c r="VLS384" s="252"/>
      <c r="VLT384" s="252"/>
      <c r="VLU384" s="252"/>
      <c r="VLV384" s="252"/>
      <c r="VLW384" s="252"/>
      <c r="VLX384" s="252"/>
      <c r="VLY384" s="252"/>
      <c r="VLZ384" s="252"/>
      <c r="VMA384" s="252"/>
      <c r="VMB384" s="252"/>
      <c r="VMC384" s="252"/>
      <c r="VMD384" s="252"/>
      <c r="VME384" s="252"/>
      <c r="VMF384" s="252"/>
      <c r="VMG384" s="252"/>
      <c r="VMH384" s="252"/>
      <c r="VMI384" s="252"/>
      <c r="VMJ384" s="252"/>
      <c r="VMK384" s="252"/>
      <c r="VML384" s="252"/>
      <c r="VMM384" s="252"/>
      <c r="VMN384" s="252"/>
      <c r="VMO384" s="252"/>
      <c r="VMP384" s="252"/>
      <c r="VMQ384" s="252"/>
      <c r="VMR384" s="252"/>
      <c r="VMS384" s="252"/>
      <c r="VMT384" s="252"/>
      <c r="VMU384" s="252"/>
      <c r="VMV384" s="252"/>
      <c r="VMW384" s="252"/>
      <c r="VMX384" s="252"/>
      <c r="VMY384" s="252"/>
      <c r="VMZ384" s="252"/>
      <c r="VNA384" s="252"/>
      <c r="VNB384" s="252"/>
      <c r="VNC384" s="252"/>
      <c r="VND384" s="252"/>
      <c r="VNE384" s="252"/>
      <c r="VNF384" s="252"/>
      <c r="VNG384" s="252"/>
      <c r="VNH384" s="252"/>
      <c r="VNI384" s="252"/>
      <c r="VNJ384" s="252"/>
      <c r="VNK384" s="252"/>
      <c r="VNL384" s="252"/>
      <c r="VNM384" s="252"/>
      <c r="VNN384" s="252"/>
      <c r="VNO384" s="252"/>
      <c r="VNP384" s="252"/>
      <c r="VNQ384" s="252"/>
      <c r="VNR384" s="252"/>
      <c r="VNS384" s="252"/>
      <c r="VNT384" s="252"/>
      <c r="VNU384" s="252"/>
      <c r="VNV384" s="252"/>
      <c r="VNW384" s="252"/>
      <c r="VNX384" s="252"/>
      <c r="VNY384" s="252"/>
      <c r="VNZ384" s="252"/>
      <c r="VOA384" s="252"/>
      <c r="VOB384" s="252"/>
      <c r="VOC384" s="252"/>
      <c r="VOD384" s="252"/>
      <c r="VOE384" s="252"/>
      <c r="VOF384" s="252"/>
      <c r="VOG384" s="252"/>
      <c r="VOH384" s="252"/>
      <c r="VOI384" s="252"/>
      <c r="VOJ384" s="252"/>
      <c r="VOK384" s="252"/>
      <c r="VOL384" s="252"/>
      <c r="VOM384" s="252"/>
      <c r="VON384" s="252"/>
      <c r="VOO384" s="252"/>
      <c r="VOP384" s="252"/>
      <c r="VOQ384" s="252"/>
      <c r="VOR384" s="252"/>
      <c r="VOS384" s="252"/>
      <c r="VOT384" s="252"/>
      <c r="VOU384" s="252"/>
      <c r="VOV384" s="252"/>
      <c r="VOW384" s="252"/>
      <c r="VOX384" s="252"/>
      <c r="VOY384" s="252"/>
      <c r="VOZ384" s="252"/>
      <c r="VPA384" s="252"/>
      <c r="VPB384" s="252"/>
      <c r="VPC384" s="252"/>
      <c r="VPD384" s="252"/>
      <c r="VPE384" s="252"/>
      <c r="VPF384" s="252"/>
      <c r="VPG384" s="252"/>
      <c r="VPH384" s="252"/>
      <c r="VPI384" s="252"/>
      <c r="VPJ384" s="252"/>
      <c r="VPK384" s="252"/>
      <c r="VPL384" s="252"/>
      <c r="VPM384" s="252"/>
      <c r="VPN384" s="252"/>
      <c r="VPO384" s="252"/>
      <c r="VPP384" s="252"/>
      <c r="VPQ384" s="252"/>
      <c r="VPR384" s="252"/>
      <c r="VPS384" s="252"/>
      <c r="VPT384" s="252"/>
      <c r="VPU384" s="252"/>
      <c r="VPV384" s="252"/>
      <c r="VPW384" s="252"/>
      <c r="VPX384" s="252"/>
      <c r="VPY384" s="252"/>
      <c r="VPZ384" s="252"/>
      <c r="VQA384" s="252"/>
      <c r="VQB384" s="252"/>
      <c r="VQC384" s="252"/>
      <c r="VQD384" s="252"/>
      <c r="VQE384" s="252"/>
      <c r="VQF384" s="252"/>
      <c r="VQG384" s="252"/>
      <c r="VQH384" s="252"/>
      <c r="VQI384" s="252"/>
      <c r="VQJ384" s="252"/>
      <c r="VQK384" s="252"/>
      <c r="VQL384" s="252"/>
      <c r="VQM384" s="252"/>
      <c r="VQN384" s="252"/>
      <c r="VQO384" s="252"/>
      <c r="VQP384" s="252"/>
      <c r="VQQ384" s="252"/>
      <c r="VQR384" s="252"/>
      <c r="VQS384" s="252"/>
      <c r="VQT384" s="252"/>
      <c r="VQU384" s="252"/>
      <c r="VQV384" s="252"/>
      <c r="VQW384" s="252"/>
      <c r="VQX384" s="252"/>
      <c r="VQY384" s="252"/>
      <c r="VQZ384" s="252"/>
      <c r="VRA384" s="252"/>
      <c r="VRB384" s="252"/>
      <c r="VRC384" s="252"/>
      <c r="VRD384" s="252"/>
      <c r="VRE384" s="252"/>
      <c r="VRF384" s="252"/>
      <c r="VRG384" s="252"/>
      <c r="VRH384" s="252"/>
      <c r="VRI384" s="252"/>
      <c r="VRJ384" s="252"/>
      <c r="VRK384" s="252"/>
      <c r="VRL384" s="252"/>
      <c r="VRM384" s="252"/>
      <c r="VRN384" s="252"/>
      <c r="VRO384" s="252"/>
      <c r="VRP384" s="252"/>
      <c r="VRQ384" s="252"/>
      <c r="VRR384" s="252"/>
      <c r="VRS384" s="252"/>
      <c r="VRT384" s="252"/>
      <c r="VRU384" s="252"/>
      <c r="VRV384" s="252"/>
      <c r="VRW384" s="252"/>
      <c r="VRX384" s="252"/>
      <c r="VRY384" s="252"/>
      <c r="VRZ384" s="252"/>
      <c r="VSA384" s="252"/>
      <c r="VSB384" s="252"/>
      <c r="VSC384" s="252"/>
      <c r="VSD384" s="252"/>
      <c r="VSE384" s="252"/>
      <c r="VSF384" s="252"/>
      <c r="VSG384" s="252"/>
      <c r="VSH384" s="252"/>
      <c r="VSI384" s="252"/>
      <c r="VSJ384" s="252"/>
      <c r="VSK384" s="252"/>
      <c r="VSL384" s="252"/>
      <c r="VSM384" s="252"/>
      <c r="VSN384" s="252"/>
      <c r="VSO384" s="252"/>
      <c r="VSP384" s="252"/>
      <c r="VSQ384" s="252"/>
      <c r="VSR384" s="252"/>
      <c r="VSS384" s="252"/>
      <c r="VST384" s="252"/>
      <c r="VSU384" s="252"/>
      <c r="VSV384" s="252"/>
      <c r="VSW384" s="252"/>
      <c r="VSX384" s="252"/>
      <c r="VSY384" s="252"/>
      <c r="VSZ384" s="252"/>
      <c r="VTA384" s="252"/>
      <c r="VTB384" s="252"/>
      <c r="VTC384" s="252"/>
      <c r="VTD384" s="252"/>
      <c r="VTE384" s="252"/>
      <c r="VTF384" s="252"/>
      <c r="VTG384" s="252"/>
      <c r="VTH384" s="252"/>
      <c r="VTI384" s="252"/>
      <c r="VTJ384" s="252"/>
      <c r="VTK384" s="252"/>
      <c r="VTL384" s="252"/>
      <c r="VTM384" s="252"/>
      <c r="VTN384" s="252"/>
      <c r="VTO384" s="252"/>
      <c r="VTP384" s="252"/>
      <c r="VTQ384" s="252"/>
      <c r="VTR384" s="252"/>
      <c r="VTS384" s="252"/>
      <c r="VTT384" s="252"/>
      <c r="VTU384" s="252"/>
      <c r="VTV384" s="252"/>
      <c r="VTW384" s="252"/>
      <c r="VTX384" s="252"/>
      <c r="VTY384" s="252"/>
      <c r="VTZ384" s="252"/>
      <c r="VUA384" s="252"/>
      <c r="VUB384" s="252"/>
      <c r="VUC384" s="252"/>
      <c r="VUD384" s="252"/>
      <c r="VUE384" s="252"/>
      <c r="VUF384" s="252"/>
      <c r="VUG384" s="252"/>
      <c r="VUH384" s="252"/>
      <c r="VUI384" s="252"/>
      <c r="VUJ384" s="252"/>
      <c r="VUK384" s="252"/>
      <c r="VUL384" s="252"/>
      <c r="VUM384" s="252"/>
      <c r="VUN384" s="252"/>
      <c r="VUO384" s="252"/>
      <c r="VUP384" s="252"/>
      <c r="VUQ384" s="252"/>
      <c r="VUR384" s="252"/>
      <c r="VUS384" s="252"/>
      <c r="VUT384" s="252"/>
      <c r="VUU384" s="252"/>
      <c r="VUV384" s="252"/>
      <c r="VUW384" s="252"/>
      <c r="VUX384" s="252"/>
      <c r="VUY384" s="252"/>
      <c r="VUZ384" s="252"/>
      <c r="VVA384" s="252"/>
      <c r="VVB384" s="252"/>
      <c r="VVC384" s="252"/>
      <c r="VVD384" s="252"/>
      <c r="VVE384" s="252"/>
      <c r="VVF384" s="252"/>
      <c r="VVG384" s="252"/>
      <c r="VVH384" s="252"/>
      <c r="VVI384" s="252"/>
      <c r="VVJ384" s="252"/>
      <c r="VVK384" s="252"/>
      <c r="VVL384" s="252"/>
      <c r="VVM384" s="252"/>
      <c r="VVN384" s="252"/>
      <c r="VVO384" s="252"/>
      <c r="VVP384" s="252"/>
      <c r="VVQ384" s="252"/>
      <c r="VVR384" s="252"/>
      <c r="VVS384" s="252"/>
      <c r="VVT384" s="252"/>
      <c r="VVU384" s="252"/>
      <c r="VVV384" s="252"/>
      <c r="VVW384" s="252"/>
      <c r="VVX384" s="252"/>
      <c r="VVY384" s="252"/>
      <c r="VVZ384" s="252"/>
      <c r="VWA384" s="252"/>
      <c r="VWB384" s="252"/>
      <c r="VWC384" s="252"/>
      <c r="VWD384" s="252"/>
      <c r="VWE384" s="252"/>
      <c r="VWF384" s="252"/>
      <c r="VWG384" s="252"/>
      <c r="VWH384" s="252"/>
      <c r="VWI384" s="252"/>
      <c r="VWJ384" s="252"/>
      <c r="VWK384" s="252"/>
      <c r="VWL384" s="252"/>
      <c r="VWM384" s="252"/>
      <c r="VWN384" s="252"/>
      <c r="VWO384" s="252"/>
      <c r="VWP384" s="252"/>
      <c r="VWQ384" s="252"/>
      <c r="VWR384" s="252"/>
      <c r="VWS384" s="252"/>
      <c r="VWT384" s="252"/>
      <c r="VWU384" s="252"/>
      <c r="VWV384" s="252"/>
      <c r="VWW384" s="252"/>
      <c r="VWX384" s="252"/>
      <c r="VWY384" s="252"/>
      <c r="VWZ384" s="252"/>
      <c r="VXA384" s="252"/>
      <c r="VXB384" s="252"/>
      <c r="VXC384" s="252"/>
      <c r="VXD384" s="252"/>
      <c r="VXE384" s="252"/>
      <c r="VXF384" s="252"/>
      <c r="VXG384" s="252"/>
      <c r="VXH384" s="252"/>
      <c r="VXI384" s="252"/>
      <c r="VXJ384" s="252"/>
      <c r="VXK384" s="252"/>
      <c r="VXL384" s="252"/>
      <c r="VXM384" s="252"/>
      <c r="VXN384" s="252"/>
      <c r="VXO384" s="252"/>
      <c r="VXP384" s="252"/>
      <c r="VXQ384" s="252"/>
      <c r="VXR384" s="252"/>
      <c r="VXS384" s="252"/>
      <c r="VXT384" s="252"/>
      <c r="VXU384" s="252"/>
      <c r="VXV384" s="252"/>
      <c r="VXW384" s="252"/>
      <c r="VXX384" s="252"/>
      <c r="VXY384" s="252"/>
      <c r="VXZ384" s="252"/>
      <c r="VYA384" s="252"/>
      <c r="VYB384" s="252"/>
      <c r="VYC384" s="252"/>
      <c r="VYD384" s="252"/>
      <c r="VYE384" s="252"/>
      <c r="VYF384" s="252"/>
      <c r="VYG384" s="252"/>
      <c r="VYH384" s="252"/>
      <c r="VYI384" s="252"/>
      <c r="VYJ384" s="252"/>
      <c r="VYK384" s="252"/>
      <c r="VYL384" s="252"/>
      <c r="VYM384" s="252"/>
      <c r="VYN384" s="252"/>
      <c r="VYO384" s="252"/>
      <c r="VYP384" s="252"/>
      <c r="VYQ384" s="252"/>
      <c r="VYR384" s="252"/>
      <c r="VYS384" s="252"/>
      <c r="VYT384" s="252"/>
      <c r="VYU384" s="252"/>
      <c r="VYV384" s="252"/>
      <c r="VYW384" s="252"/>
      <c r="VYX384" s="252"/>
      <c r="VYY384" s="252"/>
      <c r="VYZ384" s="252"/>
      <c r="VZA384" s="252"/>
      <c r="VZB384" s="252"/>
      <c r="VZC384" s="252"/>
      <c r="VZD384" s="252"/>
      <c r="VZE384" s="252"/>
      <c r="VZF384" s="252"/>
      <c r="VZG384" s="252"/>
      <c r="VZH384" s="252"/>
      <c r="VZI384" s="252"/>
      <c r="VZJ384" s="252"/>
      <c r="VZK384" s="252"/>
      <c r="VZL384" s="252"/>
      <c r="VZM384" s="252"/>
      <c r="VZN384" s="252"/>
      <c r="VZO384" s="252"/>
      <c r="VZP384" s="252"/>
      <c r="VZQ384" s="252"/>
      <c r="VZR384" s="252"/>
      <c r="VZS384" s="252"/>
      <c r="VZT384" s="252"/>
      <c r="VZU384" s="252"/>
      <c r="VZV384" s="252"/>
      <c r="VZW384" s="252"/>
      <c r="VZX384" s="252"/>
      <c r="VZY384" s="252"/>
      <c r="VZZ384" s="252"/>
      <c r="WAA384" s="252"/>
      <c r="WAB384" s="252"/>
      <c r="WAC384" s="252"/>
      <c r="WAD384" s="252"/>
      <c r="WAE384" s="252"/>
      <c r="WAF384" s="252"/>
      <c r="WAG384" s="252"/>
      <c r="WAH384" s="252"/>
      <c r="WAI384" s="252"/>
      <c r="WAJ384" s="252"/>
      <c r="WAK384" s="252"/>
      <c r="WAL384" s="252"/>
      <c r="WAM384" s="252"/>
      <c r="WAN384" s="252"/>
      <c r="WAO384" s="252"/>
      <c r="WAP384" s="252"/>
      <c r="WAQ384" s="252"/>
      <c r="WAR384" s="252"/>
      <c r="WAS384" s="252"/>
      <c r="WAT384" s="252"/>
      <c r="WAU384" s="252"/>
      <c r="WAV384" s="252"/>
      <c r="WAW384" s="252"/>
      <c r="WAX384" s="252"/>
      <c r="WAY384" s="252"/>
      <c r="WAZ384" s="252"/>
      <c r="WBA384" s="252"/>
      <c r="WBB384" s="252"/>
      <c r="WBC384" s="252"/>
      <c r="WBD384" s="252"/>
      <c r="WBE384" s="252"/>
      <c r="WBF384" s="252"/>
      <c r="WBG384" s="252"/>
      <c r="WBH384" s="252"/>
      <c r="WBI384" s="252"/>
      <c r="WBJ384" s="252"/>
      <c r="WBK384" s="252"/>
      <c r="WBL384" s="252"/>
      <c r="WBM384" s="252"/>
      <c r="WBN384" s="252"/>
      <c r="WBO384" s="252"/>
      <c r="WBP384" s="252"/>
      <c r="WBQ384" s="252"/>
      <c r="WBR384" s="252"/>
      <c r="WBS384" s="252"/>
      <c r="WBT384" s="252"/>
      <c r="WBU384" s="252"/>
      <c r="WBV384" s="252"/>
      <c r="WBW384" s="252"/>
      <c r="WBX384" s="252"/>
      <c r="WBY384" s="252"/>
      <c r="WBZ384" s="252"/>
      <c r="WCA384" s="252"/>
      <c r="WCB384" s="252"/>
      <c r="WCC384" s="252"/>
      <c r="WCD384" s="252"/>
      <c r="WCE384" s="252"/>
      <c r="WCF384" s="252"/>
      <c r="WCG384" s="252"/>
      <c r="WCH384" s="252"/>
      <c r="WCI384" s="252"/>
      <c r="WCJ384" s="252"/>
      <c r="WCK384" s="252"/>
      <c r="WCL384" s="252"/>
      <c r="WCM384" s="252"/>
      <c r="WCN384" s="252"/>
      <c r="WCO384" s="252"/>
      <c r="WCP384" s="252"/>
      <c r="WCQ384" s="252"/>
      <c r="WCR384" s="252"/>
      <c r="WCS384" s="252"/>
      <c r="WCT384" s="252"/>
      <c r="WCU384" s="252"/>
      <c r="WCV384" s="252"/>
      <c r="WCW384" s="252"/>
      <c r="WCX384" s="252"/>
      <c r="WCY384" s="252"/>
      <c r="WCZ384" s="252"/>
      <c r="WDA384" s="252"/>
      <c r="WDB384" s="252"/>
      <c r="WDC384" s="252"/>
      <c r="WDD384" s="252"/>
      <c r="WDE384" s="252"/>
      <c r="WDF384" s="252"/>
      <c r="WDG384" s="252"/>
      <c r="WDH384" s="252"/>
      <c r="WDI384" s="252"/>
      <c r="WDJ384" s="252"/>
      <c r="WDK384" s="252"/>
      <c r="WDL384" s="252"/>
      <c r="WDM384" s="252"/>
      <c r="WDN384" s="252"/>
      <c r="WDO384" s="252"/>
      <c r="WDP384" s="252"/>
      <c r="WDQ384" s="252"/>
      <c r="WDR384" s="252"/>
      <c r="WDS384" s="252"/>
      <c r="WDT384" s="252"/>
      <c r="WDU384" s="252"/>
      <c r="WDV384" s="252"/>
      <c r="WDW384" s="252"/>
      <c r="WDX384" s="252"/>
      <c r="WDY384" s="252"/>
      <c r="WDZ384" s="252"/>
      <c r="WEA384" s="252"/>
      <c r="WEB384" s="252"/>
      <c r="WEC384" s="252"/>
      <c r="WED384" s="252"/>
      <c r="WEE384" s="252"/>
      <c r="WEF384" s="252"/>
      <c r="WEG384" s="252"/>
      <c r="WEH384" s="252"/>
      <c r="WEI384" s="252"/>
      <c r="WEJ384" s="252"/>
      <c r="WEK384" s="252"/>
      <c r="WEL384" s="252"/>
      <c r="WEM384" s="252"/>
      <c r="WEN384" s="252"/>
      <c r="WEO384" s="252"/>
      <c r="WEP384" s="252"/>
      <c r="WEQ384" s="252"/>
      <c r="WER384" s="252"/>
      <c r="WES384" s="252"/>
      <c r="WET384" s="252"/>
      <c r="WEU384" s="252"/>
      <c r="WEV384" s="252"/>
      <c r="WEW384" s="252"/>
      <c r="WEX384" s="252"/>
      <c r="WEY384" s="252"/>
      <c r="WEZ384" s="252"/>
      <c r="WFA384" s="252"/>
      <c r="WFB384" s="252"/>
      <c r="WFC384" s="252"/>
      <c r="WFD384" s="252"/>
      <c r="WFE384" s="252"/>
      <c r="WFF384" s="252"/>
      <c r="WFG384" s="252"/>
      <c r="WFH384" s="252"/>
      <c r="WFI384" s="252"/>
      <c r="WFJ384" s="252"/>
      <c r="WFK384" s="252"/>
      <c r="WFL384" s="252"/>
      <c r="WFM384" s="252"/>
      <c r="WFN384" s="252"/>
      <c r="WFO384" s="252"/>
      <c r="WFP384" s="252"/>
      <c r="WFQ384" s="252"/>
      <c r="WFR384" s="252"/>
      <c r="WFS384" s="252"/>
      <c r="WFT384" s="252"/>
      <c r="WFU384" s="252"/>
      <c r="WFV384" s="252"/>
      <c r="WFW384" s="252"/>
      <c r="WFX384" s="252"/>
      <c r="WFY384" s="252"/>
      <c r="WFZ384" s="252"/>
      <c r="WGA384" s="252"/>
      <c r="WGB384" s="252"/>
      <c r="WGC384" s="252"/>
      <c r="WGD384" s="252"/>
      <c r="WGE384" s="252"/>
      <c r="WGF384" s="252"/>
      <c r="WGG384" s="252"/>
      <c r="WGH384" s="252"/>
      <c r="WGI384" s="252"/>
      <c r="WGJ384" s="252"/>
      <c r="WGK384" s="252"/>
      <c r="WGL384" s="252"/>
      <c r="WGM384" s="252"/>
      <c r="WGN384" s="252"/>
      <c r="WGO384" s="252"/>
      <c r="WGP384" s="252"/>
      <c r="WGQ384" s="252"/>
      <c r="WGR384" s="252"/>
      <c r="WGS384" s="252"/>
      <c r="WGT384" s="252"/>
      <c r="WGU384" s="252"/>
      <c r="WGV384" s="252"/>
      <c r="WGW384" s="252"/>
      <c r="WGX384" s="252"/>
      <c r="WGY384" s="252"/>
      <c r="WGZ384" s="252"/>
      <c r="WHA384" s="252"/>
      <c r="WHB384" s="252"/>
      <c r="WHC384" s="252"/>
      <c r="WHD384" s="252"/>
      <c r="WHE384" s="252"/>
      <c r="WHF384" s="252"/>
      <c r="WHG384" s="252"/>
      <c r="WHH384" s="252"/>
      <c r="WHI384" s="252"/>
      <c r="WHJ384" s="252"/>
      <c r="WHK384" s="252"/>
      <c r="WHL384" s="252"/>
      <c r="WHM384" s="252"/>
      <c r="WHN384" s="252"/>
      <c r="WHO384" s="252"/>
      <c r="WHP384" s="252"/>
      <c r="WHQ384" s="252"/>
      <c r="WHR384" s="252"/>
      <c r="WHS384" s="252"/>
      <c r="WHT384" s="252"/>
      <c r="WHU384" s="252"/>
      <c r="WHV384" s="252"/>
      <c r="WHW384" s="252"/>
      <c r="WHX384" s="252"/>
      <c r="WHY384" s="252"/>
      <c r="WHZ384" s="252"/>
      <c r="WIA384" s="252"/>
      <c r="WIB384" s="252"/>
      <c r="WIC384" s="252"/>
      <c r="WID384" s="252"/>
      <c r="WIE384" s="252"/>
      <c r="WIF384" s="252"/>
      <c r="WIG384" s="252"/>
      <c r="WIH384" s="252"/>
      <c r="WII384" s="252"/>
      <c r="WIJ384" s="252"/>
      <c r="WIK384" s="252"/>
      <c r="WIL384" s="252"/>
      <c r="WIM384" s="252"/>
      <c r="WIN384" s="252"/>
      <c r="WIO384" s="252"/>
      <c r="WIP384" s="252"/>
      <c r="WIQ384" s="252"/>
      <c r="WIR384" s="252"/>
      <c r="WIS384" s="252"/>
      <c r="WIT384" s="252"/>
      <c r="WIU384" s="252"/>
      <c r="WIV384" s="252"/>
      <c r="WIW384" s="252"/>
      <c r="WIX384" s="252"/>
      <c r="WIY384" s="252"/>
      <c r="WIZ384" s="252"/>
      <c r="WJA384" s="252"/>
      <c r="WJB384" s="252"/>
      <c r="WJC384" s="252"/>
      <c r="WJD384" s="252"/>
      <c r="WJE384" s="252"/>
      <c r="WJF384" s="252"/>
      <c r="WJG384" s="252"/>
      <c r="WJH384" s="252"/>
      <c r="WJI384" s="252"/>
      <c r="WJJ384" s="252"/>
      <c r="WJK384" s="252"/>
      <c r="WJL384" s="252"/>
      <c r="WJM384" s="252"/>
      <c r="WJN384" s="252"/>
      <c r="WJO384" s="252"/>
      <c r="WJP384" s="252"/>
      <c r="WJQ384" s="252"/>
      <c r="WJR384" s="252"/>
      <c r="WJS384" s="252"/>
      <c r="WJT384" s="252"/>
      <c r="WJU384" s="252"/>
      <c r="WJV384" s="252"/>
      <c r="WJW384" s="252"/>
      <c r="WJX384" s="252"/>
      <c r="WJY384" s="252"/>
      <c r="WJZ384" s="252"/>
      <c r="WKA384" s="252"/>
      <c r="WKB384" s="252"/>
      <c r="WKC384" s="252"/>
      <c r="WKD384" s="252"/>
      <c r="WKE384" s="252"/>
      <c r="WKF384" s="252"/>
      <c r="WKG384" s="252"/>
      <c r="WKH384" s="252"/>
      <c r="WKI384" s="252"/>
      <c r="WKJ384" s="252"/>
      <c r="WKK384" s="252"/>
      <c r="WKL384" s="252"/>
      <c r="WKM384" s="252"/>
      <c r="WKN384" s="252"/>
      <c r="WKO384" s="252"/>
      <c r="WKP384" s="252"/>
      <c r="WKQ384" s="252"/>
      <c r="WKR384" s="252"/>
      <c r="WKS384" s="252"/>
      <c r="WKT384" s="252"/>
      <c r="WKU384" s="252"/>
      <c r="WKV384" s="252"/>
      <c r="WKW384" s="252"/>
      <c r="WKX384" s="252"/>
      <c r="WKY384" s="252"/>
      <c r="WKZ384" s="252"/>
      <c r="WLA384" s="252"/>
      <c r="WLB384" s="252"/>
      <c r="WLC384" s="252"/>
      <c r="WLD384" s="252"/>
      <c r="WLE384" s="252"/>
      <c r="WLF384" s="252"/>
      <c r="WLG384" s="252"/>
      <c r="WLH384" s="252"/>
      <c r="WLI384" s="252"/>
      <c r="WLJ384" s="252"/>
      <c r="WLK384" s="252"/>
      <c r="WLL384" s="252"/>
      <c r="WLM384" s="252"/>
      <c r="WLN384" s="252"/>
      <c r="WLO384" s="252"/>
      <c r="WLP384" s="252"/>
      <c r="WLQ384" s="252"/>
      <c r="WLR384" s="252"/>
      <c r="WLS384" s="252"/>
      <c r="WLT384" s="252"/>
      <c r="WLU384" s="252"/>
      <c r="WLV384" s="252"/>
      <c r="WLW384" s="252"/>
      <c r="WLX384" s="252"/>
      <c r="WLY384" s="252"/>
      <c r="WLZ384" s="252"/>
      <c r="WMA384" s="252"/>
      <c r="WMB384" s="252"/>
      <c r="WMC384" s="252"/>
      <c r="WMD384" s="252"/>
      <c r="WME384" s="252"/>
      <c r="WMF384" s="252"/>
      <c r="WMG384" s="252"/>
      <c r="WMH384" s="252"/>
      <c r="WMI384" s="252"/>
      <c r="WMJ384" s="252"/>
      <c r="WMK384" s="252"/>
      <c r="WML384" s="252"/>
      <c r="WMM384" s="252"/>
      <c r="WMN384" s="252"/>
      <c r="WMO384" s="252"/>
      <c r="WMP384" s="252"/>
      <c r="WMQ384" s="252"/>
      <c r="WMR384" s="252"/>
      <c r="WMS384" s="252"/>
      <c r="WMT384" s="252"/>
      <c r="WMU384" s="252"/>
      <c r="WMV384" s="252"/>
      <c r="WMW384" s="252"/>
      <c r="WMX384" s="252"/>
      <c r="WMY384" s="252"/>
      <c r="WMZ384" s="252"/>
      <c r="WNA384" s="252"/>
      <c r="WNB384" s="252"/>
      <c r="WNC384" s="252"/>
      <c r="WND384" s="252"/>
      <c r="WNE384" s="252"/>
      <c r="WNF384" s="252"/>
      <c r="WNG384" s="252"/>
      <c r="WNH384" s="252"/>
      <c r="WNI384" s="252"/>
      <c r="WNJ384" s="252"/>
      <c r="WNK384" s="252"/>
      <c r="WNL384" s="252"/>
      <c r="WNM384" s="252"/>
      <c r="WNN384" s="252"/>
      <c r="WNO384" s="252"/>
      <c r="WNP384" s="252"/>
      <c r="WNQ384" s="252"/>
      <c r="WNR384" s="252"/>
      <c r="WNS384" s="252"/>
      <c r="WNT384" s="252"/>
      <c r="WNU384" s="252"/>
      <c r="WNV384" s="252"/>
      <c r="WNW384" s="252"/>
      <c r="WNX384" s="252"/>
      <c r="WNY384" s="252"/>
      <c r="WNZ384" s="252"/>
      <c r="WOA384" s="252"/>
      <c r="WOB384" s="252"/>
      <c r="WOC384" s="252"/>
      <c r="WOD384" s="252"/>
      <c r="WOE384" s="252"/>
      <c r="WOF384" s="252"/>
      <c r="WOG384" s="252"/>
      <c r="WOH384" s="252"/>
      <c r="WOI384" s="252"/>
      <c r="WOJ384" s="252"/>
      <c r="WOK384" s="252"/>
      <c r="WOL384" s="252"/>
      <c r="WOM384" s="252"/>
      <c r="WON384" s="252"/>
      <c r="WOO384" s="252"/>
      <c r="WOP384" s="252"/>
      <c r="WOQ384" s="252"/>
      <c r="WOR384" s="252"/>
      <c r="WOS384" s="252"/>
      <c r="WOT384" s="252"/>
      <c r="WOU384" s="252"/>
      <c r="WOV384" s="252"/>
      <c r="WOW384" s="252"/>
      <c r="WOX384" s="252"/>
      <c r="WOY384" s="252"/>
      <c r="WOZ384" s="252"/>
      <c r="WPA384" s="252"/>
      <c r="WPB384" s="252"/>
      <c r="WPC384" s="252"/>
      <c r="WPD384" s="252"/>
      <c r="WPE384" s="252"/>
      <c r="WPF384" s="252"/>
      <c r="WPG384" s="252"/>
      <c r="WPH384" s="252"/>
      <c r="WPI384" s="252"/>
      <c r="WPJ384" s="252"/>
      <c r="WPK384" s="252"/>
      <c r="WPL384" s="252"/>
      <c r="WPM384" s="252"/>
      <c r="WPN384" s="252"/>
      <c r="WPO384" s="252"/>
      <c r="WPP384" s="252"/>
      <c r="WPQ384" s="252"/>
      <c r="WPR384" s="252"/>
      <c r="WPS384" s="252"/>
      <c r="WPT384" s="252"/>
      <c r="WPU384" s="252"/>
      <c r="WPV384" s="252"/>
      <c r="WPW384" s="252"/>
      <c r="WPX384" s="252"/>
      <c r="WPY384" s="252"/>
      <c r="WPZ384" s="252"/>
      <c r="WQA384" s="252"/>
      <c r="WQB384" s="252"/>
      <c r="WQC384" s="252"/>
      <c r="WQD384" s="252"/>
      <c r="WQE384" s="252"/>
      <c r="WQF384" s="252"/>
      <c r="WQG384" s="252"/>
      <c r="WQH384" s="252"/>
      <c r="WQI384" s="252"/>
      <c r="WQJ384" s="252"/>
      <c r="WQK384" s="252"/>
      <c r="WQL384" s="252"/>
      <c r="WQM384" s="252"/>
      <c r="WQN384" s="252"/>
      <c r="WQO384" s="252"/>
      <c r="WQP384" s="252"/>
      <c r="WQQ384" s="252"/>
      <c r="WQR384" s="252"/>
      <c r="WQS384" s="252"/>
      <c r="WQT384" s="252"/>
      <c r="WQU384" s="252"/>
      <c r="WQV384" s="252"/>
      <c r="WQW384" s="252"/>
      <c r="WQX384" s="252"/>
      <c r="WQY384" s="252"/>
      <c r="WQZ384" s="252"/>
      <c r="WRA384" s="252"/>
      <c r="WRB384" s="252"/>
      <c r="WRC384" s="252"/>
      <c r="WRD384" s="252"/>
      <c r="WRE384" s="252"/>
      <c r="WRF384" s="252"/>
      <c r="WRG384" s="252"/>
      <c r="WRH384" s="252"/>
      <c r="WRI384" s="252"/>
      <c r="WRJ384" s="252"/>
      <c r="WRK384" s="252"/>
      <c r="WRL384" s="252"/>
      <c r="WRM384" s="252"/>
      <c r="WRN384" s="252"/>
      <c r="WRO384" s="252"/>
      <c r="WRP384" s="252"/>
      <c r="WRQ384" s="252"/>
      <c r="WRR384" s="252"/>
      <c r="WRS384" s="252"/>
      <c r="WRT384" s="252"/>
      <c r="WRU384" s="252"/>
      <c r="WRV384" s="252"/>
      <c r="WRW384" s="252"/>
      <c r="WRX384" s="252"/>
      <c r="WRY384" s="252"/>
      <c r="WRZ384" s="252"/>
      <c r="WSA384" s="252"/>
      <c r="WSB384" s="252"/>
      <c r="WSC384" s="252"/>
      <c r="WSD384" s="252"/>
      <c r="WSE384" s="252"/>
      <c r="WSF384" s="252"/>
      <c r="WSG384" s="252"/>
      <c r="WSH384" s="252"/>
      <c r="WSI384" s="252"/>
      <c r="WSJ384" s="252"/>
      <c r="WSK384" s="252"/>
      <c r="WSL384" s="252"/>
      <c r="WSM384" s="252"/>
      <c r="WSN384" s="252"/>
      <c r="WSO384" s="252"/>
      <c r="WSP384" s="252"/>
      <c r="WSQ384" s="252"/>
      <c r="WSR384" s="252"/>
      <c r="WSS384" s="252"/>
      <c r="WST384" s="252"/>
      <c r="WSU384" s="252"/>
      <c r="WSV384" s="252"/>
      <c r="WSW384" s="252"/>
      <c r="WSX384" s="252"/>
      <c r="WSY384" s="252"/>
      <c r="WSZ384" s="252"/>
      <c r="WTA384" s="252"/>
      <c r="WTB384" s="252"/>
      <c r="WTC384" s="252"/>
      <c r="WTD384" s="252"/>
      <c r="WTE384" s="252"/>
      <c r="WTF384" s="252"/>
      <c r="WTG384" s="252"/>
      <c r="WTH384" s="252"/>
      <c r="WTI384" s="252"/>
      <c r="WTJ384" s="252"/>
      <c r="WTK384" s="252"/>
      <c r="WTL384" s="252"/>
      <c r="WTM384" s="252"/>
      <c r="WTN384" s="252"/>
      <c r="WTO384" s="252"/>
      <c r="WTP384" s="252"/>
      <c r="WTQ384" s="252"/>
      <c r="WTR384" s="252"/>
      <c r="WTS384" s="252"/>
      <c r="WTT384" s="252"/>
      <c r="WTU384" s="252"/>
      <c r="WTV384" s="252"/>
      <c r="WTW384" s="252"/>
      <c r="WTX384" s="252"/>
      <c r="WTY384" s="252"/>
      <c r="WTZ384" s="252"/>
      <c r="WUA384" s="252"/>
      <c r="WUB384" s="252"/>
      <c r="WUC384" s="252"/>
      <c r="WUD384" s="252"/>
      <c r="WUE384" s="252"/>
      <c r="WUF384" s="252"/>
      <c r="WUG384" s="252"/>
      <c r="WUH384" s="252"/>
      <c r="WUI384" s="252"/>
      <c r="WUJ384" s="252"/>
      <c r="WUK384" s="252"/>
      <c r="WUL384" s="252"/>
      <c r="WUM384" s="252"/>
      <c r="WUN384" s="252"/>
      <c r="WUO384" s="252"/>
      <c r="WUP384" s="252"/>
      <c r="WUQ384" s="252"/>
      <c r="WUR384" s="252"/>
      <c r="WUS384" s="252"/>
      <c r="WUT384" s="252"/>
      <c r="WUU384" s="252"/>
      <c r="WUV384" s="252"/>
      <c r="WUW384" s="252"/>
      <c r="WUX384" s="252"/>
      <c r="WUY384" s="252"/>
      <c r="WUZ384" s="252"/>
      <c r="WVA384" s="252"/>
      <c r="WVB384" s="252"/>
      <c r="WVC384" s="252"/>
      <c r="WVD384" s="252"/>
      <c r="WVE384" s="252"/>
      <c r="WVF384" s="252"/>
      <c r="WVG384" s="252"/>
      <c r="WVH384" s="252"/>
      <c r="WVI384" s="252"/>
      <c r="WVJ384" s="252"/>
      <c r="WVK384" s="252"/>
      <c r="WVL384" s="252"/>
      <c r="WVM384" s="252"/>
      <c r="WVN384" s="252"/>
      <c r="WVO384" s="252"/>
      <c r="WVP384" s="252"/>
      <c r="WVQ384" s="252"/>
      <c r="WVR384" s="252"/>
      <c r="WVS384" s="252"/>
      <c r="WVT384" s="252"/>
      <c r="WVU384" s="252"/>
      <c r="WVV384" s="252"/>
      <c r="WVW384" s="252"/>
      <c r="WVX384" s="252"/>
      <c r="WVY384" s="252"/>
      <c r="WVZ384" s="252"/>
      <c r="WWA384" s="252"/>
      <c r="WWB384" s="252"/>
      <c r="WWC384" s="252"/>
      <c r="WWD384" s="252"/>
      <c r="WWE384" s="252"/>
      <c r="WWF384" s="252"/>
      <c r="WWG384" s="252"/>
      <c r="WWH384" s="252"/>
      <c r="WWI384" s="252"/>
      <c r="WWJ384" s="252"/>
      <c r="WWK384" s="252"/>
      <c r="WWL384" s="252"/>
      <c r="WWM384" s="252"/>
      <c r="WWN384" s="252"/>
      <c r="WWO384" s="252"/>
      <c r="WWP384" s="252"/>
      <c r="WWQ384" s="252"/>
      <c r="WWR384" s="252"/>
      <c r="WWS384" s="252"/>
      <c r="WWT384" s="252"/>
      <c r="WWU384" s="252"/>
      <c r="WWV384" s="252"/>
      <c r="WWW384" s="252"/>
      <c r="WWX384" s="252"/>
      <c r="WWY384" s="252"/>
      <c r="WWZ384" s="252"/>
      <c r="WXA384" s="252"/>
      <c r="WXB384" s="252"/>
      <c r="WXC384" s="252"/>
      <c r="WXD384" s="252"/>
      <c r="WXE384" s="252"/>
      <c r="WXF384" s="252"/>
      <c r="WXG384" s="252"/>
      <c r="WXH384" s="252"/>
      <c r="WXI384" s="252"/>
      <c r="WXJ384" s="252"/>
      <c r="WXK384" s="252"/>
      <c r="WXL384" s="252"/>
      <c r="WXM384" s="252"/>
      <c r="WXN384" s="252"/>
      <c r="WXO384" s="252"/>
      <c r="WXP384" s="252"/>
      <c r="WXQ384" s="252"/>
      <c r="WXR384" s="252"/>
      <c r="WXS384" s="252"/>
      <c r="WXT384" s="252"/>
      <c r="WXU384" s="252"/>
      <c r="WXV384" s="252"/>
      <c r="WXW384" s="252"/>
      <c r="WXX384" s="252"/>
      <c r="WXY384" s="252"/>
      <c r="WXZ384" s="252"/>
      <c r="WYA384" s="252"/>
      <c r="WYB384" s="252"/>
      <c r="WYC384" s="252"/>
      <c r="WYD384" s="252"/>
      <c r="WYE384" s="252"/>
      <c r="WYF384" s="252"/>
      <c r="WYG384" s="252"/>
      <c r="WYH384" s="252"/>
      <c r="WYI384" s="252"/>
      <c r="WYJ384" s="252"/>
      <c r="WYK384" s="252"/>
      <c r="WYL384" s="252"/>
      <c r="WYM384" s="252"/>
      <c r="WYN384" s="252"/>
      <c r="WYO384" s="252"/>
      <c r="WYP384" s="252"/>
      <c r="WYQ384" s="252"/>
      <c r="WYR384" s="252"/>
      <c r="WYS384" s="252"/>
      <c r="WYT384" s="252"/>
      <c r="WYU384" s="252"/>
      <c r="WYV384" s="252"/>
      <c r="WYW384" s="252"/>
      <c r="WYX384" s="252"/>
      <c r="WYY384" s="252"/>
      <c r="WYZ384" s="252"/>
      <c r="WZA384" s="252"/>
      <c r="WZB384" s="252"/>
      <c r="WZC384" s="252"/>
      <c r="WZD384" s="252"/>
      <c r="WZE384" s="252"/>
      <c r="WZF384" s="252"/>
      <c r="WZG384" s="252"/>
      <c r="WZH384" s="252"/>
      <c r="WZI384" s="252"/>
      <c r="WZJ384" s="252"/>
      <c r="WZK384" s="252"/>
      <c r="WZL384" s="252"/>
      <c r="WZM384" s="252"/>
      <c r="WZN384" s="252"/>
      <c r="WZO384" s="252"/>
      <c r="WZP384" s="252"/>
      <c r="WZQ384" s="252"/>
      <c r="WZR384" s="252"/>
      <c r="WZS384" s="252"/>
      <c r="WZT384" s="252"/>
      <c r="WZU384" s="252"/>
      <c r="WZV384" s="252"/>
      <c r="WZW384" s="252"/>
      <c r="WZX384" s="252"/>
      <c r="WZY384" s="252"/>
      <c r="WZZ384" s="252"/>
      <c r="XAA384" s="252"/>
      <c r="XAB384" s="252"/>
      <c r="XAC384" s="252"/>
      <c r="XAD384" s="252"/>
      <c r="XAE384" s="252"/>
      <c r="XAF384" s="252"/>
      <c r="XAG384" s="252"/>
      <c r="XAH384" s="252"/>
      <c r="XAI384" s="252"/>
      <c r="XAJ384" s="252"/>
      <c r="XAK384" s="252"/>
      <c r="XAL384" s="252"/>
      <c r="XAM384" s="252"/>
      <c r="XAN384" s="252"/>
      <c r="XAO384" s="252"/>
      <c r="XAP384" s="252"/>
      <c r="XAQ384" s="252"/>
      <c r="XAR384" s="252"/>
      <c r="XAS384" s="252"/>
      <c r="XAT384" s="252"/>
      <c r="XAU384" s="252"/>
      <c r="XAV384" s="252"/>
      <c r="XAW384" s="252"/>
      <c r="XAX384" s="252"/>
      <c r="XAY384" s="252"/>
      <c r="XAZ384" s="252"/>
      <c r="XBA384" s="252"/>
      <c r="XBB384" s="252"/>
      <c r="XBC384" s="252"/>
      <c r="XBD384" s="252"/>
      <c r="XBE384" s="252"/>
      <c r="XBF384" s="252"/>
      <c r="XBG384" s="252"/>
      <c r="XBH384" s="252"/>
      <c r="XBI384" s="252"/>
      <c r="XBJ384" s="252"/>
      <c r="XBK384" s="252"/>
      <c r="XBL384" s="252"/>
      <c r="XBM384" s="252"/>
      <c r="XBN384" s="252"/>
      <c r="XBO384" s="252"/>
      <c r="XBP384" s="252"/>
      <c r="XBQ384" s="252"/>
      <c r="XBR384" s="252"/>
      <c r="XBS384" s="252"/>
      <c r="XBT384" s="252"/>
      <c r="XBU384" s="252"/>
      <c r="XBV384" s="252"/>
      <c r="XBW384" s="252"/>
      <c r="XBX384" s="252"/>
      <c r="XBY384" s="252"/>
      <c r="XBZ384" s="252"/>
      <c r="XCA384" s="252"/>
      <c r="XCB384" s="252"/>
      <c r="XCC384" s="252"/>
      <c r="XCD384" s="252"/>
      <c r="XCE384" s="252"/>
      <c r="XCF384" s="252"/>
      <c r="XCG384" s="252"/>
      <c r="XCH384" s="252"/>
      <c r="XCI384" s="252"/>
      <c r="XCJ384" s="252"/>
      <c r="XCK384" s="252"/>
      <c r="XCL384" s="252"/>
      <c r="XCM384" s="252"/>
      <c r="XCN384" s="252"/>
      <c r="XCO384" s="252"/>
      <c r="XCP384" s="252"/>
      <c r="XCQ384" s="252"/>
      <c r="XCR384" s="252"/>
      <c r="XCS384" s="252"/>
      <c r="XCT384" s="252"/>
      <c r="XCU384" s="252"/>
      <c r="XCV384" s="252"/>
      <c r="XCW384" s="252"/>
      <c r="XCX384" s="252"/>
      <c r="XCY384" s="252"/>
      <c r="XCZ384" s="252"/>
      <c r="XDA384" s="252"/>
      <c r="XDB384" s="252"/>
      <c r="XDC384" s="252"/>
      <c r="XDD384" s="252"/>
      <c r="XDE384" s="252"/>
      <c r="XDF384" s="252"/>
      <c r="XDG384" s="252"/>
      <c r="XDH384" s="252"/>
      <c r="XDI384" s="252"/>
      <c r="XDJ384" s="252"/>
      <c r="XDK384" s="252"/>
      <c r="XDL384" s="252"/>
      <c r="XDM384" s="252"/>
      <c r="XDN384" s="252"/>
      <c r="XDO384" s="252"/>
      <c r="XDP384" s="252"/>
      <c r="XDQ384" s="252"/>
      <c r="XDR384" s="252"/>
      <c r="XDS384" s="252"/>
      <c r="XDT384" s="252"/>
      <c r="XDU384" s="252"/>
      <c r="XDV384" s="252"/>
      <c r="XDW384" s="252"/>
      <c r="XDX384" s="252"/>
      <c r="XDY384" s="252"/>
      <c r="XDZ384" s="252"/>
      <c r="XEA384" s="252"/>
      <c r="XEB384" s="252"/>
      <c r="XEC384" s="252"/>
      <c r="XED384" s="252"/>
      <c r="XEE384" s="252"/>
      <c r="XEF384" s="252"/>
      <c r="XEG384" s="252"/>
      <c r="XEH384" s="252"/>
      <c r="XEI384" s="252"/>
      <c r="XEJ384" s="252"/>
      <c r="XEK384" s="252"/>
      <c r="XEL384" s="252"/>
      <c r="XEM384" s="252"/>
      <c r="XEN384" s="252"/>
      <c r="XEO384" s="252"/>
      <c r="XEP384" s="252"/>
      <c r="XEQ384" s="252"/>
      <c r="XER384" s="252"/>
      <c r="XES384" s="252"/>
      <c r="XET384" s="252"/>
      <c r="XEU384" s="252"/>
    </row>
    <row r="385" spans="2:16375" ht="26.4" hidden="1">
      <c r="B385" s="941" t="s">
        <v>2441</v>
      </c>
      <c r="C385" s="502" t="s">
        <v>134</v>
      </c>
      <c r="D385" s="502" t="s">
        <v>134</v>
      </c>
      <c r="E385" s="312"/>
      <c r="F385" s="584" t="s">
        <v>1032</v>
      </c>
      <c r="G385" s="504" t="s">
        <v>1634</v>
      </c>
      <c r="H385" s="1001">
        <v>1</v>
      </c>
      <c r="I385" s="1001" t="s">
        <v>200</v>
      </c>
      <c r="J385" s="1002" t="s">
        <v>1653</v>
      </c>
      <c r="K385" s="312"/>
      <c r="L385" s="1003" t="s">
        <v>134</v>
      </c>
      <c r="M385" s="1004"/>
      <c r="N385" s="961"/>
      <c r="O385" s="1005"/>
      <c r="P385" s="961"/>
      <c r="Q385" s="1006" t="s">
        <v>134</v>
      </c>
      <c r="R385" s="1004" t="s">
        <v>134</v>
      </c>
      <c r="S385" s="1003"/>
      <c r="T385" s="1007"/>
      <c r="U385" s="1008"/>
      <c r="V385" s="1009"/>
      <c r="X385" s="1010"/>
      <c r="Y385" s="1011"/>
      <c r="Z385" s="1012"/>
      <c r="AA385" s="1010"/>
      <c r="AB385" s="1011"/>
      <c r="AC385" s="1012"/>
      <c r="AE385" s="1000" t="str">
        <f t="shared" si="61"/>
        <v>0x00 ~ 0xFA (0~25Hz)
0xFF: Not equipped</v>
      </c>
      <c r="AF385" s="312"/>
      <c r="AG385" s="1015">
        <v>0</v>
      </c>
      <c r="AH385" s="1016">
        <v>0.1</v>
      </c>
      <c r="AI385" s="1024" t="s">
        <v>750</v>
      </c>
      <c r="AJ385" s="1017" t="s">
        <v>753</v>
      </c>
      <c r="AK385" s="1027">
        <f t="shared" si="64"/>
        <v>0</v>
      </c>
      <c r="AL385" s="1018">
        <f t="shared" si="65"/>
        <v>25</v>
      </c>
      <c r="AM385" s="1019" t="s">
        <v>755</v>
      </c>
      <c r="AN385" s="1014" t="s">
        <v>754</v>
      </c>
      <c r="AP385" s="1030" t="s">
        <v>855</v>
      </c>
      <c r="AQ385" s="1030" t="s">
        <v>375</v>
      </c>
      <c r="AS385" s="1031" t="s">
        <v>1222</v>
      </c>
      <c r="AT385" s="1031" t="s">
        <v>1222</v>
      </c>
      <c r="AU385" s="1031" t="s">
        <v>1222</v>
      </c>
      <c r="AV385" s="1031" t="s">
        <v>1222</v>
      </c>
      <c r="AW385" s="252"/>
      <c r="AX385" s="252"/>
      <c r="AY385" s="252"/>
      <c r="AZ385" s="252"/>
      <c r="BA385" s="252"/>
      <c r="BB385" s="252"/>
      <c r="BC385" s="252"/>
      <c r="BD385" s="252"/>
      <c r="BE385" s="252"/>
      <c r="BF385" s="252"/>
      <c r="BG385" s="252"/>
      <c r="BH385" s="252"/>
      <c r="BI385" s="252"/>
      <c r="BJ385" s="252"/>
      <c r="BK385" s="252"/>
      <c r="BL385" s="252"/>
      <c r="BM385" s="252"/>
      <c r="BN385" s="252"/>
      <c r="BO385" s="252"/>
      <c r="BP385" s="252"/>
      <c r="BQ385" s="252"/>
      <c r="BR385" s="252"/>
      <c r="BS385" s="252"/>
      <c r="BT385" s="252"/>
      <c r="BU385" s="252"/>
      <c r="BV385" s="252"/>
      <c r="BW385" s="252"/>
      <c r="BX385" s="252"/>
      <c r="BY385" s="252"/>
      <c r="BZ385" s="252"/>
      <c r="CA385" s="252"/>
      <c r="CB385" s="252"/>
      <c r="CC385" s="252"/>
      <c r="CD385" s="252"/>
      <c r="CE385" s="252"/>
      <c r="CF385" s="252"/>
      <c r="CG385" s="252"/>
      <c r="CH385" s="252"/>
      <c r="CI385" s="252"/>
      <c r="CJ385" s="252"/>
      <c r="CK385" s="252"/>
      <c r="CL385" s="252"/>
      <c r="CM385" s="252"/>
      <c r="CN385" s="252"/>
      <c r="CO385" s="252"/>
      <c r="CP385" s="252"/>
      <c r="CQ385" s="252"/>
      <c r="CR385" s="252"/>
      <c r="CS385" s="252"/>
      <c r="CT385" s="252"/>
      <c r="CU385" s="252"/>
      <c r="CV385" s="252"/>
      <c r="CW385" s="252"/>
      <c r="CX385" s="252"/>
      <c r="CY385" s="252"/>
      <c r="CZ385" s="252"/>
      <c r="DA385" s="252"/>
      <c r="DB385" s="252"/>
      <c r="DC385" s="252"/>
      <c r="DD385" s="252"/>
      <c r="DE385" s="252"/>
      <c r="DF385" s="252"/>
      <c r="DG385" s="252"/>
      <c r="DH385" s="252"/>
      <c r="DI385" s="252"/>
      <c r="DJ385" s="252"/>
      <c r="DK385" s="252"/>
      <c r="DL385" s="252"/>
      <c r="DM385" s="252"/>
      <c r="DN385" s="252"/>
      <c r="DO385" s="252"/>
      <c r="DP385" s="252"/>
      <c r="DQ385" s="252"/>
      <c r="DR385" s="252"/>
      <c r="DS385" s="252"/>
      <c r="DT385" s="252"/>
      <c r="DU385" s="252"/>
      <c r="DV385" s="252"/>
      <c r="DW385" s="252"/>
      <c r="DX385" s="252"/>
      <c r="DY385" s="252"/>
      <c r="DZ385" s="252"/>
      <c r="EA385" s="252"/>
      <c r="EB385" s="252"/>
      <c r="EC385" s="252"/>
      <c r="ED385" s="252"/>
      <c r="EE385" s="252"/>
      <c r="EF385" s="252"/>
      <c r="EG385" s="252"/>
      <c r="EH385" s="252"/>
      <c r="EI385" s="252"/>
      <c r="EJ385" s="252"/>
      <c r="EK385" s="252"/>
      <c r="EL385" s="252"/>
      <c r="EM385" s="252"/>
      <c r="EN385" s="252"/>
      <c r="EO385" s="252"/>
      <c r="EP385" s="252"/>
      <c r="EQ385" s="252"/>
      <c r="ER385" s="252"/>
      <c r="ES385" s="252"/>
      <c r="ET385" s="252"/>
      <c r="EU385" s="252"/>
      <c r="EV385" s="252"/>
      <c r="EW385" s="252"/>
      <c r="EX385" s="252"/>
      <c r="EY385" s="252"/>
      <c r="EZ385" s="252"/>
      <c r="FA385" s="252"/>
      <c r="FB385" s="252"/>
      <c r="FC385" s="252"/>
      <c r="FD385" s="252"/>
      <c r="FE385" s="252"/>
      <c r="FF385" s="252"/>
      <c r="FG385" s="252"/>
      <c r="FH385" s="252"/>
      <c r="FI385" s="252"/>
      <c r="FJ385" s="252"/>
      <c r="FK385" s="252"/>
      <c r="FL385" s="252"/>
      <c r="FM385" s="252"/>
      <c r="FN385" s="252"/>
      <c r="FO385" s="252"/>
      <c r="FP385" s="252"/>
      <c r="FQ385" s="252"/>
      <c r="FR385" s="252"/>
      <c r="FS385" s="252"/>
      <c r="FT385" s="252"/>
      <c r="FU385" s="252"/>
      <c r="FV385" s="252"/>
      <c r="FW385" s="252"/>
      <c r="FX385" s="252"/>
      <c r="FY385" s="252"/>
      <c r="FZ385" s="252"/>
      <c r="GA385" s="252"/>
      <c r="GB385" s="252"/>
      <c r="GC385" s="252"/>
      <c r="GD385" s="252"/>
      <c r="GE385" s="252"/>
      <c r="GF385" s="252"/>
      <c r="GG385" s="252"/>
      <c r="GH385" s="252"/>
      <c r="GI385" s="252"/>
      <c r="GJ385" s="252"/>
      <c r="GK385" s="252"/>
      <c r="GL385" s="252"/>
      <c r="GM385" s="252"/>
      <c r="GN385" s="252"/>
      <c r="GO385" s="252"/>
      <c r="GP385" s="252"/>
      <c r="GQ385" s="252"/>
      <c r="GR385" s="252"/>
      <c r="GS385" s="252"/>
      <c r="GT385" s="252"/>
      <c r="GU385" s="252"/>
      <c r="GV385" s="252"/>
      <c r="GW385" s="252"/>
      <c r="GX385" s="252"/>
      <c r="GY385" s="252"/>
      <c r="GZ385" s="252"/>
      <c r="HA385" s="252"/>
      <c r="HB385" s="252"/>
      <c r="HC385" s="252"/>
      <c r="HD385" s="252"/>
      <c r="HE385" s="252"/>
      <c r="HF385" s="252"/>
      <c r="HG385" s="252"/>
      <c r="HH385" s="252"/>
      <c r="HI385" s="252"/>
      <c r="HJ385" s="252"/>
      <c r="HK385" s="252"/>
      <c r="HL385" s="252"/>
      <c r="HM385" s="252"/>
      <c r="HN385" s="252"/>
      <c r="HO385" s="252"/>
      <c r="HP385" s="252"/>
      <c r="HQ385" s="252"/>
      <c r="HR385" s="252"/>
      <c r="HS385" s="252"/>
      <c r="HT385" s="252"/>
      <c r="HU385" s="252"/>
      <c r="HV385" s="252"/>
      <c r="HW385" s="252"/>
      <c r="HX385" s="252"/>
      <c r="HY385" s="252"/>
      <c r="HZ385" s="252"/>
      <c r="IA385" s="252"/>
      <c r="IB385" s="252"/>
      <c r="IC385" s="252"/>
      <c r="ID385" s="252"/>
      <c r="IE385" s="252"/>
      <c r="IF385" s="252"/>
      <c r="IG385" s="252"/>
      <c r="IH385" s="252"/>
      <c r="II385" s="252"/>
      <c r="IJ385" s="252"/>
      <c r="IK385" s="252"/>
      <c r="IL385" s="252"/>
      <c r="IM385" s="252"/>
      <c r="IN385" s="252"/>
      <c r="IO385" s="252"/>
      <c r="IP385" s="252"/>
      <c r="IQ385" s="252"/>
      <c r="IR385" s="252"/>
      <c r="IS385" s="252"/>
      <c r="IT385" s="252"/>
      <c r="IU385" s="252"/>
      <c r="IV385" s="252"/>
      <c r="IW385" s="252"/>
      <c r="IX385" s="252"/>
      <c r="IY385" s="252"/>
      <c r="IZ385" s="252"/>
      <c r="JA385" s="252"/>
      <c r="JB385" s="252"/>
      <c r="JC385" s="252"/>
      <c r="JD385" s="252"/>
      <c r="JE385" s="252"/>
      <c r="JF385" s="252"/>
      <c r="JG385" s="252"/>
      <c r="JH385" s="252"/>
      <c r="JI385" s="252"/>
      <c r="JJ385" s="252"/>
      <c r="JK385" s="252"/>
      <c r="JL385" s="252"/>
      <c r="JM385" s="252"/>
      <c r="JN385" s="252"/>
      <c r="JO385" s="252"/>
      <c r="JP385" s="252"/>
      <c r="JQ385" s="252"/>
      <c r="JR385" s="252"/>
      <c r="JS385" s="252"/>
      <c r="JT385" s="252"/>
      <c r="JU385" s="252"/>
      <c r="JV385" s="252"/>
      <c r="JW385" s="252"/>
      <c r="JX385" s="252"/>
      <c r="JY385" s="252"/>
      <c r="JZ385" s="252"/>
      <c r="KA385" s="252"/>
      <c r="KB385" s="252"/>
      <c r="KC385" s="252"/>
      <c r="KD385" s="252"/>
      <c r="KE385" s="252"/>
      <c r="KF385" s="252"/>
      <c r="KG385" s="252"/>
      <c r="KH385" s="252"/>
      <c r="KI385" s="252"/>
      <c r="KJ385" s="252"/>
      <c r="KK385" s="252"/>
      <c r="KL385" s="252"/>
      <c r="KM385" s="252"/>
      <c r="KN385" s="252"/>
      <c r="KO385" s="252"/>
      <c r="KP385" s="252"/>
      <c r="KQ385" s="252"/>
      <c r="KR385" s="252"/>
      <c r="KS385" s="252"/>
      <c r="KT385" s="252"/>
      <c r="KU385" s="252"/>
      <c r="KV385" s="252"/>
      <c r="KW385" s="252"/>
      <c r="KX385" s="252"/>
      <c r="KY385" s="252"/>
      <c r="KZ385" s="252"/>
      <c r="LA385" s="252"/>
      <c r="LB385" s="252"/>
      <c r="LC385" s="252"/>
      <c r="LD385" s="252"/>
      <c r="LE385" s="252"/>
      <c r="LF385" s="252"/>
      <c r="LG385" s="252"/>
      <c r="LH385" s="252"/>
      <c r="LI385" s="252"/>
      <c r="LJ385" s="252"/>
      <c r="LK385" s="252"/>
      <c r="LL385" s="252"/>
      <c r="LM385" s="252"/>
      <c r="LN385" s="252"/>
      <c r="LO385" s="252"/>
      <c r="LP385" s="252"/>
      <c r="LQ385" s="252"/>
      <c r="LR385" s="252"/>
      <c r="LS385" s="252"/>
      <c r="LT385" s="252"/>
      <c r="LU385" s="252"/>
      <c r="LV385" s="252"/>
      <c r="LW385" s="252"/>
      <c r="LX385" s="252"/>
      <c r="LY385" s="252"/>
      <c r="LZ385" s="252"/>
      <c r="MA385" s="252"/>
      <c r="MB385" s="252"/>
      <c r="MC385" s="252"/>
      <c r="MD385" s="252"/>
      <c r="ME385" s="252"/>
      <c r="MF385" s="252"/>
      <c r="MG385" s="252"/>
      <c r="MH385" s="252"/>
      <c r="MI385" s="252"/>
      <c r="MJ385" s="252"/>
      <c r="MK385" s="252"/>
      <c r="ML385" s="252"/>
      <c r="MM385" s="252"/>
      <c r="MN385" s="252"/>
      <c r="MO385" s="252"/>
      <c r="MP385" s="252"/>
      <c r="MQ385" s="252"/>
      <c r="MR385" s="252"/>
      <c r="MS385" s="252"/>
      <c r="MT385" s="252"/>
      <c r="MU385" s="252"/>
      <c r="MV385" s="252"/>
      <c r="MW385" s="252"/>
      <c r="MX385" s="252"/>
      <c r="MY385" s="252"/>
      <c r="MZ385" s="252"/>
      <c r="NA385" s="252"/>
      <c r="NB385" s="252"/>
      <c r="NC385" s="252"/>
      <c r="ND385" s="252"/>
      <c r="NE385" s="252"/>
      <c r="NF385" s="252"/>
      <c r="NG385" s="252"/>
      <c r="NH385" s="252"/>
      <c r="NI385" s="252"/>
      <c r="NJ385" s="252"/>
      <c r="NK385" s="252"/>
      <c r="NL385" s="252"/>
      <c r="NM385" s="252"/>
      <c r="NN385" s="252"/>
      <c r="NO385" s="252"/>
      <c r="NP385" s="252"/>
      <c r="NQ385" s="252"/>
      <c r="NR385" s="252"/>
      <c r="NS385" s="252"/>
      <c r="NT385" s="252"/>
      <c r="NU385" s="252"/>
      <c r="NV385" s="252"/>
      <c r="NW385" s="252"/>
      <c r="NX385" s="252"/>
      <c r="NY385" s="252"/>
      <c r="NZ385" s="252"/>
      <c r="OA385" s="252"/>
      <c r="OB385" s="252"/>
      <c r="OC385" s="252"/>
      <c r="OD385" s="252"/>
      <c r="OE385" s="252"/>
      <c r="OF385" s="252"/>
      <c r="OG385" s="252"/>
      <c r="OH385" s="252"/>
      <c r="OI385" s="252"/>
      <c r="OJ385" s="252"/>
      <c r="OK385" s="252"/>
      <c r="OL385" s="252"/>
      <c r="OM385" s="252"/>
      <c r="ON385" s="252"/>
      <c r="OO385" s="252"/>
      <c r="OP385" s="252"/>
      <c r="OQ385" s="252"/>
      <c r="OR385" s="252"/>
      <c r="OS385" s="252"/>
      <c r="OT385" s="252"/>
      <c r="OU385" s="252"/>
      <c r="OV385" s="252"/>
      <c r="OW385" s="252"/>
      <c r="OX385" s="252"/>
      <c r="OY385" s="252"/>
      <c r="OZ385" s="252"/>
      <c r="PA385" s="252"/>
      <c r="PB385" s="252"/>
      <c r="PC385" s="252"/>
      <c r="PD385" s="252"/>
      <c r="PE385" s="252"/>
      <c r="PF385" s="252"/>
      <c r="PG385" s="252"/>
      <c r="PH385" s="252"/>
      <c r="PI385" s="252"/>
      <c r="PJ385" s="252"/>
      <c r="PK385" s="252"/>
      <c r="PL385" s="252"/>
      <c r="PM385" s="252"/>
      <c r="PN385" s="252"/>
      <c r="PO385" s="252"/>
      <c r="PP385" s="252"/>
      <c r="PQ385" s="252"/>
      <c r="PR385" s="252"/>
      <c r="PS385" s="252"/>
      <c r="PT385" s="252"/>
      <c r="PU385" s="252"/>
      <c r="PV385" s="252"/>
      <c r="PW385" s="252"/>
      <c r="PX385" s="252"/>
      <c r="PY385" s="252"/>
      <c r="PZ385" s="252"/>
      <c r="QA385" s="252"/>
      <c r="QB385" s="252"/>
      <c r="QC385" s="252"/>
      <c r="QD385" s="252"/>
      <c r="QE385" s="252"/>
      <c r="QF385" s="252"/>
      <c r="QG385" s="252"/>
      <c r="QH385" s="252"/>
      <c r="QI385" s="252"/>
      <c r="QJ385" s="252"/>
      <c r="QK385" s="252"/>
      <c r="QL385" s="252"/>
      <c r="QM385" s="252"/>
      <c r="QN385" s="252"/>
      <c r="QO385" s="252"/>
      <c r="QP385" s="252"/>
      <c r="QQ385" s="252"/>
      <c r="QR385" s="252"/>
      <c r="QS385" s="252"/>
      <c r="QT385" s="252"/>
      <c r="QU385" s="252"/>
      <c r="QV385" s="252"/>
      <c r="QW385" s="252"/>
      <c r="QX385" s="252"/>
      <c r="QY385" s="252"/>
      <c r="QZ385" s="252"/>
      <c r="RA385" s="252"/>
      <c r="RB385" s="252"/>
      <c r="RC385" s="252"/>
      <c r="RD385" s="252"/>
      <c r="RE385" s="252"/>
      <c r="RF385" s="252"/>
      <c r="RG385" s="252"/>
      <c r="RH385" s="252"/>
      <c r="RI385" s="252"/>
      <c r="RJ385" s="252"/>
      <c r="RK385" s="252"/>
      <c r="RL385" s="252"/>
      <c r="RM385" s="252"/>
      <c r="RN385" s="252"/>
      <c r="RO385" s="252"/>
      <c r="RP385" s="252"/>
      <c r="RQ385" s="252"/>
      <c r="RR385" s="252"/>
      <c r="RS385" s="252"/>
      <c r="RT385" s="252"/>
      <c r="RU385" s="252"/>
      <c r="RV385" s="252"/>
      <c r="RW385" s="252"/>
      <c r="RX385" s="252"/>
      <c r="RY385" s="252"/>
      <c r="RZ385" s="252"/>
      <c r="SA385" s="252"/>
      <c r="SB385" s="252"/>
      <c r="SC385" s="252"/>
      <c r="SD385" s="252"/>
      <c r="SE385" s="252"/>
      <c r="SF385" s="252"/>
      <c r="SG385" s="252"/>
      <c r="SH385" s="252"/>
      <c r="SI385" s="252"/>
      <c r="SJ385" s="252"/>
      <c r="SK385" s="252"/>
      <c r="SL385" s="252"/>
      <c r="SM385" s="252"/>
      <c r="SN385" s="252"/>
      <c r="SO385" s="252"/>
      <c r="SP385" s="252"/>
      <c r="SQ385" s="252"/>
      <c r="SR385" s="252"/>
      <c r="SS385" s="252"/>
      <c r="ST385" s="252"/>
      <c r="SU385" s="252"/>
      <c r="SV385" s="252"/>
      <c r="SW385" s="252"/>
      <c r="SX385" s="252"/>
      <c r="SY385" s="252"/>
      <c r="SZ385" s="252"/>
      <c r="TA385" s="252"/>
      <c r="TB385" s="252"/>
      <c r="TC385" s="252"/>
      <c r="TD385" s="252"/>
      <c r="TE385" s="252"/>
      <c r="TF385" s="252"/>
      <c r="TG385" s="252"/>
      <c r="TH385" s="252"/>
      <c r="TI385" s="252"/>
      <c r="TJ385" s="252"/>
      <c r="TK385" s="252"/>
      <c r="TL385" s="252"/>
      <c r="TM385" s="252"/>
      <c r="TN385" s="252"/>
      <c r="TO385" s="252"/>
      <c r="TP385" s="252"/>
      <c r="TQ385" s="252"/>
      <c r="TR385" s="252"/>
      <c r="TS385" s="252"/>
      <c r="TT385" s="252"/>
      <c r="TU385" s="252"/>
      <c r="TV385" s="252"/>
      <c r="TW385" s="252"/>
      <c r="TX385" s="252"/>
      <c r="TY385" s="252"/>
      <c r="TZ385" s="252"/>
      <c r="UA385" s="252"/>
      <c r="UB385" s="252"/>
      <c r="UC385" s="252"/>
      <c r="UD385" s="252"/>
      <c r="UE385" s="252"/>
      <c r="UF385" s="252"/>
      <c r="UG385" s="252"/>
      <c r="UH385" s="252"/>
      <c r="UI385" s="252"/>
      <c r="UJ385" s="252"/>
      <c r="UK385" s="252"/>
      <c r="UL385" s="252"/>
      <c r="UM385" s="252"/>
      <c r="UN385" s="252"/>
      <c r="UO385" s="252"/>
      <c r="UP385" s="252"/>
      <c r="UQ385" s="252"/>
      <c r="UR385" s="252"/>
      <c r="US385" s="252"/>
      <c r="UT385" s="252"/>
      <c r="UU385" s="252"/>
      <c r="UV385" s="252"/>
      <c r="UW385" s="252"/>
      <c r="UX385" s="252"/>
      <c r="UY385" s="252"/>
      <c r="UZ385" s="252"/>
      <c r="VA385" s="252"/>
      <c r="VB385" s="252"/>
      <c r="VC385" s="252"/>
      <c r="VD385" s="252"/>
      <c r="VE385" s="252"/>
      <c r="VF385" s="252"/>
      <c r="VG385" s="252"/>
      <c r="VH385" s="252"/>
      <c r="VI385" s="252"/>
      <c r="VJ385" s="252"/>
      <c r="VK385" s="252"/>
      <c r="VL385" s="252"/>
      <c r="VM385" s="252"/>
      <c r="VN385" s="252"/>
      <c r="VO385" s="252"/>
      <c r="VP385" s="252"/>
      <c r="VQ385" s="252"/>
      <c r="VR385" s="252"/>
      <c r="VS385" s="252"/>
      <c r="VT385" s="252"/>
      <c r="VU385" s="252"/>
      <c r="VV385" s="252"/>
      <c r="VW385" s="252"/>
      <c r="VX385" s="252"/>
      <c r="VY385" s="252"/>
      <c r="VZ385" s="252"/>
      <c r="WA385" s="252"/>
      <c r="WB385" s="252"/>
      <c r="WC385" s="252"/>
      <c r="WD385" s="252"/>
      <c r="WE385" s="252"/>
      <c r="WF385" s="252"/>
      <c r="WG385" s="252"/>
      <c r="WH385" s="252"/>
      <c r="WI385" s="252"/>
      <c r="WJ385" s="252"/>
      <c r="WK385" s="252"/>
      <c r="WL385" s="252"/>
      <c r="WM385" s="252"/>
      <c r="WN385" s="252"/>
      <c r="WO385" s="252"/>
      <c r="WP385" s="252"/>
      <c r="WQ385" s="252"/>
      <c r="WR385" s="252"/>
      <c r="WS385" s="252"/>
      <c r="WT385" s="252"/>
      <c r="WU385" s="252"/>
      <c r="WV385" s="252"/>
      <c r="WW385" s="252"/>
      <c r="WX385" s="252"/>
      <c r="WY385" s="252"/>
      <c r="WZ385" s="252"/>
      <c r="XA385" s="252"/>
      <c r="XB385" s="252"/>
      <c r="XC385" s="252"/>
      <c r="XD385" s="252"/>
      <c r="XE385" s="252"/>
      <c r="XF385" s="252"/>
      <c r="XG385" s="252"/>
      <c r="XH385" s="252"/>
      <c r="XI385" s="252"/>
      <c r="XJ385" s="252"/>
      <c r="XK385" s="252"/>
      <c r="XL385" s="252"/>
      <c r="XM385" s="252"/>
      <c r="XN385" s="252"/>
      <c r="XO385" s="252"/>
      <c r="XP385" s="252"/>
      <c r="XQ385" s="252"/>
      <c r="XR385" s="252"/>
      <c r="XS385" s="252"/>
      <c r="XT385" s="252"/>
      <c r="XU385" s="252"/>
      <c r="XV385" s="252"/>
      <c r="XW385" s="252"/>
      <c r="XX385" s="252"/>
      <c r="XY385" s="252"/>
      <c r="XZ385" s="252"/>
      <c r="YA385" s="252"/>
      <c r="YB385" s="252"/>
      <c r="YC385" s="252"/>
      <c r="YD385" s="252"/>
      <c r="YE385" s="252"/>
      <c r="YF385" s="252"/>
      <c r="YG385" s="252"/>
      <c r="YH385" s="252"/>
      <c r="YI385" s="252"/>
      <c r="YJ385" s="252"/>
      <c r="YK385" s="252"/>
      <c r="YL385" s="252"/>
      <c r="YM385" s="252"/>
      <c r="YN385" s="252"/>
      <c r="YO385" s="252"/>
      <c r="YP385" s="252"/>
      <c r="YQ385" s="252"/>
      <c r="YR385" s="252"/>
      <c r="YS385" s="252"/>
      <c r="YT385" s="252"/>
      <c r="YU385" s="252"/>
      <c r="YV385" s="252"/>
      <c r="YW385" s="252"/>
      <c r="YX385" s="252"/>
      <c r="YY385" s="252"/>
      <c r="YZ385" s="252"/>
      <c r="ZA385" s="252"/>
      <c r="ZB385" s="252"/>
      <c r="ZC385" s="252"/>
      <c r="ZD385" s="252"/>
      <c r="ZE385" s="252"/>
      <c r="ZF385" s="252"/>
      <c r="ZG385" s="252"/>
      <c r="ZH385" s="252"/>
      <c r="ZI385" s="252"/>
      <c r="ZJ385" s="252"/>
      <c r="ZK385" s="252"/>
      <c r="ZL385" s="252"/>
      <c r="ZM385" s="252"/>
      <c r="ZN385" s="252"/>
      <c r="ZO385" s="252"/>
      <c r="ZP385" s="252"/>
      <c r="ZQ385" s="252"/>
      <c r="ZR385" s="252"/>
      <c r="ZS385" s="252"/>
      <c r="ZT385" s="252"/>
      <c r="ZU385" s="252"/>
      <c r="ZV385" s="252"/>
      <c r="ZW385" s="252"/>
      <c r="ZX385" s="252"/>
      <c r="ZY385" s="252"/>
      <c r="ZZ385" s="252"/>
      <c r="AAA385" s="252"/>
      <c r="AAB385" s="252"/>
      <c r="AAC385" s="252"/>
      <c r="AAD385" s="252"/>
      <c r="AAE385" s="252"/>
      <c r="AAF385" s="252"/>
      <c r="AAG385" s="252"/>
      <c r="AAH385" s="252"/>
      <c r="AAI385" s="252"/>
      <c r="AAJ385" s="252"/>
      <c r="AAK385" s="252"/>
      <c r="AAL385" s="252"/>
      <c r="AAM385" s="252"/>
      <c r="AAN385" s="252"/>
      <c r="AAO385" s="252"/>
      <c r="AAP385" s="252"/>
      <c r="AAQ385" s="252"/>
      <c r="AAR385" s="252"/>
      <c r="AAS385" s="252"/>
      <c r="AAT385" s="252"/>
      <c r="AAU385" s="252"/>
      <c r="AAV385" s="252"/>
      <c r="AAW385" s="252"/>
      <c r="AAX385" s="252"/>
      <c r="AAY385" s="252"/>
      <c r="AAZ385" s="252"/>
      <c r="ABA385" s="252"/>
      <c r="ABB385" s="252"/>
      <c r="ABC385" s="252"/>
      <c r="ABD385" s="252"/>
      <c r="ABE385" s="252"/>
      <c r="ABF385" s="252"/>
      <c r="ABG385" s="252"/>
      <c r="ABH385" s="252"/>
      <c r="ABI385" s="252"/>
      <c r="ABJ385" s="252"/>
      <c r="ABK385" s="252"/>
      <c r="ABL385" s="252"/>
      <c r="ABM385" s="252"/>
      <c r="ABN385" s="252"/>
      <c r="ABO385" s="252"/>
      <c r="ABP385" s="252"/>
      <c r="ABQ385" s="252"/>
      <c r="ABR385" s="252"/>
      <c r="ABS385" s="252"/>
      <c r="ABT385" s="252"/>
      <c r="ABU385" s="252"/>
      <c r="ABV385" s="252"/>
      <c r="ABW385" s="252"/>
      <c r="ABX385" s="252"/>
      <c r="ABY385" s="252"/>
      <c r="ABZ385" s="252"/>
      <c r="ACA385" s="252"/>
      <c r="ACB385" s="252"/>
      <c r="ACC385" s="252"/>
      <c r="ACD385" s="252"/>
      <c r="ACE385" s="252"/>
      <c r="ACF385" s="252"/>
      <c r="ACG385" s="252"/>
      <c r="ACH385" s="252"/>
      <c r="ACI385" s="252"/>
      <c r="ACJ385" s="252"/>
      <c r="ACK385" s="252"/>
      <c r="ACL385" s="252"/>
      <c r="ACM385" s="252"/>
      <c r="ACN385" s="252"/>
      <c r="ACO385" s="252"/>
      <c r="ACP385" s="252"/>
      <c r="ACQ385" s="252"/>
      <c r="ACR385" s="252"/>
      <c r="ACS385" s="252"/>
      <c r="ACT385" s="252"/>
      <c r="ACU385" s="252"/>
      <c r="ACV385" s="252"/>
      <c r="ACW385" s="252"/>
      <c r="ACX385" s="252"/>
      <c r="ACY385" s="252"/>
      <c r="ACZ385" s="252"/>
      <c r="ADA385" s="252"/>
      <c r="ADB385" s="252"/>
      <c r="ADC385" s="252"/>
      <c r="ADD385" s="252"/>
      <c r="ADE385" s="252"/>
      <c r="ADF385" s="252"/>
      <c r="ADG385" s="252"/>
      <c r="ADH385" s="252"/>
      <c r="ADI385" s="252"/>
      <c r="ADJ385" s="252"/>
      <c r="ADK385" s="252"/>
      <c r="ADL385" s="252"/>
      <c r="ADM385" s="252"/>
      <c r="ADN385" s="252"/>
      <c r="ADO385" s="252"/>
      <c r="ADP385" s="252"/>
      <c r="ADQ385" s="252"/>
      <c r="ADR385" s="252"/>
      <c r="ADS385" s="252"/>
      <c r="ADT385" s="252"/>
      <c r="ADU385" s="252"/>
      <c r="ADV385" s="252"/>
      <c r="ADW385" s="252"/>
      <c r="ADX385" s="252"/>
      <c r="ADY385" s="252"/>
      <c r="ADZ385" s="252"/>
      <c r="AEA385" s="252"/>
      <c r="AEB385" s="252"/>
      <c r="AEC385" s="252"/>
      <c r="AED385" s="252"/>
      <c r="AEE385" s="252"/>
      <c r="AEF385" s="252"/>
      <c r="AEG385" s="252"/>
      <c r="AEH385" s="252"/>
      <c r="AEI385" s="252"/>
      <c r="AEJ385" s="252"/>
      <c r="AEK385" s="252"/>
      <c r="AEL385" s="252"/>
      <c r="AEM385" s="252"/>
      <c r="AEN385" s="252"/>
      <c r="AEO385" s="252"/>
      <c r="AEP385" s="252"/>
      <c r="AEQ385" s="252"/>
      <c r="AER385" s="252"/>
      <c r="AES385" s="252"/>
      <c r="AET385" s="252"/>
      <c r="AEU385" s="252"/>
      <c r="AEV385" s="252"/>
      <c r="AEW385" s="252"/>
      <c r="AEX385" s="252"/>
      <c r="AEY385" s="252"/>
      <c r="AEZ385" s="252"/>
      <c r="AFA385" s="252"/>
      <c r="AFB385" s="252"/>
      <c r="AFC385" s="252"/>
      <c r="AFD385" s="252"/>
      <c r="AFE385" s="252"/>
      <c r="AFF385" s="252"/>
      <c r="AFG385" s="252"/>
      <c r="AFH385" s="252"/>
      <c r="AFI385" s="252"/>
      <c r="AFJ385" s="252"/>
      <c r="AFK385" s="252"/>
      <c r="AFL385" s="252"/>
      <c r="AFM385" s="252"/>
      <c r="AFN385" s="252"/>
      <c r="AFO385" s="252"/>
      <c r="AFP385" s="252"/>
      <c r="AFQ385" s="252"/>
      <c r="AFR385" s="252"/>
      <c r="AFS385" s="252"/>
      <c r="AFT385" s="252"/>
      <c r="AFU385" s="252"/>
      <c r="AFV385" s="252"/>
      <c r="AFW385" s="252"/>
      <c r="AFX385" s="252"/>
      <c r="AFY385" s="252"/>
      <c r="AFZ385" s="252"/>
      <c r="AGA385" s="252"/>
      <c r="AGB385" s="252"/>
      <c r="AGC385" s="252"/>
      <c r="AGD385" s="252"/>
      <c r="AGE385" s="252"/>
      <c r="AGF385" s="252"/>
      <c r="AGG385" s="252"/>
      <c r="AGH385" s="252"/>
      <c r="AGI385" s="252"/>
      <c r="AGJ385" s="252"/>
      <c r="AGK385" s="252"/>
      <c r="AGL385" s="252"/>
      <c r="AGM385" s="252"/>
      <c r="AGN385" s="252"/>
      <c r="AGO385" s="252"/>
      <c r="AGP385" s="252"/>
      <c r="AGQ385" s="252"/>
      <c r="AGR385" s="252"/>
      <c r="AGS385" s="252"/>
      <c r="AGT385" s="252"/>
      <c r="AGU385" s="252"/>
      <c r="AGV385" s="252"/>
      <c r="AGW385" s="252"/>
      <c r="AGX385" s="252"/>
      <c r="AGY385" s="252"/>
      <c r="AGZ385" s="252"/>
      <c r="AHA385" s="252"/>
      <c r="AHB385" s="252"/>
      <c r="AHC385" s="252"/>
      <c r="AHD385" s="252"/>
      <c r="AHE385" s="252"/>
      <c r="AHF385" s="252"/>
      <c r="AHG385" s="252"/>
      <c r="AHH385" s="252"/>
      <c r="AHI385" s="252"/>
      <c r="AHJ385" s="252"/>
      <c r="AHK385" s="252"/>
      <c r="AHL385" s="252"/>
      <c r="AHM385" s="252"/>
      <c r="AHN385" s="252"/>
      <c r="AHO385" s="252"/>
      <c r="AHP385" s="252"/>
      <c r="AHQ385" s="252"/>
      <c r="AHR385" s="252"/>
      <c r="AHS385" s="252"/>
      <c r="AHT385" s="252"/>
      <c r="AHU385" s="252"/>
      <c r="AHV385" s="252"/>
      <c r="AHW385" s="252"/>
      <c r="AHX385" s="252"/>
      <c r="AHY385" s="252"/>
      <c r="AHZ385" s="252"/>
      <c r="AIA385" s="252"/>
      <c r="AIB385" s="252"/>
      <c r="AIC385" s="252"/>
      <c r="AID385" s="252"/>
      <c r="AIE385" s="252"/>
      <c r="AIF385" s="252"/>
      <c r="AIG385" s="252"/>
      <c r="AIH385" s="252"/>
      <c r="AII385" s="252"/>
      <c r="AIJ385" s="252"/>
      <c r="AIK385" s="252"/>
      <c r="AIL385" s="252"/>
      <c r="AIM385" s="252"/>
      <c r="AIN385" s="252"/>
      <c r="AIO385" s="252"/>
      <c r="AIP385" s="252"/>
      <c r="AIQ385" s="252"/>
      <c r="AIR385" s="252"/>
      <c r="AIS385" s="252"/>
      <c r="AIT385" s="252"/>
      <c r="AIU385" s="252"/>
      <c r="AIV385" s="252"/>
      <c r="AIW385" s="252"/>
      <c r="AIX385" s="252"/>
      <c r="AIY385" s="252"/>
      <c r="AIZ385" s="252"/>
      <c r="AJA385" s="252"/>
      <c r="AJB385" s="252"/>
      <c r="AJC385" s="252"/>
      <c r="AJD385" s="252"/>
      <c r="AJE385" s="252"/>
      <c r="AJF385" s="252"/>
      <c r="AJG385" s="252"/>
      <c r="AJH385" s="252"/>
      <c r="AJI385" s="252"/>
      <c r="AJJ385" s="252"/>
      <c r="AJK385" s="252"/>
      <c r="AJL385" s="252"/>
      <c r="AJM385" s="252"/>
      <c r="AJN385" s="252"/>
      <c r="AJO385" s="252"/>
      <c r="AJP385" s="252"/>
      <c r="AJQ385" s="252"/>
      <c r="AJR385" s="252"/>
      <c r="AJS385" s="252"/>
      <c r="AJT385" s="252"/>
      <c r="AJU385" s="252"/>
      <c r="AJV385" s="252"/>
      <c r="AJW385" s="252"/>
      <c r="AJX385" s="252"/>
      <c r="AJY385" s="252"/>
      <c r="AJZ385" s="252"/>
      <c r="AKA385" s="252"/>
      <c r="AKB385" s="252"/>
      <c r="AKC385" s="252"/>
      <c r="AKD385" s="252"/>
      <c r="AKE385" s="252"/>
      <c r="AKF385" s="252"/>
      <c r="AKG385" s="252"/>
      <c r="AKH385" s="252"/>
      <c r="AKI385" s="252"/>
      <c r="AKJ385" s="252"/>
      <c r="AKK385" s="252"/>
      <c r="AKL385" s="252"/>
      <c r="AKM385" s="252"/>
      <c r="AKN385" s="252"/>
      <c r="AKO385" s="252"/>
      <c r="AKP385" s="252"/>
      <c r="AKQ385" s="252"/>
      <c r="AKR385" s="252"/>
      <c r="AKS385" s="252"/>
      <c r="AKT385" s="252"/>
      <c r="AKU385" s="252"/>
      <c r="AKV385" s="252"/>
      <c r="AKW385" s="252"/>
      <c r="AKX385" s="252"/>
      <c r="AKY385" s="252"/>
      <c r="AKZ385" s="252"/>
      <c r="ALA385" s="252"/>
      <c r="ALB385" s="252"/>
      <c r="ALC385" s="252"/>
      <c r="ALD385" s="252"/>
      <c r="ALE385" s="252"/>
      <c r="ALF385" s="252"/>
      <c r="ALG385" s="252"/>
      <c r="ALH385" s="252"/>
      <c r="ALI385" s="252"/>
      <c r="ALJ385" s="252"/>
      <c r="ALK385" s="252"/>
      <c r="ALL385" s="252"/>
      <c r="ALM385" s="252"/>
      <c r="ALN385" s="252"/>
      <c r="ALO385" s="252"/>
      <c r="ALP385" s="252"/>
      <c r="ALQ385" s="252"/>
      <c r="ALR385" s="252"/>
      <c r="ALS385" s="252"/>
      <c r="ALT385" s="252"/>
      <c r="ALU385" s="252"/>
      <c r="ALV385" s="252"/>
      <c r="ALW385" s="252"/>
      <c r="ALX385" s="252"/>
      <c r="ALY385" s="252"/>
      <c r="ALZ385" s="252"/>
      <c r="AMA385" s="252"/>
      <c r="AMB385" s="252"/>
      <c r="AMC385" s="252"/>
      <c r="AMD385" s="252"/>
      <c r="AME385" s="252"/>
      <c r="AMF385" s="252"/>
      <c r="AMG385" s="252"/>
      <c r="AMH385" s="252"/>
      <c r="AMI385" s="252"/>
      <c r="AMJ385" s="252"/>
      <c r="AMK385" s="252"/>
      <c r="AML385" s="252"/>
      <c r="AMM385" s="252"/>
      <c r="AMN385" s="252"/>
      <c r="AMO385" s="252"/>
      <c r="AMP385" s="252"/>
      <c r="AMQ385" s="252"/>
      <c r="AMR385" s="252"/>
      <c r="AMS385" s="252"/>
      <c r="AMT385" s="252"/>
      <c r="AMU385" s="252"/>
      <c r="AMV385" s="252"/>
      <c r="AMW385" s="252"/>
      <c r="AMX385" s="252"/>
      <c r="AMY385" s="252"/>
      <c r="AMZ385" s="252"/>
      <c r="ANA385" s="252"/>
      <c r="ANB385" s="252"/>
      <c r="ANC385" s="252"/>
      <c r="AND385" s="252"/>
      <c r="ANE385" s="252"/>
      <c r="ANF385" s="252"/>
      <c r="ANG385" s="252"/>
      <c r="ANH385" s="252"/>
      <c r="ANI385" s="252"/>
      <c r="ANJ385" s="252"/>
      <c r="ANK385" s="252"/>
      <c r="ANL385" s="252"/>
      <c r="ANM385" s="252"/>
      <c r="ANN385" s="252"/>
      <c r="ANO385" s="252"/>
      <c r="ANP385" s="252"/>
      <c r="ANQ385" s="252"/>
      <c r="ANR385" s="252"/>
      <c r="ANS385" s="252"/>
      <c r="ANT385" s="252"/>
      <c r="ANU385" s="252"/>
      <c r="ANV385" s="252"/>
      <c r="ANW385" s="252"/>
      <c r="ANX385" s="252"/>
      <c r="ANY385" s="252"/>
      <c r="ANZ385" s="252"/>
      <c r="AOA385" s="252"/>
      <c r="AOB385" s="252"/>
      <c r="AOC385" s="252"/>
      <c r="AOD385" s="252"/>
      <c r="AOE385" s="252"/>
      <c r="AOF385" s="252"/>
      <c r="AOG385" s="252"/>
      <c r="AOH385" s="252"/>
      <c r="AOI385" s="252"/>
      <c r="AOJ385" s="252"/>
      <c r="AOK385" s="252"/>
      <c r="AOL385" s="252"/>
      <c r="AOM385" s="252"/>
      <c r="AON385" s="252"/>
      <c r="AOO385" s="252"/>
      <c r="AOP385" s="252"/>
      <c r="AOQ385" s="252"/>
      <c r="AOR385" s="252"/>
      <c r="AOS385" s="252"/>
      <c r="AOT385" s="252"/>
      <c r="AOU385" s="252"/>
      <c r="AOV385" s="252"/>
      <c r="AOW385" s="252"/>
      <c r="AOX385" s="252"/>
      <c r="AOY385" s="252"/>
      <c r="AOZ385" s="252"/>
      <c r="APA385" s="252"/>
      <c r="APB385" s="252"/>
      <c r="APC385" s="252"/>
      <c r="APD385" s="252"/>
      <c r="APE385" s="252"/>
      <c r="APF385" s="252"/>
      <c r="APG385" s="252"/>
      <c r="APH385" s="252"/>
      <c r="API385" s="252"/>
      <c r="APJ385" s="252"/>
      <c r="APK385" s="252"/>
      <c r="APL385" s="252"/>
      <c r="APM385" s="252"/>
      <c r="APN385" s="252"/>
      <c r="APO385" s="252"/>
      <c r="APP385" s="252"/>
      <c r="APQ385" s="252"/>
      <c r="APR385" s="252"/>
      <c r="APS385" s="252"/>
      <c r="APT385" s="252"/>
      <c r="APU385" s="252"/>
      <c r="APV385" s="252"/>
      <c r="APW385" s="252"/>
      <c r="APX385" s="252"/>
      <c r="APY385" s="252"/>
      <c r="APZ385" s="252"/>
      <c r="AQA385" s="252"/>
      <c r="AQB385" s="252"/>
      <c r="AQC385" s="252"/>
      <c r="AQD385" s="252"/>
      <c r="AQE385" s="252"/>
      <c r="AQF385" s="252"/>
      <c r="AQG385" s="252"/>
      <c r="AQH385" s="252"/>
      <c r="AQI385" s="252"/>
      <c r="AQJ385" s="252"/>
      <c r="AQK385" s="252"/>
      <c r="AQL385" s="252"/>
      <c r="AQM385" s="252"/>
      <c r="AQN385" s="252"/>
      <c r="AQO385" s="252"/>
      <c r="AQP385" s="252"/>
      <c r="AQQ385" s="252"/>
      <c r="AQR385" s="252"/>
      <c r="AQS385" s="252"/>
      <c r="AQT385" s="252"/>
      <c r="AQU385" s="252"/>
      <c r="AQV385" s="252"/>
      <c r="AQW385" s="252"/>
      <c r="AQX385" s="252"/>
      <c r="AQY385" s="252"/>
      <c r="AQZ385" s="252"/>
      <c r="ARA385" s="252"/>
      <c r="ARB385" s="252"/>
      <c r="ARC385" s="252"/>
      <c r="ARD385" s="252"/>
      <c r="ARE385" s="252"/>
      <c r="ARF385" s="252"/>
      <c r="ARG385" s="252"/>
      <c r="ARH385" s="252"/>
      <c r="ARI385" s="252"/>
      <c r="ARJ385" s="252"/>
      <c r="ARK385" s="252"/>
      <c r="ARL385" s="252"/>
      <c r="ARM385" s="252"/>
      <c r="ARN385" s="252"/>
      <c r="ARO385" s="252"/>
      <c r="ARP385" s="252"/>
      <c r="ARQ385" s="252"/>
      <c r="ARR385" s="252"/>
      <c r="ARS385" s="252"/>
      <c r="ART385" s="252"/>
      <c r="ARU385" s="252"/>
      <c r="ARV385" s="252"/>
      <c r="ARW385" s="252"/>
      <c r="ARX385" s="252"/>
      <c r="ARY385" s="252"/>
      <c r="ARZ385" s="252"/>
      <c r="ASA385" s="252"/>
      <c r="ASB385" s="252"/>
      <c r="ASC385" s="252"/>
      <c r="ASD385" s="252"/>
      <c r="ASE385" s="252"/>
      <c r="ASF385" s="252"/>
      <c r="ASG385" s="252"/>
      <c r="ASH385" s="252"/>
      <c r="ASI385" s="252"/>
      <c r="ASJ385" s="252"/>
      <c r="ASK385" s="252"/>
      <c r="ASL385" s="252"/>
      <c r="ASM385" s="252"/>
      <c r="ASN385" s="252"/>
      <c r="ASO385" s="252"/>
      <c r="ASP385" s="252"/>
      <c r="ASQ385" s="252"/>
      <c r="ASR385" s="252"/>
      <c r="ASS385" s="252"/>
      <c r="AST385" s="252"/>
      <c r="ASU385" s="252"/>
      <c r="ASV385" s="252"/>
      <c r="ASW385" s="252"/>
      <c r="ASX385" s="252"/>
      <c r="ASY385" s="252"/>
      <c r="ASZ385" s="252"/>
      <c r="ATA385" s="252"/>
      <c r="ATB385" s="252"/>
      <c r="ATC385" s="252"/>
      <c r="ATD385" s="252"/>
      <c r="ATE385" s="252"/>
      <c r="ATF385" s="252"/>
      <c r="ATG385" s="252"/>
      <c r="ATH385" s="252"/>
      <c r="ATI385" s="252"/>
      <c r="ATJ385" s="252"/>
      <c r="ATK385" s="252"/>
      <c r="ATL385" s="252"/>
      <c r="ATM385" s="252"/>
      <c r="ATN385" s="252"/>
      <c r="ATO385" s="252"/>
      <c r="ATP385" s="252"/>
      <c r="ATQ385" s="252"/>
      <c r="ATR385" s="252"/>
      <c r="ATS385" s="252"/>
      <c r="ATT385" s="252"/>
      <c r="ATU385" s="252"/>
      <c r="ATV385" s="252"/>
      <c r="ATW385" s="252"/>
      <c r="ATX385" s="252"/>
      <c r="ATY385" s="252"/>
      <c r="ATZ385" s="252"/>
      <c r="AUA385" s="252"/>
      <c r="AUB385" s="252"/>
      <c r="AUC385" s="252"/>
      <c r="AUD385" s="252"/>
      <c r="AUE385" s="252"/>
      <c r="AUF385" s="252"/>
      <c r="AUG385" s="252"/>
      <c r="AUH385" s="252"/>
      <c r="AUI385" s="252"/>
      <c r="AUJ385" s="252"/>
      <c r="AUK385" s="252"/>
      <c r="AUL385" s="252"/>
      <c r="AUM385" s="252"/>
      <c r="AUN385" s="252"/>
      <c r="AUO385" s="252"/>
      <c r="AUP385" s="252"/>
      <c r="AUQ385" s="252"/>
      <c r="AUR385" s="252"/>
      <c r="AUS385" s="252"/>
      <c r="AUT385" s="252"/>
      <c r="AUU385" s="252"/>
      <c r="AUV385" s="252"/>
      <c r="AUW385" s="252"/>
      <c r="AUX385" s="252"/>
      <c r="AUY385" s="252"/>
      <c r="AUZ385" s="252"/>
      <c r="AVA385" s="252"/>
      <c r="AVB385" s="252"/>
      <c r="AVC385" s="252"/>
      <c r="AVD385" s="252"/>
      <c r="AVE385" s="252"/>
      <c r="AVF385" s="252"/>
      <c r="AVG385" s="252"/>
      <c r="AVH385" s="252"/>
      <c r="AVI385" s="252"/>
      <c r="AVJ385" s="252"/>
      <c r="AVK385" s="252"/>
      <c r="AVL385" s="252"/>
      <c r="AVM385" s="252"/>
      <c r="AVN385" s="252"/>
      <c r="AVO385" s="252"/>
      <c r="AVP385" s="252"/>
      <c r="AVQ385" s="252"/>
      <c r="AVR385" s="252"/>
      <c r="AVS385" s="252"/>
      <c r="AVT385" s="252"/>
      <c r="AVU385" s="252"/>
      <c r="AVV385" s="252"/>
      <c r="AVW385" s="252"/>
      <c r="AVX385" s="252"/>
      <c r="AVY385" s="252"/>
      <c r="AVZ385" s="252"/>
      <c r="AWA385" s="252"/>
      <c r="AWB385" s="252"/>
      <c r="AWC385" s="252"/>
      <c r="AWD385" s="252"/>
      <c r="AWE385" s="252"/>
      <c r="AWF385" s="252"/>
      <c r="AWG385" s="252"/>
      <c r="AWH385" s="252"/>
      <c r="AWI385" s="252"/>
      <c r="AWJ385" s="252"/>
      <c r="AWK385" s="252"/>
      <c r="AWL385" s="252"/>
      <c r="AWM385" s="252"/>
      <c r="AWN385" s="252"/>
      <c r="AWO385" s="252"/>
      <c r="AWP385" s="252"/>
      <c r="AWQ385" s="252"/>
      <c r="AWR385" s="252"/>
      <c r="AWS385" s="252"/>
      <c r="AWT385" s="252"/>
      <c r="AWU385" s="252"/>
      <c r="AWV385" s="252"/>
      <c r="AWW385" s="252"/>
      <c r="AWX385" s="252"/>
      <c r="AWY385" s="252"/>
      <c r="AWZ385" s="252"/>
      <c r="AXA385" s="252"/>
      <c r="AXB385" s="252"/>
      <c r="AXC385" s="252"/>
      <c r="AXD385" s="252"/>
      <c r="AXE385" s="252"/>
      <c r="AXF385" s="252"/>
      <c r="AXG385" s="252"/>
      <c r="AXH385" s="252"/>
      <c r="AXI385" s="252"/>
      <c r="AXJ385" s="252"/>
      <c r="AXK385" s="252"/>
      <c r="AXL385" s="252"/>
      <c r="AXM385" s="252"/>
      <c r="AXN385" s="252"/>
      <c r="AXO385" s="252"/>
      <c r="AXP385" s="252"/>
      <c r="AXQ385" s="252"/>
      <c r="AXR385" s="252"/>
      <c r="AXS385" s="252"/>
      <c r="AXT385" s="252"/>
      <c r="AXU385" s="252"/>
      <c r="AXV385" s="252"/>
      <c r="AXW385" s="252"/>
      <c r="AXX385" s="252"/>
      <c r="AXY385" s="252"/>
      <c r="AXZ385" s="252"/>
      <c r="AYA385" s="252"/>
      <c r="AYB385" s="252"/>
      <c r="AYC385" s="252"/>
      <c r="AYD385" s="252"/>
      <c r="AYE385" s="252"/>
      <c r="AYF385" s="252"/>
      <c r="AYG385" s="252"/>
      <c r="AYH385" s="252"/>
      <c r="AYI385" s="252"/>
      <c r="AYJ385" s="252"/>
      <c r="AYK385" s="252"/>
      <c r="AYL385" s="252"/>
      <c r="AYM385" s="252"/>
      <c r="AYN385" s="252"/>
      <c r="AYO385" s="252"/>
      <c r="AYP385" s="252"/>
      <c r="AYQ385" s="252"/>
      <c r="AYR385" s="252"/>
      <c r="AYS385" s="252"/>
      <c r="AYT385" s="252"/>
      <c r="AYU385" s="252"/>
      <c r="AYV385" s="252"/>
      <c r="AYW385" s="252"/>
      <c r="AYX385" s="252"/>
      <c r="AYY385" s="252"/>
      <c r="AYZ385" s="252"/>
      <c r="AZA385" s="252"/>
      <c r="AZB385" s="252"/>
      <c r="AZC385" s="252"/>
      <c r="AZD385" s="252"/>
      <c r="AZE385" s="252"/>
      <c r="AZF385" s="252"/>
      <c r="AZG385" s="252"/>
      <c r="AZH385" s="252"/>
      <c r="AZI385" s="252"/>
      <c r="AZJ385" s="252"/>
      <c r="AZK385" s="252"/>
      <c r="AZL385" s="252"/>
      <c r="AZM385" s="252"/>
      <c r="AZN385" s="252"/>
      <c r="AZO385" s="252"/>
      <c r="AZP385" s="252"/>
      <c r="AZQ385" s="252"/>
      <c r="AZR385" s="252"/>
      <c r="AZS385" s="252"/>
      <c r="AZT385" s="252"/>
      <c r="AZU385" s="252"/>
      <c r="AZV385" s="252"/>
      <c r="AZW385" s="252"/>
      <c r="AZX385" s="252"/>
      <c r="AZY385" s="252"/>
      <c r="AZZ385" s="252"/>
      <c r="BAA385" s="252"/>
      <c r="BAB385" s="252"/>
      <c r="BAC385" s="252"/>
      <c r="BAD385" s="252"/>
      <c r="BAE385" s="252"/>
      <c r="BAF385" s="252"/>
      <c r="BAG385" s="252"/>
      <c r="BAH385" s="252"/>
      <c r="BAI385" s="252"/>
      <c r="BAJ385" s="252"/>
      <c r="BAK385" s="252"/>
      <c r="BAL385" s="252"/>
      <c r="BAM385" s="252"/>
      <c r="BAN385" s="252"/>
      <c r="BAO385" s="252"/>
      <c r="BAP385" s="252"/>
      <c r="BAQ385" s="252"/>
      <c r="BAR385" s="252"/>
      <c r="BAS385" s="252"/>
      <c r="BAT385" s="252"/>
      <c r="BAU385" s="252"/>
      <c r="BAV385" s="252"/>
      <c r="BAW385" s="252"/>
      <c r="BAX385" s="252"/>
      <c r="BAY385" s="252"/>
      <c r="BAZ385" s="252"/>
      <c r="BBA385" s="252"/>
      <c r="BBB385" s="252"/>
      <c r="BBC385" s="252"/>
      <c r="BBD385" s="252"/>
      <c r="BBE385" s="252"/>
      <c r="BBF385" s="252"/>
      <c r="BBG385" s="252"/>
      <c r="BBH385" s="252"/>
      <c r="BBI385" s="252"/>
      <c r="BBJ385" s="252"/>
      <c r="BBK385" s="252"/>
      <c r="BBL385" s="252"/>
      <c r="BBM385" s="252"/>
      <c r="BBN385" s="252"/>
      <c r="BBO385" s="252"/>
      <c r="BBP385" s="252"/>
      <c r="BBQ385" s="252"/>
      <c r="BBR385" s="252"/>
      <c r="BBS385" s="252"/>
      <c r="BBT385" s="252"/>
      <c r="BBU385" s="252"/>
      <c r="BBV385" s="252"/>
      <c r="BBW385" s="252"/>
      <c r="BBX385" s="252"/>
      <c r="BBY385" s="252"/>
      <c r="BBZ385" s="252"/>
      <c r="BCA385" s="252"/>
      <c r="BCB385" s="252"/>
      <c r="BCC385" s="252"/>
      <c r="BCD385" s="252"/>
      <c r="BCE385" s="252"/>
      <c r="BCF385" s="252"/>
      <c r="BCG385" s="252"/>
      <c r="BCH385" s="252"/>
      <c r="BCI385" s="252"/>
      <c r="BCJ385" s="252"/>
      <c r="BCK385" s="252"/>
      <c r="BCL385" s="252"/>
      <c r="BCM385" s="252"/>
      <c r="BCN385" s="252"/>
      <c r="BCO385" s="252"/>
      <c r="BCP385" s="252"/>
      <c r="BCQ385" s="252"/>
      <c r="BCR385" s="252"/>
      <c r="BCS385" s="252"/>
      <c r="BCT385" s="252"/>
      <c r="BCU385" s="252"/>
      <c r="BCV385" s="252"/>
      <c r="BCW385" s="252"/>
      <c r="BCX385" s="252"/>
      <c r="BCY385" s="252"/>
      <c r="BCZ385" s="252"/>
      <c r="BDA385" s="252"/>
      <c r="BDB385" s="252"/>
      <c r="BDC385" s="252"/>
      <c r="BDD385" s="252"/>
      <c r="BDE385" s="252"/>
      <c r="BDF385" s="252"/>
      <c r="BDG385" s="252"/>
      <c r="BDH385" s="252"/>
      <c r="BDI385" s="252"/>
      <c r="BDJ385" s="252"/>
      <c r="BDK385" s="252"/>
      <c r="BDL385" s="252"/>
      <c r="BDM385" s="252"/>
      <c r="BDN385" s="252"/>
      <c r="BDO385" s="252"/>
      <c r="BDP385" s="252"/>
      <c r="BDQ385" s="252"/>
      <c r="BDR385" s="252"/>
      <c r="BDS385" s="252"/>
      <c r="BDT385" s="252"/>
      <c r="BDU385" s="252"/>
      <c r="BDV385" s="252"/>
      <c r="BDW385" s="252"/>
      <c r="BDX385" s="252"/>
      <c r="BDY385" s="252"/>
      <c r="BDZ385" s="252"/>
      <c r="BEA385" s="252"/>
      <c r="BEB385" s="252"/>
      <c r="BEC385" s="252"/>
      <c r="BED385" s="252"/>
      <c r="BEE385" s="252"/>
      <c r="BEF385" s="252"/>
      <c r="BEG385" s="252"/>
      <c r="BEH385" s="252"/>
      <c r="BEI385" s="252"/>
      <c r="BEJ385" s="252"/>
      <c r="BEK385" s="252"/>
      <c r="BEL385" s="252"/>
      <c r="BEM385" s="252"/>
      <c r="BEN385" s="252"/>
      <c r="BEO385" s="252"/>
      <c r="BEP385" s="252"/>
      <c r="BEQ385" s="252"/>
      <c r="BER385" s="252"/>
      <c r="BES385" s="252"/>
      <c r="BET385" s="252"/>
      <c r="BEU385" s="252"/>
      <c r="BEV385" s="252"/>
      <c r="BEW385" s="252"/>
      <c r="BEX385" s="252"/>
      <c r="BEY385" s="252"/>
      <c r="BEZ385" s="252"/>
      <c r="BFA385" s="252"/>
      <c r="BFB385" s="252"/>
      <c r="BFC385" s="252"/>
      <c r="BFD385" s="252"/>
      <c r="BFE385" s="252"/>
      <c r="BFF385" s="252"/>
      <c r="BFG385" s="252"/>
      <c r="BFH385" s="252"/>
      <c r="BFI385" s="252"/>
      <c r="BFJ385" s="252"/>
      <c r="BFK385" s="252"/>
      <c r="BFL385" s="252"/>
      <c r="BFM385" s="252"/>
      <c r="BFN385" s="252"/>
      <c r="BFO385" s="252"/>
      <c r="BFP385" s="252"/>
      <c r="BFQ385" s="252"/>
      <c r="BFR385" s="252"/>
      <c r="BFS385" s="252"/>
      <c r="BFT385" s="252"/>
      <c r="BFU385" s="252"/>
      <c r="BFV385" s="252"/>
      <c r="BFW385" s="252"/>
      <c r="BFX385" s="252"/>
      <c r="BFY385" s="252"/>
      <c r="BFZ385" s="252"/>
      <c r="BGA385" s="252"/>
      <c r="BGB385" s="252"/>
      <c r="BGC385" s="252"/>
      <c r="BGD385" s="252"/>
      <c r="BGE385" s="252"/>
      <c r="BGF385" s="252"/>
      <c r="BGG385" s="252"/>
      <c r="BGH385" s="252"/>
      <c r="BGI385" s="252"/>
      <c r="BGJ385" s="252"/>
      <c r="BGK385" s="252"/>
      <c r="BGL385" s="252"/>
      <c r="BGM385" s="252"/>
      <c r="BGN385" s="252"/>
      <c r="BGO385" s="252"/>
      <c r="BGP385" s="252"/>
      <c r="BGQ385" s="252"/>
      <c r="BGR385" s="252"/>
      <c r="BGS385" s="252"/>
      <c r="BGT385" s="252"/>
      <c r="BGU385" s="252"/>
      <c r="BGV385" s="252"/>
      <c r="BGW385" s="252"/>
      <c r="BGX385" s="252"/>
      <c r="BGY385" s="252"/>
      <c r="BGZ385" s="252"/>
      <c r="BHA385" s="252"/>
      <c r="BHB385" s="252"/>
      <c r="BHC385" s="252"/>
      <c r="BHD385" s="252"/>
      <c r="BHE385" s="252"/>
      <c r="BHF385" s="252"/>
      <c r="BHG385" s="252"/>
      <c r="BHH385" s="252"/>
      <c r="BHI385" s="252"/>
      <c r="BHJ385" s="252"/>
      <c r="BHK385" s="252"/>
      <c r="BHL385" s="252"/>
      <c r="BHM385" s="252"/>
      <c r="BHN385" s="252"/>
      <c r="BHO385" s="252"/>
      <c r="BHP385" s="252"/>
      <c r="BHQ385" s="252"/>
      <c r="BHR385" s="252"/>
      <c r="BHS385" s="252"/>
      <c r="BHT385" s="252"/>
      <c r="BHU385" s="252"/>
      <c r="BHV385" s="252"/>
      <c r="BHW385" s="252"/>
      <c r="BHX385" s="252"/>
      <c r="BHY385" s="252"/>
      <c r="BHZ385" s="252"/>
      <c r="BIA385" s="252"/>
      <c r="BIB385" s="252"/>
      <c r="BIC385" s="252"/>
      <c r="BID385" s="252"/>
      <c r="BIE385" s="252"/>
      <c r="BIF385" s="252"/>
      <c r="BIG385" s="252"/>
      <c r="BIH385" s="252"/>
      <c r="BII385" s="252"/>
      <c r="BIJ385" s="252"/>
      <c r="BIK385" s="252"/>
      <c r="BIL385" s="252"/>
      <c r="BIM385" s="252"/>
      <c r="BIN385" s="252"/>
      <c r="BIO385" s="252"/>
      <c r="BIP385" s="252"/>
      <c r="BIQ385" s="252"/>
      <c r="BIR385" s="252"/>
      <c r="BIS385" s="252"/>
      <c r="BIT385" s="252"/>
      <c r="BIU385" s="252"/>
      <c r="BIV385" s="252"/>
      <c r="BIW385" s="252"/>
      <c r="BIX385" s="252"/>
      <c r="BIY385" s="252"/>
      <c r="BIZ385" s="252"/>
      <c r="BJA385" s="252"/>
      <c r="BJB385" s="252"/>
      <c r="BJC385" s="252"/>
      <c r="BJD385" s="252"/>
      <c r="BJE385" s="252"/>
      <c r="BJF385" s="252"/>
      <c r="BJG385" s="252"/>
      <c r="BJH385" s="252"/>
      <c r="BJI385" s="252"/>
      <c r="BJJ385" s="252"/>
      <c r="BJK385" s="252"/>
      <c r="BJL385" s="252"/>
      <c r="BJM385" s="252"/>
      <c r="BJN385" s="252"/>
      <c r="BJO385" s="252"/>
      <c r="BJP385" s="252"/>
      <c r="BJQ385" s="252"/>
      <c r="BJR385" s="252"/>
      <c r="BJS385" s="252"/>
      <c r="BJT385" s="252"/>
      <c r="BJU385" s="252"/>
      <c r="BJV385" s="252"/>
      <c r="BJW385" s="252"/>
      <c r="BJX385" s="252"/>
      <c r="BJY385" s="252"/>
      <c r="BJZ385" s="252"/>
      <c r="BKA385" s="252"/>
      <c r="BKB385" s="252"/>
      <c r="BKC385" s="252"/>
      <c r="BKD385" s="252"/>
      <c r="BKE385" s="252"/>
      <c r="BKF385" s="252"/>
      <c r="BKG385" s="252"/>
      <c r="BKH385" s="252"/>
      <c r="BKI385" s="252"/>
      <c r="BKJ385" s="252"/>
      <c r="BKK385" s="252"/>
      <c r="BKL385" s="252"/>
      <c r="BKM385" s="252"/>
      <c r="BKN385" s="252"/>
      <c r="BKO385" s="252"/>
      <c r="BKP385" s="252"/>
      <c r="BKQ385" s="252"/>
      <c r="BKR385" s="252"/>
      <c r="BKS385" s="252"/>
      <c r="BKT385" s="252"/>
      <c r="BKU385" s="252"/>
      <c r="BKV385" s="252"/>
      <c r="BKW385" s="252"/>
      <c r="BKX385" s="252"/>
      <c r="BKY385" s="252"/>
      <c r="BKZ385" s="252"/>
      <c r="BLA385" s="252"/>
      <c r="BLB385" s="252"/>
      <c r="BLC385" s="252"/>
      <c r="BLD385" s="252"/>
      <c r="BLE385" s="252"/>
      <c r="BLF385" s="252"/>
      <c r="BLG385" s="252"/>
      <c r="BLH385" s="252"/>
      <c r="BLI385" s="252"/>
      <c r="BLJ385" s="252"/>
      <c r="BLK385" s="252"/>
      <c r="BLL385" s="252"/>
      <c r="BLM385" s="252"/>
      <c r="BLN385" s="252"/>
      <c r="BLO385" s="252"/>
      <c r="BLP385" s="252"/>
      <c r="BLQ385" s="252"/>
      <c r="BLR385" s="252"/>
      <c r="BLS385" s="252"/>
      <c r="BLT385" s="252"/>
      <c r="BLU385" s="252"/>
      <c r="BLV385" s="252"/>
      <c r="BLW385" s="252"/>
      <c r="BLX385" s="252"/>
      <c r="BLY385" s="252"/>
      <c r="BLZ385" s="252"/>
      <c r="BMA385" s="252"/>
      <c r="BMB385" s="252"/>
      <c r="BMC385" s="252"/>
      <c r="BMD385" s="252"/>
      <c r="BME385" s="252"/>
      <c r="BMF385" s="252"/>
      <c r="BMG385" s="252"/>
      <c r="BMH385" s="252"/>
      <c r="BMI385" s="252"/>
      <c r="BMJ385" s="252"/>
      <c r="BMK385" s="252"/>
      <c r="BML385" s="252"/>
      <c r="BMM385" s="252"/>
      <c r="BMN385" s="252"/>
      <c r="BMO385" s="252"/>
      <c r="BMP385" s="252"/>
      <c r="BMQ385" s="252"/>
      <c r="BMR385" s="252"/>
      <c r="BMS385" s="252"/>
      <c r="BMT385" s="252"/>
      <c r="BMU385" s="252"/>
      <c r="BMV385" s="252"/>
      <c r="BMW385" s="252"/>
      <c r="BMX385" s="252"/>
      <c r="BMY385" s="252"/>
      <c r="BMZ385" s="252"/>
      <c r="BNA385" s="252"/>
      <c r="BNB385" s="252"/>
      <c r="BNC385" s="252"/>
      <c r="BND385" s="252"/>
      <c r="BNE385" s="252"/>
      <c r="BNF385" s="252"/>
      <c r="BNG385" s="252"/>
      <c r="BNH385" s="252"/>
      <c r="BNI385" s="252"/>
      <c r="BNJ385" s="252"/>
      <c r="BNK385" s="252"/>
      <c r="BNL385" s="252"/>
      <c r="BNM385" s="252"/>
      <c r="BNN385" s="252"/>
      <c r="BNO385" s="252"/>
      <c r="BNP385" s="252"/>
      <c r="BNQ385" s="252"/>
      <c r="BNR385" s="252"/>
      <c r="BNS385" s="252"/>
      <c r="BNT385" s="252"/>
      <c r="BNU385" s="252"/>
      <c r="BNV385" s="252"/>
      <c r="BNW385" s="252"/>
      <c r="BNX385" s="252"/>
      <c r="BNY385" s="252"/>
      <c r="BNZ385" s="252"/>
      <c r="BOA385" s="252"/>
      <c r="BOB385" s="252"/>
      <c r="BOC385" s="252"/>
      <c r="BOD385" s="252"/>
      <c r="BOE385" s="252"/>
      <c r="BOF385" s="252"/>
      <c r="BOG385" s="252"/>
      <c r="BOH385" s="252"/>
      <c r="BOI385" s="252"/>
      <c r="BOJ385" s="252"/>
      <c r="BOK385" s="252"/>
      <c r="BOL385" s="252"/>
      <c r="BOM385" s="252"/>
      <c r="BON385" s="252"/>
      <c r="BOO385" s="252"/>
      <c r="BOP385" s="252"/>
      <c r="BOQ385" s="252"/>
      <c r="BOR385" s="252"/>
      <c r="BOS385" s="252"/>
      <c r="BOT385" s="252"/>
      <c r="BOU385" s="252"/>
      <c r="BOV385" s="252"/>
      <c r="BOW385" s="252"/>
      <c r="BOX385" s="252"/>
      <c r="BOY385" s="252"/>
      <c r="BOZ385" s="252"/>
      <c r="BPA385" s="252"/>
      <c r="BPB385" s="252"/>
      <c r="BPC385" s="252"/>
      <c r="BPD385" s="252"/>
      <c r="BPE385" s="252"/>
      <c r="BPF385" s="252"/>
      <c r="BPG385" s="252"/>
      <c r="BPH385" s="252"/>
      <c r="BPI385" s="252"/>
      <c r="BPJ385" s="252"/>
      <c r="BPK385" s="252"/>
      <c r="BPL385" s="252"/>
      <c r="BPM385" s="252"/>
      <c r="BPN385" s="252"/>
      <c r="BPO385" s="252"/>
      <c r="BPP385" s="252"/>
      <c r="BPQ385" s="252"/>
      <c r="BPR385" s="252"/>
      <c r="BPS385" s="252"/>
      <c r="BPT385" s="252"/>
      <c r="BPU385" s="252"/>
      <c r="BPV385" s="252"/>
      <c r="BPW385" s="252"/>
      <c r="BPX385" s="252"/>
      <c r="BPY385" s="252"/>
      <c r="BPZ385" s="252"/>
      <c r="BQA385" s="252"/>
      <c r="BQB385" s="252"/>
      <c r="BQC385" s="252"/>
      <c r="BQD385" s="252"/>
      <c r="BQE385" s="252"/>
      <c r="BQF385" s="252"/>
      <c r="BQG385" s="252"/>
      <c r="BQH385" s="252"/>
      <c r="BQI385" s="252"/>
      <c r="BQJ385" s="252"/>
      <c r="BQK385" s="252"/>
      <c r="BQL385" s="252"/>
      <c r="BQM385" s="252"/>
      <c r="BQN385" s="252"/>
      <c r="BQO385" s="252"/>
      <c r="BQP385" s="252"/>
      <c r="BQQ385" s="252"/>
      <c r="BQR385" s="252"/>
      <c r="BQS385" s="252"/>
      <c r="BQT385" s="252"/>
      <c r="BQU385" s="252"/>
      <c r="BQV385" s="252"/>
      <c r="BQW385" s="252"/>
      <c r="BQX385" s="252"/>
      <c r="BQY385" s="252"/>
      <c r="BQZ385" s="252"/>
      <c r="BRA385" s="252"/>
      <c r="BRB385" s="252"/>
      <c r="BRC385" s="252"/>
      <c r="BRD385" s="252"/>
      <c r="BRE385" s="252"/>
      <c r="BRF385" s="252"/>
      <c r="BRG385" s="252"/>
      <c r="BRH385" s="252"/>
      <c r="BRI385" s="252"/>
      <c r="BRJ385" s="252"/>
      <c r="BRK385" s="252"/>
      <c r="BRL385" s="252"/>
      <c r="BRM385" s="252"/>
      <c r="BRN385" s="252"/>
      <c r="BRO385" s="252"/>
      <c r="BRP385" s="252"/>
      <c r="BRQ385" s="252"/>
      <c r="BRR385" s="252"/>
      <c r="BRS385" s="252"/>
      <c r="BRT385" s="252"/>
      <c r="BRU385" s="252"/>
      <c r="BRV385" s="252"/>
      <c r="BRW385" s="252"/>
      <c r="BRX385" s="252"/>
      <c r="BRY385" s="252"/>
      <c r="BRZ385" s="252"/>
      <c r="BSA385" s="252"/>
      <c r="BSB385" s="252"/>
      <c r="BSC385" s="252"/>
      <c r="BSD385" s="252"/>
      <c r="BSE385" s="252"/>
      <c r="BSF385" s="252"/>
      <c r="BSG385" s="252"/>
      <c r="BSH385" s="252"/>
      <c r="BSI385" s="252"/>
      <c r="BSJ385" s="252"/>
      <c r="BSK385" s="252"/>
      <c r="BSL385" s="252"/>
      <c r="BSM385" s="252"/>
      <c r="BSN385" s="252"/>
      <c r="BSO385" s="252"/>
      <c r="BSP385" s="252"/>
      <c r="BSQ385" s="252"/>
      <c r="BSR385" s="252"/>
      <c r="BSS385" s="252"/>
      <c r="BST385" s="252"/>
      <c r="BSU385" s="252"/>
      <c r="BSV385" s="252"/>
      <c r="BSW385" s="252"/>
      <c r="BSX385" s="252"/>
      <c r="BSY385" s="252"/>
      <c r="BSZ385" s="252"/>
      <c r="BTA385" s="252"/>
      <c r="BTB385" s="252"/>
      <c r="BTC385" s="252"/>
      <c r="BTD385" s="252"/>
      <c r="BTE385" s="252"/>
      <c r="BTF385" s="252"/>
      <c r="BTG385" s="252"/>
      <c r="BTH385" s="252"/>
      <c r="BTI385" s="252"/>
      <c r="BTJ385" s="252"/>
      <c r="BTK385" s="252"/>
      <c r="BTL385" s="252"/>
      <c r="BTM385" s="252"/>
      <c r="BTN385" s="252"/>
      <c r="BTO385" s="252"/>
      <c r="BTP385" s="252"/>
      <c r="BTQ385" s="252"/>
      <c r="BTR385" s="252"/>
      <c r="BTS385" s="252"/>
      <c r="BTT385" s="252"/>
      <c r="BTU385" s="252"/>
      <c r="BTV385" s="252"/>
      <c r="BTW385" s="252"/>
      <c r="BTX385" s="252"/>
      <c r="BTY385" s="252"/>
      <c r="BTZ385" s="252"/>
      <c r="BUA385" s="252"/>
      <c r="BUB385" s="252"/>
      <c r="BUC385" s="252"/>
      <c r="BUD385" s="252"/>
      <c r="BUE385" s="252"/>
      <c r="BUF385" s="252"/>
      <c r="BUG385" s="252"/>
      <c r="BUH385" s="252"/>
      <c r="BUI385" s="252"/>
      <c r="BUJ385" s="252"/>
      <c r="BUK385" s="252"/>
      <c r="BUL385" s="252"/>
      <c r="BUM385" s="252"/>
      <c r="BUN385" s="252"/>
      <c r="BUO385" s="252"/>
      <c r="BUP385" s="252"/>
      <c r="BUQ385" s="252"/>
      <c r="BUR385" s="252"/>
      <c r="BUS385" s="252"/>
      <c r="BUT385" s="252"/>
      <c r="BUU385" s="252"/>
      <c r="BUV385" s="252"/>
      <c r="BUW385" s="252"/>
      <c r="BUX385" s="252"/>
      <c r="BUY385" s="252"/>
      <c r="BUZ385" s="252"/>
      <c r="BVA385" s="252"/>
      <c r="BVB385" s="252"/>
      <c r="BVC385" s="252"/>
      <c r="BVD385" s="252"/>
      <c r="BVE385" s="252"/>
      <c r="BVF385" s="252"/>
      <c r="BVG385" s="252"/>
      <c r="BVH385" s="252"/>
      <c r="BVI385" s="252"/>
      <c r="BVJ385" s="252"/>
      <c r="BVK385" s="252"/>
      <c r="BVL385" s="252"/>
      <c r="BVM385" s="252"/>
      <c r="BVN385" s="252"/>
      <c r="BVO385" s="252"/>
      <c r="BVP385" s="252"/>
      <c r="BVQ385" s="252"/>
      <c r="BVR385" s="252"/>
      <c r="BVS385" s="252"/>
      <c r="BVT385" s="252"/>
      <c r="BVU385" s="252"/>
      <c r="BVV385" s="252"/>
      <c r="BVW385" s="252"/>
      <c r="BVX385" s="252"/>
      <c r="BVY385" s="252"/>
      <c r="BVZ385" s="252"/>
      <c r="BWA385" s="252"/>
      <c r="BWB385" s="252"/>
      <c r="BWC385" s="252"/>
      <c r="BWD385" s="252"/>
      <c r="BWE385" s="252"/>
      <c r="BWF385" s="252"/>
      <c r="BWG385" s="252"/>
      <c r="BWH385" s="252"/>
      <c r="BWI385" s="252"/>
      <c r="BWJ385" s="252"/>
      <c r="BWK385" s="252"/>
      <c r="BWL385" s="252"/>
      <c r="BWM385" s="252"/>
      <c r="BWN385" s="252"/>
      <c r="BWO385" s="252"/>
      <c r="BWP385" s="252"/>
      <c r="BWQ385" s="252"/>
      <c r="BWR385" s="252"/>
      <c r="BWS385" s="252"/>
      <c r="BWT385" s="252"/>
      <c r="BWU385" s="252"/>
      <c r="BWV385" s="252"/>
      <c r="BWW385" s="252"/>
      <c r="BWX385" s="252"/>
      <c r="BWY385" s="252"/>
      <c r="BWZ385" s="252"/>
      <c r="BXA385" s="252"/>
      <c r="BXB385" s="252"/>
      <c r="BXC385" s="252"/>
      <c r="BXD385" s="252"/>
      <c r="BXE385" s="252"/>
      <c r="BXF385" s="252"/>
      <c r="BXG385" s="252"/>
      <c r="BXH385" s="252"/>
      <c r="BXI385" s="252"/>
      <c r="BXJ385" s="252"/>
      <c r="BXK385" s="252"/>
      <c r="BXL385" s="252"/>
      <c r="BXM385" s="252"/>
      <c r="BXN385" s="252"/>
      <c r="BXO385" s="252"/>
      <c r="BXP385" s="252"/>
      <c r="BXQ385" s="252"/>
      <c r="BXR385" s="252"/>
      <c r="BXS385" s="252"/>
      <c r="BXT385" s="252"/>
      <c r="BXU385" s="252"/>
      <c r="BXV385" s="252"/>
      <c r="BXW385" s="252"/>
      <c r="BXX385" s="252"/>
      <c r="BXY385" s="252"/>
      <c r="BXZ385" s="252"/>
      <c r="BYA385" s="252"/>
      <c r="BYB385" s="252"/>
      <c r="BYC385" s="252"/>
      <c r="BYD385" s="252"/>
      <c r="BYE385" s="252"/>
      <c r="BYF385" s="252"/>
      <c r="BYG385" s="252"/>
      <c r="BYH385" s="252"/>
      <c r="BYI385" s="252"/>
      <c r="BYJ385" s="252"/>
      <c r="BYK385" s="252"/>
      <c r="BYL385" s="252"/>
      <c r="BYM385" s="252"/>
      <c r="BYN385" s="252"/>
      <c r="BYO385" s="252"/>
      <c r="BYP385" s="252"/>
      <c r="BYQ385" s="252"/>
      <c r="BYR385" s="252"/>
      <c r="BYS385" s="252"/>
      <c r="BYT385" s="252"/>
      <c r="BYU385" s="252"/>
      <c r="BYV385" s="252"/>
      <c r="BYW385" s="252"/>
      <c r="BYX385" s="252"/>
      <c r="BYY385" s="252"/>
      <c r="BYZ385" s="252"/>
      <c r="BZA385" s="252"/>
      <c r="BZB385" s="252"/>
      <c r="BZC385" s="252"/>
      <c r="BZD385" s="252"/>
      <c r="BZE385" s="252"/>
      <c r="BZF385" s="252"/>
      <c r="BZG385" s="252"/>
      <c r="BZH385" s="252"/>
      <c r="BZI385" s="252"/>
      <c r="BZJ385" s="252"/>
      <c r="BZK385" s="252"/>
      <c r="BZL385" s="252"/>
      <c r="BZM385" s="252"/>
      <c r="BZN385" s="252"/>
      <c r="BZO385" s="252"/>
      <c r="BZP385" s="252"/>
      <c r="BZQ385" s="252"/>
      <c r="BZR385" s="252"/>
      <c r="BZS385" s="252"/>
      <c r="BZT385" s="252"/>
      <c r="BZU385" s="252"/>
      <c r="BZV385" s="252"/>
      <c r="BZW385" s="252"/>
      <c r="BZX385" s="252"/>
      <c r="BZY385" s="252"/>
      <c r="BZZ385" s="252"/>
      <c r="CAA385" s="252"/>
      <c r="CAB385" s="252"/>
      <c r="CAC385" s="252"/>
      <c r="CAD385" s="252"/>
      <c r="CAE385" s="252"/>
      <c r="CAF385" s="252"/>
      <c r="CAG385" s="252"/>
      <c r="CAH385" s="252"/>
      <c r="CAI385" s="252"/>
      <c r="CAJ385" s="252"/>
      <c r="CAK385" s="252"/>
      <c r="CAL385" s="252"/>
      <c r="CAM385" s="252"/>
      <c r="CAN385" s="252"/>
      <c r="CAO385" s="252"/>
      <c r="CAP385" s="252"/>
      <c r="CAQ385" s="252"/>
      <c r="CAR385" s="252"/>
      <c r="CAS385" s="252"/>
      <c r="CAT385" s="252"/>
      <c r="CAU385" s="252"/>
      <c r="CAV385" s="252"/>
      <c r="CAW385" s="252"/>
      <c r="CAX385" s="252"/>
      <c r="CAY385" s="252"/>
      <c r="CAZ385" s="252"/>
      <c r="CBA385" s="252"/>
      <c r="CBB385" s="252"/>
      <c r="CBC385" s="252"/>
      <c r="CBD385" s="252"/>
      <c r="CBE385" s="252"/>
      <c r="CBF385" s="252"/>
      <c r="CBG385" s="252"/>
      <c r="CBH385" s="252"/>
      <c r="CBI385" s="252"/>
      <c r="CBJ385" s="252"/>
      <c r="CBK385" s="252"/>
      <c r="CBL385" s="252"/>
      <c r="CBM385" s="252"/>
      <c r="CBN385" s="252"/>
      <c r="CBO385" s="252"/>
      <c r="CBP385" s="252"/>
      <c r="CBQ385" s="252"/>
      <c r="CBR385" s="252"/>
      <c r="CBS385" s="252"/>
      <c r="CBT385" s="252"/>
      <c r="CBU385" s="252"/>
      <c r="CBV385" s="252"/>
      <c r="CBW385" s="252"/>
      <c r="CBX385" s="252"/>
      <c r="CBY385" s="252"/>
      <c r="CBZ385" s="252"/>
      <c r="CCA385" s="252"/>
      <c r="CCB385" s="252"/>
      <c r="CCC385" s="252"/>
      <c r="CCD385" s="252"/>
      <c r="CCE385" s="252"/>
      <c r="CCF385" s="252"/>
      <c r="CCG385" s="252"/>
      <c r="CCH385" s="252"/>
      <c r="CCI385" s="252"/>
      <c r="CCJ385" s="252"/>
      <c r="CCK385" s="252"/>
      <c r="CCL385" s="252"/>
      <c r="CCM385" s="252"/>
      <c r="CCN385" s="252"/>
      <c r="CCO385" s="252"/>
      <c r="CCP385" s="252"/>
      <c r="CCQ385" s="252"/>
      <c r="CCR385" s="252"/>
      <c r="CCS385" s="252"/>
      <c r="CCT385" s="252"/>
      <c r="CCU385" s="252"/>
      <c r="CCV385" s="252"/>
      <c r="CCW385" s="252"/>
      <c r="CCX385" s="252"/>
      <c r="CCY385" s="252"/>
      <c r="CCZ385" s="252"/>
      <c r="CDA385" s="252"/>
      <c r="CDB385" s="252"/>
      <c r="CDC385" s="252"/>
      <c r="CDD385" s="252"/>
      <c r="CDE385" s="252"/>
      <c r="CDF385" s="252"/>
      <c r="CDG385" s="252"/>
      <c r="CDH385" s="252"/>
      <c r="CDI385" s="252"/>
      <c r="CDJ385" s="252"/>
      <c r="CDK385" s="252"/>
      <c r="CDL385" s="252"/>
      <c r="CDM385" s="252"/>
      <c r="CDN385" s="252"/>
      <c r="CDO385" s="252"/>
      <c r="CDP385" s="252"/>
      <c r="CDQ385" s="252"/>
      <c r="CDR385" s="252"/>
      <c r="CDS385" s="252"/>
      <c r="CDT385" s="252"/>
      <c r="CDU385" s="252"/>
      <c r="CDV385" s="252"/>
      <c r="CDW385" s="252"/>
      <c r="CDX385" s="252"/>
      <c r="CDY385" s="252"/>
      <c r="CDZ385" s="252"/>
      <c r="CEA385" s="252"/>
      <c r="CEB385" s="252"/>
      <c r="CEC385" s="252"/>
      <c r="CED385" s="252"/>
      <c r="CEE385" s="252"/>
      <c r="CEF385" s="252"/>
      <c r="CEG385" s="252"/>
      <c r="CEH385" s="252"/>
      <c r="CEI385" s="252"/>
      <c r="CEJ385" s="252"/>
      <c r="CEK385" s="252"/>
      <c r="CEL385" s="252"/>
      <c r="CEM385" s="252"/>
      <c r="CEN385" s="252"/>
      <c r="CEO385" s="252"/>
      <c r="CEP385" s="252"/>
      <c r="CEQ385" s="252"/>
      <c r="CER385" s="252"/>
      <c r="CES385" s="252"/>
      <c r="CET385" s="252"/>
      <c r="CEU385" s="252"/>
      <c r="CEV385" s="252"/>
      <c r="CEW385" s="252"/>
      <c r="CEX385" s="252"/>
      <c r="CEY385" s="252"/>
      <c r="CEZ385" s="252"/>
      <c r="CFA385" s="252"/>
      <c r="CFB385" s="252"/>
      <c r="CFC385" s="252"/>
      <c r="CFD385" s="252"/>
      <c r="CFE385" s="252"/>
      <c r="CFF385" s="252"/>
      <c r="CFG385" s="252"/>
      <c r="CFH385" s="252"/>
      <c r="CFI385" s="252"/>
      <c r="CFJ385" s="252"/>
      <c r="CFK385" s="252"/>
      <c r="CFL385" s="252"/>
      <c r="CFM385" s="252"/>
      <c r="CFN385" s="252"/>
      <c r="CFO385" s="252"/>
      <c r="CFP385" s="252"/>
      <c r="CFQ385" s="252"/>
      <c r="CFR385" s="252"/>
      <c r="CFS385" s="252"/>
      <c r="CFT385" s="252"/>
      <c r="CFU385" s="252"/>
      <c r="CFV385" s="252"/>
      <c r="CFW385" s="252"/>
      <c r="CFX385" s="252"/>
      <c r="CFY385" s="252"/>
      <c r="CFZ385" s="252"/>
      <c r="CGA385" s="252"/>
      <c r="CGB385" s="252"/>
      <c r="CGC385" s="252"/>
      <c r="CGD385" s="252"/>
      <c r="CGE385" s="252"/>
      <c r="CGF385" s="252"/>
      <c r="CGG385" s="252"/>
      <c r="CGH385" s="252"/>
      <c r="CGI385" s="252"/>
      <c r="CGJ385" s="252"/>
      <c r="CGK385" s="252"/>
      <c r="CGL385" s="252"/>
      <c r="CGM385" s="252"/>
      <c r="CGN385" s="252"/>
      <c r="CGO385" s="252"/>
      <c r="CGP385" s="252"/>
      <c r="CGQ385" s="252"/>
      <c r="CGR385" s="252"/>
      <c r="CGS385" s="252"/>
      <c r="CGT385" s="252"/>
      <c r="CGU385" s="252"/>
      <c r="CGV385" s="252"/>
      <c r="CGW385" s="252"/>
      <c r="CGX385" s="252"/>
      <c r="CGY385" s="252"/>
      <c r="CGZ385" s="252"/>
      <c r="CHA385" s="252"/>
      <c r="CHB385" s="252"/>
      <c r="CHC385" s="252"/>
      <c r="CHD385" s="252"/>
      <c r="CHE385" s="252"/>
      <c r="CHF385" s="252"/>
      <c r="CHG385" s="252"/>
      <c r="CHH385" s="252"/>
      <c r="CHI385" s="252"/>
      <c r="CHJ385" s="252"/>
      <c r="CHK385" s="252"/>
      <c r="CHL385" s="252"/>
      <c r="CHM385" s="252"/>
      <c r="CHN385" s="252"/>
      <c r="CHO385" s="252"/>
      <c r="CHP385" s="252"/>
      <c r="CHQ385" s="252"/>
      <c r="CHR385" s="252"/>
      <c r="CHS385" s="252"/>
      <c r="CHT385" s="252"/>
      <c r="CHU385" s="252"/>
      <c r="CHV385" s="252"/>
      <c r="CHW385" s="252"/>
      <c r="CHX385" s="252"/>
      <c r="CHY385" s="252"/>
      <c r="CHZ385" s="252"/>
      <c r="CIA385" s="252"/>
      <c r="CIB385" s="252"/>
      <c r="CIC385" s="252"/>
      <c r="CID385" s="252"/>
      <c r="CIE385" s="252"/>
      <c r="CIF385" s="252"/>
      <c r="CIG385" s="252"/>
      <c r="CIH385" s="252"/>
      <c r="CII385" s="252"/>
      <c r="CIJ385" s="252"/>
      <c r="CIK385" s="252"/>
      <c r="CIL385" s="252"/>
      <c r="CIM385" s="252"/>
      <c r="CIN385" s="252"/>
      <c r="CIO385" s="252"/>
      <c r="CIP385" s="252"/>
      <c r="CIQ385" s="252"/>
      <c r="CIR385" s="252"/>
      <c r="CIS385" s="252"/>
      <c r="CIT385" s="252"/>
      <c r="CIU385" s="252"/>
      <c r="CIV385" s="252"/>
      <c r="CIW385" s="252"/>
      <c r="CIX385" s="252"/>
      <c r="CIY385" s="252"/>
      <c r="CIZ385" s="252"/>
      <c r="CJA385" s="252"/>
      <c r="CJB385" s="252"/>
      <c r="CJC385" s="252"/>
      <c r="CJD385" s="252"/>
      <c r="CJE385" s="252"/>
      <c r="CJF385" s="252"/>
      <c r="CJG385" s="252"/>
      <c r="CJH385" s="252"/>
      <c r="CJI385" s="252"/>
      <c r="CJJ385" s="252"/>
      <c r="CJK385" s="252"/>
      <c r="CJL385" s="252"/>
      <c r="CJM385" s="252"/>
      <c r="CJN385" s="252"/>
      <c r="CJO385" s="252"/>
      <c r="CJP385" s="252"/>
      <c r="CJQ385" s="252"/>
      <c r="CJR385" s="252"/>
      <c r="CJS385" s="252"/>
      <c r="CJT385" s="252"/>
      <c r="CJU385" s="252"/>
      <c r="CJV385" s="252"/>
      <c r="CJW385" s="252"/>
      <c r="CJX385" s="252"/>
      <c r="CJY385" s="252"/>
      <c r="CJZ385" s="252"/>
      <c r="CKA385" s="252"/>
      <c r="CKB385" s="252"/>
      <c r="CKC385" s="252"/>
      <c r="CKD385" s="252"/>
      <c r="CKE385" s="252"/>
      <c r="CKF385" s="252"/>
      <c r="CKG385" s="252"/>
      <c r="CKH385" s="252"/>
      <c r="CKI385" s="252"/>
      <c r="CKJ385" s="252"/>
      <c r="CKK385" s="252"/>
      <c r="CKL385" s="252"/>
      <c r="CKM385" s="252"/>
      <c r="CKN385" s="252"/>
      <c r="CKO385" s="252"/>
      <c r="CKP385" s="252"/>
      <c r="CKQ385" s="252"/>
      <c r="CKR385" s="252"/>
      <c r="CKS385" s="252"/>
      <c r="CKT385" s="252"/>
      <c r="CKU385" s="252"/>
      <c r="CKV385" s="252"/>
      <c r="CKW385" s="252"/>
      <c r="CKX385" s="252"/>
      <c r="CKY385" s="252"/>
      <c r="CKZ385" s="252"/>
      <c r="CLA385" s="252"/>
      <c r="CLB385" s="252"/>
      <c r="CLC385" s="252"/>
      <c r="CLD385" s="252"/>
      <c r="CLE385" s="252"/>
      <c r="CLF385" s="252"/>
      <c r="CLG385" s="252"/>
      <c r="CLH385" s="252"/>
      <c r="CLI385" s="252"/>
      <c r="CLJ385" s="252"/>
      <c r="CLK385" s="252"/>
      <c r="CLL385" s="252"/>
      <c r="CLM385" s="252"/>
      <c r="CLN385" s="252"/>
      <c r="CLO385" s="252"/>
      <c r="CLP385" s="252"/>
      <c r="CLQ385" s="252"/>
      <c r="CLR385" s="252"/>
      <c r="CLS385" s="252"/>
      <c r="CLT385" s="252"/>
      <c r="CLU385" s="252"/>
      <c r="CLV385" s="252"/>
      <c r="CLW385" s="252"/>
      <c r="CLX385" s="252"/>
      <c r="CLY385" s="252"/>
      <c r="CLZ385" s="252"/>
      <c r="CMA385" s="252"/>
      <c r="CMB385" s="252"/>
      <c r="CMC385" s="252"/>
      <c r="CMD385" s="252"/>
      <c r="CME385" s="252"/>
      <c r="CMF385" s="252"/>
      <c r="CMG385" s="252"/>
      <c r="CMH385" s="252"/>
      <c r="CMI385" s="252"/>
      <c r="CMJ385" s="252"/>
      <c r="CMK385" s="252"/>
      <c r="CML385" s="252"/>
      <c r="CMM385" s="252"/>
      <c r="CMN385" s="252"/>
      <c r="CMO385" s="252"/>
      <c r="CMP385" s="252"/>
      <c r="CMQ385" s="252"/>
      <c r="CMR385" s="252"/>
      <c r="CMS385" s="252"/>
      <c r="CMT385" s="252"/>
      <c r="CMU385" s="252"/>
      <c r="CMV385" s="252"/>
      <c r="CMW385" s="252"/>
      <c r="CMX385" s="252"/>
      <c r="CMY385" s="252"/>
      <c r="CMZ385" s="252"/>
      <c r="CNA385" s="252"/>
      <c r="CNB385" s="252"/>
      <c r="CNC385" s="252"/>
      <c r="CND385" s="252"/>
      <c r="CNE385" s="252"/>
      <c r="CNF385" s="252"/>
      <c r="CNG385" s="252"/>
      <c r="CNH385" s="252"/>
      <c r="CNI385" s="252"/>
      <c r="CNJ385" s="252"/>
      <c r="CNK385" s="252"/>
      <c r="CNL385" s="252"/>
      <c r="CNM385" s="252"/>
      <c r="CNN385" s="252"/>
      <c r="CNO385" s="252"/>
      <c r="CNP385" s="252"/>
      <c r="CNQ385" s="252"/>
      <c r="CNR385" s="252"/>
      <c r="CNS385" s="252"/>
      <c r="CNT385" s="252"/>
      <c r="CNU385" s="252"/>
      <c r="CNV385" s="252"/>
      <c r="CNW385" s="252"/>
      <c r="CNX385" s="252"/>
      <c r="CNY385" s="252"/>
      <c r="CNZ385" s="252"/>
      <c r="COA385" s="252"/>
      <c r="COB385" s="252"/>
      <c r="COC385" s="252"/>
      <c r="COD385" s="252"/>
      <c r="COE385" s="252"/>
      <c r="COF385" s="252"/>
      <c r="COG385" s="252"/>
      <c r="COH385" s="252"/>
      <c r="COI385" s="252"/>
      <c r="COJ385" s="252"/>
      <c r="COK385" s="252"/>
      <c r="COL385" s="252"/>
      <c r="COM385" s="252"/>
      <c r="CON385" s="252"/>
      <c r="COO385" s="252"/>
      <c r="COP385" s="252"/>
      <c r="COQ385" s="252"/>
      <c r="COR385" s="252"/>
      <c r="COS385" s="252"/>
      <c r="COT385" s="252"/>
      <c r="COU385" s="252"/>
      <c r="COV385" s="252"/>
      <c r="COW385" s="252"/>
      <c r="COX385" s="252"/>
      <c r="COY385" s="252"/>
      <c r="COZ385" s="252"/>
      <c r="CPA385" s="252"/>
      <c r="CPB385" s="252"/>
      <c r="CPC385" s="252"/>
      <c r="CPD385" s="252"/>
      <c r="CPE385" s="252"/>
      <c r="CPF385" s="252"/>
      <c r="CPG385" s="252"/>
      <c r="CPH385" s="252"/>
      <c r="CPI385" s="252"/>
      <c r="CPJ385" s="252"/>
      <c r="CPK385" s="252"/>
      <c r="CPL385" s="252"/>
      <c r="CPM385" s="252"/>
      <c r="CPN385" s="252"/>
      <c r="CPO385" s="252"/>
      <c r="CPP385" s="252"/>
      <c r="CPQ385" s="252"/>
      <c r="CPR385" s="252"/>
      <c r="CPS385" s="252"/>
      <c r="CPT385" s="252"/>
      <c r="CPU385" s="252"/>
      <c r="CPV385" s="252"/>
      <c r="CPW385" s="252"/>
      <c r="CPX385" s="252"/>
      <c r="CPY385" s="252"/>
      <c r="CPZ385" s="252"/>
      <c r="CQA385" s="252"/>
      <c r="CQB385" s="252"/>
      <c r="CQC385" s="252"/>
      <c r="CQD385" s="252"/>
      <c r="CQE385" s="252"/>
      <c r="CQF385" s="252"/>
      <c r="CQG385" s="252"/>
      <c r="CQH385" s="252"/>
      <c r="CQI385" s="252"/>
      <c r="CQJ385" s="252"/>
      <c r="CQK385" s="252"/>
      <c r="CQL385" s="252"/>
      <c r="CQM385" s="252"/>
      <c r="CQN385" s="252"/>
      <c r="CQO385" s="252"/>
      <c r="CQP385" s="252"/>
      <c r="CQQ385" s="252"/>
      <c r="CQR385" s="252"/>
      <c r="CQS385" s="252"/>
      <c r="CQT385" s="252"/>
      <c r="CQU385" s="252"/>
      <c r="CQV385" s="252"/>
      <c r="CQW385" s="252"/>
      <c r="CQX385" s="252"/>
      <c r="CQY385" s="252"/>
      <c r="CQZ385" s="252"/>
      <c r="CRA385" s="252"/>
      <c r="CRB385" s="252"/>
      <c r="CRC385" s="252"/>
      <c r="CRD385" s="252"/>
      <c r="CRE385" s="252"/>
      <c r="CRF385" s="252"/>
      <c r="CRG385" s="252"/>
      <c r="CRH385" s="252"/>
      <c r="CRI385" s="252"/>
      <c r="CRJ385" s="252"/>
      <c r="CRK385" s="252"/>
      <c r="CRL385" s="252"/>
      <c r="CRM385" s="252"/>
      <c r="CRN385" s="252"/>
      <c r="CRO385" s="252"/>
      <c r="CRP385" s="252"/>
      <c r="CRQ385" s="252"/>
      <c r="CRR385" s="252"/>
      <c r="CRS385" s="252"/>
      <c r="CRT385" s="252"/>
      <c r="CRU385" s="252"/>
      <c r="CRV385" s="252"/>
      <c r="CRW385" s="252"/>
      <c r="CRX385" s="252"/>
      <c r="CRY385" s="252"/>
      <c r="CRZ385" s="252"/>
      <c r="CSA385" s="252"/>
      <c r="CSB385" s="252"/>
      <c r="CSC385" s="252"/>
      <c r="CSD385" s="252"/>
      <c r="CSE385" s="252"/>
      <c r="CSF385" s="252"/>
      <c r="CSG385" s="252"/>
      <c r="CSH385" s="252"/>
      <c r="CSI385" s="252"/>
      <c r="CSJ385" s="252"/>
      <c r="CSK385" s="252"/>
      <c r="CSL385" s="252"/>
      <c r="CSM385" s="252"/>
      <c r="CSN385" s="252"/>
      <c r="CSO385" s="252"/>
      <c r="CSP385" s="252"/>
      <c r="CSQ385" s="252"/>
      <c r="CSR385" s="252"/>
      <c r="CSS385" s="252"/>
      <c r="CST385" s="252"/>
      <c r="CSU385" s="252"/>
      <c r="CSV385" s="252"/>
      <c r="CSW385" s="252"/>
      <c r="CSX385" s="252"/>
      <c r="CSY385" s="252"/>
      <c r="CSZ385" s="252"/>
      <c r="CTA385" s="252"/>
      <c r="CTB385" s="252"/>
      <c r="CTC385" s="252"/>
      <c r="CTD385" s="252"/>
      <c r="CTE385" s="252"/>
      <c r="CTF385" s="252"/>
      <c r="CTG385" s="252"/>
      <c r="CTH385" s="252"/>
      <c r="CTI385" s="252"/>
      <c r="CTJ385" s="252"/>
      <c r="CTK385" s="252"/>
      <c r="CTL385" s="252"/>
      <c r="CTM385" s="252"/>
      <c r="CTN385" s="252"/>
      <c r="CTO385" s="252"/>
      <c r="CTP385" s="252"/>
      <c r="CTQ385" s="252"/>
      <c r="CTR385" s="252"/>
      <c r="CTS385" s="252"/>
      <c r="CTT385" s="252"/>
      <c r="CTU385" s="252"/>
      <c r="CTV385" s="252"/>
      <c r="CTW385" s="252"/>
      <c r="CTX385" s="252"/>
      <c r="CTY385" s="252"/>
      <c r="CTZ385" s="252"/>
      <c r="CUA385" s="252"/>
      <c r="CUB385" s="252"/>
      <c r="CUC385" s="252"/>
      <c r="CUD385" s="252"/>
      <c r="CUE385" s="252"/>
      <c r="CUF385" s="252"/>
      <c r="CUG385" s="252"/>
      <c r="CUH385" s="252"/>
      <c r="CUI385" s="252"/>
      <c r="CUJ385" s="252"/>
      <c r="CUK385" s="252"/>
      <c r="CUL385" s="252"/>
      <c r="CUM385" s="252"/>
      <c r="CUN385" s="252"/>
      <c r="CUO385" s="252"/>
      <c r="CUP385" s="252"/>
      <c r="CUQ385" s="252"/>
      <c r="CUR385" s="252"/>
      <c r="CUS385" s="252"/>
      <c r="CUT385" s="252"/>
      <c r="CUU385" s="252"/>
      <c r="CUV385" s="252"/>
      <c r="CUW385" s="252"/>
      <c r="CUX385" s="252"/>
      <c r="CUY385" s="252"/>
      <c r="CUZ385" s="252"/>
      <c r="CVA385" s="252"/>
      <c r="CVB385" s="252"/>
      <c r="CVC385" s="252"/>
      <c r="CVD385" s="252"/>
      <c r="CVE385" s="252"/>
      <c r="CVF385" s="252"/>
      <c r="CVG385" s="252"/>
      <c r="CVH385" s="252"/>
      <c r="CVI385" s="252"/>
      <c r="CVJ385" s="252"/>
      <c r="CVK385" s="252"/>
      <c r="CVL385" s="252"/>
      <c r="CVM385" s="252"/>
      <c r="CVN385" s="252"/>
      <c r="CVO385" s="252"/>
      <c r="CVP385" s="252"/>
      <c r="CVQ385" s="252"/>
      <c r="CVR385" s="252"/>
      <c r="CVS385" s="252"/>
      <c r="CVT385" s="252"/>
      <c r="CVU385" s="252"/>
      <c r="CVV385" s="252"/>
      <c r="CVW385" s="252"/>
      <c r="CVX385" s="252"/>
      <c r="CVY385" s="252"/>
      <c r="CVZ385" s="252"/>
      <c r="CWA385" s="252"/>
      <c r="CWB385" s="252"/>
      <c r="CWC385" s="252"/>
      <c r="CWD385" s="252"/>
      <c r="CWE385" s="252"/>
      <c r="CWF385" s="252"/>
      <c r="CWG385" s="252"/>
      <c r="CWH385" s="252"/>
      <c r="CWI385" s="252"/>
      <c r="CWJ385" s="252"/>
      <c r="CWK385" s="252"/>
      <c r="CWL385" s="252"/>
      <c r="CWM385" s="252"/>
      <c r="CWN385" s="252"/>
      <c r="CWO385" s="252"/>
      <c r="CWP385" s="252"/>
      <c r="CWQ385" s="252"/>
      <c r="CWR385" s="252"/>
      <c r="CWS385" s="252"/>
      <c r="CWT385" s="252"/>
      <c r="CWU385" s="252"/>
      <c r="CWV385" s="252"/>
      <c r="CWW385" s="252"/>
      <c r="CWX385" s="252"/>
      <c r="CWY385" s="252"/>
      <c r="CWZ385" s="252"/>
      <c r="CXA385" s="252"/>
      <c r="CXB385" s="252"/>
      <c r="CXC385" s="252"/>
      <c r="CXD385" s="252"/>
      <c r="CXE385" s="252"/>
      <c r="CXF385" s="252"/>
      <c r="CXG385" s="252"/>
      <c r="CXH385" s="252"/>
      <c r="CXI385" s="252"/>
      <c r="CXJ385" s="252"/>
      <c r="CXK385" s="252"/>
      <c r="CXL385" s="252"/>
      <c r="CXM385" s="252"/>
      <c r="CXN385" s="252"/>
      <c r="CXO385" s="252"/>
      <c r="CXP385" s="252"/>
      <c r="CXQ385" s="252"/>
      <c r="CXR385" s="252"/>
      <c r="CXS385" s="252"/>
      <c r="CXT385" s="252"/>
      <c r="CXU385" s="252"/>
      <c r="CXV385" s="252"/>
      <c r="CXW385" s="252"/>
      <c r="CXX385" s="252"/>
      <c r="CXY385" s="252"/>
      <c r="CXZ385" s="252"/>
      <c r="CYA385" s="252"/>
      <c r="CYB385" s="252"/>
      <c r="CYC385" s="252"/>
      <c r="CYD385" s="252"/>
      <c r="CYE385" s="252"/>
      <c r="CYF385" s="252"/>
      <c r="CYG385" s="252"/>
      <c r="CYH385" s="252"/>
      <c r="CYI385" s="252"/>
      <c r="CYJ385" s="252"/>
      <c r="CYK385" s="252"/>
      <c r="CYL385" s="252"/>
      <c r="CYM385" s="252"/>
      <c r="CYN385" s="252"/>
      <c r="CYO385" s="252"/>
      <c r="CYP385" s="252"/>
      <c r="CYQ385" s="252"/>
      <c r="CYR385" s="252"/>
      <c r="CYS385" s="252"/>
      <c r="CYT385" s="252"/>
      <c r="CYU385" s="252"/>
      <c r="CYV385" s="252"/>
      <c r="CYW385" s="252"/>
      <c r="CYX385" s="252"/>
      <c r="CYY385" s="252"/>
      <c r="CYZ385" s="252"/>
      <c r="CZA385" s="252"/>
      <c r="CZB385" s="252"/>
      <c r="CZC385" s="252"/>
      <c r="CZD385" s="252"/>
      <c r="CZE385" s="252"/>
      <c r="CZF385" s="252"/>
      <c r="CZG385" s="252"/>
      <c r="CZH385" s="252"/>
      <c r="CZI385" s="252"/>
      <c r="CZJ385" s="252"/>
      <c r="CZK385" s="252"/>
      <c r="CZL385" s="252"/>
      <c r="CZM385" s="252"/>
      <c r="CZN385" s="252"/>
      <c r="CZO385" s="252"/>
      <c r="CZP385" s="252"/>
      <c r="CZQ385" s="252"/>
      <c r="CZR385" s="252"/>
      <c r="CZS385" s="252"/>
      <c r="CZT385" s="252"/>
      <c r="CZU385" s="252"/>
      <c r="CZV385" s="252"/>
      <c r="CZW385" s="252"/>
      <c r="CZX385" s="252"/>
      <c r="CZY385" s="252"/>
      <c r="CZZ385" s="252"/>
      <c r="DAA385" s="252"/>
      <c r="DAB385" s="252"/>
      <c r="DAC385" s="252"/>
      <c r="DAD385" s="252"/>
      <c r="DAE385" s="252"/>
      <c r="DAF385" s="252"/>
      <c r="DAG385" s="252"/>
      <c r="DAH385" s="252"/>
      <c r="DAI385" s="252"/>
      <c r="DAJ385" s="252"/>
      <c r="DAK385" s="252"/>
      <c r="DAL385" s="252"/>
      <c r="DAM385" s="252"/>
      <c r="DAN385" s="252"/>
      <c r="DAO385" s="252"/>
      <c r="DAP385" s="252"/>
      <c r="DAQ385" s="252"/>
      <c r="DAR385" s="252"/>
      <c r="DAS385" s="252"/>
      <c r="DAT385" s="252"/>
      <c r="DAU385" s="252"/>
      <c r="DAV385" s="252"/>
      <c r="DAW385" s="252"/>
      <c r="DAX385" s="252"/>
      <c r="DAY385" s="252"/>
      <c r="DAZ385" s="252"/>
      <c r="DBA385" s="252"/>
      <c r="DBB385" s="252"/>
      <c r="DBC385" s="252"/>
      <c r="DBD385" s="252"/>
      <c r="DBE385" s="252"/>
      <c r="DBF385" s="252"/>
      <c r="DBG385" s="252"/>
      <c r="DBH385" s="252"/>
      <c r="DBI385" s="252"/>
      <c r="DBJ385" s="252"/>
      <c r="DBK385" s="252"/>
      <c r="DBL385" s="252"/>
      <c r="DBM385" s="252"/>
      <c r="DBN385" s="252"/>
      <c r="DBO385" s="252"/>
      <c r="DBP385" s="252"/>
      <c r="DBQ385" s="252"/>
      <c r="DBR385" s="252"/>
      <c r="DBS385" s="252"/>
      <c r="DBT385" s="252"/>
      <c r="DBU385" s="252"/>
      <c r="DBV385" s="252"/>
      <c r="DBW385" s="252"/>
      <c r="DBX385" s="252"/>
      <c r="DBY385" s="252"/>
      <c r="DBZ385" s="252"/>
      <c r="DCA385" s="252"/>
      <c r="DCB385" s="252"/>
      <c r="DCC385" s="252"/>
      <c r="DCD385" s="252"/>
      <c r="DCE385" s="252"/>
      <c r="DCF385" s="252"/>
      <c r="DCG385" s="252"/>
      <c r="DCH385" s="252"/>
      <c r="DCI385" s="252"/>
      <c r="DCJ385" s="252"/>
      <c r="DCK385" s="252"/>
      <c r="DCL385" s="252"/>
      <c r="DCM385" s="252"/>
      <c r="DCN385" s="252"/>
      <c r="DCO385" s="252"/>
      <c r="DCP385" s="252"/>
      <c r="DCQ385" s="252"/>
      <c r="DCR385" s="252"/>
      <c r="DCS385" s="252"/>
      <c r="DCT385" s="252"/>
      <c r="DCU385" s="252"/>
      <c r="DCV385" s="252"/>
      <c r="DCW385" s="252"/>
      <c r="DCX385" s="252"/>
      <c r="DCY385" s="252"/>
      <c r="DCZ385" s="252"/>
      <c r="DDA385" s="252"/>
      <c r="DDB385" s="252"/>
      <c r="DDC385" s="252"/>
      <c r="DDD385" s="252"/>
      <c r="DDE385" s="252"/>
      <c r="DDF385" s="252"/>
      <c r="DDG385" s="252"/>
      <c r="DDH385" s="252"/>
      <c r="DDI385" s="252"/>
      <c r="DDJ385" s="252"/>
      <c r="DDK385" s="252"/>
      <c r="DDL385" s="252"/>
      <c r="DDM385" s="252"/>
      <c r="DDN385" s="252"/>
      <c r="DDO385" s="252"/>
      <c r="DDP385" s="252"/>
      <c r="DDQ385" s="252"/>
      <c r="DDR385" s="252"/>
      <c r="DDS385" s="252"/>
      <c r="DDT385" s="252"/>
      <c r="DDU385" s="252"/>
      <c r="DDV385" s="252"/>
      <c r="DDW385" s="252"/>
      <c r="DDX385" s="252"/>
      <c r="DDY385" s="252"/>
      <c r="DDZ385" s="252"/>
      <c r="DEA385" s="252"/>
      <c r="DEB385" s="252"/>
      <c r="DEC385" s="252"/>
      <c r="DED385" s="252"/>
      <c r="DEE385" s="252"/>
      <c r="DEF385" s="252"/>
      <c r="DEG385" s="252"/>
      <c r="DEH385" s="252"/>
      <c r="DEI385" s="252"/>
      <c r="DEJ385" s="252"/>
      <c r="DEK385" s="252"/>
      <c r="DEL385" s="252"/>
      <c r="DEM385" s="252"/>
      <c r="DEN385" s="252"/>
      <c r="DEO385" s="252"/>
      <c r="DEP385" s="252"/>
      <c r="DEQ385" s="252"/>
      <c r="DER385" s="252"/>
      <c r="DES385" s="252"/>
      <c r="DET385" s="252"/>
      <c r="DEU385" s="252"/>
      <c r="DEV385" s="252"/>
      <c r="DEW385" s="252"/>
      <c r="DEX385" s="252"/>
      <c r="DEY385" s="252"/>
      <c r="DEZ385" s="252"/>
      <c r="DFA385" s="252"/>
      <c r="DFB385" s="252"/>
      <c r="DFC385" s="252"/>
      <c r="DFD385" s="252"/>
      <c r="DFE385" s="252"/>
      <c r="DFF385" s="252"/>
      <c r="DFG385" s="252"/>
      <c r="DFH385" s="252"/>
      <c r="DFI385" s="252"/>
      <c r="DFJ385" s="252"/>
      <c r="DFK385" s="252"/>
      <c r="DFL385" s="252"/>
      <c r="DFM385" s="252"/>
      <c r="DFN385" s="252"/>
      <c r="DFO385" s="252"/>
      <c r="DFP385" s="252"/>
      <c r="DFQ385" s="252"/>
      <c r="DFR385" s="252"/>
      <c r="DFS385" s="252"/>
      <c r="DFT385" s="252"/>
      <c r="DFU385" s="252"/>
      <c r="DFV385" s="252"/>
      <c r="DFW385" s="252"/>
      <c r="DFX385" s="252"/>
      <c r="DFY385" s="252"/>
      <c r="DFZ385" s="252"/>
      <c r="DGA385" s="252"/>
      <c r="DGB385" s="252"/>
      <c r="DGC385" s="252"/>
      <c r="DGD385" s="252"/>
      <c r="DGE385" s="252"/>
      <c r="DGF385" s="252"/>
      <c r="DGG385" s="252"/>
      <c r="DGH385" s="252"/>
      <c r="DGI385" s="252"/>
      <c r="DGJ385" s="252"/>
      <c r="DGK385" s="252"/>
      <c r="DGL385" s="252"/>
      <c r="DGM385" s="252"/>
      <c r="DGN385" s="252"/>
      <c r="DGO385" s="252"/>
      <c r="DGP385" s="252"/>
      <c r="DGQ385" s="252"/>
      <c r="DGR385" s="252"/>
      <c r="DGS385" s="252"/>
      <c r="DGT385" s="252"/>
      <c r="DGU385" s="252"/>
      <c r="DGV385" s="252"/>
      <c r="DGW385" s="252"/>
      <c r="DGX385" s="252"/>
      <c r="DGY385" s="252"/>
      <c r="DGZ385" s="252"/>
      <c r="DHA385" s="252"/>
      <c r="DHB385" s="252"/>
      <c r="DHC385" s="252"/>
      <c r="DHD385" s="252"/>
      <c r="DHE385" s="252"/>
      <c r="DHF385" s="252"/>
      <c r="DHG385" s="252"/>
      <c r="DHH385" s="252"/>
      <c r="DHI385" s="252"/>
      <c r="DHJ385" s="252"/>
      <c r="DHK385" s="252"/>
      <c r="DHL385" s="252"/>
      <c r="DHM385" s="252"/>
      <c r="DHN385" s="252"/>
      <c r="DHO385" s="252"/>
      <c r="DHP385" s="252"/>
      <c r="DHQ385" s="252"/>
      <c r="DHR385" s="252"/>
      <c r="DHS385" s="252"/>
      <c r="DHT385" s="252"/>
      <c r="DHU385" s="252"/>
      <c r="DHV385" s="252"/>
      <c r="DHW385" s="252"/>
      <c r="DHX385" s="252"/>
      <c r="DHY385" s="252"/>
      <c r="DHZ385" s="252"/>
      <c r="DIA385" s="252"/>
      <c r="DIB385" s="252"/>
      <c r="DIC385" s="252"/>
      <c r="DID385" s="252"/>
      <c r="DIE385" s="252"/>
      <c r="DIF385" s="252"/>
      <c r="DIG385" s="252"/>
      <c r="DIH385" s="252"/>
      <c r="DII385" s="252"/>
      <c r="DIJ385" s="252"/>
      <c r="DIK385" s="252"/>
      <c r="DIL385" s="252"/>
      <c r="DIM385" s="252"/>
      <c r="DIN385" s="252"/>
      <c r="DIO385" s="252"/>
      <c r="DIP385" s="252"/>
      <c r="DIQ385" s="252"/>
      <c r="DIR385" s="252"/>
      <c r="DIS385" s="252"/>
      <c r="DIT385" s="252"/>
      <c r="DIU385" s="252"/>
      <c r="DIV385" s="252"/>
      <c r="DIW385" s="252"/>
      <c r="DIX385" s="252"/>
      <c r="DIY385" s="252"/>
      <c r="DIZ385" s="252"/>
      <c r="DJA385" s="252"/>
      <c r="DJB385" s="252"/>
      <c r="DJC385" s="252"/>
      <c r="DJD385" s="252"/>
      <c r="DJE385" s="252"/>
      <c r="DJF385" s="252"/>
      <c r="DJG385" s="252"/>
      <c r="DJH385" s="252"/>
      <c r="DJI385" s="252"/>
      <c r="DJJ385" s="252"/>
      <c r="DJK385" s="252"/>
      <c r="DJL385" s="252"/>
      <c r="DJM385" s="252"/>
      <c r="DJN385" s="252"/>
      <c r="DJO385" s="252"/>
      <c r="DJP385" s="252"/>
      <c r="DJQ385" s="252"/>
      <c r="DJR385" s="252"/>
      <c r="DJS385" s="252"/>
      <c r="DJT385" s="252"/>
      <c r="DJU385" s="252"/>
      <c r="DJV385" s="252"/>
      <c r="DJW385" s="252"/>
      <c r="DJX385" s="252"/>
      <c r="DJY385" s="252"/>
      <c r="DJZ385" s="252"/>
      <c r="DKA385" s="252"/>
      <c r="DKB385" s="252"/>
      <c r="DKC385" s="252"/>
      <c r="DKD385" s="252"/>
      <c r="DKE385" s="252"/>
      <c r="DKF385" s="252"/>
      <c r="DKG385" s="252"/>
      <c r="DKH385" s="252"/>
      <c r="DKI385" s="252"/>
      <c r="DKJ385" s="252"/>
      <c r="DKK385" s="252"/>
      <c r="DKL385" s="252"/>
      <c r="DKM385" s="252"/>
      <c r="DKN385" s="252"/>
      <c r="DKO385" s="252"/>
      <c r="DKP385" s="252"/>
      <c r="DKQ385" s="252"/>
      <c r="DKR385" s="252"/>
      <c r="DKS385" s="252"/>
      <c r="DKT385" s="252"/>
      <c r="DKU385" s="252"/>
      <c r="DKV385" s="252"/>
      <c r="DKW385" s="252"/>
      <c r="DKX385" s="252"/>
      <c r="DKY385" s="252"/>
      <c r="DKZ385" s="252"/>
      <c r="DLA385" s="252"/>
      <c r="DLB385" s="252"/>
      <c r="DLC385" s="252"/>
      <c r="DLD385" s="252"/>
      <c r="DLE385" s="252"/>
      <c r="DLF385" s="252"/>
      <c r="DLG385" s="252"/>
      <c r="DLH385" s="252"/>
      <c r="DLI385" s="252"/>
      <c r="DLJ385" s="252"/>
      <c r="DLK385" s="252"/>
      <c r="DLL385" s="252"/>
      <c r="DLM385" s="252"/>
      <c r="DLN385" s="252"/>
      <c r="DLO385" s="252"/>
      <c r="DLP385" s="252"/>
      <c r="DLQ385" s="252"/>
      <c r="DLR385" s="252"/>
      <c r="DLS385" s="252"/>
      <c r="DLT385" s="252"/>
      <c r="DLU385" s="252"/>
      <c r="DLV385" s="252"/>
      <c r="DLW385" s="252"/>
      <c r="DLX385" s="252"/>
      <c r="DLY385" s="252"/>
      <c r="DLZ385" s="252"/>
      <c r="DMA385" s="252"/>
      <c r="DMB385" s="252"/>
      <c r="DMC385" s="252"/>
      <c r="DMD385" s="252"/>
      <c r="DME385" s="252"/>
      <c r="DMF385" s="252"/>
      <c r="DMG385" s="252"/>
      <c r="DMH385" s="252"/>
      <c r="DMI385" s="252"/>
      <c r="DMJ385" s="252"/>
      <c r="DMK385" s="252"/>
      <c r="DML385" s="252"/>
      <c r="DMM385" s="252"/>
      <c r="DMN385" s="252"/>
      <c r="DMO385" s="252"/>
      <c r="DMP385" s="252"/>
      <c r="DMQ385" s="252"/>
      <c r="DMR385" s="252"/>
      <c r="DMS385" s="252"/>
      <c r="DMT385" s="252"/>
      <c r="DMU385" s="252"/>
      <c r="DMV385" s="252"/>
      <c r="DMW385" s="252"/>
      <c r="DMX385" s="252"/>
      <c r="DMY385" s="252"/>
      <c r="DMZ385" s="252"/>
      <c r="DNA385" s="252"/>
      <c r="DNB385" s="252"/>
      <c r="DNC385" s="252"/>
      <c r="DND385" s="252"/>
      <c r="DNE385" s="252"/>
      <c r="DNF385" s="252"/>
      <c r="DNG385" s="252"/>
      <c r="DNH385" s="252"/>
      <c r="DNI385" s="252"/>
      <c r="DNJ385" s="252"/>
      <c r="DNK385" s="252"/>
      <c r="DNL385" s="252"/>
      <c r="DNM385" s="252"/>
      <c r="DNN385" s="252"/>
      <c r="DNO385" s="252"/>
      <c r="DNP385" s="252"/>
      <c r="DNQ385" s="252"/>
      <c r="DNR385" s="252"/>
      <c r="DNS385" s="252"/>
      <c r="DNT385" s="252"/>
      <c r="DNU385" s="252"/>
      <c r="DNV385" s="252"/>
      <c r="DNW385" s="252"/>
      <c r="DNX385" s="252"/>
      <c r="DNY385" s="252"/>
      <c r="DNZ385" s="252"/>
      <c r="DOA385" s="252"/>
      <c r="DOB385" s="252"/>
      <c r="DOC385" s="252"/>
      <c r="DOD385" s="252"/>
      <c r="DOE385" s="252"/>
      <c r="DOF385" s="252"/>
      <c r="DOG385" s="252"/>
      <c r="DOH385" s="252"/>
      <c r="DOI385" s="252"/>
      <c r="DOJ385" s="252"/>
      <c r="DOK385" s="252"/>
      <c r="DOL385" s="252"/>
      <c r="DOM385" s="252"/>
      <c r="DON385" s="252"/>
      <c r="DOO385" s="252"/>
      <c r="DOP385" s="252"/>
      <c r="DOQ385" s="252"/>
      <c r="DOR385" s="252"/>
      <c r="DOS385" s="252"/>
      <c r="DOT385" s="252"/>
      <c r="DOU385" s="252"/>
      <c r="DOV385" s="252"/>
      <c r="DOW385" s="252"/>
      <c r="DOX385" s="252"/>
      <c r="DOY385" s="252"/>
      <c r="DOZ385" s="252"/>
      <c r="DPA385" s="252"/>
      <c r="DPB385" s="252"/>
      <c r="DPC385" s="252"/>
      <c r="DPD385" s="252"/>
      <c r="DPE385" s="252"/>
      <c r="DPF385" s="252"/>
      <c r="DPG385" s="252"/>
      <c r="DPH385" s="252"/>
      <c r="DPI385" s="252"/>
      <c r="DPJ385" s="252"/>
      <c r="DPK385" s="252"/>
      <c r="DPL385" s="252"/>
      <c r="DPM385" s="252"/>
      <c r="DPN385" s="252"/>
      <c r="DPO385" s="252"/>
      <c r="DPP385" s="252"/>
      <c r="DPQ385" s="252"/>
      <c r="DPR385" s="252"/>
      <c r="DPS385" s="252"/>
      <c r="DPT385" s="252"/>
      <c r="DPU385" s="252"/>
      <c r="DPV385" s="252"/>
      <c r="DPW385" s="252"/>
      <c r="DPX385" s="252"/>
      <c r="DPY385" s="252"/>
      <c r="DPZ385" s="252"/>
      <c r="DQA385" s="252"/>
      <c r="DQB385" s="252"/>
      <c r="DQC385" s="252"/>
      <c r="DQD385" s="252"/>
      <c r="DQE385" s="252"/>
      <c r="DQF385" s="252"/>
      <c r="DQG385" s="252"/>
      <c r="DQH385" s="252"/>
      <c r="DQI385" s="252"/>
      <c r="DQJ385" s="252"/>
      <c r="DQK385" s="252"/>
      <c r="DQL385" s="252"/>
      <c r="DQM385" s="252"/>
      <c r="DQN385" s="252"/>
      <c r="DQO385" s="252"/>
      <c r="DQP385" s="252"/>
      <c r="DQQ385" s="252"/>
      <c r="DQR385" s="252"/>
      <c r="DQS385" s="252"/>
      <c r="DQT385" s="252"/>
      <c r="DQU385" s="252"/>
      <c r="DQV385" s="252"/>
      <c r="DQW385" s="252"/>
      <c r="DQX385" s="252"/>
      <c r="DQY385" s="252"/>
      <c r="DQZ385" s="252"/>
      <c r="DRA385" s="252"/>
      <c r="DRB385" s="252"/>
      <c r="DRC385" s="252"/>
      <c r="DRD385" s="252"/>
      <c r="DRE385" s="252"/>
      <c r="DRF385" s="252"/>
      <c r="DRG385" s="252"/>
      <c r="DRH385" s="252"/>
      <c r="DRI385" s="252"/>
      <c r="DRJ385" s="252"/>
      <c r="DRK385" s="252"/>
      <c r="DRL385" s="252"/>
      <c r="DRM385" s="252"/>
      <c r="DRN385" s="252"/>
      <c r="DRO385" s="252"/>
      <c r="DRP385" s="252"/>
      <c r="DRQ385" s="252"/>
      <c r="DRR385" s="252"/>
      <c r="DRS385" s="252"/>
      <c r="DRT385" s="252"/>
      <c r="DRU385" s="252"/>
      <c r="DRV385" s="252"/>
      <c r="DRW385" s="252"/>
      <c r="DRX385" s="252"/>
      <c r="DRY385" s="252"/>
      <c r="DRZ385" s="252"/>
      <c r="DSA385" s="252"/>
      <c r="DSB385" s="252"/>
      <c r="DSC385" s="252"/>
      <c r="DSD385" s="252"/>
      <c r="DSE385" s="252"/>
      <c r="DSF385" s="252"/>
      <c r="DSG385" s="252"/>
      <c r="DSH385" s="252"/>
      <c r="DSI385" s="252"/>
      <c r="DSJ385" s="252"/>
      <c r="DSK385" s="252"/>
      <c r="DSL385" s="252"/>
      <c r="DSM385" s="252"/>
      <c r="DSN385" s="252"/>
      <c r="DSO385" s="252"/>
      <c r="DSP385" s="252"/>
      <c r="DSQ385" s="252"/>
      <c r="DSR385" s="252"/>
      <c r="DSS385" s="252"/>
      <c r="DST385" s="252"/>
      <c r="DSU385" s="252"/>
      <c r="DSV385" s="252"/>
      <c r="DSW385" s="252"/>
      <c r="DSX385" s="252"/>
      <c r="DSY385" s="252"/>
      <c r="DSZ385" s="252"/>
      <c r="DTA385" s="252"/>
      <c r="DTB385" s="252"/>
      <c r="DTC385" s="252"/>
      <c r="DTD385" s="252"/>
      <c r="DTE385" s="252"/>
      <c r="DTF385" s="252"/>
      <c r="DTG385" s="252"/>
      <c r="DTH385" s="252"/>
      <c r="DTI385" s="252"/>
      <c r="DTJ385" s="252"/>
      <c r="DTK385" s="252"/>
      <c r="DTL385" s="252"/>
      <c r="DTM385" s="252"/>
      <c r="DTN385" s="252"/>
      <c r="DTO385" s="252"/>
      <c r="DTP385" s="252"/>
      <c r="DTQ385" s="252"/>
      <c r="DTR385" s="252"/>
      <c r="DTS385" s="252"/>
      <c r="DTT385" s="252"/>
      <c r="DTU385" s="252"/>
      <c r="DTV385" s="252"/>
      <c r="DTW385" s="252"/>
      <c r="DTX385" s="252"/>
      <c r="DTY385" s="252"/>
      <c r="DTZ385" s="252"/>
      <c r="DUA385" s="252"/>
      <c r="DUB385" s="252"/>
      <c r="DUC385" s="252"/>
      <c r="DUD385" s="252"/>
      <c r="DUE385" s="252"/>
      <c r="DUF385" s="252"/>
      <c r="DUG385" s="252"/>
      <c r="DUH385" s="252"/>
      <c r="DUI385" s="252"/>
      <c r="DUJ385" s="252"/>
      <c r="DUK385" s="252"/>
      <c r="DUL385" s="252"/>
      <c r="DUM385" s="252"/>
      <c r="DUN385" s="252"/>
      <c r="DUO385" s="252"/>
      <c r="DUP385" s="252"/>
      <c r="DUQ385" s="252"/>
      <c r="DUR385" s="252"/>
      <c r="DUS385" s="252"/>
      <c r="DUT385" s="252"/>
      <c r="DUU385" s="252"/>
      <c r="DUV385" s="252"/>
      <c r="DUW385" s="252"/>
      <c r="DUX385" s="252"/>
      <c r="DUY385" s="252"/>
      <c r="DUZ385" s="252"/>
      <c r="DVA385" s="252"/>
      <c r="DVB385" s="252"/>
      <c r="DVC385" s="252"/>
      <c r="DVD385" s="252"/>
      <c r="DVE385" s="252"/>
      <c r="DVF385" s="252"/>
      <c r="DVG385" s="252"/>
      <c r="DVH385" s="252"/>
      <c r="DVI385" s="252"/>
      <c r="DVJ385" s="252"/>
      <c r="DVK385" s="252"/>
      <c r="DVL385" s="252"/>
      <c r="DVM385" s="252"/>
      <c r="DVN385" s="252"/>
      <c r="DVO385" s="252"/>
      <c r="DVP385" s="252"/>
      <c r="DVQ385" s="252"/>
      <c r="DVR385" s="252"/>
      <c r="DVS385" s="252"/>
      <c r="DVT385" s="252"/>
      <c r="DVU385" s="252"/>
      <c r="DVV385" s="252"/>
      <c r="DVW385" s="252"/>
      <c r="DVX385" s="252"/>
      <c r="DVY385" s="252"/>
      <c r="DVZ385" s="252"/>
      <c r="DWA385" s="252"/>
      <c r="DWB385" s="252"/>
      <c r="DWC385" s="252"/>
      <c r="DWD385" s="252"/>
      <c r="DWE385" s="252"/>
      <c r="DWF385" s="252"/>
      <c r="DWG385" s="252"/>
      <c r="DWH385" s="252"/>
      <c r="DWI385" s="252"/>
      <c r="DWJ385" s="252"/>
      <c r="DWK385" s="252"/>
      <c r="DWL385" s="252"/>
      <c r="DWM385" s="252"/>
      <c r="DWN385" s="252"/>
      <c r="DWO385" s="252"/>
      <c r="DWP385" s="252"/>
      <c r="DWQ385" s="252"/>
      <c r="DWR385" s="252"/>
      <c r="DWS385" s="252"/>
      <c r="DWT385" s="252"/>
      <c r="DWU385" s="252"/>
      <c r="DWV385" s="252"/>
      <c r="DWW385" s="252"/>
      <c r="DWX385" s="252"/>
      <c r="DWY385" s="252"/>
      <c r="DWZ385" s="252"/>
      <c r="DXA385" s="252"/>
      <c r="DXB385" s="252"/>
      <c r="DXC385" s="252"/>
      <c r="DXD385" s="252"/>
      <c r="DXE385" s="252"/>
      <c r="DXF385" s="252"/>
      <c r="DXG385" s="252"/>
      <c r="DXH385" s="252"/>
      <c r="DXI385" s="252"/>
      <c r="DXJ385" s="252"/>
      <c r="DXK385" s="252"/>
      <c r="DXL385" s="252"/>
      <c r="DXM385" s="252"/>
      <c r="DXN385" s="252"/>
      <c r="DXO385" s="252"/>
      <c r="DXP385" s="252"/>
      <c r="DXQ385" s="252"/>
      <c r="DXR385" s="252"/>
      <c r="DXS385" s="252"/>
      <c r="DXT385" s="252"/>
      <c r="DXU385" s="252"/>
      <c r="DXV385" s="252"/>
      <c r="DXW385" s="252"/>
      <c r="DXX385" s="252"/>
      <c r="DXY385" s="252"/>
      <c r="DXZ385" s="252"/>
      <c r="DYA385" s="252"/>
      <c r="DYB385" s="252"/>
      <c r="DYC385" s="252"/>
      <c r="DYD385" s="252"/>
      <c r="DYE385" s="252"/>
      <c r="DYF385" s="252"/>
      <c r="DYG385" s="252"/>
      <c r="DYH385" s="252"/>
      <c r="DYI385" s="252"/>
      <c r="DYJ385" s="252"/>
      <c r="DYK385" s="252"/>
      <c r="DYL385" s="252"/>
      <c r="DYM385" s="252"/>
      <c r="DYN385" s="252"/>
      <c r="DYO385" s="252"/>
      <c r="DYP385" s="252"/>
      <c r="DYQ385" s="252"/>
      <c r="DYR385" s="252"/>
      <c r="DYS385" s="252"/>
      <c r="DYT385" s="252"/>
      <c r="DYU385" s="252"/>
      <c r="DYV385" s="252"/>
      <c r="DYW385" s="252"/>
      <c r="DYX385" s="252"/>
      <c r="DYY385" s="252"/>
      <c r="DYZ385" s="252"/>
      <c r="DZA385" s="252"/>
      <c r="DZB385" s="252"/>
      <c r="DZC385" s="252"/>
      <c r="DZD385" s="252"/>
      <c r="DZE385" s="252"/>
      <c r="DZF385" s="252"/>
      <c r="DZG385" s="252"/>
      <c r="DZH385" s="252"/>
      <c r="DZI385" s="252"/>
      <c r="DZJ385" s="252"/>
      <c r="DZK385" s="252"/>
      <c r="DZL385" s="252"/>
      <c r="DZM385" s="252"/>
      <c r="DZN385" s="252"/>
      <c r="DZO385" s="252"/>
      <c r="DZP385" s="252"/>
      <c r="DZQ385" s="252"/>
      <c r="DZR385" s="252"/>
      <c r="DZS385" s="252"/>
      <c r="DZT385" s="252"/>
      <c r="DZU385" s="252"/>
      <c r="DZV385" s="252"/>
      <c r="DZW385" s="252"/>
      <c r="DZX385" s="252"/>
      <c r="DZY385" s="252"/>
      <c r="DZZ385" s="252"/>
      <c r="EAA385" s="252"/>
      <c r="EAB385" s="252"/>
      <c r="EAC385" s="252"/>
      <c r="EAD385" s="252"/>
      <c r="EAE385" s="252"/>
      <c r="EAF385" s="252"/>
      <c r="EAG385" s="252"/>
      <c r="EAH385" s="252"/>
      <c r="EAI385" s="252"/>
      <c r="EAJ385" s="252"/>
      <c r="EAK385" s="252"/>
      <c r="EAL385" s="252"/>
      <c r="EAM385" s="252"/>
      <c r="EAN385" s="252"/>
      <c r="EAO385" s="252"/>
      <c r="EAP385" s="252"/>
      <c r="EAQ385" s="252"/>
      <c r="EAR385" s="252"/>
      <c r="EAS385" s="252"/>
      <c r="EAT385" s="252"/>
      <c r="EAU385" s="252"/>
      <c r="EAV385" s="252"/>
      <c r="EAW385" s="252"/>
      <c r="EAX385" s="252"/>
      <c r="EAY385" s="252"/>
      <c r="EAZ385" s="252"/>
      <c r="EBA385" s="252"/>
      <c r="EBB385" s="252"/>
      <c r="EBC385" s="252"/>
      <c r="EBD385" s="252"/>
      <c r="EBE385" s="252"/>
      <c r="EBF385" s="252"/>
      <c r="EBG385" s="252"/>
      <c r="EBH385" s="252"/>
      <c r="EBI385" s="252"/>
      <c r="EBJ385" s="252"/>
      <c r="EBK385" s="252"/>
      <c r="EBL385" s="252"/>
      <c r="EBM385" s="252"/>
      <c r="EBN385" s="252"/>
      <c r="EBO385" s="252"/>
      <c r="EBP385" s="252"/>
      <c r="EBQ385" s="252"/>
      <c r="EBR385" s="252"/>
      <c r="EBS385" s="252"/>
      <c r="EBT385" s="252"/>
      <c r="EBU385" s="252"/>
      <c r="EBV385" s="252"/>
      <c r="EBW385" s="252"/>
      <c r="EBX385" s="252"/>
      <c r="EBY385" s="252"/>
      <c r="EBZ385" s="252"/>
      <c r="ECA385" s="252"/>
      <c r="ECB385" s="252"/>
      <c r="ECC385" s="252"/>
      <c r="ECD385" s="252"/>
      <c r="ECE385" s="252"/>
      <c r="ECF385" s="252"/>
      <c r="ECG385" s="252"/>
      <c r="ECH385" s="252"/>
      <c r="ECI385" s="252"/>
      <c r="ECJ385" s="252"/>
      <c r="ECK385" s="252"/>
      <c r="ECL385" s="252"/>
      <c r="ECM385" s="252"/>
      <c r="ECN385" s="252"/>
      <c r="ECO385" s="252"/>
      <c r="ECP385" s="252"/>
      <c r="ECQ385" s="252"/>
      <c r="ECR385" s="252"/>
      <c r="ECS385" s="252"/>
      <c r="ECT385" s="252"/>
      <c r="ECU385" s="252"/>
      <c r="ECV385" s="252"/>
      <c r="ECW385" s="252"/>
      <c r="ECX385" s="252"/>
      <c r="ECY385" s="252"/>
      <c r="ECZ385" s="252"/>
      <c r="EDA385" s="252"/>
      <c r="EDB385" s="252"/>
      <c r="EDC385" s="252"/>
      <c r="EDD385" s="252"/>
      <c r="EDE385" s="252"/>
      <c r="EDF385" s="252"/>
      <c r="EDG385" s="252"/>
      <c r="EDH385" s="252"/>
      <c r="EDI385" s="252"/>
      <c r="EDJ385" s="252"/>
      <c r="EDK385" s="252"/>
      <c r="EDL385" s="252"/>
      <c r="EDM385" s="252"/>
      <c r="EDN385" s="252"/>
      <c r="EDO385" s="252"/>
      <c r="EDP385" s="252"/>
      <c r="EDQ385" s="252"/>
      <c r="EDR385" s="252"/>
      <c r="EDS385" s="252"/>
      <c r="EDT385" s="252"/>
      <c r="EDU385" s="252"/>
      <c r="EDV385" s="252"/>
      <c r="EDW385" s="252"/>
      <c r="EDX385" s="252"/>
      <c r="EDY385" s="252"/>
      <c r="EDZ385" s="252"/>
      <c r="EEA385" s="252"/>
      <c r="EEB385" s="252"/>
      <c r="EEC385" s="252"/>
      <c r="EED385" s="252"/>
      <c r="EEE385" s="252"/>
      <c r="EEF385" s="252"/>
      <c r="EEG385" s="252"/>
      <c r="EEH385" s="252"/>
      <c r="EEI385" s="252"/>
      <c r="EEJ385" s="252"/>
      <c r="EEK385" s="252"/>
      <c r="EEL385" s="252"/>
      <c r="EEM385" s="252"/>
      <c r="EEN385" s="252"/>
      <c r="EEO385" s="252"/>
      <c r="EEP385" s="252"/>
      <c r="EEQ385" s="252"/>
      <c r="EER385" s="252"/>
      <c r="EES385" s="252"/>
      <c r="EET385" s="252"/>
      <c r="EEU385" s="252"/>
      <c r="EEV385" s="252"/>
      <c r="EEW385" s="252"/>
      <c r="EEX385" s="252"/>
      <c r="EEY385" s="252"/>
      <c r="EEZ385" s="252"/>
      <c r="EFA385" s="252"/>
      <c r="EFB385" s="252"/>
      <c r="EFC385" s="252"/>
      <c r="EFD385" s="252"/>
      <c r="EFE385" s="252"/>
      <c r="EFF385" s="252"/>
      <c r="EFG385" s="252"/>
      <c r="EFH385" s="252"/>
      <c r="EFI385" s="252"/>
      <c r="EFJ385" s="252"/>
      <c r="EFK385" s="252"/>
      <c r="EFL385" s="252"/>
      <c r="EFM385" s="252"/>
      <c r="EFN385" s="252"/>
      <c r="EFO385" s="252"/>
      <c r="EFP385" s="252"/>
      <c r="EFQ385" s="252"/>
      <c r="EFR385" s="252"/>
      <c r="EFS385" s="252"/>
      <c r="EFT385" s="252"/>
      <c r="EFU385" s="252"/>
      <c r="EFV385" s="252"/>
      <c r="EFW385" s="252"/>
      <c r="EFX385" s="252"/>
      <c r="EFY385" s="252"/>
      <c r="EFZ385" s="252"/>
      <c r="EGA385" s="252"/>
      <c r="EGB385" s="252"/>
      <c r="EGC385" s="252"/>
      <c r="EGD385" s="252"/>
      <c r="EGE385" s="252"/>
      <c r="EGF385" s="252"/>
      <c r="EGG385" s="252"/>
      <c r="EGH385" s="252"/>
      <c r="EGI385" s="252"/>
      <c r="EGJ385" s="252"/>
      <c r="EGK385" s="252"/>
      <c r="EGL385" s="252"/>
      <c r="EGM385" s="252"/>
      <c r="EGN385" s="252"/>
      <c r="EGO385" s="252"/>
      <c r="EGP385" s="252"/>
      <c r="EGQ385" s="252"/>
      <c r="EGR385" s="252"/>
      <c r="EGS385" s="252"/>
      <c r="EGT385" s="252"/>
      <c r="EGU385" s="252"/>
      <c r="EGV385" s="252"/>
      <c r="EGW385" s="252"/>
      <c r="EGX385" s="252"/>
      <c r="EGY385" s="252"/>
      <c r="EGZ385" s="252"/>
      <c r="EHA385" s="252"/>
      <c r="EHB385" s="252"/>
      <c r="EHC385" s="252"/>
      <c r="EHD385" s="252"/>
      <c r="EHE385" s="252"/>
      <c r="EHF385" s="252"/>
      <c r="EHG385" s="252"/>
      <c r="EHH385" s="252"/>
      <c r="EHI385" s="252"/>
      <c r="EHJ385" s="252"/>
      <c r="EHK385" s="252"/>
      <c r="EHL385" s="252"/>
      <c r="EHM385" s="252"/>
      <c r="EHN385" s="252"/>
      <c r="EHO385" s="252"/>
      <c r="EHP385" s="252"/>
      <c r="EHQ385" s="252"/>
      <c r="EHR385" s="252"/>
      <c r="EHS385" s="252"/>
      <c r="EHT385" s="252"/>
      <c r="EHU385" s="252"/>
      <c r="EHV385" s="252"/>
      <c r="EHW385" s="252"/>
      <c r="EHX385" s="252"/>
      <c r="EHY385" s="252"/>
      <c r="EHZ385" s="252"/>
      <c r="EIA385" s="252"/>
      <c r="EIB385" s="252"/>
      <c r="EIC385" s="252"/>
      <c r="EID385" s="252"/>
      <c r="EIE385" s="252"/>
      <c r="EIF385" s="252"/>
      <c r="EIG385" s="252"/>
      <c r="EIH385" s="252"/>
      <c r="EII385" s="252"/>
      <c r="EIJ385" s="252"/>
      <c r="EIK385" s="252"/>
      <c r="EIL385" s="252"/>
      <c r="EIM385" s="252"/>
      <c r="EIN385" s="252"/>
      <c r="EIO385" s="252"/>
      <c r="EIP385" s="252"/>
      <c r="EIQ385" s="252"/>
      <c r="EIR385" s="252"/>
      <c r="EIS385" s="252"/>
      <c r="EIT385" s="252"/>
      <c r="EIU385" s="252"/>
      <c r="EIV385" s="252"/>
      <c r="EIW385" s="252"/>
      <c r="EIX385" s="252"/>
      <c r="EIY385" s="252"/>
      <c r="EIZ385" s="252"/>
      <c r="EJA385" s="252"/>
      <c r="EJB385" s="252"/>
      <c r="EJC385" s="252"/>
      <c r="EJD385" s="252"/>
      <c r="EJE385" s="252"/>
      <c r="EJF385" s="252"/>
      <c r="EJG385" s="252"/>
      <c r="EJH385" s="252"/>
      <c r="EJI385" s="252"/>
      <c r="EJJ385" s="252"/>
      <c r="EJK385" s="252"/>
      <c r="EJL385" s="252"/>
      <c r="EJM385" s="252"/>
      <c r="EJN385" s="252"/>
      <c r="EJO385" s="252"/>
      <c r="EJP385" s="252"/>
      <c r="EJQ385" s="252"/>
      <c r="EJR385" s="252"/>
      <c r="EJS385" s="252"/>
      <c r="EJT385" s="252"/>
      <c r="EJU385" s="252"/>
      <c r="EJV385" s="252"/>
      <c r="EJW385" s="252"/>
      <c r="EJX385" s="252"/>
      <c r="EJY385" s="252"/>
      <c r="EJZ385" s="252"/>
      <c r="EKA385" s="252"/>
      <c r="EKB385" s="252"/>
      <c r="EKC385" s="252"/>
      <c r="EKD385" s="252"/>
      <c r="EKE385" s="252"/>
      <c r="EKF385" s="252"/>
      <c r="EKG385" s="252"/>
      <c r="EKH385" s="252"/>
      <c r="EKI385" s="252"/>
      <c r="EKJ385" s="252"/>
      <c r="EKK385" s="252"/>
      <c r="EKL385" s="252"/>
      <c r="EKM385" s="252"/>
      <c r="EKN385" s="252"/>
      <c r="EKO385" s="252"/>
      <c r="EKP385" s="252"/>
      <c r="EKQ385" s="252"/>
      <c r="EKR385" s="252"/>
      <c r="EKS385" s="252"/>
      <c r="EKT385" s="252"/>
      <c r="EKU385" s="252"/>
      <c r="EKV385" s="252"/>
      <c r="EKW385" s="252"/>
      <c r="EKX385" s="252"/>
      <c r="EKY385" s="252"/>
      <c r="EKZ385" s="252"/>
      <c r="ELA385" s="252"/>
      <c r="ELB385" s="252"/>
      <c r="ELC385" s="252"/>
      <c r="ELD385" s="252"/>
      <c r="ELE385" s="252"/>
      <c r="ELF385" s="252"/>
      <c r="ELG385" s="252"/>
      <c r="ELH385" s="252"/>
      <c r="ELI385" s="252"/>
      <c r="ELJ385" s="252"/>
      <c r="ELK385" s="252"/>
      <c r="ELL385" s="252"/>
      <c r="ELM385" s="252"/>
      <c r="ELN385" s="252"/>
      <c r="ELO385" s="252"/>
      <c r="ELP385" s="252"/>
      <c r="ELQ385" s="252"/>
      <c r="ELR385" s="252"/>
      <c r="ELS385" s="252"/>
      <c r="ELT385" s="252"/>
      <c r="ELU385" s="252"/>
      <c r="ELV385" s="252"/>
      <c r="ELW385" s="252"/>
      <c r="ELX385" s="252"/>
      <c r="ELY385" s="252"/>
      <c r="ELZ385" s="252"/>
      <c r="EMA385" s="252"/>
      <c r="EMB385" s="252"/>
      <c r="EMC385" s="252"/>
      <c r="EMD385" s="252"/>
      <c r="EME385" s="252"/>
      <c r="EMF385" s="252"/>
      <c r="EMG385" s="252"/>
      <c r="EMH385" s="252"/>
      <c r="EMI385" s="252"/>
      <c r="EMJ385" s="252"/>
      <c r="EMK385" s="252"/>
      <c r="EML385" s="252"/>
      <c r="EMM385" s="252"/>
      <c r="EMN385" s="252"/>
      <c r="EMO385" s="252"/>
      <c r="EMP385" s="252"/>
      <c r="EMQ385" s="252"/>
      <c r="EMR385" s="252"/>
      <c r="EMS385" s="252"/>
      <c r="EMT385" s="252"/>
      <c r="EMU385" s="252"/>
      <c r="EMV385" s="252"/>
      <c r="EMW385" s="252"/>
      <c r="EMX385" s="252"/>
      <c r="EMY385" s="252"/>
      <c r="EMZ385" s="252"/>
      <c r="ENA385" s="252"/>
      <c r="ENB385" s="252"/>
      <c r="ENC385" s="252"/>
      <c r="END385" s="252"/>
      <c r="ENE385" s="252"/>
      <c r="ENF385" s="252"/>
      <c r="ENG385" s="252"/>
      <c r="ENH385" s="252"/>
      <c r="ENI385" s="252"/>
      <c r="ENJ385" s="252"/>
      <c r="ENK385" s="252"/>
      <c r="ENL385" s="252"/>
      <c r="ENM385" s="252"/>
      <c r="ENN385" s="252"/>
      <c r="ENO385" s="252"/>
      <c r="ENP385" s="252"/>
      <c r="ENQ385" s="252"/>
      <c r="ENR385" s="252"/>
      <c r="ENS385" s="252"/>
      <c r="ENT385" s="252"/>
      <c r="ENU385" s="252"/>
      <c r="ENV385" s="252"/>
      <c r="ENW385" s="252"/>
      <c r="ENX385" s="252"/>
      <c r="ENY385" s="252"/>
      <c r="ENZ385" s="252"/>
      <c r="EOA385" s="252"/>
      <c r="EOB385" s="252"/>
      <c r="EOC385" s="252"/>
      <c r="EOD385" s="252"/>
      <c r="EOE385" s="252"/>
      <c r="EOF385" s="252"/>
      <c r="EOG385" s="252"/>
      <c r="EOH385" s="252"/>
      <c r="EOI385" s="252"/>
      <c r="EOJ385" s="252"/>
      <c r="EOK385" s="252"/>
      <c r="EOL385" s="252"/>
      <c r="EOM385" s="252"/>
      <c r="EON385" s="252"/>
      <c r="EOO385" s="252"/>
      <c r="EOP385" s="252"/>
      <c r="EOQ385" s="252"/>
      <c r="EOR385" s="252"/>
      <c r="EOS385" s="252"/>
      <c r="EOT385" s="252"/>
      <c r="EOU385" s="252"/>
      <c r="EOV385" s="252"/>
      <c r="EOW385" s="252"/>
      <c r="EOX385" s="252"/>
      <c r="EOY385" s="252"/>
      <c r="EOZ385" s="252"/>
      <c r="EPA385" s="252"/>
      <c r="EPB385" s="252"/>
      <c r="EPC385" s="252"/>
      <c r="EPD385" s="252"/>
      <c r="EPE385" s="252"/>
      <c r="EPF385" s="252"/>
      <c r="EPG385" s="252"/>
      <c r="EPH385" s="252"/>
      <c r="EPI385" s="252"/>
      <c r="EPJ385" s="252"/>
      <c r="EPK385" s="252"/>
      <c r="EPL385" s="252"/>
      <c r="EPM385" s="252"/>
      <c r="EPN385" s="252"/>
      <c r="EPO385" s="252"/>
      <c r="EPP385" s="252"/>
      <c r="EPQ385" s="252"/>
      <c r="EPR385" s="252"/>
      <c r="EPS385" s="252"/>
      <c r="EPT385" s="252"/>
      <c r="EPU385" s="252"/>
      <c r="EPV385" s="252"/>
      <c r="EPW385" s="252"/>
      <c r="EPX385" s="252"/>
      <c r="EPY385" s="252"/>
      <c r="EPZ385" s="252"/>
      <c r="EQA385" s="252"/>
      <c r="EQB385" s="252"/>
      <c r="EQC385" s="252"/>
      <c r="EQD385" s="252"/>
      <c r="EQE385" s="252"/>
      <c r="EQF385" s="252"/>
      <c r="EQG385" s="252"/>
      <c r="EQH385" s="252"/>
      <c r="EQI385" s="252"/>
      <c r="EQJ385" s="252"/>
      <c r="EQK385" s="252"/>
      <c r="EQL385" s="252"/>
      <c r="EQM385" s="252"/>
      <c r="EQN385" s="252"/>
      <c r="EQO385" s="252"/>
      <c r="EQP385" s="252"/>
      <c r="EQQ385" s="252"/>
      <c r="EQR385" s="252"/>
      <c r="EQS385" s="252"/>
      <c r="EQT385" s="252"/>
      <c r="EQU385" s="252"/>
      <c r="EQV385" s="252"/>
      <c r="EQW385" s="252"/>
      <c r="EQX385" s="252"/>
      <c r="EQY385" s="252"/>
      <c r="EQZ385" s="252"/>
      <c r="ERA385" s="252"/>
      <c r="ERB385" s="252"/>
      <c r="ERC385" s="252"/>
      <c r="ERD385" s="252"/>
      <c r="ERE385" s="252"/>
      <c r="ERF385" s="252"/>
      <c r="ERG385" s="252"/>
      <c r="ERH385" s="252"/>
      <c r="ERI385" s="252"/>
      <c r="ERJ385" s="252"/>
      <c r="ERK385" s="252"/>
      <c r="ERL385" s="252"/>
      <c r="ERM385" s="252"/>
      <c r="ERN385" s="252"/>
      <c r="ERO385" s="252"/>
      <c r="ERP385" s="252"/>
      <c r="ERQ385" s="252"/>
      <c r="ERR385" s="252"/>
      <c r="ERS385" s="252"/>
      <c r="ERT385" s="252"/>
      <c r="ERU385" s="252"/>
      <c r="ERV385" s="252"/>
      <c r="ERW385" s="252"/>
      <c r="ERX385" s="252"/>
      <c r="ERY385" s="252"/>
      <c r="ERZ385" s="252"/>
      <c r="ESA385" s="252"/>
      <c r="ESB385" s="252"/>
      <c r="ESC385" s="252"/>
      <c r="ESD385" s="252"/>
      <c r="ESE385" s="252"/>
      <c r="ESF385" s="252"/>
      <c r="ESG385" s="252"/>
      <c r="ESH385" s="252"/>
      <c r="ESI385" s="252"/>
      <c r="ESJ385" s="252"/>
      <c r="ESK385" s="252"/>
      <c r="ESL385" s="252"/>
      <c r="ESM385" s="252"/>
      <c r="ESN385" s="252"/>
      <c r="ESO385" s="252"/>
      <c r="ESP385" s="252"/>
      <c r="ESQ385" s="252"/>
      <c r="ESR385" s="252"/>
      <c r="ESS385" s="252"/>
      <c r="EST385" s="252"/>
      <c r="ESU385" s="252"/>
      <c r="ESV385" s="252"/>
      <c r="ESW385" s="252"/>
      <c r="ESX385" s="252"/>
      <c r="ESY385" s="252"/>
      <c r="ESZ385" s="252"/>
      <c r="ETA385" s="252"/>
      <c r="ETB385" s="252"/>
      <c r="ETC385" s="252"/>
      <c r="ETD385" s="252"/>
      <c r="ETE385" s="252"/>
      <c r="ETF385" s="252"/>
      <c r="ETG385" s="252"/>
      <c r="ETH385" s="252"/>
      <c r="ETI385" s="252"/>
      <c r="ETJ385" s="252"/>
      <c r="ETK385" s="252"/>
      <c r="ETL385" s="252"/>
      <c r="ETM385" s="252"/>
      <c r="ETN385" s="252"/>
      <c r="ETO385" s="252"/>
      <c r="ETP385" s="252"/>
      <c r="ETQ385" s="252"/>
      <c r="ETR385" s="252"/>
      <c r="ETS385" s="252"/>
      <c r="ETT385" s="252"/>
      <c r="ETU385" s="252"/>
      <c r="ETV385" s="252"/>
      <c r="ETW385" s="252"/>
      <c r="ETX385" s="252"/>
      <c r="ETY385" s="252"/>
      <c r="ETZ385" s="252"/>
      <c r="EUA385" s="252"/>
      <c r="EUB385" s="252"/>
      <c r="EUC385" s="252"/>
      <c r="EUD385" s="252"/>
      <c r="EUE385" s="252"/>
      <c r="EUF385" s="252"/>
      <c r="EUG385" s="252"/>
      <c r="EUH385" s="252"/>
      <c r="EUI385" s="252"/>
      <c r="EUJ385" s="252"/>
      <c r="EUK385" s="252"/>
      <c r="EUL385" s="252"/>
      <c r="EUM385" s="252"/>
      <c r="EUN385" s="252"/>
      <c r="EUO385" s="252"/>
      <c r="EUP385" s="252"/>
      <c r="EUQ385" s="252"/>
      <c r="EUR385" s="252"/>
      <c r="EUS385" s="252"/>
      <c r="EUT385" s="252"/>
      <c r="EUU385" s="252"/>
      <c r="EUV385" s="252"/>
      <c r="EUW385" s="252"/>
      <c r="EUX385" s="252"/>
      <c r="EUY385" s="252"/>
      <c r="EUZ385" s="252"/>
      <c r="EVA385" s="252"/>
      <c r="EVB385" s="252"/>
      <c r="EVC385" s="252"/>
      <c r="EVD385" s="252"/>
      <c r="EVE385" s="252"/>
      <c r="EVF385" s="252"/>
      <c r="EVG385" s="252"/>
      <c r="EVH385" s="252"/>
      <c r="EVI385" s="252"/>
      <c r="EVJ385" s="252"/>
      <c r="EVK385" s="252"/>
      <c r="EVL385" s="252"/>
      <c r="EVM385" s="252"/>
      <c r="EVN385" s="252"/>
      <c r="EVO385" s="252"/>
      <c r="EVP385" s="252"/>
      <c r="EVQ385" s="252"/>
      <c r="EVR385" s="252"/>
      <c r="EVS385" s="252"/>
      <c r="EVT385" s="252"/>
      <c r="EVU385" s="252"/>
      <c r="EVV385" s="252"/>
      <c r="EVW385" s="252"/>
      <c r="EVX385" s="252"/>
      <c r="EVY385" s="252"/>
      <c r="EVZ385" s="252"/>
      <c r="EWA385" s="252"/>
      <c r="EWB385" s="252"/>
      <c r="EWC385" s="252"/>
      <c r="EWD385" s="252"/>
      <c r="EWE385" s="252"/>
      <c r="EWF385" s="252"/>
      <c r="EWG385" s="252"/>
      <c r="EWH385" s="252"/>
      <c r="EWI385" s="252"/>
      <c r="EWJ385" s="252"/>
      <c r="EWK385" s="252"/>
      <c r="EWL385" s="252"/>
      <c r="EWM385" s="252"/>
      <c r="EWN385" s="252"/>
      <c r="EWO385" s="252"/>
      <c r="EWP385" s="252"/>
      <c r="EWQ385" s="252"/>
      <c r="EWR385" s="252"/>
      <c r="EWS385" s="252"/>
      <c r="EWT385" s="252"/>
      <c r="EWU385" s="252"/>
      <c r="EWV385" s="252"/>
      <c r="EWW385" s="252"/>
      <c r="EWX385" s="252"/>
      <c r="EWY385" s="252"/>
      <c r="EWZ385" s="252"/>
      <c r="EXA385" s="252"/>
      <c r="EXB385" s="252"/>
      <c r="EXC385" s="252"/>
      <c r="EXD385" s="252"/>
      <c r="EXE385" s="252"/>
      <c r="EXF385" s="252"/>
      <c r="EXG385" s="252"/>
      <c r="EXH385" s="252"/>
      <c r="EXI385" s="252"/>
      <c r="EXJ385" s="252"/>
      <c r="EXK385" s="252"/>
      <c r="EXL385" s="252"/>
      <c r="EXM385" s="252"/>
      <c r="EXN385" s="252"/>
      <c r="EXO385" s="252"/>
      <c r="EXP385" s="252"/>
      <c r="EXQ385" s="252"/>
      <c r="EXR385" s="252"/>
      <c r="EXS385" s="252"/>
      <c r="EXT385" s="252"/>
      <c r="EXU385" s="252"/>
      <c r="EXV385" s="252"/>
      <c r="EXW385" s="252"/>
      <c r="EXX385" s="252"/>
      <c r="EXY385" s="252"/>
      <c r="EXZ385" s="252"/>
      <c r="EYA385" s="252"/>
      <c r="EYB385" s="252"/>
      <c r="EYC385" s="252"/>
      <c r="EYD385" s="252"/>
      <c r="EYE385" s="252"/>
      <c r="EYF385" s="252"/>
      <c r="EYG385" s="252"/>
      <c r="EYH385" s="252"/>
      <c r="EYI385" s="252"/>
      <c r="EYJ385" s="252"/>
      <c r="EYK385" s="252"/>
      <c r="EYL385" s="252"/>
      <c r="EYM385" s="252"/>
      <c r="EYN385" s="252"/>
      <c r="EYO385" s="252"/>
      <c r="EYP385" s="252"/>
      <c r="EYQ385" s="252"/>
      <c r="EYR385" s="252"/>
      <c r="EYS385" s="252"/>
      <c r="EYT385" s="252"/>
      <c r="EYU385" s="252"/>
      <c r="EYV385" s="252"/>
      <c r="EYW385" s="252"/>
      <c r="EYX385" s="252"/>
      <c r="EYY385" s="252"/>
      <c r="EYZ385" s="252"/>
      <c r="EZA385" s="252"/>
      <c r="EZB385" s="252"/>
      <c r="EZC385" s="252"/>
      <c r="EZD385" s="252"/>
      <c r="EZE385" s="252"/>
      <c r="EZF385" s="252"/>
      <c r="EZG385" s="252"/>
      <c r="EZH385" s="252"/>
      <c r="EZI385" s="252"/>
      <c r="EZJ385" s="252"/>
      <c r="EZK385" s="252"/>
      <c r="EZL385" s="252"/>
      <c r="EZM385" s="252"/>
      <c r="EZN385" s="252"/>
      <c r="EZO385" s="252"/>
      <c r="EZP385" s="252"/>
      <c r="EZQ385" s="252"/>
      <c r="EZR385" s="252"/>
      <c r="EZS385" s="252"/>
      <c r="EZT385" s="252"/>
      <c r="EZU385" s="252"/>
      <c r="EZV385" s="252"/>
      <c r="EZW385" s="252"/>
      <c r="EZX385" s="252"/>
      <c r="EZY385" s="252"/>
      <c r="EZZ385" s="252"/>
      <c r="FAA385" s="252"/>
      <c r="FAB385" s="252"/>
      <c r="FAC385" s="252"/>
      <c r="FAD385" s="252"/>
      <c r="FAE385" s="252"/>
      <c r="FAF385" s="252"/>
      <c r="FAG385" s="252"/>
      <c r="FAH385" s="252"/>
      <c r="FAI385" s="252"/>
      <c r="FAJ385" s="252"/>
      <c r="FAK385" s="252"/>
      <c r="FAL385" s="252"/>
      <c r="FAM385" s="252"/>
      <c r="FAN385" s="252"/>
      <c r="FAO385" s="252"/>
      <c r="FAP385" s="252"/>
      <c r="FAQ385" s="252"/>
      <c r="FAR385" s="252"/>
      <c r="FAS385" s="252"/>
      <c r="FAT385" s="252"/>
      <c r="FAU385" s="252"/>
      <c r="FAV385" s="252"/>
      <c r="FAW385" s="252"/>
      <c r="FAX385" s="252"/>
      <c r="FAY385" s="252"/>
      <c r="FAZ385" s="252"/>
      <c r="FBA385" s="252"/>
      <c r="FBB385" s="252"/>
      <c r="FBC385" s="252"/>
      <c r="FBD385" s="252"/>
      <c r="FBE385" s="252"/>
      <c r="FBF385" s="252"/>
      <c r="FBG385" s="252"/>
      <c r="FBH385" s="252"/>
      <c r="FBI385" s="252"/>
      <c r="FBJ385" s="252"/>
      <c r="FBK385" s="252"/>
      <c r="FBL385" s="252"/>
      <c r="FBM385" s="252"/>
      <c r="FBN385" s="252"/>
      <c r="FBO385" s="252"/>
      <c r="FBP385" s="252"/>
      <c r="FBQ385" s="252"/>
      <c r="FBR385" s="252"/>
      <c r="FBS385" s="252"/>
      <c r="FBT385" s="252"/>
      <c r="FBU385" s="252"/>
      <c r="FBV385" s="252"/>
      <c r="FBW385" s="252"/>
      <c r="FBX385" s="252"/>
      <c r="FBY385" s="252"/>
      <c r="FBZ385" s="252"/>
      <c r="FCA385" s="252"/>
      <c r="FCB385" s="252"/>
      <c r="FCC385" s="252"/>
      <c r="FCD385" s="252"/>
      <c r="FCE385" s="252"/>
      <c r="FCF385" s="252"/>
      <c r="FCG385" s="252"/>
      <c r="FCH385" s="252"/>
      <c r="FCI385" s="252"/>
      <c r="FCJ385" s="252"/>
      <c r="FCK385" s="252"/>
      <c r="FCL385" s="252"/>
      <c r="FCM385" s="252"/>
      <c r="FCN385" s="252"/>
      <c r="FCO385" s="252"/>
      <c r="FCP385" s="252"/>
      <c r="FCQ385" s="252"/>
      <c r="FCR385" s="252"/>
      <c r="FCS385" s="252"/>
      <c r="FCT385" s="252"/>
      <c r="FCU385" s="252"/>
      <c r="FCV385" s="252"/>
      <c r="FCW385" s="252"/>
      <c r="FCX385" s="252"/>
      <c r="FCY385" s="252"/>
      <c r="FCZ385" s="252"/>
      <c r="FDA385" s="252"/>
      <c r="FDB385" s="252"/>
      <c r="FDC385" s="252"/>
      <c r="FDD385" s="252"/>
      <c r="FDE385" s="252"/>
      <c r="FDF385" s="252"/>
      <c r="FDG385" s="252"/>
      <c r="FDH385" s="252"/>
      <c r="FDI385" s="252"/>
      <c r="FDJ385" s="252"/>
      <c r="FDK385" s="252"/>
      <c r="FDL385" s="252"/>
      <c r="FDM385" s="252"/>
      <c r="FDN385" s="252"/>
      <c r="FDO385" s="252"/>
      <c r="FDP385" s="252"/>
      <c r="FDQ385" s="252"/>
      <c r="FDR385" s="252"/>
      <c r="FDS385" s="252"/>
      <c r="FDT385" s="252"/>
      <c r="FDU385" s="252"/>
      <c r="FDV385" s="252"/>
      <c r="FDW385" s="252"/>
      <c r="FDX385" s="252"/>
      <c r="FDY385" s="252"/>
      <c r="FDZ385" s="252"/>
      <c r="FEA385" s="252"/>
      <c r="FEB385" s="252"/>
      <c r="FEC385" s="252"/>
      <c r="FED385" s="252"/>
      <c r="FEE385" s="252"/>
      <c r="FEF385" s="252"/>
      <c r="FEG385" s="252"/>
      <c r="FEH385" s="252"/>
      <c r="FEI385" s="252"/>
      <c r="FEJ385" s="252"/>
      <c r="FEK385" s="252"/>
      <c r="FEL385" s="252"/>
      <c r="FEM385" s="252"/>
      <c r="FEN385" s="252"/>
      <c r="FEO385" s="252"/>
      <c r="FEP385" s="252"/>
      <c r="FEQ385" s="252"/>
      <c r="FER385" s="252"/>
      <c r="FES385" s="252"/>
      <c r="FET385" s="252"/>
      <c r="FEU385" s="252"/>
      <c r="FEV385" s="252"/>
      <c r="FEW385" s="252"/>
      <c r="FEX385" s="252"/>
      <c r="FEY385" s="252"/>
      <c r="FEZ385" s="252"/>
      <c r="FFA385" s="252"/>
      <c r="FFB385" s="252"/>
      <c r="FFC385" s="252"/>
      <c r="FFD385" s="252"/>
      <c r="FFE385" s="252"/>
      <c r="FFF385" s="252"/>
      <c r="FFG385" s="252"/>
      <c r="FFH385" s="252"/>
      <c r="FFI385" s="252"/>
      <c r="FFJ385" s="252"/>
      <c r="FFK385" s="252"/>
      <c r="FFL385" s="252"/>
      <c r="FFM385" s="252"/>
      <c r="FFN385" s="252"/>
      <c r="FFO385" s="252"/>
      <c r="FFP385" s="252"/>
      <c r="FFQ385" s="252"/>
      <c r="FFR385" s="252"/>
      <c r="FFS385" s="252"/>
      <c r="FFT385" s="252"/>
      <c r="FFU385" s="252"/>
      <c r="FFV385" s="252"/>
      <c r="FFW385" s="252"/>
      <c r="FFX385" s="252"/>
      <c r="FFY385" s="252"/>
      <c r="FFZ385" s="252"/>
      <c r="FGA385" s="252"/>
      <c r="FGB385" s="252"/>
      <c r="FGC385" s="252"/>
      <c r="FGD385" s="252"/>
      <c r="FGE385" s="252"/>
      <c r="FGF385" s="252"/>
      <c r="FGG385" s="252"/>
      <c r="FGH385" s="252"/>
      <c r="FGI385" s="252"/>
      <c r="FGJ385" s="252"/>
      <c r="FGK385" s="252"/>
      <c r="FGL385" s="252"/>
      <c r="FGM385" s="252"/>
      <c r="FGN385" s="252"/>
      <c r="FGO385" s="252"/>
      <c r="FGP385" s="252"/>
      <c r="FGQ385" s="252"/>
      <c r="FGR385" s="252"/>
      <c r="FGS385" s="252"/>
      <c r="FGT385" s="252"/>
      <c r="FGU385" s="252"/>
      <c r="FGV385" s="252"/>
      <c r="FGW385" s="252"/>
      <c r="FGX385" s="252"/>
      <c r="FGY385" s="252"/>
      <c r="FGZ385" s="252"/>
      <c r="FHA385" s="252"/>
      <c r="FHB385" s="252"/>
      <c r="FHC385" s="252"/>
      <c r="FHD385" s="252"/>
      <c r="FHE385" s="252"/>
      <c r="FHF385" s="252"/>
      <c r="FHG385" s="252"/>
      <c r="FHH385" s="252"/>
      <c r="FHI385" s="252"/>
      <c r="FHJ385" s="252"/>
      <c r="FHK385" s="252"/>
      <c r="FHL385" s="252"/>
      <c r="FHM385" s="252"/>
      <c r="FHN385" s="252"/>
      <c r="FHO385" s="252"/>
      <c r="FHP385" s="252"/>
      <c r="FHQ385" s="252"/>
      <c r="FHR385" s="252"/>
      <c r="FHS385" s="252"/>
      <c r="FHT385" s="252"/>
      <c r="FHU385" s="252"/>
      <c r="FHV385" s="252"/>
      <c r="FHW385" s="252"/>
      <c r="FHX385" s="252"/>
      <c r="FHY385" s="252"/>
      <c r="FHZ385" s="252"/>
      <c r="FIA385" s="252"/>
      <c r="FIB385" s="252"/>
      <c r="FIC385" s="252"/>
      <c r="FID385" s="252"/>
      <c r="FIE385" s="252"/>
      <c r="FIF385" s="252"/>
      <c r="FIG385" s="252"/>
      <c r="FIH385" s="252"/>
      <c r="FII385" s="252"/>
      <c r="FIJ385" s="252"/>
      <c r="FIK385" s="252"/>
      <c r="FIL385" s="252"/>
      <c r="FIM385" s="252"/>
      <c r="FIN385" s="252"/>
      <c r="FIO385" s="252"/>
      <c r="FIP385" s="252"/>
      <c r="FIQ385" s="252"/>
      <c r="FIR385" s="252"/>
      <c r="FIS385" s="252"/>
      <c r="FIT385" s="252"/>
      <c r="FIU385" s="252"/>
      <c r="FIV385" s="252"/>
      <c r="FIW385" s="252"/>
      <c r="FIX385" s="252"/>
      <c r="FIY385" s="252"/>
      <c r="FIZ385" s="252"/>
      <c r="FJA385" s="252"/>
      <c r="FJB385" s="252"/>
      <c r="FJC385" s="252"/>
      <c r="FJD385" s="252"/>
      <c r="FJE385" s="252"/>
      <c r="FJF385" s="252"/>
      <c r="FJG385" s="252"/>
      <c r="FJH385" s="252"/>
      <c r="FJI385" s="252"/>
      <c r="FJJ385" s="252"/>
      <c r="FJK385" s="252"/>
      <c r="FJL385" s="252"/>
      <c r="FJM385" s="252"/>
      <c r="FJN385" s="252"/>
      <c r="FJO385" s="252"/>
      <c r="FJP385" s="252"/>
      <c r="FJQ385" s="252"/>
      <c r="FJR385" s="252"/>
      <c r="FJS385" s="252"/>
      <c r="FJT385" s="252"/>
      <c r="FJU385" s="252"/>
      <c r="FJV385" s="252"/>
      <c r="FJW385" s="252"/>
      <c r="FJX385" s="252"/>
      <c r="FJY385" s="252"/>
      <c r="FJZ385" s="252"/>
      <c r="FKA385" s="252"/>
      <c r="FKB385" s="252"/>
      <c r="FKC385" s="252"/>
      <c r="FKD385" s="252"/>
      <c r="FKE385" s="252"/>
      <c r="FKF385" s="252"/>
      <c r="FKG385" s="252"/>
      <c r="FKH385" s="252"/>
      <c r="FKI385" s="252"/>
      <c r="FKJ385" s="252"/>
      <c r="FKK385" s="252"/>
      <c r="FKL385" s="252"/>
      <c r="FKM385" s="252"/>
      <c r="FKN385" s="252"/>
      <c r="FKO385" s="252"/>
      <c r="FKP385" s="252"/>
      <c r="FKQ385" s="252"/>
      <c r="FKR385" s="252"/>
      <c r="FKS385" s="252"/>
      <c r="FKT385" s="252"/>
      <c r="FKU385" s="252"/>
      <c r="FKV385" s="252"/>
      <c r="FKW385" s="252"/>
      <c r="FKX385" s="252"/>
      <c r="FKY385" s="252"/>
      <c r="FKZ385" s="252"/>
      <c r="FLA385" s="252"/>
      <c r="FLB385" s="252"/>
      <c r="FLC385" s="252"/>
      <c r="FLD385" s="252"/>
      <c r="FLE385" s="252"/>
      <c r="FLF385" s="252"/>
      <c r="FLG385" s="252"/>
      <c r="FLH385" s="252"/>
      <c r="FLI385" s="252"/>
      <c r="FLJ385" s="252"/>
      <c r="FLK385" s="252"/>
      <c r="FLL385" s="252"/>
      <c r="FLM385" s="252"/>
      <c r="FLN385" s="252"/>
      <c r="FLO385" s="252"/>
      <c r="FLP385" s="252"/>
      <c r="FLQ385" s="252"/>
      <c r="FLR385" s="252"/>
      <c r="FLS385" s="252"/>
      <c r="FLT385" s="252"/>
      <c r="FLU385" s="252"/>
      <c r="FLV385" s="252"/>
      <c r="FLW385" s="252"/>
      <c r="FLX385" s="252"/>
      <c r="FLY385" s="252"/>
      <c r="FLZ385" s="252"/>
      <c r="FMA385" s="252"/>
      <c r="FMB385" s="252"/>
      <c r="FMC385" s="252"/>
      <c r="FMD385" s="252"/>
      <c r="FME385" s="252"/>
      <c r="FMF385" s="252"/>
      <c r="FMG385" s="252"/>
      <c r="FMH385" s="252"/>
      <c r="FMI385" s="252"/>
      <c r="FMJ385" s="252"/>
      <c r="FMK385" s="252"/>
      <c r="FML385" s="252"/>
      <c r="FMM385" s="252"/>
      <c r="FMN385" s="252"/>
      <c r="FMO385" s="252"/>
      <c r="FMP385" s="252"/>
      <c r="FMQ385" s="252"/>
      <c r="FMR385" s="252"/>
      <c r="FMS385" s="252"/>
      <c r="FMT385" s="252"/>
      <c r="FMU385" s="252"/>
      <c r="FMV385" s="252"/>
      <c r="FMW385" s="252"/>
      <c r="FMX385" s="252"/>
      <c r="FMY385" s="252"/>
      <c r="FMZ385" s="252"/>
      <c r="FNA385" s="252"/>
      <c r="FNB385" s="252"/>
      <c r="FNC385" s="252"/>
      <c r="FND385" s="252"/>
      <c r="FNE385" s="252"/>
      <c r="FNF385" s="252"/>
      <c r="FNG385" s="252"/>
      <c r="FNH385" s="252"/>
      <c r="FNI385" s="252"/>
      <c r="FNJ385" s="252"/>
      <c r="FNK385" s="252"/>
      <c r="FNL385" s="252"/>
      <c r="FNM385" s="252"/>
      <c r="FNN385" s="252"/>
      <c r="FNO385" s="252"/>
      <c r="FNP385" s="252"/>
      <c r="FNQ385" s="252"/>
      <c r="FNR385" s="252"/>
      <c r="FNS385" s="252"/>
      <c r="FNT385" s="252"/>
      <c r="FNU385" s="252"/>
      <c r="FNV385" s="252"/>
      <c r="FNW385" s="252"/>
      <c r="FNX385" s="252"/>
      <c r="FNY385" s="252"/>
      <c r="FNZ385" s="252"/>
      <c r="FOA385" s="252"/>
      <c r="FOB385" s="252"/>
      <c r="FOC385" s="252"/>
      <c r="FOD385" s="252"/>
      <c r="FOE385" s="252"/>
      <c r="FOF385" s="252"/>
      <c r="FOG385" s="252"/>
      <c r="FOH385" s="252"/>
      <c r="FOI385" s="252"/>
      <c r="FOJ385" s="252"/>
      <c r="FOK385" s="252"/>
      <c r="FOL385" s="252"/>
      <c r="FOM385" s="252"/>
      <c r="FON385" s="252"/>
      <c r="FOO385" s="252"/>
      <c r="FOP385" s="252"/>
      <c r="FOQ385" s="252"/>
      <c r="FOR385" s="252"/>
      <c r="FOS385" s="252"/>
      <c r="FOT385" s="252"/>
      <c r="FOU385" s="252"/>
      <c r="FOV385" s="252"/>
      <c r="FOW385" s="252"/>
      <c r="FOX385" s="252"/>
      <c r="FOY385" s="252"/>
      <c r="FOZ385" s="252"/>
      <c r="FPA385" s="252"/>
      <c r="FPB385" s="252"/>
      <c r="FPC385" s="252"/>
      <c r="FPD385" s="252"/>
      <c r="FPE385" s="252"/>
      <c r="FPF385" s="252"/>
      <c r="FPG385" s="252"/>
      <c r="FPH385" s="252"/>
      <c r="FPI385" s="252"/>
      <c r="FPJ385" s="252"/>
      <c r="FPK385" s="252"/>
      <c r="FPL385" s="252"/>
      <c r="FPM385" s="252"/>
      <c r="FPN385" s="252"/>
      <c r="FPO385" s="252"/>
      <c r="FPP385" s="252"/>
      <c r="FPQ385" s="252"/>
      <c r="FPR385" s="252"/>
      <c r="FPS385" s="252"/>
      <c r="FPT385" s="252"/>
      <c r="FPU385" s="252"/>
      <c r="FPV385" s="252"/>
      <c r="FPW385" s="252"/>
      <c r="FPX385" s="252"/>
      <c r="FPY385" s="252"/>
      <c r="FPZ385" s="252"/>
      <c r="FQA385" s="252"/>
      <c r="FQB385" s="252"/>
      <c r="FQC385" s="252"/>
      <c r="FQD385" s="252"/>
      <c r="FQE385" s="252"/>
      <c r="FQF385" s="252"/>
      <c r="FQG385" s="252"/>
      <c r="FQH385" s="252"/>
      <c r="FQI385" s="252"/>
      <c r="FQJ385" s="252"/>
      <c r="FQK385" s="252"/>
      <c r="FQL385" s="252"/>
      <c r="FQM385" s="252"/>
      <c r="FQN385" s="252"/>
      <c r="FQO385" s="252"/>
      <c r="FQP385" s="252"/>
      <c r="FQQ385" s="252"/>
      <c r="FQR385" s="252"/>
      <c r="FQS385" s="252"/>
      <c r="FQT385" s="252"/>
      <c r="FQU385" s="252"/>
      <c r="FQV385" s="252"/>
      <c r="FQW385" s="252"/>
      <c r="FQX385" s="252"/>
      <c r="FQY385" s="252"/>
      <c r="FQZ385" s="252"/>
      <c r="FRA385" s="252"/>
      <c r="FRB385" s="252"/>
      <c r="FRC385" s="252"/>
      <c r="FRD385" s="252"/>
      <c r="FRE385" s="252"/>
      <c r="FRF385" s="252"/>
      <c r="FRG385" s="252"/>
      <c r="FRH385" s="252"/>
      <c r="FRI385" s="252"/>
      <c r="FRJ385" s="252"/>
      <c r="FRK385" s="252"/>
      <c r="FRL385" s="252"/>
      <c r="FRM385" s="252"/>
      <c r="FRN385" s="252"/>
      <c r="FRO385" s="252"/>
      <c r="FRP385" s="252"/>
      <c r="FRQ385" s="252"/>
      <c r="FRR385" s="252"/>
      <c r="FRS385" s="252"/>
      <c r="FRT385" s="252"/>
      <c r="FRU385" s="252"/>
      <c r="FRV385" s="252"/>
      <c r="FRW385" s="252"/>
      <c r="FRX385" s="252"/>
      <c r="FRY385" s="252"/>
      <c r="FRZ385" s="252"/>
      <c r="FSA385" s="252"/>
      <c r="FSB385" s="252"/>
      <c r="FSC385" s="252"/>
      <c r="FSD385" s="252"/>
      <c r="FSE385" s="252"/>
      <c r="FSF385" s="252"/>
      <c r="FSG385" s="252"/>
      <c r="FSH385" s="252"/>
      <c r="FSI385" s="252"/>
      <c r="FSJ385" s="252"/>
      <c r="FSK385" s="252"/>
      <c r="FSL385" s="252"/>
      <c r="FSM385" s="252"/>
      <c r="FSN385" s="252"/>
      <c r="FSO385" s="252"/>
      <c r="FSP385" s="252"/>
      <c r="FSQ385" s="252"/>
      <c r="FSR385" s="252"/>
      <c r="FSS385" s="252"/>
      <c r="FST385" s="252"/>
      <c r="FSU385" s="252"/>
      <c r="FSV385" s="252"/>
      <c r="FSW385" s="252"/>
      <c r="FSX385" s="252"/>
      <c r="FSY385" s="252"/>
      <c r="FSZ385" s="252"/>
      <c r="FTA385" s="252"/>
      <c r="FTB385" s="252"/>
      <c r="FTC385" s="252"/>
      <c r="FTD385" s="252"/>
      <c r="FTE385" s="252"/>
      <c r="FTF385" s="252"/>
      <c r="FTG385" s="252"/>
      <c r="FTH385" s="252"/>
      <c r="FTI385" s="252"/>
      <c r="FTJ385" s="252"/>
      <c r="FTK385" s="252"/>
      <c r="FTL385" s="252"/>
      <c r="FTM385" s="252"/>
      <c r="FTN385" s="252"/>
      <c r="FTO385" s="252"/>
      <c r="FTP385" s="252"/>
      <c r="FTQ385" s="252"/>
      <c r="FTR385" s="252"/>
      <c r="FTS385" s="252"/>
      <c r="FTT385" s="252"/>
      <c r="FTU385" s="252"/>
      <c r="FTV385" s="252"/>
      <c r="FTW385" s="252"/>
      <c r="FTX385" s="252"/>
      <c r="FTY385" s="252"/>
      <c r="FTZ385" s="252"/>
      <c r="FUA385" s="252"/>
      <c r="FUB385" s="252"/>
      <c r="FUC385" s="252"/>
      <c r="FUD385" s="252"/>
      <c r="FUE385" s="252"/>
      <c r="FUF385" s="252"/>
      <c r="FUG385" s="252"/>
      <c r="FUH385" s="252"/>
      <c r="FUI385" s="252"/>
      <c r="FUJ385" s="252"/>
      <c r="FUK385" s="252"/>
      <c r="FUL385" s="252"/>
      <c r="FUM385" s="252"/>
      <c r="FUN385" s="252"/>
      <c r="FUO385" s="252"/>
      <c r="FUP385" s="252"/>
      <c r="FUQ385" s="252"/>
      <c r="FUR385" s="252"/>
      <c r="FUS385" s="252"/>
      <c r="FUT385" s="252"/>
      <c r="FUU385" s="252"/>
      <c r="FUV385" s="252"/>
      <c r="FUW385" s="252"/>
      <c r="FUX385" s="252"/>
      <c r="FUY385" s="252"/>
      <c r="FUZ385" s="252"/>
      <c r="FVA385" s="252"/>
      <c r="FVB385" s="252"/>
      <c r="FVC385" s="252"/>
      <c r="FVD385" s="252"/>
      <c r="FVE385" s="252"/>
      <c r="FVF385" s="252"/>
      <c r="FVG385" s="252"/>
      <c r="FVH385" s="252"/>
      <c r="FVI385" s="252"/>
      <c r="FVJ385" s="252"/>
      <c r="FVK385" s="252"/>
      <c r="FVL385" s="252"/>
      <c r="FVM385" s="252"/>
      <c r="FVN385" s="252"/>
      <c r="FVO385" s="252"/>
      <c r="FVP385" s="252"/>
      <c r="FVQ385" s="252"/>
      <c r="FVR385" s="252"/>
      <c r="FVS385" s="252"/>
      <c r="FVT385" s="252"/>
      <c r="FVU385" s="252"/>
      <c r="FVV385" s="252"/>
      <c r="FVW385" s="252"/>
      <c r="FVX385" s="252"/>
      <c r="FVY385" s="252"/>
      <c r="FVZ385" s="252"/>
      <c r="FWA385" s="252"/>
      <c r="FWB385" s="252"/>
      <c r="FWC385" s="252"/>
      <c r="FWD385" s="252"/>
      <c r="FWE385" s="252"/>
      <c r="FWF385" s="252"/>
      <c r="FWG385" s="252"/>
      <c r="FWH385" s="252"/>
      <c r="FWI385" s="252"/>
      <c r="FWJ385" s="252"/>
      <c r="FWK385" s="252"/>
      <c r="FWL385" s="252"/>
      <c r="FWM385" s="252"/>
      <c r="FWN385" s="252"/>
      <c r="FWO385" s="252"/>
      <c r="FWP385" s="252"/>
      <c r="FWQ385" s="252"/>
      <c r="FWR385" s="252"/>
      <c r="FWS385" s="252"/>
      <c r="FWT385" s="252"/>
      <c r="FWU385" s="252"/>
      <c r="FWV385" s="252"/>
      <c r="FWW385" s="252"/>
      <c r="FWX385" s="252"/>
      <c r="FWY385" s="252"/>
      <c r="FWZ385" s="252"/>
      <c r="FXA385" s="252"/>
      <c r="FXB385" s="252"/>
      <c r="FXC385" s="252"/>
      <c r="FXD385" s="252"/>
      <c r="FXE385" s="252"/>
      <c r="FXF385" s="252"/>
      <c r="FXG385" s="252"/>
      <c r="FXH385" s="252"/>
      <c r="FXI385" s="252"/>
      <c r="FXJ385" s="252"/>
      <c r="FXK385" s="252"/>
      <c r="FXL385" s="252"/>
      <c r="FXM385" s="252"/>
      <c r="FXN385" s="252"/>
      <c r="FXO385" s="252"/>
      <c r="FXP385" s="252"/>
      <c r="FXQ385" s="252"/>
      <c r="FXR385" s="252"/>
      <c r="FXS385" s="252"/>
      <c r="FXT385" s="252"/>
      <c r="FXU385" s="252"/>
      <c r="FXV385" s="252"/>
      <c r="FXW385" s="252"/>
      <c r="FXX385" s="252"/>
      <c r="FXY385" s="252"/>
      <c r="FXZ385" s="252"/>
      <c r="FYA385" s="252"/>
      <c r="FYB385" s="252"/>
      <c r="FYC385" s="252"/>
      <c r="FYD385" s="252"/>
      <c r="FYE385" s="252"/>
      <c r="FYF385" s="252"/>
      <c r="FYG385" s="252"/>
      <c r="FYH385" s="252"/>
      <c r="FYI385" s="252"/>
      <c r="FYJ385" s="252"/>
      <c r="FYK385" s="252"/>
      <c r="FYL385" s="252"/>
      <c r="FYM385" s="252"/>
      <c r="FYN385" s="252"/>
      <c r="FYO385" s="252"/>
      <c r="FYP385" s="252"/>
      <c r="FYQ385" s="252"/>
      <c r="FYR385" s="252"/>
      <c r="FYS385" s="252"/>
      <c r="FYT385" s="252"/>
      <c r="FYU385" s="252"/>
      <c r="FYV385" s="252"/>
      <c r="FYW385" s="252"/>
      <c r="FYX385" s="252"/>
      <c r="FYY385" s="252"/>
      <c r="FYZ385" s="252"/>
      <c r="FZA385" s="252"/>
      <c r="FZB385" s="252"/>
      <c r="FZC385" s="252"/>
      <c r="FZD385" s="252"/>
      <c r="FZE385" s="252"/>
      <c r="FZF385" s="252"/>
      <c r="FZG385" s="252"/>
      <c r="FZH385" s="252"/>
      <c r="FZI385" s="252"/>
      <c r="FZJ385" s="252"/>
      <c r="FZK385" s="252"/>
      <c r="FZL385" s="252"/>
      <c r="FZM385" s="252"/>
      <c r="FZN385" s="252"/>
      <c r="FZO385" s="252"/>
      <c r="FZP385" s="252"/>
      <c r="FZQ385" s="252"/>
      <c r="FZR385" s="252"/>
      <c r="FZS385" s="252"/>
      <c r="FZT385" s="252"/>
      <c r="FZU385" s="252"/>
      <c r="FZV385" s="252"/>
      <c r="FZW385" s="252"/>
      <c r="FZX385" s="252"/>
      <c r="FZY385" s="252"/>
      <c r="FZZ385" s="252"/>
      <c r="GAA385" s="252"/>
      <c r="GAB385" s="252"/>
      <c r="GAC385" s="252"/>
      <c r="GAD385" s="252"/>
      <c r="GAE385" s="252"/>
      <c r="GAF385" s="252"/>
      <c r="GAG385" s="252"/>
      <c r="GAH385" s="252"/>
      <c r="GAI385" s="252"/>
      <c r="GAJ385" s="252"/>
      <c r="GAK385" s="252"/>
      <c r="GAL385" s="252"/>
      <c r="GAM385" s="252"/>
      <c r="GAN385" s="252"/>
      <c r="GAO385" s="252"/>
      <c r="GAP385" s="252"/>
      <c r="GAQ385" s="252"/>
      <c r="GAR385" s="252"/>
      <c r="GAS385" s="252"/>
      <c r="GAT385" s="252"/>
      <c r="GAU385" s="252"/>
      <c r="GAV385" s="252"/>
      <c r="GAW385" s="252"/>
      <c r="GAX385" s="252"/>
      <c r="GAY385" s="252"/>
      <c r="GAZ385" s="252"/>
      <c r="GBA385" s="252"/>
      <c r="GBB385" s="252"/>
      <c r="GBC385" s="252"/>
      <c r="GBD385" s="252"/>
      <c r="GBE385" s="252"/>
      <c r="GBF385" s="252"/>
      <c r="GBG385" s="252"/>
      <c r="GBH385" s="252"/>
      <c r="GBI385" s="252"/>
      <c r="GBJ385" s="252"/>
      <c r="GBK385" s="252"/>
      <c r="GBL385" s="252"/>
      <c r="GBM385" s="252"/>
      <c r="GBN385" s="252"/>
      <c r="GBO385" s="252"/>
      <c r="GBP385" s="252"/>
      <c r="GBQ385" s="252"/>
      <c r="GBR385" s="252"/>
      <c r="GBS385" s="252"/>
      <c r="GBT385" s="252"/>
      <c r="GBU385" s="252"/>
      <c r="GBV385" s="252"/>
      <c r="GBW385" s="252"/>
      <c r="GBX385" s="252"/>
      <c r="GBY385" s="252"/>
      <c r="GBZ385" s="252"/>
      <c r="GCA385" s="252"/>
      <c r="GCB385" s="252"/>
      <c r="GCC385" s="252"/>
      <c r="GCD385" s="252"/>
      <c r="GCE385" s="252"/>
      <c r="GCF385" s="252"/>
      <c r="GCG385" s="252"/>
      <c r="GCH385" s="252"/>
      <c r="GCI385" s="252"/>
      <c r="GCJ385" s="252"/>
      <c r="GCK385" s="252"/>
      <c r="GCL385" s="252"/>
      <c r="GCM385" s="252"/>
      <c r="GCN385" s="252"/>
      <c r="GCO385" s="252"/>
      <c r="GCP385" s="252"/>
      <c r="GCQ385" s="252"/>
      <c r="GCR385" s="252"/>
      <c r="GCS385" s="252"/>
      <c r="GCT385" s="252"/>
      <c r="GCU385" s="252"/>
      <c r="GCV385" s="252"/>
      <c r="GCW385" s="252"/>
      <c r="GCX385" s="252"/>
      <c r="GCY385" s="252"/>
      <c r="GCZ385" s="252"/>
      <c r="GDA385" s="252"/>
      <c r="GDB385" s="252"/>
      <c r="GDC385" s="252"/>
      <c r="GDD385" s="252"/>
      <c r="GDE385" s="252"/>
      <c r="GDF385" s="252"/>
      <c r="GDG385" s="252"/>
      <c r="GDH385" s="252"/>
      <c r="GDI385" s="252"/>
      <c r="GDJ385" s="252"/>
      <c r="GDK385" s="252"/>
      <c r="GDL385" s="252"/>
      <c r="GDM385" s="252"/>
      <c r="GDN385" s="252"/>
      <c r="GDO385" s="252"/>
      <c r="GDP385" s="252"/>
      <c r="GDQ385" s="252"/>
      <c r="GDR385" s="252"/>
      <c r="GDS385" s="252"/>
      <c r="GDT385" s="252"/>
      <c r="GDU385" s="252"/>
      <c r="GDV385" s="252"/>
      <c r="GDW385" s="252"/>
      <c r="GDX385" s="252"/>
      <c r="GDY385" s="252"/>
      <c r="GDZ385" s="252"/>
      <c r="GEA385" s="252"/>
      <c r="GEB385" s="252"/>
      <c r="GEC385" s="252"/>
      <c r="GED385" s="252"/>
      <c r="GEE385" s="252"/>
      <c r="GEF385" s="252"/>
      <c r="GEG385" s="252"/>
      <c r="GEH385" s="252"/>
      <c r="GEI385" s="252"/>
      <c r="GEJ385" s="252"/>
      <c r="GEK385" s="252"/>
      <c r="GEL385" s="252"/>
      <c r="GEM385" s="252"/>
      <c r="GEN385" s="252"/>
      <c r="GEO385" s="252"/>
      <c r="GEP385" s="252"/>
      <c r="GEQ385" s="252"/>
      <c r="GER385" s="252"/>
      <c r="GES385" s="252"/>
      <c r="GET385" s="252"/>
      <c r="GEU385" s="252"/>
      <c r="GEV385" s="252"/>
      <c r="GEW385" s="252"/>
      <c r="GEX385" s="252"/>
      <c r="GEY385" s="252"/>
      <c r="GEZ385" s="252"/>
      <c r="GFA385" s="252"/>
      <c r="GFB385" s="252"/>
      <c r="GFC385" s="252"/>
      <c r="GFD385" s="252"/>
      <c r="GFE385" s="252"/>
      <c r="GFF385" s="252"/>
      <c r="GFG385" s="252"/>
      <c r="GFH385" s="252"/>
      <c r="GFI385" s="252"/>
      <c r="GFJ385" s="252"/>
      <c r="GFK385" s="252"/>
      <c r="GFL385" s="252"/>
      <c r="GFM385" s="252"/>
      <c r="GFN385" s="252"/>
      <c r="GFO385" s="252"/>
      <c r="GFP385" s="252"/>
      <c r="GFQ385" s="252"/>
      <c r="GFR385" s="252"/>
      <c r="GFS385" s="252"/>
      <c r="GFT385" s="252"/>
      <c r="GFU385" s="252"/>
      <c r="GFV385" s="252"/>
      <c r="GFW385" s="252"/>
      <c r="GFX385" s="252"/>
      <c r="GFY385" s="252"/>
      <c r="GFZ385" s="252"/>
      <c r="GGA385" s="252"/>
      <c r="GGB385" s="252"/>
      <c r="GGC385" s="252"/>
      <c r="GGD385" s="252"/>
      <c r="GGE385" s="252"/>
      <c r="GGF385" s="252"/>
      <c r="GGG385" s="252"/>
      <c r="GGH385" s="252"/>
      <c r="GGI385" s="252"/>
      <c r="GGJ385" s="252"/>
      <c r="GGK385" s="252"/>
      <c r="GGL385" s="252"/>
      <c r="GGM385" s="252"/>
      <c r="GGN385" s="252"/>
      <c r="GGO385" s="252"/>
      <c r="GGP385" s="252"/>
      <c r="GGQ385" s="252"/>
      <c r="GGR385" s="252"/>
      <c r="GGS385" s="252"/>
      <c r="GGT385" s="252"/>
      <c r="GGU385" s="252"/>
      <c r="GGV385" s="252"/>
      <c r="GGW385" s="252"/>
      <c r="GGX385" s="252"/>
      <c r="GGY385" s="252"/>
      <c r="GGZ385" s="252"/>
      <c r="GHA385" s="252"/>
      <c r="GHB385" s="252"/>
      <c r="GHC385" s="252"/>
      <c r="GHD385" s="252"/>
      <c r="GHE385" s="252"/>
      <c r="GHF385" s="252"/>
      <c r="GHG385" s="252"/>
      <c r="GHH385" s="252"/>
      <c r="GHI385" s="252"/>
      <c r="GHJ385" s="252"/>
      <c r="GHK385" s="252"/>
      <c r="GHL385" s="252"/>
      <c r="GHM385" s="252"/>
      <c r="GHN385" s="252"/>
      <c r="GHO385" s="252"/>
      <c r="GHP385" s="252"/>
      <c r="GHQ385" s="252"/>
      <c r="GHR385" s="252"/>
      <c r="GHS385" s="252"/>
      <c r="GHT385" s="252"/>
      <c r="GHU385" s="252"/>
      <c r="GHV385" s="252"/>
      <c r="GHW385" s="252"/>
      <c r="GHX385" s="252"/>
      <c r="GHY385" s="252"/>
      <c r="GHZ385" s="252"/>
      <c r="GIA385" s="252"/>
      <c r="GIB385" s="252"/>
      <c r="GIC385" s="252"/>
      <c r="GID385" s="252"/>
      <c r="GIE385" s="252"/>
      <c r="GIF385" s="252"/>
      <c r="GIG385" s="252"/>
      <c r="GIH385" s="252"/>
      <c r="GII385" s="252"/>
      <c r="GIJ385" s="252"/>
      <c r="GIK385" s="252"/>
      <c r="GIL385" s="252"/>
      <c r="GIM385" s="252"/>
      <c r="GIN385" s="252"/>
      <c r="GIO385" s="252"/>
      <c r="GIP385" s="252"/>
      <c r="GIQ385" s="252"/>
      <c r="GIR385" s="252"/>
      <c r="GIS385" s="252"/>
      <c r="GIT385" s="252"/>
      <c r="GIU385" s="252"/>
      <c r="GIV385" s="252"/>
      <c r="GIW385" s="252"/>
      <c r="GIX385" s="252"/>
      <c r="GIY385" s="252"/>
      <c r="GIZ385" s="252"/>
      <c r="GJA385" s="252"/>
      <c r="GJB385" s="252"/>
      <c r="GJC385" s="252"/>
      <c r="GJD385" s="252"/>
      <c r="GJE385" s="252"/>
      <c r="GJF385" s="252"/>
      <c r="GJG385" s="252"/>
      <c r="GJH385" s="252"/>
      <c r="GJI385" s="252"/>
      <c r="GJJ385" s="252"/>
      <c r="GJK385" s="252"/>
      <c r="GJL385" s="252"/>
      <c r="GJM385" s="252"/>
      <c r="GJN385" s="252"/>
      <c r="GJO385" s="252"/>
      <c r="GJP385" s="252"/>
      <c r="GJQ385" s="252"/>
      <c r="GJR385" s="252"/>
      <c r="GJS385" s="252"/>
      <c r="GJT385" s="252"/>
      <c r="GJU385" s="252"/>
      <c r="GJV385" s="252"/>
      <c r="GJW385" s="252"/>
      <c r="GJX385" s="252"/>
      <c r="GJY385" s="252"/>
      <c r="GJZ385" s="252"/>
      <c r="GKA385" s="252"/>
      <c r="GKB385" s="252"/>
      <c r="GKC385" s="252"/>
      <c r="GKD385" s="252"/>
      <c r="GKE385" s="252"/>
      <c r="GKF385" s="252"/>
      <c r="GKG385" s="252"/>
      <c r="GKH385" s="252"/>
      <c r="GKI385" s="252"/>
      <c r="GKJ385" s="252"/>
      <c r="GKK385" s="252"/>
      <c r="GKL385" s="252"/>
      <c r="GKM385" s="252"/>
      <c r="GKN385" s="252"/>
      <c r="GKO385" s="252"/>
      <c r="GKP385" s="252"/>
      <c r="GKQ385" s="252"/>
      <c r="GKR385" s="252"/>
      <c r="GKS385" s="252"/>
      <c r="GKT385" s="252"/>
      <c r="GKU385" s="252"/>
      <c r="GKV385" s="252"/>
      <c r="GKW385" s="252"/>
      <c r="GKX385" s="252"/>
      <c r="GKY385" s="252"/>
      <c r="GKZ385" s="252"/>
      <c r="GLA385" s="252"/>
      <c r="GLB385" s="252"/>
      <c r="GLC385" s="252"/>
      <c r="GLD385" s="252"/>
      <c r="GLE385" s="252"/>
      <c r="GLF385" s="252"/>
      <c r="GLG385" s="252"/>
      <c r="GLH385" s="252"/>
      <c r="GLI385" s="252"/>
      <c r="GLJ385" s="252"/>
      <c r="GLK385" s="252"/>
      <c r="GLL385" s="252"/>
      <c r="GLM385" s="252"/>
      <c r="GLN385" s="252"/>
      <c r="GLO385" s="252"/>
      <c r="GLP385" s="252"/>
      <c r="GLQ385" s="252"/>
      <c r="GLR385" s="252"/>
      <c r="GLS385" s="252"/>
      <c r="GLT385" s="252"/>
      <c r="GLU385" s="252"/>
      <c r="GLV385" s="252"/>
      <c r="GLW385" s="252"/>
      <c r="GLX385" s="252"/>
      <c r="GLY385" s="252"/>
      <c r="GLZ385" s="252"/>
      <c r="GMA385" s="252"/>
      <c r="GMB385" s="252"/>
      <c r="GMC385" s="252"/>
      <c r="GMD385" s="252"/>
      <c r="GME385" s="252"/>
      <c r="GMF385" s="252"/>
      <c r="GMG385" s="252"/>
      <c r="GMH385" s="252"/>
      <c r="GMI385" s="252"/>
      <c r="GMJ385" s="252"/>
      <c r="GMK385" s="252"/>
      <c r="GML385" s="252"/>
      <c r="GMM385" s="252"/>
      <c r="GMN385" s="252"/>
      <c r="GMO385" s="252"/>
      <c r="GMP385" s="252"/>
      <c r="GMQ385" s="252"/>
      <c r="GMR385" s="252"/>
      <c r="GMS385" s="252"/>
      <c r="GMT385" s="252"/>
      <c r="GMU385" s="252"/>
      <c r="GMV385" s="252"/>
      <c r="GMW385" s="252"/>
      <c r="GMX385" s="252"/>
      <c r="GMY385" s="252"/>
      <c r="GMZ385" s="252"/>
      <c r="GNA385" s="252"/>
      <c r="GNB385" s="252"/>
      <c r="GNC385" s="252"/>
      <c r="GND385" s="252"/>
      <c r="GNE385" s="252"/>
      <c r="GNF385" s="252"/>
      <c r="GNG385" s="252"/>
      <c r="GNH385" s="252"/>
      <c r="GNI385" s="252"/>
      <c r="GNJ385" s="252"/>
      <c r="GNK385" s="252"/>
      <c r="GNL385" s="252"/>
      <c r="GNM385" s="252"/>
      <c r="GNN385" s="252"/>
      <c r="GNO385" s="252"/>
      <c r="GNP385" s="252"/>
      <c r="GNQ385" s="252"/>
      <c r="GNR385" s="252"/>
      <c r="GNS385" s="252"/>
      <c r="GNT385" s="252"/>
      <c r="GNU385" s="252"/>
      <c r="GNV385" s="252"/>
      <c r="GNW385" s="252"/>
      <c r="GNX385" s="252"/>
      <c r="GNY385" s="252"/>
      <c r="GNZ385" s="252"/>
      <c r="GOA385" s="252"/>
      <c r="GOB385" s="252"/>
      <c r="GOC385" s="252"/>
      <c r="GOD385" s="252"/>
      <c r="GOE385" s="252"/>
      <c r="GOF385" s="252"/>
      <c r="GOG385" s="252"/>
      <c r="GOH385" s="252"/>
      <c r="GOI385" s="252"/>
      <c r="GOJ385" s="252"/>
      <c r="GOK385" s="252"/>
      <c r="GOL385" s="252"/>
      <c r="GOM385" s="252"/>
      <c r="GON385" s="252"/>
      <c r="GOO385" s="252"/>
      <c r="GOP385" s="252"/>
      <c r="GOQ385" s="252"/>
      <c r="GOR385" s="252"/>
      <c r="GOS385" s="252"/>
      <c r="GOT385" s="252"/>
      <c r="GOU385" s="252"/>
      <c r="GOV385" s="252"/>
      <c r="GOW385" s="252"/>
      <c r="GOX385" s="252"/>
      <c r="GOY385" s="252"/>
      <c r="GOZ385" s="252"/>
      <c r="GPA385" s="252"/>
      <c r="GPB385" s="252"/>
      <c r="GPC385" s="252"/>
      <c r="GPD385" s="252"/>
      <c r="GPE385" s="252"/>
      <c r="GPF385" s="252"/>
      <c r="GPG385" s="252"/>
      <c r="GPH385" s="252"/>
      <c r="GPI385" s="252"/>
      <c r="GPJ385" s="252"/>
      <c r="GPK385" s="252"/>
      <c r="GPL385" s="252"/>
      <c r="GPM385" s="252"/>
      <c r="GPN385" s="252"/>
      <c r="GPO385" s="252"/>
      <c r="GPP385" s="252"/>
      <c r="GPQ385" s="252"/>
      <c r="GPR385" s="252"/>
      <c r="GPS385" s="252"/>
      <c r="GPT385" s="252"/>
      <c r="GPU385" s="252"/>
      <c r="GPV385" s="252"/>
      <c r="GPW385" s="252"/>
      <c r="GPX385" s="252"/>
      <c r="GPY385" s="252"/>
      <c r="GPZ385" s="252"/>
      <c r="GQA385" s="252"/>
      <c r="GQB385" s="252"/>
      <c r="GQC385" s="252"/>
      <c r="GQD385" s="252"/>
      <c r="GQE385" s="252"/>
      <c r="GQF385" s="252"/>
      <c r="GQG385" s="252"/>
      <c r="GQH385" s="252"/>
      <c r="GQI385" s="252"/>
      <c r="GQJ385" s="252"/>
      <c r="GQK385" s="252"/>
      <c r="GQL385" s="252"/>
      <c r="GQM385" s="252"/>
      <c r="GQN385" s="252"/>
      <c r="GQO385" s="252"/>
      <c r="GQP385" s="252"/>
      <c r="GQQ385" s="252"/>
      <c r="GQR385" s="252"/>
      <c r="GQS385" s="252"/>
      <c r="GQT385" s="252"/>
      <c r="GQU385" s="252"/>
      <c r="GQV385" s="252"/>
      <c r="GQW385" s="252"/>
      <c r="GQX385" s="252"/>
      <c r="GQY385" s="252"/>
      <c r="GQZ385" s="252"/>
      <c r="GRA385" s="252"/>
      <c r="GRB385" s="252"/>
      <c r="GRC385" s="252"/>
      <c r="GRD385" s="252"/>
      <c r="GRE385" s="252"/>
      <c r="GRF385" s="252"/>
      <c r="GRG385" s="252"/>
      <c r="GRH385" s="252"/>
      <c r="GRI385" s="252"/>
      <c r="GRJ385" s="252"/>
      <c r="GRK385" s="252"/>
      <c r="GRL385" s="252"/>
      <c r="GRM385" s="252"/>
      <c r="GRN385" s="252"/>
      <c r="GRO385" s="252"/>
      <c r="GRP385" s="252"/>
      <c r="GRQ385" s="252"/>
      <c r="GRR385" s="252"/>
      <c r="GRS385" s="252"/>
      <c r="GRT385" s="252"/>
      <c r="GRU385" s="252"/>
      <c r="GRV385" s="252"/>
      <c r="GRW385" s="252"/>
      <c r="GRX385" s="252"/>
      <c r="GRY385" s="252"/>
      <c r="GRZ385" s="252"/>
      <c r="GSA385" s="252"/>
      <c r="GSB385" s="252"/>
      <c r="GSC385" s="252"/>
      <c r="GSD385" s="252"/>
      <c r="GSE385" s="252"/>
      <c r="GSF385" s="252"/>
      <c r="GSG385" s="252"/>
      <c r="GSH385" s="252"/>
      <c r="GSI385" s="252"/>
      <c r="GSJ385" s="252"/>
      <c r="GSK385" s="252"/>
      <c r="GSL385" s="252"/>
      <c r="GSM385" s="252"/>
      <c r="GSN385" s="252"/>
      <c r="GSO385" s="252"/>
      <c r="GSP385" s="252"/>
      <c r="GSQ385" s="252"/>
      <c r="GSR385" s="252"/>
      <c r="GSS385" s="252"/>
      <c r="GST385" s="252"/>
      <c r="GSU385" s="252"/>
      <c r="GSV385" s="252"/>
      <c r="GSW385" s="252"/>
      <c r="GSX385" s="252"/>
      <c r="GSY385" s="252"/>
      <c r="GSZ385" s="252"/>
      <c r="GTA385" s="252"/>
      <c r="GTB385" s="252"/>
      <c r="GTC385" s="252"/>
      <c r="GTD385" s="252"/>
      <c r="GTE385" s="252"/>
      <c r="GTF385" s="252"/>
      <c r="GTG385" s="252"/>
      <c r="GTH385" s="252"/>
      <c r="GTI385" s="252"/>
      <c r="GTJ385" s="252"/>
      <c r="GTK385" s="252"/>
      <c r="GTL385" s="252"/>
      <c r="GTM385" s="252"/>
      <c r="GTN385" s="252"/>
      <c r="GTO385" s="252"/>
      <c r="GTP385" s="252"/>
      <c r="GTQ385" s="252"/>
      <c r="GTR385" s="252"/>
      <c r="GTS385" s="252"/>
      <c r="GTT385" s="252"/>
      <c r="GTU385" s="252"/>
      <c r="GTV385" s="252"/>
      <c r="GTW385" s="252"/>
      <c r="GTX385" s="252"/>
      <c r="GTY385" s="252"/>
      <c r="GTZ385" s="252"/>
      <c r="GUA385" s="252"/>
      <c r="GUB385" s="252"/>
      <c r="GUC385" s="252"/>
      <c r="GUD385" s="252"/>
      <c r="GUE385" s="252"/>
      <c r="GUF385" s="252"/>
      <c r="GUG385" s="252"/>
      <c r="GUH385" s="252"/>
      <c r="GUI385" s="252"/>
      <c r="GUJ385" s="252"/>
      <c r="GUK385" s="252"/>
      <c r="GUL385" s="252"/>
      <c r="GUM385" s="252"/>
      <c r="GUN385" s="252"/>
      <c r="GUO385" s="252"/>
      <c r="GUP385" s="252"/>
      <c r="GUQ385" s="252"/>
      <c r="GUR385" s="252"/>
      <c r="GUS385" s="252"/>
      <c r="GUT385" s="252"/>
      <c r="GUU385" s="252"/>
      <c r="GUV385" s="252"/>
      <c r="GUW385" s="252"/>
      <c r="GUX385" s="252"/>
      <c r="GUY385" s="252"/>
      <c r="GUZ385" s="252"/>
      <c r="GVA385" s="252"/>
      <c r="GVB385" s="252"/>
      <c r="GVC385" s="252"/>
      <c r="GVD385" s="252"/>
      <c r="GVE385" s="252"/>
      <c r="GVF385" s="252"/>
      <c r="GVG385" s="252"/>
      <c r="GVH385" s="252"/>
      <c r="GVI385" s="252"/>
      <c r="GVJ385" s="252"/>
      <c r="GVK385" s="252"/>
      <c r="GVL385" s="252"/>
      <c r="GVM385" s="252"/>
      <c r="GVN385" s="252"/>
      <c r="GVO385" s="252"/>
      <c r="GVP385" s="252"/>
      <c r="GVQ385" s="252"/>
      <c r="GVR385" s="252"/>
      <c r="GVS385" s="252"/>
      <c r="GVT385" s="252"/>
      <c r="GVU385" s="252"/>
      <c r="GVV385" s="252"/>
      <c r="GVW385" s="252"/>
      <c r="GVX385" s="252"/>
      <c r="GVY385" s="252"/>
      <c r="GVZ385" s="252"/>
      <c r="GWA385" s="252"/>
      <c r="GWB385" s="252"/>
      <c r="GWC385" s="252"/>
      <c r="GWD385" s="252"/>
      <c r="GWE385" s="252"/>
      <c r="GWF385" s="252"/>
      <c r="GWG385" s="252"/>
      <c r="GWH385" s="252"/>
      <c r="GWI385" s="252"/>
      <c r="GWJ385" s="252"/>
      <c r="GWK385" s="252"/>
      <c r="GWL385" s="252"/>
      <c r="GWM385" s="252"/>
      <c r="GWN385" s="252"/>
      <c r="GWO385" s="252"/>
      <c r="GWP385" s="252"/>
      <c r="GWQ385" s="252"/>
      <c r="GWR385" s="252"/>
      <c r="GWS385" s="252"/>
      <c r="GWT385" s="252"/>
      <c r="GWU385" s="252"/>
      <c r="GWV385" s="252"/>
      <c r="GWW385" s="252"/>
      <c r="GWX385" s="252"/>
      <c r="GWY385" s="252"/>
      <c r="GWZ385" s="252"/>
      <c r="GXA385" s="252"/>
      <c r="GXB385" s="252"/>
      <c r="GXC385" s="252"/>
      <c r="GXD385" s="252"/>
      <c r="GXE385" s="252"/>
      <c r="GXF385" s="252"/>
      <c r="GXG385" s="252"/>
      <c r="GXH385" s="252"/>
      <c r="GXI385" s="252"/>
      <c r="GXJ385" s="252"/>
      <c r="GXK385" s="252"/>
      <c r="GXL385" s="252"/>
      <c r="GXM385" s="252"/>
      <c r="GXN385" s="252"/>
      <c r="GXO385" s="252"/>
      <c r="GXP385" s="252"/>
      <c r="GXQ385" s="252"/>
      <c r="GXR385" s="252"/>
      <c r="GXS385" s="252"/>
      <c r="GXT385" s="252"/>
      <c r="GXU385" s="252"/>
      <c r="GXV385" s="252"/>
      <c r="GXW385" s="252"/>
      <c r="GXX385" s="252"/>
      <c r="GXY385" s="252"/>
      <c r="GXZ385" s="252"/>
      <c r="GYA385" s="252"/>
      <c r="GYB385" s="252"/>
      <c r="GYC385" s="252"/>
      <c r="GYD385" s="252"/>
      <c r="GYE385" s="252"/>
      <c r="GYF385" s="252"/>
      <c r="GYG385" s="252"/>
      <c r="GYH385" s="252"/>
      <c r="GYI385" s="252"/>
      <c r="GYJ385" s="252"/>
      <c r="GYK385" s="252"/>
      <c r="GYL385" s="252"/>
      <c r="GYM385" s="252"/>
      <c r="GYN385" s="252"/>
      <c r="GYO385" s="252"/>
      <c r="GYP385" s="252"/>
      <c r="GYQ385" s="252"/>
      <c r="GYR385" s="252"/>
      <c r="GYS385" s="252"/>
      <c r="GYT385" s="252"/>
      <c r="GYU385" s="252"/>
      <c r="GYV385" s="252"/>
      <c r="GYW385" s="252"/>
      <c r="GYX385" s="252"/>
      <c r="GYY385" s="252"/>
      <c r="GYZ385" s="252"/>
      <c r="GZA385" s="252"/>
      <c r="GZB385" s="252"/>
      <c r="GZC385" s="252"/>
      <c r="GZD385" s="252"/>
      <c r="GZE385" s="252"/>
      <c r="GZF385" s="252"/>
      <c r="GZG385" s="252"/>
      <c r="GZH385" s="252"/>
      <c r="GZI385" s="252"/>
      <c r="GZJ385" s="252"/>
      <c r="GZK385" s="252"/>
      <c r="GZL385" s="252"/>
      <c r="GZM385" s="252"/>
      <c r="GZN385" s="252"/>
      <c r="GZO385" s="252"/>
      <c r="GZP385" s="252"/>
      <c r="GZQ385" s="252"/>
      <c r="GZR385" s="252"/>
      <c r="GZS385" s="252"/>
      <c r="GZT385" s="252"/>
      <c r="GZU385" s="252"/>
      <c r="GZV385" s="252"/>
      <c r="GZW385" s="252"/>
      <c r="GZX385" s="252"/>
      <c r="GZY385" s="252"/>
      <c r="GZZ385" s="252"/>
      <c r="HAA385" s="252"/>
      <c r="HAB385" s="252"/>
      <c r="HAC385" s="252"/>
      <c r="HAD385" s="252"/>
      <c r="HAE385" s="252"/>
      <c r="HAF385" s="252"/>
      <c r="HAG385" s="252"/>
      <c r="HAH385" s="252"/>
      <c r="HAI385" s="252"/>
      <c r="HAJ385" s="252"/>
      <c r="HAK385" s="252"/>
      <c r="HAL385" s="252"/>
      <c r="HAM385" s="252"/>
      <c r="HAN385" s="252"/>
      <c r="HAO385" s="252"/>
      <c r="HAP385" s="252"/>
      <c r="HAQ385" s="252"/>
      <c r="HAR385" s="252"/>
      <c r="HAS385" s="252"/>
      <c r="HAT385" s="252"/>
      <c r="HAU385" s="252"/>
      <c r="HAV385" s="252"/>
      <c r="HAW385" s="252"/>
      <c r="HAX385" s="252"/>
      <c r="HAY385" s="252"/>
      <c r="HAZ385" s="252"/>
      <c r="HBA385" s="252"/>
      <c r="HBB385" s="252"/>
      <c r="HBC385" s="252"/>
      <c r="HBD385" s="252"/>
      <c r="HBE385" s="252"/>
      <c r="HBF385" s="252"/>
      <c r="HBG385" s="252"/>
      <c r="HBH385" s="252"/>
      <c r="HBI385" s="252"/>
      <c r="HBJ385" s="252"/>
      <c r="HBK385" s="252"/>
      <c r="HBL385" s="252"/>
      <c r="HBM385" s="252"/>
      <c r="HBN385" s="252"/>
      <c r="HBO385" s="252"/>
      <c r="HBP385" s="252"/>
      <c r="HBQ385" s="252"/>
      <c r="HBR385" s="252"/>
      <c r="HBS385" s="252"/>
      <c r="HBT385" s="252"/>
      <c r="HBU385" s="252"/>
      <c r="HBV385" s="252"/>
      <c r="HBW385" s="252"/>
      <c r="HBX385" s="252"/>
      <c r="HBY385" s="252"/>
      <c r="HBZ385" s="252"/>
      <c r="HCA385" s="252"/>
      <c r="HCB385" s="252"/>
      <c r="HCC385" s="252"/>
      <c r="HCD385" s="252"/>
      <c r="HCE385" s="252"/>
      <c r="HCF385" s="252"/>
      <c r="HCG385" s="252"/>
      <c r="HCH385" s="252"/>
      <c r="HCI385" s="252"/>
      <c r="HCJ385" s="252"/>
      <c r="HCK385" s="252"/>
      <c r="HCL385" s="252"/>
      <c r="HCM385" s="252"/>
      <c r="HCN385" s="252"/>
      <c r="HCO385" s="252"/>
      <c r="HCP385" s="252"/>
      <c r="HCQ385" s="252"/>
      <c r="HCR385" s="252"/>
      <c r="HCS385" s="252"/>
      <c r="HCT385" s="252"/>
      <c r="HCU385" s="252"/>
      <c r="HCV385" s="252"/>
      <c r="HCW385" s="252"/>
      <c r="HCX385" s="252"/>
      <c r="HCY385" s="252"/>
      <c r="HCZ385" s="252"/>
      <c r="HDA385" s="252"/>
      <c r="HDB385" s="252"/>
      <c r="HDC385" s="252"/>
      <c r="HDD385" s="252"/>
      <c r="HDE385" s="252"/>
      <c r="HDF385" s="252"/>
      <c r="HDG385" s="252"/>
      <c r="HDH385" s="252"/>
      <c r="HDI385" s="252"/>
      <c r="HDJ385" s="252"/>
      <c r="HDK385" s="252"/>
      <c r="HDL385" s="252"/>
      <c r="HDM385" s="252"/>
      <c r="HDN385" s="252"/>
      <c r="HDO385" s="252"/>
      <c r="HDP385" s="252"/>
      <c r="HDQ385" s="252"/>
      <c r="HDR385" s="252"/>
      <c r="HDS385" s="252"/>
      <c r="HDT385" s="252"/>
      <c r="HDU385" s="252"/>
      <c r="HDV385" s="252"/>
      <c r="HDW385" s="252"/>
      <c r="HDX385" s="252"/>
      <c r="HDY385" s="252"/>
      <c r="HDZ385" s="252"/>
      <c r="HEA385" s="252"/>
      <c r="HEB385" s="252"/>
      <c r="HEC385" s="252"/>
      <c r="HED385" s="252"/>
      <c r="HEE385" s="252"/>
      <c r="HEF385" s="252"/>
      <c r="HEG385" s="252"/>
      <c r="HEH385" s="252"/>
      <c r="HEI385" s="252"/>
      <c r="HEJ385" s="252"/>
      <c r="HEK385" s="252"/>
      <c r="HEL385" s="252"/>
      <c r="HEM385" s="252"/>
      <c r="HEN385" s="252"/>
      <c r="HEO385" s="252"/>
      <c r="HEP385" s="252"/>
      <c r="HEQ385" s="252"/>
      <c r="HER385" s="252"/>
      <c r="HES385" s="252"/>
      <c r="HET385" s="252"/>
      <c r="HEU385" s="252"/>
      <c r="HEV385" s="252"/>
      <c r="HEW385" s="252"/>
      <c r="HEX385" s="252"/>
      <c r="HEY385" s="252"/>
      <c r="HEZ385" s="252"/>
      <c r="HFA385" s="252"/>
      <c r="HFB385" s="252"/>
      <c r="HFC385" s="252"/>
      <c r="HFD385" s="252"/>
      <c r="HFE385" s="252"/>
      <c r="HFF385" s="252"/>
      <c r="HFG385" s="252"/>
      <c r="HFH385" s="252"/>
      <c r="HFI385" s="252"/>
      <c r="HFJ385" s="252"/>
      <c r="HFK385" s="252"/>
      <c r="HFL385" s="252"/>
      <c r="HFM385" s="252"/>
      <c r="HFN385" s="252"/>
      <c r="HFO385" s="252"/>
      <c r="HFP385" s="252"/>
      <c r="HFQ385" s="252"/>
      <c r="HFR385" s="252"/>
      <c r="HFS385" s="252"/>
      <c r="HFT385" s="252"/>
      <c r="HFU385" s="252"/>
      <c r="HFV385" s="252"/>
      <c r="HFW385" s="252"/>
      <c r="HFX385" s="252"/>
      <c r="HFY385" s="252"/>
      <c r="HFZ385" s="252"/>
      <c r="HGA385" s="252"/>
      <c r="HGB385" s="252"/>
      <c r="HGC385" s="252"/>
      <c r="HGD385" s="252"/>
      <c r="HGE385" s="252"/>
      <c r="HGF385" s="252"/>
      <c r="HGG385" s="252"/>
      <c r="HGH385" s="252"/>
      <c r="HGI385" s="252"/>
      <c r="HGJ385" s="252"/>
      <c r="HGK385" s="252"/>
      <c r="HGL385" s="252"/>
      <c r="HGM385" s="252"/>
      <c r="HGN385" s="252"/>
      <c r="HGO385" s="252"/>
      <c r="HGP385" s="252"/>
      <c r="HGQ385" s="252"/>
      <c r="HGR385" s="252"/>
      <c r="HGS385" s="252"/>
      <c r="HGT385" s="252"/>
      <c r="HGU385" s="252"/>
      <c r="HGV385" s="252"/>
      <c r="HGW385" s="252"/>
      <c r="HGX385" s="252"/>
      <c r="HGY385" s="252"/>
      <c r="HGZ385" s="252"/>
      <c r="HHA385" s="252"/>
      <c r="HHB385" s="252"/>
      <c r="HHC385" s="252"/>
      <c r="HHD385" s="252"/>
      <c r="HHE385" s="252"/>
      <c r="HHF385" s="252"/>
      <c r="HHG385" s="252"/>
      <c r="HHH385" s="252"/>
      <c r="HHI385" s="252"/>
      <c r="HHJ385" s="252"/>
      <c r="HHK385" s="252"/>
      <c r="HHL385" s="252"/>
      <c r="HHM385" s="252"/>
      <c r="HHN385" s="252"/>
      <c r="HHO385" s="252"/>
      <c r="HHP385" s="252"/>
      <c r="HHQ385" s="252"/>
      <c r="HHR385" s="252"/>
      <c r="HHS385" s="252"/>
      <c r="HHT385" s="252"/>
      <c r="HHU385" s="252"/>
      <c r="HHV385" s="252"/>
      <c r="HHW385" s="252"/>
      <c r="HHX385" s="252"/>
      <c r="HHY385" s="252"/>
      <c r="HHZ385" s="252"/>
      <c r="HIA385" s="252"/>
      <c r="HIB385" s="252"/>
      <c r="HIC385" s="252"/>
      <c r="HID385" s="252"/>
      <c r="HIE385" s="252"/>
      <c r="HIF385" s="252"/>
      <c r="HIG385" s="252"/>
      <c r="HIH385" s="252"/>
      <c r="HII385" s="252"/>
      <c r="HIJ385" s="252"/>
      <c r="HIK385" s="252"/>
      <c r="HIL385" s="252"/>
      <c r="HIM385" s="252"/>
      <c r="HIN385" s="252"/>
      <c r="HIO385" s="252"/>
      <c r="HIP385" s="252"/>
      <c r="HIQ385" s="252"/>
      <c r="HIR385" s="252"/>
      <c r="HIS385" s="252"/>
      <c r="HIT385" s="252"/>
      <c r="HIU385" s="252"/>
      <c r="HIV385" s="252"/>
      <c r="HIW385" s="252"/>
      <c r="HIX385" s="252"/>
      <c r="HIY385" s="252"/>
      <c r="HIZ385" s="252"/>
      <c r="HJA385" s="252"/>
      <c r="HJB385" s="252"/>
      <c r="HJC385" s="252"/>
      <c r="HJD385" s="252"/>
      <c r="HJE385" s="252"/>
      <c r="HJF385" s="252"/>
      <c r="HJG385" s="252"/>
      <c r="HJH385" s="252"/>
      <c r="HJI385" s="252"/>
      <c r="HJJ385" s="252"/>
      <c r="HJK385" s="252"/>
      <c r="HJL385" s="252"/>
      <c r="HJM385" s="252"/>
      <c r="HJN385" s="252"/>
      <c r="HJO385" s="252"/>
      <c r="HJP385" s="252"/>
      <c r="HJQ385" s="252"/>
      <c r="HJR385" s="252"/>
      <c r="HJS385" s="252"/>
      <c r="HJT385" s="252"/>
      <c r="HJU385" s="252"/>
      <c r="HJV385" s="252"/>
      <c r="HJW385" s="252"/>
      <c r="HJX385" s="252"/>
      <c r="HJY385" s="252"/>
      <c r="HJZ385" s="252"/>
      <c r="HKA385" s="252"/>
      <c r="HKB385" s="252"/>
      <c r="HKC385" s="252"/>
      <c r="HKD385" s="252"/>
      <c r="HKE385" s="252"/>
      <c r="HKF385" s="252"/>
      <c r="HKG385" s="252"/>
      <c r="HKH385" s="252"/>
      <c r="HKI385" s="252"/>
      <c r="HKJ385" s="252"/>
      <c r="HKK385" s="252"/>
      <c r="HKL385" s="252"/>
      <c r="HKM385" s="252"/>
      <c r="HKN385" s="252"/>
      <c r="HKO385" s="252"/>
      <c r="HKP385" s="252"/>
      <c r="HKQ385" s="252"/>
      <c r="HKR385" s="252"/>
      <c r="HKS385" s="252"/>
      <c r="HKT385" s="252"/>
      <c r="HKU385" s="252"/>
      <c r="HKV385" s="252"/>
      <c r="HKW385" s="252"/>
      <c r="HKX385" s="252"/>
      <c r="HKY385" s="252"/>
      <c r="HKZ385" s="252"/>
      <c r="HLA385" s="252"/>
      <c r="HLB385" s="252"/>
      <c r="HLC385" s="252"/>
      <c r="HLD385" s="252"/>
      <c r="HLE385" s="252"/>
      <c r="HLF385" s="252"/>
      <c r="HLG385" s="252"/>
      <c r="HLH385" s="252"/>
      <c r="HLI385" s="252"/>
      <c r="HLJ385" s="252"/>
      <c r="HLK385" s="252"/>
      <c r="HLL385" s="252"/>
      <c r="HLM385" s="252"/>
      <c r="HLN385" s="252"/>
      <c r="HLO385" s="252"/>
      <c r="HLP385" s="252"/>
      <c r="HLQ385" s="252"/>
      <c r="HLR385" s="252"/>
      <c r="HLS385" s="252"/>
      <c r="HLT385" s="252"/>
      <c r="HLU385" s="252"/>
      <c r="HLV385" s="252"/>
      <c r="HLW385" s="252"/>
      <c r="HLX385" s="252"/>
      <c r="HLY385" s="252"/>
      <c r="HLZ385" s="252"/>
      <c r="HMA385" s="252"/>
      <c r="HMB385" s="252"/>
      <c r="HMC385" s="252"/>
      <c r="HMD385" s="252"/>
      <c r="HME385" s="252"/>
      <c r="HMF385" s="252"/>
      <c r="HMG385" s="252"/>
      <c r="HMH385" s="252"/>
      <c r="HMI385" s="252"/>
      <c r="HMJ385" s="252"/>
      <c r="HMK385" s="252"/>
      <c r="HML385" s="252"/>
      <c r="HMM385" s="252"/>
      <c r="HMN385" s="252"/>
      <c r="HMO385" s="252"/>
      <c r="HMP385" s="252"/>
      <c r="HMQ385" s="252"/>
      <c r="HMR385" s="252"/>
      <c r="HMS385" s="252"/>
      <c r="HMT385" s="252"/>
      <c r="HMU385" s="252"/>
      <c r="HMV385" s="252"/>
      <c r="HMW385" s="252"/>
      <c r="HMX385" s="252"/>
      <c r="HMY385" s="252"/>
      <c r="HMZ385" s="252"/>
      <c r="HNA385" s="252"/>
      <c r="HNB385" s="252"/>
      <c r="HNC385" s="252"/>
      <c r="HND385" s="252"/>
      <c r="HNE385" s="252"/>
      <c r="HNF385" s="252"/>
      <c r="HNG385" s="252"/>
      <c r="HNH385" s="252"/>
      <c r="HNI385" s="252"/>
      <c r="HNJ385" s="252"/>
      <c r="HNK385" s="252"/>
      <c r="HNL385" s="252"/>
      <c r="HNM385" s="252"/>
      <c r="HNN385" s="252"/>
      <c r="HNO385" s="252"/>
      <c r="HNP385" s="252"/>
      <c r="HNQ385" s="252"/>
      <c r="HNR385" s="252"/>
      <c r="HNS385" s="252"/>
      <c r="HNT385" s="252"/>
      <c r="HNU385" s="252"/>
      <c r="HNV385" s="252"/>
      <c r="HNW385" s="252"/>
      <c r="HNX385" s="252"/>
      <c r="HNY385" s="252"/>
      <c r="HNZ385" s="252"/>
      <c r="HOA385" s="252"/>
      <c r="HOB385" s="252"/>
      <c r="HOC385" s="252"/>
      <c r="HOD385" s="252"/>
      <c r="HOE385" s="252"/>
      <c r="HOF385" s="252"/>
      <c r="HOG385" s="252"/>
      <c r="HOH385" s="252"/>
      <c r="HOI385" s="252"/>
      <c r="HOJ385" s="252"/>
      <c r="HOK385" s="252"/>
      <c r="HOL385" s="252"/>
      <c r="HOM385" s="252"/>
      <c r="HON385" s="252"/>
      <c r="HOO385" s="252"/>
      <c r="HOP385" s="252"/>
      <c r="HOQ385" s="252"/>
      <c r="HOR385" s="252"/>
      <c r="HOS385" s="252"/>
      <c r="HOT385" s="252"/>
      <c r="HOU385" s="252"/>
      <c r="HOV385" s="252"/>
      <c r="HOW385" s="252"/>
      <c r="HOX385" s="252"/>
      <c r="HOY385" s="252"/>
      <c r="HOZ385" s="252"/>
      <c r="HPA385" s="252"/>
      <c r="HPB385" s="252"/>
      <c r="HPC385" s="252"/>
      <c r="HPD385" s="252"/>
      <c r="HPE385" s="252"/>
      <c r="HPF385" s="252"/>
      <c r="HPG385" s="252"/>
      <c r="HPH385" s="252"/>
      <c r="HPI385" s="252"/>
      <c r="HPJ385" s="252"/>
      <c r="HPK385" s="252"/>
      <c r="HPL385" s="252"/>
      <c r="HPM385" s="252"/>
      <c r="HPN385" s="252"/>
      <c r="HPO385" s="252"/>
      <c r="HPP385" s="252"/>
      <c r="HPQ385" s="252"/>
      <c r="HPR385" s="252"/>
      <c r="HPS385" s="252"/>
      <c r="HPT385" s="252"/>
      <c r="HPU385" s="252"/>
      <c r="HPV385" s="252"/>
      <c r="HPW385" s="252"/>
      <c r="HPX385" s="252"/>
      <c r="HPY385" s="252"/>
      <c r="HPZ385" s="252"/>
      <c r="HQA385" s="252"/>
      <c r="HQB385" s="252"/>
      <c r="HQC385" s="252"/>
      <c r="HQD385" s="252"/>
      <c r="HQE385" s="252"/>
      <c r="HQF385" s="252"/>
      <c r="HQG385" s="252"/>
      <c r="HQH385" s="252"/>
      <c r="HQI385" s="252"/>
      <c r="HQJ385" s="252"/>
      <c r="HQK385" s="252"/>
      <c r="HQL385" s="252"/>
      <c r="HQM385" s="252"/>
      <c r="HQN385" s="252"/>
      <c r="HQO385" s="252"/>
      <c r="HQP385" s="252"/>
      <c r="HQQ385" s="252"/>
      <c r="HQR385" s="252"/>
      <c r="HQS385" s="252"/>
      <c r="HQT385" s="252"/>
      <c r="HQU385" s="252"/>
      <c r="HQV385" s="252"/>
      <c r="HQW385" s="252"/>
      <c r="HQX385" s="252"/>
      <c r="HQY385" s="252"/>
      <c r="HQZ385" s="252"/>
      <c r="HRA385" s="252"/>
      <c r="HRB385" s="252"/>
      <c r="HRC385" s="252"/>
      <c r="HRD385" s="252"/>
      <c r="HRE385" s="252"/>
      <c r="HRF385" s="252"/>
      <c r="HRG385" s="252"/>
      <c r="HRH385" s="252"/>
      <c r="HRI385" s="252"/>
      <c r="HRJ385" s="252"/>
      <c r="HRK385" s="252"/>
      <c r="HRL385" s="252"/>
      <c r="HRM385" s="252"/>
      <c r="HRN385" s="252"/>
      <c r="HRO385" s="252"/>
      <c r="HRP385" s="252"/>
      <c r="HRQ385" s="252"/>
      <c r="HRR385" s="252"/>
      <c r="HRS385" s="252"/>
      <c r="HRT385" s="252"/>
      <c r="HRU385" s="252"/>
      <c r="HRV385" s="252"/>
      <c r="HRW385" s="252"/>
      <c r="HRX385" s="252"/>
      <c r="HRY385" s="252"/>
      <c r="HRZ385" s="252"/>
      <c r="HSA385" s="252"/>
      <c r="HSB385" s="252"/>
      <c r="HSC385" s="252"/>
      <c r="HSD385" s="252"/>
      <c r="HSE385" s="252"/>
      <c r="HSF385" s="252"/>
      <c r="HSG385" s="252"/>
      <c r="HSH385" s="252"/>
      <c r="HSI385" s="252"/>
      <c r="HSJ385" s="252"/>
      <c r="HSK385" s="252"/>
      <c r="HSL385" s="252"/>
      <c r="HSM385" s="252"/>
      <c r="HSN385" s="252"/>
      <c r="HSO385" s="252"/>
      <c r="HSP385" s="252"/>
      <c r="HSQ385" s="252"/>
      <c r="HSR385" s="252"/>
      <c r="HSS385" s="252"/>
      <c r="HST385" s="252"/>
      <c r="HSU385" s="252"/>
      <c r="HSV385" s="252"/>
      <c r="HSW385" s="252"/>
      <c r="HSX385" s="252"/>
      <c r="HSY385" s="252"/>
      <c r="HSZ385" s="252"/>
      <c r="HTA385" s="252"/>
      <c r="HTB385" s="252"/>
      <c r="HTC385" s="252"/>
      <c r="HTD385" s="252"/>
      <c r="HTE385" s="252"/>
      <c r="HTF385" s="252"/>
      <c r="HTG385" s="252"/>
      <c r="HTH385" s="252"/>
      <c r="HTI385" s="252"/>
      <c r="HTJ385" s="252"/>
      <c r="HTK385" s="252"/>
      <c r="HTL385" s="252"/>
      <c r="HTM385" s="252"/>
      <c r="HTN385" s="252"/>
      <c r="HTO385" s="252"/>
      <c r="HTP385" s="252"/>
      <c r="HTQ385" s="252"/>
      <c r="HTR385" s="252"/>
      <c r="HTS385" s="252"/>
      <c r="HTT385" s="252"/>
      <c r="HTU385" s="252"/>
      <c r="HTV385" s="252"/>
      <c r="HTW385" s="252"/>
      <c r="HTX385" s="252"/>
      <c r="HTY385" s="252"/>
      <c r="HTZ385" s="252"/>
      <c r="HUA385" s="252"/>
      <c r="HUB385" s="252"/>
      <c r="HUC385" s="252"/>
      <c r="HUD385" s="252"/>
      <c r="HUE385" s="252"/>
      <c r="HUF385" s="252"/>
      <c r="HUG385" s="252"/>
      <c r="HUH385" s="252"/>
      <c r="HUI385" s="252"/>
      <c r="HUJ385" s="252"/>
      <c r="HUK385" s="252"/>
      <c r="HUL385" s="252"/>
      <c r="HUM385" s="252"/>
      <c r="HUN385" s="252"/>
      <c r="HUO385" s="252"/>
      <c r="HUP385" s="252"/>
      <c r="HUQ385" s="252"/>
      <c r="HUR385" s="252"/>
      <c r="HUS385" s="252"/>
      <c r="HUT385" s="252"/>
      <c r="HUU385" s="252"/>
      <c r="HUV385" s="252"/>
      <c r="HUW385" s="252"/>
      <c r="HUX385" s="252"/>
      <c r="HUY385" s="252"/>
      <c r="HUZ385" s="252"/>
      <c r="HVA385" s="252"/>
      <c r="HVB385" s="252"/>
      <c r="HVC385" s="252"/>
      <c r="HVD385" s="252"/>
      <c r="HVE385" s="252"/>
      <c r="HVF385" s="252"/>
      <c r="HVG385" s="252"/>
      <c r="HVH385" s="252"/>
      <c r="HVI385" s="252"/>
      <c r="HVJ385" s="252"/>
      <c r="HVK385" s="252"/>
      <c r="HVL385" s="252"/>
      <c r="HVM385" s="252"/>
      <c r="HVN385" s="252"/>
      <c r="HVO385" s="252"/>
      <c r="HVP385" s="252"/>
      <c r="HVQ385" s="252"/>
      <c r="HVR385" s="252"/>
      <c r="HVS385" s="252"/>
      <c r="HVT385" s="252"/>
      <c r="HVU385" s="252"/>
      <c r="HVV385" s="252"/>
      <c r="HVW385" s="252"/>
      <c r="HVX385" s="252"/>
      <c r="HVY385" s="252"/>
      <c r="HVZ385" s="252"/>
      <c r="HWA385" s="252"/>
      <c r="HWB385" s="252"/>
      <c r="HWC385" s="252"/>
      <c r="HWD385" s="252"/>
      <c r="HWE385" s="252"/>
      <c r="HWF385" s="252"/>
      <c r="HWG385" s="252"/>
      <c r="HWH385" s="252"/>
      <c r="HWI385" s="252"/>
      <c r="HWJ385" s="252"/>
      <c r="HWK385" s="252"/>
      <c r="HWL385" s="252"/>
      <c r="HWM385" s="252"/>
      <c r="HWN385" s="252"/>
      <c r="HWO385" s="252"/>
      <c r="HWP385" s="252"/>
      <c r="HWQ385" s="252"/>
      <c r="HWR385" s="252"/>
      <c r="HWS385" s="252"/>
      <c r="HWT385" s="252"/>
      <c r="HWU385" s="252"/>
      <c r="HWV385" s="252"/>
      <c r="HWW385" s="252"/>
      <c r="HWX385" s="252"/>
      <c r="HWY385" s="252"/>
      <c r="HWZ385" s="252"/>
      <c r="HXA385" s="252"/>
      <c r="HXB385" s="252"/>
      <c r="HXC385" s="252"/>
      <c r="HXD385" s="252"/>
      <c r="HXE385" s="252"/>
      <c r="HXF385" s="252"/>
      <c r="HXG385" s="252"/>
      <c r="HXH385" s="252"/>
      <c r="HXI385" s="252"/>
      <c r="HXJ385" s="252"/>
      <c r="HXK385" s="252"/>
      <c r="HXL385" s="252"/>
      <c r="HXM385" s="252"/>
      <c r="HXN385" s="252"/>
      <c r="HXO385" s="252"/>
      <c r="HXP385" s="252"/>
      <c r="HXQ385" s="252"/>
      <c r="HXR385" s="252"/>
      <c r="HXS385" s="252"/>
      <c r="HXT385" s="252"/>
      <c r="HXU385" s="252"/>
      <c r="HXV385" s="252"/>
      <c r="HXW385" s="252"/>
      <c r="HXX385" s="252"/>
      <c r="HXY385" s="252"/>
      <c r="HXZ385" s="252"/>
      <c r="HYA385" s="252"/>
      <c r="HYB385" s="252"/>
      <c r="HYC385" s="252"/>
      <c r="HYD385" s="252"/>
      <c r="HYE385" s="252"/>
      <c r="HYF385" s="252"/>
      <c r="HYG385" s="252"/>
      <c r="HYH385" s="252"/>
      <c r="HYI385" s="252"/>
      <c r="HYJ385" s="252"/>
      <c r="HYK385" s="252"/>
      <c r="HYL385" s="252"/>
      <c r="HYM385" s="252"/>
      <c r="HYN385" s="252"/>
      <c r="HYO385" s="252"/>
      <c r="HYP385" s="252"/>
      <c r="HYQ385" s="252"/>
      <c r="HYR385" s="252"/>
      <c r="HYS385" s="252"/>
      <c r="HYT385" s="252"/>
      <c r="HYU385" s="252"/>
      <c r="HYV385" s="252"/>
      <c r="HYW385" s="252"/>
      <c r="HYX385" s="252"/>
      <c r="HYY385" s="252"/>
      <c r="HYZ385" s="252"/>
      <c r="HZA385" s="252"/>
      <c r="HZB385" s="252"/>
      <c r="HZC385" s="252"/>
      <c r="HZD385" s="252"/>
      <c r="HZE385" s="252"/>
      <c r="HZF385" s="252"/>
      <c r="HZG385" s="252"/>
      <c r="HZH385" s="252"/>
      <c r="HZI385" s="252"/>
      <c r="HZJ385" s="252"/>
      <c r="HZK385" s="252"/>
      <c r="HZL385" s="252"/>
      <c r="HZM385" s="252"/>
      <c r="HZN385" s="252"/>
      <c r="HZO385" s="252"/>
      <c r="HZP385" s="252"/>
      <c r="HZQ385" s="252"/>
      <c r="HZR385" s="252"/>
      <c r="HZS385" s="252"/>
      <c r="HZT385" s="252"/>
      <c r="HZU385" s="252"/>
      <c r="HZV385" s="252"/>
      <c r="HZW385" s="252"/>
      <c r="HZX385" s="252"/>
      <c r="HZY385" s="252"/>
      <c r="HZZ385" s="252"/>
      <c r="IAA385" s="252"/>
      <c r="IAB385" s="252"/>
      <c r="IAC385" s="252"/>
      <c r="IAD385" s="252"/>
      <c r="IAE385" s="252"/>
      <c r="IAF385" s="252"/>
      <c r="IAG385" s="252"/>
      <c r="IAH385" s="252"/>
      <c r="IAI385" s="252"/>
      <c r="IAJ385" s="252"/>
      <c r="IAK385" s="252"/>
      <c r="IAL385" s="252"/>
      <c r="IAM385" s="252"/>
      <c r="IAN385" s="252"/>
      <c r="IAO385" s="252"/>
      <c r="IAP385" s="252"/>
      <c r="IAQ385" s="252"/>
      <c r="IAR385" s="252"/>
      <c r="IAS385" s="252"/>
      <c r="IAT385" s="252"/>
      <c r="IAU385" s="252"/>
      <c r="IAV385" s="252"/>
      <c r="IAW385" s="252"/>
      <c r="IAX385" s="252"/>
      <c r="IAY385" s="252"/>
      <c r="IAZ385" s="252"/>
      <c r="IBA385" s="252"/>
      <c r="IBB385" s="252"/>
      <c r="IBC385" s="252"/>
      <c r="IBD385" s="252"/>
      <c r="IBE385" s="252"/>
      <c r="IBF385" s="252"/>
      <c r="IBG385" s="252"/>
      <c r="IBH385" s="252"/>
      <c r="IBI385" s="252"/>
      <c r="IBJ385" s="252"/>
      <c r="IBK385" s="252"/>
      <c r="IBL385" s="252"/>
      <c r="IBM385" s="252"/>
      <c r="IBN385" s="252"/>
      <c r="IBO385" s="252"/>
      <c r="IBP385" s="252"/>
      <c r="IBQ385" s="252"/>
      <c r="IBR385" s="252"/>
      <c r="IBS385" s="252"/>
      <c r="IBT385" s="252"/>
      <c r="IBU385" s="252"/>
      <c r="IBV385" s="252"/>
      <c r="IBW385" s="252"/>
      <c r="IBX385" s="252"/>
      <c r="IBY385" s="252"/>
      <c r="IBZ385" s="252"/>
      <c r="ICA385" s="252"/>
      <c r="ICB385" s="252"/>
      <c r="ICC385" s="252"/>
      <c r="ICD385" s="252"/>
      <c r="ICE385" s="252"/>
      <c r="ICF385" s="252"/>
      <c r="ICG385" s="252"/>
      <c r="ICH385" s="252"/>
      <c r="ICI385" s="252"/>
      <c r="ICJ385" s="252"/>
      <c r="ICK385" s="252"/>
      <c r="ICL385" s="252"/>
      <c r="ICM385" s="252"/>
      <c r="ICN385" s="252"/>
      <c r="ICO385" s="252"/>
      <c r="ICP385" s="252"/>
      <c r="ICQ385" s="252"/>
      <c r="ICR385" s="252"/>
      <c r="ICS385" s="252"/>
      <c r="ICT385" s="252"/>
      <c r="ICU385" s="252"/>
      <c r="ICV385" s="252"/>
      <c r="ICW385" s="252"/>
      <c r="ICX385" s="252"/>
      <c r="ICY385" s="252"/>
      <c r="ICZ385" s="252"/>
      <c r="IDA385" s="252"/>
      <c r="IDB385" s="252"/>
      <c r="IDC385" s="252"/>
      <c r="IDD385" s="252"/>
      <c r="IDE385" s="252"/>
      <c r="IDF385" s="252"/>
      <c r="IDG385" s="252"/>
      <c r="IDH385" s="252"/>
      <c r="IDI385" s="252"/>
      <c r="IDJ385" s="252"/>
      <c r="IDK385" s="252"/>
      <c r="IDL385" s="252"/>
      <c r="IDM385" s="252"/>
      <c r="IDN385" s="252"/>
      <c r="IDO385" s="252"/>
      <c r="IDP385" s="252"/>
      <c r="IDQ385" s="252"/>
      <c r="IDR385" s="252"/>
      <c r="IDS385" s="252"/>
      <c r="IDT385" s="252"/>
      <c r="IDU385" s="252"/>
      <c r="IDV385" s="252"/>
      <c r="IDW385" s="252"/>
      <c r="IDX385" s="252"/>
      <c r="IDY385" s="252"/>
      <c r="IDZ385" s="252"/>
      <c r="IEA385" s="252"/>
      <c r="IEB385" s="252"/>
      <c r="IEC385" s="252"/>
      <c r="IED385" s="252"/>
      <c r="IEE385" s="252"/>
      <c r="IEF385" s="252"/>
      <c r="IEG385" s="252"/>
      <c r="IEH385" s="252"/>
      <c r="IEI385" s="252"/>
      <c r="IEJ385" s="252"/>
      <c r="IEK385" s="252"/>
      <c r="IEL385" s="252"/>
      <c r="IEM385" s="252"/>
      <c r="IEN385" s="252"/>
      <c r="IEO385" s="252"/>
      <c r="IEP385" s="252"/>
      <c r="IEQ385" s="252"/>
      <c r="IER385" s="252"/>
      <c r="IES385" s="252"/>
      <c r="IET385" s="252"/>
      <c r="IEU385" s="252"/>
      <c r="IEV385" s="252"/>
      <c r="IEW385" s="252"/>
      <c r="IEX385" s="252"/>
      <c r="IEY385" s="252"/>
      <c r="IEZ385" s="252"/>
      <c r="IFA385" s="252"/>
      <c r="IFB385" s="252"/>
      <c r="IFC385" s="252"/>
      <c r="IFD385" s="252"/>
      <c r="IFE385" s="252"/>
      <c r="IFF385" s="252"/>
      <c r="IFG385" s="252"/>
      <c r="IFH385" s="252"/>
      <c r="IFI385" s="252"/>
      <c r="IFJ385" s="252"/>
      <c r="IFK385" s="252"/>
      <c r="IFL385" s="252"/>
      <c r="IFM385" s="252"/>
      <c r="IFN385" s="252"/>
      <c r="IFO385" s="252"/>
      <c r="IFP385" s="252"/>
      <c r="IFQ385" s="252"/>
      <c r="IFR385" s="252"/>
      <c r="IFS385" s="252"/>
      <c r="IFT385" s="252"/>
      <c r="IFU385" s="252"/>
      <c r="IFV385" s="252"/>
      <c r="IFW385" s="252"/>
      <c r="IFX385" s="252"/>
      <c r="IFY385" s="252"/>
      <c r="IFZ385" s="252"/>
      <c r="IGA385" s="252"/>
      <c r="IGB385" s="252"/>
      <c r="IGC385" s="252"/>
      <c r="IGD385" s="252"/>
      <c r="IGE385" s="252"/>
      <c r="IGF385" s="252"/>
      <c r="IGG385" s="252"/>
      <c r="IGH385" s="252"/>
      <c r="IGI385" s="252"/>
      <c r="IGJ385" s="252"/>
      <c r="IGK385" s="252"/>
      <c r="IGL385" s="252"/>
      <c r="IGM385" s="252"/>
      <c r="IGN385" s="252"/>
      <c r="IGO385" s="252"/>
      <c r="IGP385" s="252"/>
      <c r="IGQ385" s="252"/>
      <c r="IGR385" s="252"/>
      <c r="IGS385" s="252"/>
      <c r="IGT385" s="252"/>
      <c r="IGU385" s="252"/>
      <c r="IGV385" s="252"/>
      <c r="IGW385" s="252"/>
      <c r="IGX385" s="252"/>
      <c r="IGY385" s="252"/>
      <c r="IGZ385" s="252"/>
      <c r="IHA385" s="252"/>
      <c r="IHB385" s="252"/>
      <c r="IHC385" s="252"/>
      <c r="IHD385" s="252"/>
      <c r="IHE385" s="252"/>
      <c r="IHF385" s="252"/>
      <c r="IHG385" s="252"/>
      <c r="IHH385" s="252"/>
      <c r="IHI385" s="252"/>
      <c r="IHJ385" s="252"/>
      <c r="IHK385" s="252"/>
      <c r="IHL385" s="252"/>
      <c r="IHM385" s="252"/>
      <c r="IHN385" s="252"/>
      <c r="IHO385" s="252"/>
      <c r="IHP385" s="252"/>
      <c r="IHQ385" s="252"/>
      <c r="IHR385" s="252"/>
      <c r="IHS385" s="252"/>
      <c r="IHT385" s="252"/>
      <c r="IHU385" s="252"/>
      <c r="IHV385" s="252"/>
      <c r="IHW385" s="252"/>
      <c r="IHX385" s="252"/>
      <c r="IHY385" s="252"/>
      <c r="IHZ385" s="252"/>
      <c r="IIA385" s="252"/>
      <c r="IIB385" s="252"/>
      <c r="IIC385" s="252"/>
      <c r="IID385" s="252"/>
      <c r="IIE385" s="252"/>
      <c r="IIF385" s="252"/>
      <c r="IIG385" s="252"/>
      <c r="IIH385" s="252"/>
      <c r="III385" s="252"/>
      <c r="IIJ385" s="252"/>
      <c r="IIK385" s="252"/>
      <c r="IIL385" s="252"/>
      <c r="IIM385" s="252"/>
      <c r="IIN385" s="252"/>
      <c r="IIO385" s="252"/>
      <c r="IIP385" s="252"/>
      <c r="IIQ385" s="252"/>
      <c r="IIR385" s="252"/>
      <c r="IIS385" s="252"/>
      <c r="IIT385" s="252"/>
      <c r="IIU385" s="252"/>
      <c r="IIV385" s="252"/>
      <c r="IIW385" s="252"/>
      <c r="IIX385" s="252"/>
      <c r="IIY385" s="252"/>
      <c r="IIZ385" s="252"/>
      <c r="IJA385" s="252"/>
      <c r="IJB385" s="252"/>
      <c r="IJC385" s="252"/>
      <c r="IJD385" s="252"/>
      <c r="IJE385" s="252"/>
      <c r="IJF385" s="252"/>
      <c r="IJG385" s="252"/>
      <c r="IJH385" s="252"/>
      <c r="IJI385" s="252"/>
      <c r="IJJ385" s="252"/>
      <c r="IJK385" s="252"/>
      <c r="IJL385" s="252"/>
      <c r="IJM385" s="252"/>
      <c r="IJN385" s="252"/>
      <c r="IJO385" s="252"/>
      <c r="IJP385" s="252"/>
      <c r="IJQ385" s="252"/>
      <c r="IJR385" s="252"/>
      <c r="IJS385" s="252"/>
      <c r="IJT385" s="252"/>
      <c r="IJU385" s="252"/>
      <c r="IJV385" s="252"/>
      <c r="IJW385" s="252"/>
      <c r="IJX385" s="252"/>
      <c r="IJY385" s="252"/>
      <c r="IJZ385" s="252"/>
      <c r="IKA385" s="252"/>
      <c r="IKB385" s="252"/>
      <c r="IKC385" s="252"/>
      <c r="IKD385" s="252"/>
      <c r="IKE385" s="252"/>
      <c r="IKF385" s="252"/>
      <c r="IKG385" s="252"/>
      <c r="IKH385" s="252"/>
      <c r="IKI385" s="252"/>
      <c r="IKJ385" s="252"/>
      <c r="IKK385" s="252"/>
      <c r="IKL385" s="252"/>
      <c r="IKM385" s="252"/>
      <c r="IKN385" s="252"/>
      <c r="IKO385" s="252"/>
      <c r="IKP385" s="252"/>
      <c r="IKQ385" s="252"/>
      <c r="IKR385" s="252"/>
      <c r="IKS385" s="252"/>
      <c r="IKT385" s="252"/>
      <c r="IKU385" s="252"/>
      <c r="IKV385" s="252"/>
      <c r="IKW385" s="252"/>
      <c r="IKX385" s="252"/>
      <c r="IKY385" s="252"/>
      <c r="IKZ385" s="252"/>
      <c r="ILA385" s="252"/>
      <c r="ILB385" s="252"/>
      <c r="ILC385" s="252"/>
      <c r="ILD385" s="252"/>
      <c r="ILE385" s="252"/>
      <c r="ILF385" s="252"/>
      <c r="ILG385" s="252"/>
      <c r="ILH385" s="252"/>
      <c r="ILI385" s="252"/>
      <c r="ILJ385" s="252"/>
      <c r="ILK385" s="252"/>
      <c r="ILL385" s="252"/>
      <c r="ILM385" s="252"/>
      <c r="ILN385" s="252"/>
      <c r="ILO385" s="252"/>
      <c r="ILP385" s="252"/>
      <c r="ILQ385" s="252"/>
      <c r="ILR385" s="252"/>
      <c r="ILS385" s="252"/>
      <c r="ILT385" s="252"/>
      <c r="ILU385" s="252"/>
      <c r="ILV385" s="252"/>
      <c r="ILW385" s="252"/>
      <c r="ILX385" s="252"/>
      <c r="ILY385" s="252"/>
      <c r="ILZ385" s="252"/>
      <c r="IMA385" s="252"/>
      <c r="IMB385" s="252"/>
      <c r="IMC385" s="252"/>
      <c r="IMD385" s="252"/>
      <c r="IME385" s="252"/>
      <c r="IMF385" s="252"/>
      <c r="IMG385" s="252"/>
      <c r="IMH385" s="252"/>
      <c r="IMI385" s="252"/>
      <c r="IMJ385" s="252"/>
      <c r="IMK385" s="252"/>
      <c r="IML385" s="252"/>
      <c r="IMM385" s="252"/>
      <c r="IMN385" s="252"/>
      <c r="IMO385" s="252"/>
      <c r="IMP385" s="252"/>
      <c r="IMQ385" s="252"/>
      <c r="IMR385" s="252"/>
      <c r="IMS385" s="252"/>
      <c r="IMT385" s="252"/>
      <c r="IMU385" s="252"/>
      <c r="IMV385" s="252"/>
      <c r="IMW385" s="252"/>
      <c r="IMX385" s="252"/>
      <c r="IMY385" s="252"/>
      <c r="IMZ385" s="252"/>
      <c r="INA385" s="252"/>
      <c r="INB385" s="252"/>
      <c r="INC385" s="252"/>
      <c r="IND385" s="252"/>
      <c r="INE385" s="252"/>
      <c r="INF385" s="252"/>
      <c r="ING385" s="252"/>
      <c r="INH385" s="252"/>
      <c r="INI385" s="252"/>
      <c r="INJ385" s="252"/>
      <c r="INK385" s="252"/>
      <c r="INL385" s="252"/>
      <c r="INM385" s="252"/>
      <c r="INN385" s="252"/>
      <c r="INO385" s="252"/>
      <c r="INP385" s="252"/>
      <c r="INQ385" s="252"/>
      <c r="INR385" s="252"/>
      <c r="INS385" s="252"/>
      <c r="INT385" s="252"/>
      <c r="INU385" s="252"/>
      <c r="INV385" s="252"/>
      <c r="INW385" s="252"/>
      <c r="INX385" s="252"/>
      <c r="INY385" s="252"/>
      <c r="INZ385" s="252"/>
      <c r="IOA385" s="252"/>
      <c r="IOB385" s="252"/>
      <c r="IOC385" s="252"/>
      <c r="IOD385" s="252"/>
      <c r="IOE385" s="252"/>
      <c r="IOF385" s="252"/>
      <c r="IOG385" s="252"/>
      <c r="IOH385" s="252"/>
      <c r="IOI385" s="252"/>
      <c r="IOJ385" s="252"/>
      <c r="IOK385" s="252"/>
      <c r="IOL385" s="252"/>
      <c r="IOM385" s="252"/>
      <c r="ION385" s="252"/>
      <c r="IOO385" s="252"/>
      <c r="IOP385" s="252"/>
      <c r="IOQ385" s="252"/>
      <c r="IOR385" s="252"/>
      <c r="IOS385" s="252"/>
      <c r="IOT385" s="252"/>
      <c r="IOU385" s="252"/>
      <c r="IOV385" s="252"/>
      <c r="IOW385" s="252"/>
      <c r="IOX385" s="252"/>
      <c r="IOY385" s="252"/>
      <c r="IOZ385" s="252"/>
      <c r="IPA385" s="252"/>
      <c r="IPB385" s="252"/>
      <c r="IPC385" s="252"/>
      <c r="IPD385" s="252"/>
      <c r="IPE385" s="252"/>
      <c r="IPF385" s="252"/>
      <c r="IPG385" s="252"/>
      <c r="IPH385" s="252"/>
      <c r="IPI385" s="252"/>
      <c r="IPJ385" s="252"/>
      <c r="IPK385" s="252"/>
      <c r="IPL385" s="252"/>
      <c r="IPM385" s="252"/>
      <c r="IPN385" s="252"/>
      <c r="IPO385" s="252"/>
      <c r="IPP385" s="252"/>
      <c r="IPQ385" s="252"/>
      <c r="IPR385" s="252"/>
      <c r="IPS385" s="252"/>
      <c r="IPT385" s="252"/>
      <c r="IPU385" s="252"/>
      <c r="IPV385" s="252"/>
      <c r="IPW385" s="252"/>
      <c r="IPX385" s="252"/>
      <c r="IPY385" s="252"/>
      <c r="IPZ385" s="252"/>
      <c r="IQA385" s="252"/>
      <c r="IQB385" s="252"/>
      <c r="IQC385" s="252"/>
      <c r="IQD385" s="252"/>
      <c r="IQE385" s="252"/>
      <c r="IQF385" s="252"/>
      <c r="IQG385" s="252"/>
      <c r="IQH385" s="252"/>
      <c r="IQI385" s="252"/>
      <c r="IQJ385" s="252"/>
      <c r="IQK385" s="252"/>
      <c r="IQL385" s="252"/>
      <c r="IQM385" s="252"/>
      <c r="IQN385" s="252"/>
      <c r="IQO385" s="252"/>
      <c r="IQP385" s="252"/>
      <c r="IQQ385" s="252"/>
      <c r="IQR385" s="252"/>
      <c r="IQS385" s="252"/>
      <c r="IQT385" s="252"/>
      <c r="IQU385" s="252"/>
      <c r="IQV385" s="252"/>
      <c r="IQW385" s="252"/>
      <c r="IQX385" s="252"/>
      <c r="IQY385" s="252"/>
      <c r="IQZ385" s="252"/>
      <c r="IRA385" s="252"/>
      <c r="IRB385" s="252"/>
      <c r="IRC385" s="252"/>
      <c r="IRD385" s="252"/>
      <c r="IRE385" s="252"/>
      <c r="IRF385" s="252"/>
      <c r="IRG385" s="252"/>
      <c r="IRH385" s="252"/>
      <c r="IRI385" s="252"/>
      <c r="IRJ385" s="252"/>
      <c r="IRK385" s="252"/>
      <c r="IRL385" s="252"/>
      <c r="IRM385" s="252"/>
      <c r="IRN385" s="252"/>
      <c r="IRO385" s="252"/>
      <c r="IRP385" s="252"/>
      <c r="IRQ385" s="252"/>
      <c r="IRR385" s="252"/>
      <c r="IRS385" s="252"/>
      <c r="IRT385" s="252"/>
      <c r="IRU385" s="252"/>
      <c r="IRV385" s="252"/>
      <c r="IRW385" s="252"/>
      <c r="IRX385" s="252"/>
      <c r="IRY385" s="252"/>
      <c r="IRZ385" s="252"/>
      <c r="ISA385" s="252"/>
      <c r="ISB385" s="252"/>
      <c r="ISC385" s="252"/>
      <c r="ISD385" s="252"/>
      <c r="ISE385" s="252"/>
      <c r="ISF385" s="252"/>
      <c r="ISG385" s="252"/>
      <c r="ISH385" s="252"/>
      <c r="ISI385" s="252"/>
      <c r="ISJ385" s="252"/>
      <c r="ISK385" s="252"/>
      <c r="ISL385" s="252"/>
      <c r="ISM385" s="252"/>
      <c r="ISN385" s="252"/>
      <c r="ISO385" s="252"/>
      <c r="ISP385" s="252"/>
      <c r="ISQ385" s="252"/>
      <c r="ISR385" s="252"/>
      <c r="ISS385" s="252"/>
      <c r="IST385" s="252"/>
      <c r="ISU385" s="252"/>
      <c r="ISV385" s="252"/>
      <c r="ISW385" s="252"/>
      <c r="ISX385" s="252"/>
      <c r="ISY385" s="252"/>
      <c r="ISZ385" s="252"/>
      <c r="ITA385" s="252"/>
      <c r="ITB385" s="252"/>
      <c r="ITC385" s="252"/>
      <c r="ITD385" s="252"/>
      <c r="ITE385" s="252"/>
      <c r="ITF385" s="252"/>
      <c r="ITG385" s="252"/>
      <c r="ITH385" s="252"/>
      <c r="ITI385" s="252"/>
      <c r="ITJ385" s="252"/>
      <c r="ITK385" s="252"/>
      <c r="ITL385" s="252"/>
      <c r="ITM385" s="252"/>
      <c r="ITN385" s="252"/>
      <c r="ITO385" s="252"/>
      <c r="ITP385" s="252"/>
      <c r="ITQ385" s="252"/>
      <c r="ITR385" s="252"/>
      <c r="ITS385" s="252"/>
      <c r="ITT385" s="252"/>
      <c r="ITU385" s="252"/>
      <c r="ITV385" s="252"/>
      <c r="ITW385" s="252"/>
      <c r="ITX385" s="252"/>
      <c r="ITY385" s="252"/>
      <c r="ITZ385" s="252"/>
      <c r="IUA385" s="252"/>
      <c r="IUB385" s="252"/>
      <c r="IUC385" s="252"/>
      <c r="IUD385" s="252"/>
      <c r="IUE385" s="252"/>
      <c r="IUF385" s="252"/>
      <c r="IUG385" s="252"/>
      <c r="IUH385" s="252"/>
      <c r="IUI385" s="252"/>
      <c r="IUJ385" s="252"/>
      <c r="IUK385" s="252"/>
      <c r="IUL385" s="252"/>
      <c r="IUM385" s="252"/>
      <c r="IUN385" s="252"/>
      <c r="IUO385" s="252"/>
      <c r="IUP385" s="252"/>
      <c r="IUQ385" s="252"/>
      <c r="IUR385" s="252"/>
      <c r="IUS385" s="252"/>
      <c r="IUT385" s="252"/>
      <c r="IUU385" s="252"/>
      <c r="IUV385" s="252"/>
      <c r="IUW385" s="252"/>
      <c r="IUX385" s="252"/>
      <c r="IUY385" s="252"/>
      <c r="IUZ385" s="252"/>
      <c r="IVA385" s="252"/>
      <c r="IVB385" s="252"/>
      <c r="IVC385" s="252"/>
      <c r="IVD385" s="252"/>
      <c r="IVE385" s="252"/>
      <c r="IVF385" s="252"/>
      <c r="IVG385" s="252"/>
      <c r="IVH385" s="252"/>
      <c r="IVI385" s="252"/>
      <c r="IVJ385" s="252"/>
      <c r="IVK385" s="252"/>
      <c r="IVL385" s="252"/>
      <c r="IVM385" s="252"/>
      <c r="IVN385" s="252"/>
      <c r="IVO385" s="252"/>
      <c r="IVP385" s="252"/>
      <c r="IVQ385" s="252"/>
      <c r="IVR385" s="252"/>
      <c r="IVS385" s="252"/>
      <c r="IVT385" s="252"/>
      <c r="IVU385" s="252"/>
      <c r="IVV385" s="252"/>
      <c r="IVW385" s="252"/>
      <c r="IVX385" s="252"/>
      <c r="IVY385" s="252"/>
      <c r="IVZ385" s="252"/>
      <c r="IWA385" s="252"/>
      <c r="IWB385" s="252"/>
      <c r="IWC385" s="252"/>
      <c r="IWD385" s="252"/>
      <c r="IWE385" s="252"/>
      <c r="IWF385" s="252"/>
      <c r="IWG385" s="252"/>
      <c r="IWH385" s="252"/>
      <c r="IWI385" s="252"/>
      <c r="IWJ385" s="252"/>
      <c r="IWK385" s="252"/>
      <c r="IWL385" s="252"/>
      <c r="IWM385" s="252"/>
      <c r="IWN385" s="252"/>
      <c r="IWO385" s="252"/>
      <c r="IWP385" s="252"/>
      <c r="IWQ385" s="252"/>
      <c r="IWR385" s="252"/>
      <c r="IWS385" s="252"/>
      <c r="IWT385" s="252"/>
      <c r="IWU385" s="252"/>
      <c r="IWV385" s="252"/>
      <c r="IWW385" s="252"/>
      <c r="IWX385" s="252"/>
      <c r="IWY385" s="252"/>
      <c r="IWZ385" s="252"/>
      <c r="IXA385" s="252"/>
      <c r="IXB385" s="252"/>
      <c r="IXC385" s="252"/>
      <c r="IXD385" s="252"/>
      <c r="IXE385" s="252"/>
      <c r="IXF385" s="252"/>
      <c r="IXG385" s="252"/>
      <c r="IXH385" s="252"/>
      <c r="IXI385" s="252"/>
      <c r="IXJ385" s="252"/>
      <c r="IXK385" s="252"/>
      <c r="IXL385" s="252"/>
      <c r="IXM385" s="252"/>
      <c r="IXN385" s="252"/>
      <c r="IXO385" s="252"/>
      <c r="IXP385" s="252"/>
      <c r="IXQ385" s="252"/>
      <c r="IXR385" s="252"/>
      <c r="IXS385" s="252"/>
      <c r="IXT385" s="252"/>
      <c r="IXU385" s="252"/>
      <c r="IXV385" s="252"/>
      <c r="IXW385" s="252"/>
      <c r="IXX385" s="252"/>
      <c r="IXY385" s="252"/>
      <c r="IXZ385" s="252"/>
      <c r="IYA385" s="252"/>
      <c r="IYB385" s="252"/>
      <c r="IYC385" s="252"/>
      <c r="IYD385" s="252"/>
      <c r="IYE385" s="252"/>
      <c r="IYF385" s="252"/>
      <c r="IYG385" s="252"/>
      <c r="IYH385" s="252"/>
      <c r="IYI385" s="252"/>
      <c r="IYJ385" s="252"/>
      <c r="IYK385" s="252"/>
      <c r="IYL385" s="252"/>
      <c r="IYM385" s="252"/>
      <c r="IYN385" s="252"/>
      <c r="IYO385" s="252"/>
      <c r="IYP385" s="252"/>
      <c r="IYQ385" s="252"/>
      <c r="IYR385" s="252"/>
      <c r="IYS385" s="252"/>
      <c r="IYT385" s="252"/>
      <c r="IYU385" s="252"/>
      <c r="IYV385" s="252"/>
      <c r="IYW385" s="252"/>
      <c r="IYX385" s="252"/>
      <c r="IYY385" s="252"/>
      <c r="IYZ385" s="252"/>
      <c r="IZA385" s="252"/>
      <c r="IZB385" s="252"/>
      <c r="IZC385" s="252"/>
      <c r="IZD385" s="252"/>
      <c r="IZE385" s="252"/>
      <c r="IZF385" s="252"/>
      <c r="IZG385" s="252"/>
      <c r="IZH385" s="252"/>
      <c r="IZI385" s="252"/>
      <c r="IZJ385" s="252"/>
      <c r="IZK385" s="252"/>
      <c r="IZL385" s="252"/>
      <c r="IZM385" s="252"/>
      <c r="IZN385" s="252"/>
      <c r="IZO385" s="252"/>
      <c r="IZP385" s="252"/>
      <c r="IZQ385" s="252"/>
      <c r="IZR385" s="252"/>
      <c r="IZS385" s="252"/>
      <c r="IZT385" s="252"/>
      <c r="IZU385" s="252"/>
      <c r="IZV385" s="252"/>
      <c r="IZW385" s="252"/>
      <c r="IZX385" s="252"/>
      <c r="IZY385" s="252"/>
      <c r="IZZ385" s="252"/>
      <c r="JAA385" s="252"/>
      <c r="JAB385" s="252"/>
      <c r="JAC385" s="252"/>
      <c r="JAD385" s="252"/>
      <c r="JAE385" s="252"/>
      <c r="JAF385" s="252"/>
      <c r="JAG385" s="252"/>
      <c r="JAH385" s="252"/>
      <c r="JAI385" s="252"/>
      <c r="JAJ385" s="252"/>
      <c r="JAK385" s="252"/>
      <c r="JAL385" s="252"/>
      <c r="JAM385" s="252"/>
      <c r="JAN385" s="252"/>
      <c r="JAO385" s="252"/>
      <c r="JAP385" s="252"/>
      <c r="JAQ385" s="252"/>
      <c r="JAR385" s="252"/>
      <c r="JAS385" s="252"/>
      <c r="JAT385" s="252"/>
      <c r="JAU385" s="252"/>
      <c r="JAV385" s="252"/>
      <c r="JAW385" s="252"/>
      <c r="JAX385" s="252"/>
      <c r="JAY385" s="252"/>
      <c r="JAZ385" s="252"/>
      <c r="JBA385" s="252"/>
      <c r="JBB385" s="252"/>
      <c r="JBC385" s="252"/>
      <c r="JBD385" s="252"/>
      <c r="JBE385" s="252"/>
      <c r="JBF385" s="252"/>
      <c r="JBG385" s="252"/>
      <c r="JBH385" s="252"/>
      <c r="JBI385" s="252"/>
      <c r="JBJ385" s="252"/>
      <c r="JBK385" s="252"/>
      <c r="JBL385" s="252"/>
      <c r="JBM385" s="252"/>
      <c r="JBN385" s="252"/>
      <c r="JBO385" s="252"/>
      <c r="JBP385" s="252"/>
      <c r="JBQ385" s="252"/>
      <c r="JBR385" s="252"/>
      <c r="JBS385" s="252"/>
      <c r="JBT385" s="252"/>
      <c r="JBU385" s="252"/>
      <c r="JBV385" s="252"/>
      <c r="JBW385" s="252"/>
      <c r="JBX385" s="252"/>
      <c r="JBY385" s="252"/>
      <c r="JBZ385" s="252"/>
      <c r="JCA385" s="252"/>
      <c r="JCB385" s="252"/>
      <c r="JCC385" s="252"/>
      <c r="JCD385" s="252"/>
      <c r="JCE385" s="252"/>
      <c r="JCF385" s="252"/>
      <c r="JCG385" s="252"/>
      <c r="JCH385" s="252"/>
      <c r="JCI385" s="252"/>
      <c r="JCJ385" s="252"/>
      <c r="JCK385" s="252"/>
      <c r="JCL385" s="252"/>
      <c r="JCM385" s="252"/>
      <c r="JCN385" s="252"/>
      <c r="JCO385" s="252"/>
      <c r="JCP385" s="252"/>
      <c r="JCQ385" s="252"/>
      <c r="JCR385" s="252"/>
      <c r="JCS385" s="252"/>
      <c r="JCT385" s="252"/>
      <c r="JCU385" s="252"/>
      <c r="JCV385" s="252"/>
      <c r="JCW385" s="252"/>
      <c r="JCX385" s="252"/>
      <c r="JCY385" s="252"/>
      <c r="JCZ385" s="252"/>
      <c r="JDA385" s="252"/>
      <c r="JDB385" s="252"/>
      <c r="JDC385" s="252"/>
      <c r="JDD385" s="252"/>
      <c r="JDE385" s="252"/>
      <c r="JDF385" s="252"/>
      <c r="JDG385" s="252"/>
      <c r="JDH385" s="252"/>
      <c r="JDI385" s="252"/>
      <c r="JDJ385" s="252"/>
      <c r="JDK385" s="252"/>
      <c r="JDL385" s="252"/>
      <c r="JDM385" s="252"/>
      <c r="JDN385" s="252"/>
      <c r="JDO385" s="252"/>
      <c r="JDP385" s="252"/>
      <c r="JDQ385" s="252"/>
      <c r="JDR385" s="252"/>
      <c r="JDS385" s="252"/>
      <c r="JDT385" s="252"/>
      <c r="JDU385" s="252"/>
      <c r="JDV385" s="252"/>
      <c r="JDW385" s="252"/>
      <c r="JDX385" s="252"/>
      <c r="JDY385" s="252"/>
      <c r="JDZ385" s="252"/>
      <c r="JEA385" s="252"/>
      <c r="JEB385" s="252"/>
      <c r="JEC385" s="252"/>
      <c r="JED385" s="252"/>
      <c r="JEE385" s="252"/>
      <c r="JEF385" s="252"/>
      <c r="JEG385" s="252"/>
      <c r="JEH385" s="252"/>
      <c r="JEI385" s="252"/>
      <c r="JEJ385" s="252"/>
      <c r="JEK385" s="252"/>
      <c r="JEL385" s="252"/>
      <c r="JEM385" s="252"/>
      <c r="JEN385" s="252"/>
      <c r="JEO385" s="252"/>
      <c r="JEP385" s="252"/>
      <c r="JEQ385" s="252"/>
      <c r="JER385" s="252"/>
      <c r="JES385" s="252"/>
      <c r="JET385" s="252"/>
      <c r="JEU385" s="252"/>
      <c r="JEV385" s="252"/>
      <c r="JEW385" s="252"/>
      <c r="JEX385" s="252"/>
      <c r="JEY385" s="252"/>
      <c r="JEZ385" s="252"/>
      <c r="JFA385" s="252"/>
      <c r="JFB385" s="252"/>
      <c r="JFC385" s="252"/>
      <c r="JFD385" s="252"/>
      <c r="JFE385" s="252"/>
      <c r="JFF385" s="252"/>
      <c r="JFG385" s="252"/>
      <c r="JFH385" s="252"/>
      <c r="JFI385" s="252"/>
      <c r="JFJ385" s="252"/>
      <c r="JFK385" s="252"/>
      <c r="JFL385" s="252"/>
      <c r="JFM385" s="252"/>
      <c r="JFN385" s="252"/>
      <c r="JFO385" s="252"/>
      <c r="JFP385" s="252"/>
      <c r="JFQ385" s="252"/>
      <c r="JFR385" s="252"/>
      <c r="JFS385" s="252"/>
      <c r="JFT385" s="252"/>
      <c r="JFU385" s="252"/>
      <c r="JFV385" s="252"/>
      <c r="JFW385" s="252"/>
      <c r="JFX385" s="252"/>
      <c r="JFY385" s="252"/>
      <c r="JFZ385" s="252"/>
      <c r="JGA385" s="252"/>
      <c r="JGB385" s="252"/>
      <c r="JGC385" s="252"/>
      <c r="JGD385" s="252"/>
      <c r="JGE385" s="252"/>
      <c r="JGF385" s="252"/>
      <c r="JGG385" s="252"/>
      <c r="JGH385" s="252"/>
      <c r="JGI385" s="252"/>
      <c r="JGJ385" s="252"/>
      <c r="JGK385" s="252"/>
      <c r="JGL385" s="252"/>
      <c r="JGM385" s="252"/>
      <c r="JGN385" s="252"/>
      <c r="JGO385" s="252"/>
      <c r="JGP385" s="252"/>
      <c r="JGQ385" s="252"/>
      <c r="JGR385" s="252"/>
      <c r="JGS385" s="252"/>
      <c r="JGT385" s="252"/>
      <c r="JGU385" s="252"/>
      <c r="JGV385" s="252"/>
      <c r="JGW385" s="252"/>
      <c r="JGX385" s="252"/>
      <c r="JGY385" s="252"/>
      <c r="JGZ385" s="252"/>
      <c r="JHA385" s="252"/>
      <c r="JHB385" s="252"/>
      <c r="JHC385" s="252"/>
      <c r="JHD385" s="252"/>
      <c r="JHE385" s="252"/>
      <c r="JHF385" s="252"/>
      <c r="JHG385" s="252"/>
      <c r="JHH385" s="252"/>
      <c r="JHI385" s="252"/>
      <c r="JHJ385" s="252"/>
      <c r="JHK385" s="252"/>
      <c r="JHL385" s="252"/>
      <c r="JHM385" s="252"/>
      <c r="JHN385" s="252"/>
      <c r="JHO385" s="252"/>
      <c r="JHP385" s="252"/>
      <c r="JHQ385" s="252"/>
      <c r="JHR385" s="252"/>
      <c r="JHS385" s="252"/>
      <c r="JHT385" s="252"/>
      <c r="JHU385" s="252"/>
      <c r="JHV385" s="252"/>
      <c r="JHW385" s="252"/>
      <c r="JHX385" s="252"/>
      <c r="JHY385" s="252"/>
      <c r="JHZ385" s="252"/>
      <c r="JIA385" s="252"/>
      <c r="JIB385" s="252"/>
      <c r="JIC385" s="252"/>
      <c r="JID385" s="252"/>
      <c r="JIE385" s="252"/>
      <c r="JIF385" s="252"/>
      <c r="JIG385" s="252"/>
      <c r="JIH385" s="252"/>
      <c r="JII385" s="252"/>
      <c r="JIJ385" s="252"/>
      <c r="JIK385" s="252"/>
      <c r="JIL385" s="252"/>
      <c r="JIM385" s="252"/>
      <c r="JIN385" s="252"/>
      <c r="JIO385" s="252"/>
      <c r="JIP385" s="252"/>
      <c r="JIQ385" s="252"/>
      <c r="JIR385" s="252"/>
      <c r="JIS385" s="252"/>
      <c r="JIT385" s="252"/>
      <c r="JIU385" s="252"/>
      <c r="JIV385" s="252"/>
      <c r="JIW385" s="252"/>
      <c r="JIX385" s="252"/>
      <c r="JIY385" s="252"/>
      <c r="JIZ385" s="252"/>
      <c r="JJA385" s="252"/>
      <c r="JJB385" s="252"/>
      <c r="JJC385" s="252"/>
      <c r="JJD385" s="252"/>
      <c r="JJE385" s="252"/>
      <c r="JJF385" s="252"/>
      <c r="JJG385" s="252"/>
      <c r="JJH385" s="252"/>
      <c r="JJI385" s="252"/>
      <c r="JJJ385" s="252"/>
      <c r="JJK385" s="252"/>
      <c r="JJL385" s="252"/>
      <c r="JJM385" s="252"/>
      <c r="JJN385" s="252"/>
      <c r="JJO385" s="252"/>
      <c r="JJP385" s="252"/>
      <c r="JJQ385" s="252"/>
      <c r="JJR385" s="252"/>
      <c r="JJS385" s="252"/>
      <c r="JJT385" s="252"/>
      <c r="JJU385" s="252"/>
      <c r="JJV385" s="252"/>
      <c r="JJW385" s="252"/>
      <c r="JJX385" s="252"/>
      <c r="JJY385" s="252"/>
      <c r="JJZ385" s="252"/>
      <c r="JKA385" s="252"/>
      <c r="JKB385" s="252"/>
      <c r="JKC385" s="252"/>
      <c r="JKD385" s="252"/>
      <c r="JKE385" s="252"/>
      <c r="JKF385" s="252"/>
      <c r="JKG385" s="252"/>
      <c r="JKH385" s="252"/>
      <c r="JKI385" s="252"/>
      <c r="JKJ385" s="252"/>
      <c r="JKK385" s="252"/>
      <c r="JKL385" s="252"/>
      <c r="JKM385" s="252"/>
      <c r="JKN385" s="252"/>
      <c r="JKO385" s="252"/>
      <c r="JKP385" s="252"/>
      <c r="JKQ385" s="252"/>
      <c r="JKR385" s="252"/>
      <c r="JKS385" s="252"/>
      <c r="JKT385" s="252"/>
      <c r="JKU385" s="252"/>
      <c r="JKV385" s="252"/>
      <c r="JKW385" s="252"/>
      <c r="JKX385" s="252"/>
      <c r="JKY385" s="252"/>
      <c r="JKZ385" s="252"/>
      <c r="JLA385" s="252"/>
      <c r="JLB385" s="252"/>
      <c r="JLC385" s="252"/>
      <c r="JLD385" s="252"/>
      <c r="JLE385" s="252"/>
      <c r="JLF385" s="252"/>
      <c r="JLG385" s="252"/>
      <c r="JLH385" s="252"/>
      <c r="JLI385" s="252"/>
      <c r="JLJ385" s="252"/>
      <c r="JLK385" s="252"/>
      <c r="JLL385" s="252"/>
      <c r="JLM385" s="252"/>
      <c r="JLN385" s="252"/>
      <c r="JLO385" s="252"/>
      <c r="JLP385" s="252"/>
      <c r="JLQ385" s="252"/>
      <c r="JLR385" s="252"/>
      <c r="JLS385" s="252"/>
      <c r="JLT385" s="252"/>
      <c r="JLU385" s="252"/>
      <c r="JLV385" s="252"/>
      <c r="JLW385" s="252"/>
      <c r="JLX385" s="252"/>
      <c r="JLY385" s="252"/>
      <c r="JLZ385" s="252"/>
      <c r="JMA385" s="252"/>
      <c r="JMB385" s="252"/>
      <c r="JMC385" s="252"/>
      <c r="JMD385" s="252"/>
      <c r="JME385" s="252"/>
      <c r="JMF385" s="252"/>
      <c r="JMG385" s="252"/>
      <c r="JMH385" s="252"/>
      <c r="JMI385" s="252"/>
      <c r="JMJ385" s="252"/>
      <c r="JMK385" s="252"/>
      <c r="JML385" s="252"/>
      <c r="JMM385" s="252"/>
      <c r="JMN385" s="252"/>
      <c r="JMO385" s="252"/>
      <c r="JMP385" s="252"/>
      <c r="JMQ385" s="252"/>
      <c r="JMR385" s="252"/>
      <c r="JMS385" s="252"/>
      <c r="JMT385" s="252"/>
      <c r="JMU385" s="252"/>
      <c r="JMV385" s="252"/>
      <c r="JMW385" s="252"/>
      <c r="JMX385" s="252"/>
      <c r="JMY385" s="252"/>
      <c r="JMZ385" s="252"/>
      <c r="JNA385" s="252"/>
      <c r="JNB385" s="252"/>
      <c r="JNC385" s="252"/>
      <c r="JND385" s="252"/>
      <c r="JNE385" s="252"/>
      <c r="JNF385" s="252"/>
      <c r="JNG385" s="252"/>
      <c r="JNH385" s="252"/>
      <c r="JNI385" s="252"/>
      <c r="JNJ385" s="252"/>
      <c r="JNK385" s="252"/>
      <c r="JNL385" s="252"/>
      <c r="JNM385" s="252"/>
      <c r="JNN385" s="252"/>
      <c r="JNO385" s="252"/>
      <c r="JNP385" s="252"/>
      <c r="JNQ385" s="252"/>
      <c r="JNR385" s="252"/>
      <c r="JNS385" s="252"/>
      <c r="JNT385" s="252"/>
      <c r="JNU385" s="252"/>
      <c r="JNV385" s="252"/>
      <c r="JNW385" s="252"/>
      <c r="JNX385" s="252"/>
      <c r="JNY385" s="252"/>
      <c r="JNZ385" s="252"/>
      <c r="JOA385" s="252"/>
      <c r="JOB385" s="252"/>
      <c r="JOC385" s="252"/>
      <c r="JOD385" s="252"/>
      <c r="JOE385" s="252"/>
      <c r="JOF385" s="252"/>
      <c r="JOG385" s="252"/>
      <c r="JOH385" s="252"/>
      <c r="JOI385" s="252"/>
      <c r="JOJ385" s="252"/>
      <c r="JOK385" s="252"/>
      <c r="JOL385" s="252"/>
      <c r="JOM385" s="252"/>
      <c r="JON385" s="252"/>
      <c r="JOO385" s="252"/>
      <c r="JOP385" s="252"/>
      <c r="JOQ385" s="252"/>
      <c r="JOR385" s="252"/>
      <c r="JOS385" s="252"/>
      <c r="JOT385" s="252"/>
      <c r="JOU385" s="252"/>
      <c r="JOV385" s="252"/>
      <c r="JOW385" s="252"/>
      <c r="JOX385" s="252"/>
      <c r="JOY385" s="252"/>
      <c r="JOZ385" s="252"/>
      <c r="JPA385" s="252"/>
      <c r="JPB385" s="252"/>
      <c r="JPC385" s="252"/>
      <c r="JPD385" s="252"/>
      <c r="JPE385" s="252"/>
      <c r="JPF385" s="252"/>
      <c r="JPG385" s="252"/>
      <c r="JPH385" s="252"/>
      <c r="JPI385" s="252"/>
      <c r="JPJ385" s="252"/>
      <c r="JPK385" s="252"/>
      <c r="JPL385" s="252"/>
      <c r="JPM385" s="252"/>
      <c r="JPN385" s="252"/>
      <c r="JPO385" s="252"/>
      <c r="JPP385" s="252"/>
      <c r="JPQ385" s="252"/>
      <c r="JPR385" s="252"/>
      <c r="JPS385" s="252"/>
      <c r="JPT385" s="252"/>
      <c r="JPU385" s="252"/>
      <c r="JPV385" s="252"/>
      <c r="JPW385" s="252"/>
      <c r="JPX385" s="252"/>
      <c r="JPY385" s="252"/>
      <c r="JPZ385" s="252"/>
      <c r="JQA385" s="252"/>
      <c r="JQB385" s="252"/>
      <c r="JQC385" s="252"/>
      <c r="JQD385" s="252"/>
      <c r="JQE385" s="252"/>
      <c r="JQF385" s="252"/>
      <c r="JQG385" s="252"/>
      <c r="JQH385" s="252"/>
      <c r="JQI385" s="252"/>
      <c r="JQJ385" s="252"/>
      <c r="JQK385" s="252"/>
      <c r="JQL385" s="252"/>
      <c r="JQM385" s="252"/>
      <c r="JQN385" s="252"/>
      <c r="JQO385" s="252"/>
      <c r="JQP385" s="252"/>
      <c r="JQQ385" s="252"/>
      <c r="JQR385" s="252"/>
      <c r="JQS385" s="252"/>
      <c r="JQT385" s="252"/>
      <c r="JQU385" s="252"/>
      <c r="JQV385" s="252"/>
      <c r="JQW385" s="252"/>
      <c r="JQX385" s="252"/>
      <c r="JQY385" s="252"/>
      <c r="JQZ385" s="252"/>
      <c r="JRA385" s="252"/>
      <c r="JRB385" s="252"/>
      <c r="JRC385" s="252"/>
      <c r="JRD385" s="252"/>
      <c r="JRE385" s="252"/>
      <c r="JRF385" s="252"/>
      <c r="JRG385" s="252"/>
      <c r="JRH385" s="252"/>
      <c r="JRI385" s="252"/>
      <c r="JRJ385" s="252"/>
      <c r="JRK385" s="252"/>
      <c r="JRL385" s="252"/>
      <c r="JRM385" s="252"/>
      <c r="JRN385" s="252"/>
      <c r="JRO385" s="252"/>
      <c r="JRP385" s="252"/>
      <c r="JRQ385" s="252"/>
      <c r="JRR385" s="252"/>
      <c r="JRS385" s="252"/>
      <c r="JRT385" s="252"/>
      <c r="JRU385" s="252"/>
      <c r="JRV385" s="252"/>
      <c r="JRW385" s="252"/>
      <c r="JRX385" s="252"/>
      <c r="JRY385" s="252"/>
      <c r="JRZ385" s="252"/>
      <c r="JSA385" s="252"/>
      <c r="JSB385" s="252"/>
      <c r="JSC385" s="252"/>
      <c r="JSD385" s="252"/>
      <c r="JSE385" s="252"/>
      <c r="JSF385" s="252"/>
      <c r="JSG385" s="252"/>
      <c r="JSH385" s="252"/>
      <c r="JSI385" s="252"/>
      <c r="JSJ385" s="252"/>
      <c r="JSK385" s="252"/>
      <c r="JSL385" s="252"/>
      <c r="JSM385" s="252"/>
      <c r="JSN385" s="252"/>
      <c r="JSO385" s="252"/>
      <c r="JSP385" s="252"/>
      <c r="JSQ385" s="252"/>
      <c r="JSR385" s="252"/>
      <c r="JSS385" s="252"/>
      <c r="JST385" s="252"/>
      <c r="JSU385" s="252"/>
      <c r="JSV385" s="252"/>
      <c r="JSW385" s="252"/>
      <c r="JSX385" s="252"/>
      <c r="JSY385" s="252"/>
      <c r="JSZ385" s="252"/>
      <c r="JTA385" s="252"/>
      <c r="JTB385" s="252"/>
      <c r="JTC385" s="252"/>
      <c r="JTD385" s="252"/>
      <c r="JTE385" s="252"/>
      <c r="JTF385" s="252"/>
      <c r="JTG385" s="252"/>
      <c r="JTH385" s="252"/>
      <c r="JTI385" s="252"/>
      <c r="JTJ385" s="252"/>
      <c r="JTK385" s="252"/>
      <c r="JTL385" s="252"/>
      <c r="JTM385" s="252"/>
      <c r="JTN385" s="252"/>
      <c r="JTO385" s="252"/>
      <c r="JTP385" s="252"/>
      <c r="JTQ385" s="252"/>
      <c r="JTR385" s="252"/>
      <c r="JTS385" s="252"/>
      <c r="JTT385" s="252"/>
      <c r="JTU385" s="252"/>
      <c r="JTV385" s="252"/>
      <c r="JTW385" s="252"/>
      <c r="JTX385" s="252"/>
      <c r="JTY385" s="252"/>
      <c r="JTZ385" s="252"/>
      <c r="JUA385" s="252"/>
      <c r="JUB385" s="252"/>
      <c r="JUC385" s="252"/>
      <c r="JUD385" s="252"/>
      <c r="JUE385" s="252"/>
      <c r="JUF385" s="252"/>
      <c r="JUG385" s="252"/>
      <c r="JUH385" s="252"/>
      <c r="JUI385" s="252"/>
      <c r="JUJ385" s="252"/>
      <c r="JUK385" s="252"/>
      <c r="JUL385" s="252"/>
      <c r="JUM385" s="252"/>
      <c r="JUN385" s="252"/>
      <c r="JUO385" s="252"/>
      <c r="JUP385" s="252"/>
      <c r="JUQ385" s="252"/>
      <c r="JUR385" s="252"/>
      <c r="JUS385" s="252"/>
      <c r="JUT385" s="252"/>
      <c r="JUU385" s="252"/>
      <c r="JUV385" s="252"/>
      <c r="JUW385" s="252"/>
      <c r="JUX385" s="252"/>
      <c r="JUY385" s="252"/>
      <c r="JUZ385" s="252"/>
      <c r="JVA385" s="252"/>
      <c r="JVB385" s="252"/>
      <c r="JVC385" s="252"/>
      <c r="JVD385" s="252"/>
      <c r="JVE385" s="252"/>
      <c r="JVF385" s="252"/>
      <c r="JVG385" s="252"/>
      <c r="JVH385" s="252"/>
      <c r="JVI385" s="252"/>
      <c r="JVJ385" s="252"/>
      <c r="JVK385" s="252"/>
      <c r="JVL385" s="252"/>
      <c r="JVM385" s="252"/>
      <c r="JVN385" s="252"/>
      <c r="JVO385" s="252"/>
      <c r="JVP385" s="252"/>
      <c r="JVQ385" s="252"/>
      <c r="JVR385" s="252"/>
      <c r="JVS385" s="252"/>
      <c r="JVT385" s="252"/>
      <c r="JVU385" s="252"/>
      <c r="JVV385" s="252"/>
      <c r="JVW385" s="252"/>
      <c r="JVX385" s="252"/>
      <c r="JVY385" s="252"/>
      <c r="JVZ385" s="252"/>
      <c r="JWA385" s="252"/>
      <c r="JWB385" s="252"/>
      <c r="JWC385" s="252"/>
      <c r="JWD385" s="252"/>
      <c r="JWE385" s="252"/>
      <c r="JWF385" s="252"/>
      <c r="JWG385" s="252"/>
      <c r="JWH385" s="252"/>
      <c r="JWI385" s="252"/>
      <c r="JWJ385" s="252"/>
      <c r="JWK385" s="252"/>
      <c r="JWL385" s="252"/>
      <c r="JWM385" s="252"/>
      <c r="JWN385" s="252"/>
      <c r="JWO385" s="252"/>
      <c r="JWP385" s="252"/>
      <c r="JWQ385" s="252"/>
      <c r="JWR385" s="252"/>
      <c r="JWS385" s="252"/>
      <c r="JWT385" s="252"/>
      <c r="JWU385" s="252"/>
      <c r="JWV385" s="252"/>
      <c r="JWW385" s="252"/>
      <c r="JWX385" s="252"/>
      <c r="JWY385" s="252"/>
      <c r="JWZ385" s="252"/>
      <c r="JXA385" s="252"/>
      <c r="JXB385" s="252"/>
      <c r="JXC385" s="252"/>
      <c r="JXD385" s="252"/>
      <c r="JXE385" s="252"/>
      <c r="JXF385" s="252"/>
      <c r="JXG385" s="252"/>
      <c r="JXH385" s="252"/>
      <c r="JXI385" s="252"/>
      <c r="JXJ385" s="252"/>
      <c r="JXK385" s="252"/>
      <c r="JXL385" s="252"/>
      <c r="JXM385" s="252"/>
      <c r="JXN385" s="252"/>
      <c r="JXO385" s="252"/>
      <c r="JXP385" s="252"/>
      <c r="JXQ385" s="252"/>
      <c r="JXR385" s="252"/>
      <c r="JXS385" s="252"/>
      <c r="JXT385" s="252"/>
      <c r="JXU385" s="252"/>
      <c r="JXV385" s="252"/>
      <c r="JXW385" s="252"/>
      <c r="JXX385" s="252"/>
      <c r="JXY385" s="252"/>
      <c r="JXZ385" s="252"/>
      <c r="JYA385" s="252"/>
      <c r="JYB385" s="252"/>
      <c r="JYC385" s="252"/>
      <c r="JYD385" s="252"/>
      <c r="JYE385" s="252"/>
      <c r="JYF385" s="252"/>
      <c r="JYG385" s="252"/>
      <c r="JYH385" s="252"/>
      <c r="JYI385" s="252"/>
      <c r="JYJ385" s="252"/>
      <c r="JYK385" s="252"/>
      <c r="JYL385" s="252"/>
      <c r="JYM385" s="252"/>
      <c r="JYN385" s="252"/>
      <c r="JYO385" s="252"/>
      <c r="JYP385" s="252"/>
      <c r="JYQ385" s="252"/>
      <c r="JYR385" s="252"/>
      <c r="JYS385" s="252"/>
      <c r="JYT385" s="252"/>
      <c r="JYU385" s="252"/>
      <c r="JYV385" s="252"/>
      <c r="JYW385" s="252"/>
      <c r="JYX385" s="252"/>
      <c r="JYY385" s="252"/>
      <c r="JYZ385" s="252"/>
      <c r="JZA385" s="252"/>
      <c r="JZB385" s="252"/>
      <c r="JZC385" s="252"/>
      <c r="JZD385" s="252"/>
      <c r="JZE385" s="252"/>
      <c r="JZF385" s="252"/>
      <c r="JZG385" s="252"/>
      <c r="JZH385" s="252"/>
      <c r="JZI385" s="252"/>
      <c r="JZJ385" s="252"/>
      <c r="JZK385" s="252"/>
      <c r="JZL385" s="252"/>
      <c r="JZM385" s="252"/>
      <c r="JZN385" s="252"/>
      <c r="JZO385" s="252"/>
      <c r="JZP385" s="252"/>
      <c r="JZQ385" s="252"/>
      <c r="JZR385" s="252"/>
      <c r="JZS385" s="252"/>
      <c r="JZT385" s="252"/>
      <c r="JZU385" s="252"/>
      <c r="JZV385" s="252"/>
      <c r="JZW385" s="252"/>
      <c r="JZX385" s="252"/>
      <c r="JZY385" s="252"/>
      <c r="JZZ385" s="252"/>
      <c r="KAA385" s="252"/>
      <c r="KAB385" s="252"/>
      <c r="KAC385" s="252"/>
      <c r="KAD385" s="252"/>
      <c r="KAE385" s="252"/>
      <c r="KAF385" s="252"/>
      <c r="KAG385" s="252"/>
      <c r="KAH385" s="252"/>
      <c r="KAI385" s="252"/>
      <c r="KAJ385" s="252"/>
      <c r="KAK385" s="252"/>
      <c r="KAL385" s="252"/>
      <c r="KAM385" s="252"/>
      <c r="KAN385" s="252"/>
      <c r="KAO385" s="252"/>
      <c r="KAP385" s="252"/>
      <c r="KAQ385" s="252"/>
      <c r="KAR385" s="252"/>
      <c r="KAS385" s="252"/>
      <c r="KAT385" s="252"/>
      <c r="KAU385" s="252"/>
      <c r="KAV385" s="252"/>
      <c r="KAW385" s="252"/>
      <c r="KAX385" s="252"/>
      <c r="KAY385" s="252"/>
      <c r="KAZ385" s="252"/>
      <c r="KBA385" s="252"/>
      <c r="KBB385" s="252"/>
      <c r="KBC385" s="252"/>
      <c r="KBD385" s="252"/>
      <c r="KBE385" s="252"/>
      <c r="KBF385" s="252"/>
      <c r="KBG385" s="252"/>
      <c r="KBH385" s="252"/>
      <c r="KBI385" s="252"/>
      <c r="KBJ385" s="252"/>
      <c r="KBK385" s="252"/>
      <c r="KBL385" s="252"/>
      <c r="KBM385" s="252"/>
      <c r="KBN385" s="252"/>
      <c r="KBO385" s="252"/>
      <c r="KBP385" s="252"/>
      <c r="KBQ385" s="252"/>
      <c r="KBR385" s="252"/>
      <c r="KBS385" s="252"/>
      <c r="KBT385" s="252"/>
      <c r="KBU385" s="252"/>
      <c r="KBV385" s="252"/>
      <c r="KBW385" s="252"/>
      <c r="KBX385" s="252"/>
      <c r="KBY385" s="252"/>
      <c r="KBZ385" s="252"/>
      <c r="KCA385" s="252"/>
      <c r="KCB385" s="252"/>
      <c r="KCC385" s="252"/>
      <c r="KCD385" s="252"/>
      <c r="KCE385" s="252"/>
      <c r="KCF385" s="252"/>
      <c r="KCG385" s="252"/>
      <c r="KCH385" s="252"/>
      <c r="KCI385" s="252"/>
      <c r="KCJ385" s="252"/>
      <c r="KCK385" s="252"/>
      <c r="KCL385" s="252"/>
      <c r="KCM385" s="252"/>
      <c r="KCN385" s="252"/>
      <c r="KCO385" s="252"/>
      <c r="KCP385" s="252"/>
      <c r="KCQ385" s="252"/>
      <c r="KCR385" s="252"/>
      <c r="KCS385" s="252"/>
      <c r="KCT385" s="252"/>
      <c r="KCU385" s="252"/>
      <c r="KCV385" s="252"/>
      <c r="KCW385" s="252"/>
      <c r="KCX385" s="252"/>
      <c r="KCY385" s="252"/>
      <c r="KCZ385" s="252"/>
      <c r="KDA385" s="252"/>
      <c r="KDB385" s="252"/>
      <c r="KDC385" s="252"/>
      <c r="KDD385" s="252"/>
      <c r="KDE385" s="252"/>
      <c r="KDF385" s="252"/>
      <c r="KDG385" s="252"/>
      <c r="KDH385" s="252"/>
      <c r="KDI385" s="252"/>
      <c r="KDJ385" s="252"/>
      <c r="KDK385" s="252"/>
      <c r="KDL385" s="252"/>
      <c r="KDM385" s="252"/>
      <c r="KDN385" s="252"/>
      <c r="KDO385" s="252"/>
      <c r="KDP385" s="252"/>
      <c r="KDQ385" s="252"/>
      <c r="KDR385" s="252"/>
      <c r="KDS385" s="252"/>
      <c r="KDT385" s="252"/>
      <c r="KDU385" s="252"/>
      <c r="KDV385" s="252"/>
      <c r="KDW385" s="252"/>
      <c r="KDX385" s="252"/>
      <c r="KDY385" s="252"/>
      <c r="KDZ385" s="252"/>
      <c r="KEA385" s="252"/>
      <c r="KEB385" s="252"/>
      <c r="KEC385" s="252"/>
      <c r="KED385" s="252"/>
      <c r="KEE385" s="252"/>
      <c r="KEF385" s="252"/>
      <c r="KEG385" s="252"/>
      <c r="KEH385" s="252"/>
      <c r="KEI385" s="252"/>
      <c r="KEJ385" s="252"/>
      <c r="KEK385" s="252"/>
      <c r="KEL385" s="252"/>
      <c r="KEM385" s="252"/>
      <c r="KEN385" s="252"/>
      <c r="KEO385" s="252"/>
      <c r="KEP385" s="252"/>
      <c r="KEQ385" s="252"/>
      <c r="KER385" s="252"/>
      <c r="KES385" s="252"/>
      <c r="KET385" s="252"/>
      <c r="KEU385" s="252"/>
      <c r="KEV385" s="252"/>
      <c r="KEW385" s="252"/>
      <c r="KEX385" s="252"/>
      <c r="KEY385" s="252"/>
      <c r="KEZ385" s="252"/>
      <c r="KFA385" s="252"/>
      <c r="KFB385" s="252"/>
      <c r="KFC385" s="252"/>
      <c r="KFD385" s="252"/>
      <c r="KFE385" s="252"/>
      <c r="KFF385" s="252"/>
      <c r="KFG385" s="252"/>
      <c r="KFH385" s="252"/>
      <c r="KFI385" s="252"/>
      <c r="KFJ385" s="252"/>
      <c r="KFK385" s="252"/>
      <c r="KFL385" s="252"/>
      <c r="KFM385" s="252"/>
      <c r="KFN385" s="252"/>
      <c r="KFO385" s="252"/>
      <c r="KFP385" s="252"/>
      <c r="KFQ385" s="252"/>
      <c r="KFR385" s="252"/>
      <c r="KFS385" s="252"/>
      <c r="KFT385" s="252"/>
      <c r="KFU385" s="252"/>
      <c r="KFV385" s="252"/>
      <c r="KFW385" s="252"/>
      <c r="KFX385" s="252"/>
      <c r="KFY385" s="252"/>
      <c r="KFZ385" s="252"/>
      <c r="KGA385" s="252"/>
      <c r="KGB385" s="252"/>
      <c r="KGC385" s="252"/>
      <c r="KGD385" s="252"/>
      <c r="KGE385" s="252"/>
      <c r="KGF385" s="252"/>
      <c r="KGG385" s="252"/>
      <c r="KGH385" s="252"/>
      <c r="KGI385" s="252"/>
      <c r="KGJ385" s="252"/>
      <c r="KGK385" s="252"/>
      <c r="KGL385" s="252"/>
      <c r="KGM385" s="252"/>
      <c r="KGN385" s="252"/>
      <c r="KGO385" s="252"/>
      <c r="KGP385" s="252"/>
      <c r="KGQ385" s="252"/>
      <c r="KGR385" s="252"/>
      <c r="KGS385" s="252"/>
      <c r="KGT385" s="252"/>
      <c r="KGU385" s="252"/>
      <c r="KGV385" s="252"/>
      <c r="KGW385" s="252"/>
      <c r="KGX385" s="252"/>
      <c r="KGY385" s="252"/>
      <c r="KGZ385" s="252"/>
      <c r="KHA385" s="252"/>
      <c r="KHB385" s="252"/>
      <c r="KHC385" s="252"/>
      <c r="KHD385" s="252"/>
      <c r="KHE385" s="252"/>
      <c r="KHF385" s="252"/>
      <c r="KHG385" s="252"/>
      <c r="KHH385" s="252"/>
      <c r="KHI385" s="252"/>
      <c r="KHJ385" s="252"/>
      <c r="KHK385" s="252"/>
      <c r="KHL385" s="252"/>
      <c r="KHM385" s="252"/>
      <c r="KHN385" s="252"/>
      <c r="KHO385" s="252"/>
      <c r="KHP385" s="252"/>
      <c r="KHQ385" s="252"/>
      <c r="KHR385" s="252"/>
      <c r="KHS385" s="252"/>
      <c r="KHT385" s="252"/>
      <c r="KHU385" s="252"/>
      <c r="KHV385" s="252"/>
      <c r="KHW385" s="252"/>
      <c r="KHX385" s="252"/>
      <c r="KHY385" s="252"/>
      <c r="KHZ385" s="252"/>
      <c r="KIA385" s="252"/>
      <c r="KIB385" s="252"/>
      <c r="KIC385" s="252"/>
      <c r="KID385" s="252"/>
      <c r="KIE385" s="252"/>
      <c r="KIF385" s="252"/>
      <c r="KIG385" s="252"/>
      <c r="KIH385" s="252"/>
      <c r="KII385" s="252"/>
      <c r="KIJ385" s="252"/>
      <c r="KIK385" s="252"/>
      <c r="KIL385" s="252"/>
      <c r="KIM385" s="252"/>
      <c r="KIN385" s="252"/>
      <c r="KIO385" s="252"/>
      <c r="KIP385" s="252"/>
      <c r="KIQ385" s="252"/>
      <c r="KIR385" s="252"/>
      <c r="KIS385" s="252"/>
      <c r="KIT385" s="252"/>
      <c r="KIU385" s="252"/>
      <c r="KIV385" s="252"/>
      <c r="KIW385" s="252"/>
      <c r="KIX385" s="252"/>
      <c r="KIY385" s="252"/>
      <c r="KIZ385" s="252"/>
      <c r="KJA385" s="252"/>
      <c r="KJB385" s="252"/>
      <c r="KJC385" s="252"/>
      <c r="KJD385" s="252"/>
      <c r="KJE385" s="252"/>
      <c r="KJF385" s="252"/>
      <c r="KJG385" s="252"/>
      <c r="KJH385" s="252"/>
      <c r="KJI385" s="252"/>
      <c r="KJJ385" s="252"/>
      <c r="KJK385" s="252"/>
      <c r="KJL385" s="252"/>
      <c r="KJM385" s="252"/>
      <c r="KJN385" s="252"/>
      <c r="KJO385" s="252"/>
      <c r="KJP385" s="252"/>
      <c r="KJQ385" s="252"/>
      <c r="KJR385" s="252"/>
      <c r="KJS385" s="252"/>
      <c r="KJT385" s="252"/>
      <c r="KJU385" s="252"/>
      <c r="KJV385" s="252"/>
      <c r="KJW385" s="252"/>
      <c r="KJX385" s="252"/>
      <c r="KJY385" s="252"/>
      <c r="KJZ385" s="252"/>
      <c r="KKA385" s="252"/>
      <c r="KKB385" s="252"/>
      <c r="KKC385" s="252"/>
      <c r="KKD385" s="252"/>
      <c r="KKE385" s="252"/>
      <c r="KKF385" s="252"/>
      <c r="KKG385" s="252"/>
      <c r="KKH385" s="252"/>
      <c r="KKI385" s="252"/>
      <c r="KKJ385" s="252"/>
      <c r="KKK385" s="252"/>
      <c r="KKL385" s="252"/>
      <c r="KKM385" s="252"/>
      <c r="KKN385" s="252"/>
      <c r="KKO385" s="252"/>
      <c r="KKP385" s="252"/>
      <c r="KKQ385" s="252"/>
      <c r="KKR385" s="252"/>
      <c r="KKS385" s="252"/>
      <c r="KKT385" s="252"/>
      <c r="KKU385" s="252"/>
      <c r="KKV385" s="252"/>
      <c r="KKW385" s="252"/>
      <c r="KKX385" s="252"/>
      <c r="KKY385" s="252"/>
      <c r="KKZ385" s="252"/>
      <c r="KLA385" s="252"/>
      <c r="KLB385" s="252"/>
      <c r="KLC385" s="252"/>
      <c r="KLD385" s="252"/>
      <c r="KLE385" s="252"/>
      <c r="KLF385" s="252"/>
      <c r="KLG385" s="252"/>
      <c r="KLH385" s="252"/>
      <c r="KLI385" s="252"/>
      <c r="KLJ385" s="252"/>
      <c r="KLK385" s="252"/>
      <c r="KLL385" s="252"/>
      <c r="KLM385" s="252"/>
      <c r="KLN385" s="252"/>
      <c r="KLO385" s="252"/>
      <c r="KLP385" s="252"/>
      <c r="KLQ385" s="252"/>
      <c r="KLR385" s="252"/>
      <c r="KLS385" s="252"/>
      <c r="KLT385" s="252"/>
      <c r="KLU385" s="252"/>
      <c r="KLV385" s="252"/>
      <c r="KLW385" s="252"/>
      <c r="KLX385" s="252"/>
      <c r="KLY385" s="252"/>
      <c r="KLZ385" s="252"/>
      <c r="KMA385" s="252"/>
      <c r="KMB385" s="252"/>
      <c r="KMC385" s="252"/>
      <c r="KMD385" s="252"/>
      <c r="KME385" s="252"/>
      <c r="KMF385" s="252"/>
      <c r="KMG385" s="252"/>
      <c r="KMH385" s="252"/>
      <c r="KMI385" s="252"/>
      <c r="KMJ385" s="252"/>
      <c r="KMK385" s="252"/>
      <c r="KML385" s="252"/>
      <c r="KMM385" s="252"/>
      <c r="KMN385" s="252"/>
      <c r="KMO385" s="252"/>
      <c r="KMP385" s="252"/>
      <c r="KMQ385" s="252"/>
      <c r="KMR385" s="252"/>
      <c r="KMS385" s="252"/>
      <c r="KMT385" s="252"/>
      <c r="KMU385" s="252"/>
      <c r="KMV385" s="252"/>
      <c r="KMW385" s="252"/>
      <c r="KMX385" s="252"/>
      <c r="KMY385" s="252"/>
      <c r="KMZ385" s="252"/>
      <c r="KNA385" s="252"/>
      <c r="KNB385" s="252"/>
      <c r="KNC385" s="252"/>
      <c r="KND385" s="252"/>
      <c r="KNE385" s="252"/>
      <c r="KNF385" s="252"/>
      <c r="KNG385" s="252"/>
      <c r="KNH385" s="252"/>
      <c r="KNI385" s="252"/>
      <c r="KNJ385" s="252"/>
      <c r="KNK385" s="252"/>
      <c r="KNL385" s="252"/>
      <c r="KNM385" s="252"/>
      <c r="KNN385" s="252"/>
      <c r="KNO385" s="252"/>
      <c r="KNP385" s="252"/>
      <c r="KNQ385" s="252"/>
      <c r="KNR385" s="252"/>
      <c r="KNS385" s="252"/>
      <c r="KNT385" s="252"/>
      <c r="KNU385" s="252"/>
      <c r="KNV385" s="252"/>
      <c r="KNW385" s="252"/>
      <c r="KNX385" s="252"/>
      <c r="KNY385" s="252"/>
      <c r="KNZ385" s="252"/>
      <c r="KOA385" s="252"/>
      <c r="KOB385" s="252"/>
      <c r="KOC385" s="252"/>
      <c r="KOD385" s="252"/>
      <c r="KOE385" s="252"/>
      <c r="KOF385" s="252"/>
      <c r="KOG385" s="252"/>
      <c r="KOH385" s="252"/>
      <c r="KOI385" s="252"/>
      <c r="KOJ385" s="252"/>
      <c r="KOK385" s="252"/>
      <c r="KOL385" s="252"/>
      <c r="KOM385" s="252"/>
      <c r="KON385" s="252"/>
      <c r="KOO385" s="252"/>
      <c r="KOP385" s="252"/>
      <c r="KOQ385" s="252"/>
      <c r="KOR385" s="252"/>
      <c r="KOS385" s="252"/>
      <c r="KOT385" s="252"/>
      <c r="KOU385" s="252"/>
      <c r="KOV385" s="252"/>
      <c r="KOW385" s="252"/>
      <c r="KOX385" s="252"/>
      <c r="KOY385" s="252"/>
      <c r="KOZ385" s="252"/>
      <c r="KPA385" s="252"/>
      <c r="KPB385" s="252"/>
      <c r="KPC385" s="252"/>
      <c r="KPD385" s="252"/>
      <c r="KPE385" s="252"/>
      <c r="KPF385" s="252"/>
      <c r="KPG385" s="252"/>
      <c r="KPH385" s="252"/>
      <c r="KPI385" s="252"/>
      <c r="KPJ385" s="252"/>
      <c r="KPK385" s="252"/>
      <c r="KPL385" s="252"/>
      <c r="KPM385" s="252"/>
      <c r="KPN385" s="252"/>
      <c r="KPO385" s="252"/>
      <c r="KPP385" s="252"/>
      <c r="KPQ385" s="252"/>
      <c r="KPR385" s="252"/>
      <c r="KPS385" s="252"/>
      <c r="KPT385" s="252"/>
      <c r="KPU385" s="252"/>
      <c r="KPV385" s="252"/>
      <c r="KPW385" s="252"/>
      <c r="KPX385" s="252"/>
      <c r="KPY385" s="252"/>
      <c r="KPZ385" s="252"/>
      <c r="KQA385" s="252"/>
      <c r="KQB385" s="252"/>
      <c r="KQC385" s="252"/>
      <c r="KQD385" s="252"/>
      <c r="KQE385" s="252"/>
      <c r="KQF385" s="252"/>
      <c r="KQG385" s="252"/>
      <c r="KQH385" s="252"/>
      <c r="KQI385" s="252"/>
      <c r="KQJ385" s="252"/>
      <c r="KQK385" s="252"/>
      <c r="KQL385" s="252"/>
      <c r="KQM385" s="252"/>
      <c r="KQN385" s="252"/>
      <c r="KQO385" s="252"/>
      <c r="KQP385" s="252"/>
      <c r="KQQ385" s="252"/>
      <c r="KQR385" s="252"/>
      <c r="KQS385" s="252"/>
      <c r="KQT385" s="252"/>
      <c r="KQU385" s="252"/>
      <c r="KQV385" s="252"/>
      <c r="KQW385" s="252"/>
      <c r="KQX385" s="252"/>
      <c r="KQY385" s="252"/>
      <c r="KQZ385" s="252"/>
      <c r="KRA385" s="252"/>
      <c r="KRB385" s="252"/>
      <c r="KRC385" s="252"/>
      <c r="KRD385" s="252"/>
      <c r="KRE385" s="252"/>
      <c r="KRF385" s="252"/>
      <c r="KRG385" s="252"/>
      <c r="KRH385" s="252"/>
      <c r="KRI385" s="252"/>
      <c r="KRJ385" s="252"/>
      <c r="KRK385" s="252"/>
      <c r="KRL385" s="252"/>
      <c r="KRM385" s="252"/>
      <c r="KRN385" s="252"/>
      <c r="KRO385" s="252"/>
      <c r="KRP385" s="252"/>
      <c r="KRQ385" s="252"/>
      <c r="KRR385" s="252"/>
      <c r="KRS385" s="252"/>
      <c r="KRT385" s="252"/>
      <c r="KRU385" s="252"/>
      <c r="KRV385" s="252"/>
      <c r="KRW385" s="252"/>
      <c r="KRX385" s="252"/>
      <c r="KRY385" s="252"/>
      <c r="KRZ385" s="252"/>
      <c r="KSA385" s="252"/>
      <c r="KSB385" s="252"/>
      <c r="KSC385" s="252"/>
      <c r="KSD385" s="252"/>
      <c r="KSE385" s="252"/>
      <c r="KSF385" s="252"/>
      <c r="KSG385" s="252"/>
      <c r="KSH385" s="252"/>
      <c r="KSI385" s="252"/>
      <c r="KSJ385" s="252"/>
      <c r="KSK385" s="252"/>
      <c r="KSL385" s="252"/>
      <c r="KSM385" s="252"/>
      <c r="KSN385" s="252"/>
      <c r="KSO385" s="252"/>
      <c r="KSP385" s="252"/>
      <c r="KSQ385" s="252"/>
      <c r="KSR385" s="252"/>
      <c r="KSS385" s="252"/>
      <c r="KST385" s="252"/>
      <c r="KSU385" s="252"/>
      <c r="KSV385" s="252"/>
      <c r="KSW385" s="252"/>
      <c r="KSX385" s="252"/>
      <c r="KSY385" s="252"/>
      <c r="KSZ385" s="252"/>
      <c r="KTA385" s="252"/>
      <c r="KTB385" s="252"/>
      <c r="KTC385" s="252"/>
      <c r="KTD385" s="252"/>
      <c r="KTE385" s="252"/>
      <c r="KTF385" s="252"/>
      <c r="KTG385" s="252"/>
      <c r="KTH385" s="252"/>
      <c r="KTI385" s="252"/>
      <c r="KTJ385" s="252"/>
      <c r="KTK385" s="252"/>
      <c r="KTL385" s="252"/>
      <c r="KTM385" s="252"/>
      <c r="KTN385" s="252"/>
      <c r="KTO385" s="252"/>
      <c r="KTP385" s="252"/>
      <c r="KTQ385" s="252"/>
      <c r="KTR385" s="252"/>
      <c r="KTS385" s="252"/>
      <c r="KTT385" s="252"/>
      <c r="KTU385" s="252"/>
      <c r="KTV385" s="252"/>
      <c r="KTW385" s="252"/>
      <c r="KTX385" s="252"/>
      <c r="KTY385" s="252"/>
      <c r="KTZ385" s="252"/>
      <c r="KUA385" s="252"/>
      <c r="KUB385" s="252"/>
      <c r="KUC385" s="252"/>
      <c r="KUD385" s="252"/>
      <c r="KUE385" s="252"/>
      <c r="KUF385" s="252"/>
      <c r="KUG385" s="252"/>
      <c r="KUH385" s="252"/>
      <c r="KUI385" s="252"/>
      <c r="KUJ385" s="252"/>
      <c r="KUK385" s="252"/>
      <c r="KUL385" s="252"/>
      <c r="KUM385" s="252"/>
      <c r="KUN385" s="252"/>
      <c r="KUO385" s="252"/>
      <c r="KUP385" s="252"/>
      <c r="KUQ385" s="252"/>
      <c r="KUR385" s="252"/>
      <c r="KUS385" s="252"/>
      <c r="KUT385" s="252"/>
      <c r="KUU385" s="252"/>
      <c r="KUV385" s="252"/>
      <c r="KUW385" s="252"/>
      <c r="KUX385" s="252"/>
      <c r="KUY385" s="252"/>
      <c r="KUZ385" s="252"/>
      <c r="KVA385" s="252"/>
      <c r="KVB385" s="252"/>
      <c r="KVC385" s="252"/>
      <c r="KVD385" s="252"/>
      <c r="KVE385" s="252"/>
      <c r="KVF385" s="252"/>
      <c r="KVG385" s="252"/>
      <c r="KVH385" s="252"/>
      <c r="KVI385" s="252"/>
      <c r="KVJ385" s="252"/>
      <c r="KVK385" s="252"/>
      <c r="KVL385" s="252"/>
      <c r="KVM385" s="252"/>
      <c r="KVN385" s="252"/>
      <c r="KVO385" s="252"/>
      <c r="KVP385" s="252"/>
      <c r="KVQ385" s="252"/>
      <c r="KVR385" s="252"/>
      <c r="KVS385" s="252"/>
      <c r="KVT385" s="252"/>
      <c r="KVU385" s="252"/>
      <c r="KVV385" s="252"/>
      <c r="KVW385" s="252"/>
      <c r="KVX385" s="252"/>
      <c r="KVY385" s="252"/>
      <c r="KVZ385" s="252"/>
      <c r="KWA385" s="252"/>
      <c r="KWB385" s="252"/>
      <c r="KWC385" s="252"/>
      <c r="KWD385" s="252"/>
      <c r="KWE385" s="252"/>
      <c r="KWF385" s="252"/>
      <c r="KWG385" s="252"/>
      <c r="KWH385" s="252"/>
      <c r="KWI385" s="252"/>
      <c r="KWJ385" s="252"/>
      <c r="KWK385" s="252"/>
      <c r="KWL385" s="252"/>
      <c r="KWM385" s="252"/>
      <c r="KWN385" s="252"/>
      <c r="KWO385" s="252"/>
      <c r="KWP385" s="252"/>
      <c r="KWQ385" s="252"/>
      <c r="KWR385" s="252"/>
      <c r="KWS385" s="252"/>
      <c r="KWT385" s="252"/>
      <c r="KWU385" s="252"/>
      <c r="KWV385" s="252"/>
      <c r="KWW385" s="252"/>
      <c r="KWX385" s="252"/>
      <c r="KWY385" s="252"/>
      <c r="KWZ385" s="252"/>
      <c r="KXA385" s="252"/>
      <c r="KXB385" s="252"/>
      <c r="KXC385" s="252"/>
      <c r="KXD385" s="252"/>
      <c r="KXE385" s="252"/>
      <c r="KXF385" s="252"/>
      <c r="KXG385" s="252"/>
      <c r="KXH385" s="252"/>
      <c r="KXI385" s="252"/>
      <c r="KXJ385" s="252"/>
      <c r="KXK385" s="252"/>
      <c r="KXL385" s="252"/>
      <c r="KXM385" s="252"/>
      <c r="KXN385" s="252"/>
      <c r="KXO385" s="252"/>
      <c r="KXP385" s="252"/>
      <c r="KXQ385" s="252"/>
      <c r="KXR385" s="252"/>
      <c r="KXS385" s="252"/>
      <c r="KXT385" s="252"/>
      <c r="KXU385" s="252"/>
      <c r="KXV385" s="252"/>
      <c r="KXW385" s="252"/>
      <c r="KXX385" s="252"/>
      <c r="KXY385" s="252"/>
      <c r="KXZ385" s="252"/>
      <c r="KYA385" s="252"/>
      <c r="KYB385" s="252"/>
      <c r="KYC385" s="252"/>
      <c r="KYD385" s="252"/>
      <c r="KYE385" s="252"/>
      <c r="KYF385" s="252"/>
      <c r="KYG385" s="252"/>
      <c r="KYH385" s="252"/>
      <c r="KYI385" s="252"/>
      <c r="KYJ385" s="252"/>
      <c r="KYK385" s="252"/>
      <c r="KYL385" s="252"/>
      <c r="KYM385" s="252"/>
      <c r="KYN385" s="252"/>
      <c r="KYO385" s="252"/>
      <c r="KYP385" s="252"/>
      <c r="KYQ385" s="252"/>
      <c r="KYR385" s="252"/>
      <c r="KYS385" s="252"/>
      <c r="KYT385" s="252"/>
      <c r="KYU385" s="252"/>
      <c r="KYV385" s="252"/>
      <c r="KYW385" s="252"/>
      <c r="KYX385" s="252"/>
      <c r="KYY385" s="252"/>
      <c r="KYZ385" s="252"/>
      <c r="KZA385" s="252"/>
      <c r="KZB385" s="252"/>
      <c r="KZC385" s="252"/>
      <c r="KZD385" s="252"/>
      <c r="KZE385" s="252"/>
      <c r="KZF385" s="252"/>
      <c r="KZG385" s="252"/>
      <c r="KZH385" s="252"/>
      <c r="KZI385" s="252"/>
      <c r="KZJ385" s="252"/>
      <c r="KZK385" s="252"/>
      <c r="KZL385" s="252"/>
      <c r="KZM385" s="252"/>
      <c r="KZN385" s="252"/>
      <c r="KZO385" s="252"/>
      <c r="KZP385" s="252"/>
      <c r="KZQ385" s="252"/>
      <c r="KZR385" s="252"/>
      <c r="KZS385" s="252"/>
      <c r="KZT385" s="252"/>
      <c r="KZU385" s="252"/>
      <c r="KZV385" s="252"/>
      <c r="KZW385" s="252"/>
      <c r="KZX385" s="252"/>
      <c r="KZY385" s="252"/>
      <c r="KZZ385" s="252"/>
      <c r="LAA385" s="252"/>
      <c r="LAB385" s="252"/>
      <c r="LAC385" s="252"/>
      <c r="LAD385" s="252"/>
      <c r="LAE385" s="252"/>
      <c r="LAF385" s="252"/>
      <c r="LAG385" s="252"/>
      <c r="LAH385" s="252"/>
      <c r="LAI385" s="252"/>
      <c r="LAJ385" s="252"/>
      <c r="LAK385" s="252"/>
      <c r="LAL385" s="252"/>
      <c r="LAM385" s="252"/>
      <c r="LAN385" s="252"/>
      <c r="LAO385" s="252"/>
      <c r="LAP385" s="252"/>
      <c r="LAQ385" s="252"/>
      <c r="LAR385" s="252"/>
      <c r="LAS385" s="252"/>
      <c r="LAT385" s="252"/>
      <c r="LAU385" s="252"/>
      <c r="LAV385" s="252"/>
      <c r="LAW385" s="252"/>
      <c r="LAX385" s="252"/>
      <c r="LAY385" s="252"/>
      <c r="LAZ385" s="252"/>
      <c r="LBA385" s="252"/>
      <c r="LBB385" s="252"/>
      <c r="LBC385" s="252"/>
      <c r="LBD385" s="252"/>
      <c r="LBE385" s="252"/>
      <c r="LBF385" s="252"/>
      <c r="LBG385" s="252"/>
      <c r="LBH385" s="252"/>
      <c r="LBI385" s="252"/>
      <c r="LBJ385" s="252"/>
      <c r="LBK385" s="252"/>
      <c r="LBL385" s="252"/>
      <c r="LBM385" s="252"/>
      <c r="LBN385" s="252"/>
      <c r="LBO385" s="252"/>
      <c r="LBP385" s="252"/>
      <c r="LBQ385" s="252"/>
      <c r="LBR385" s="252"/>
      <c r="LBS385" s="252"/>
      <c r="LBT385" s="252"/>
      <c r="LBU385" s="252"/>
      <c r="LBV385" s="252"/>
      <c r="LBW385" s="252"/>
      <c r="LBX385" s="252"/>
      <c r="LBY385" s="252"/>
      <c r="LBZ385" s="252"/>
      <c r="LCA385" s="252"/>
      <c r="LCB385" s="252"/>
      <c r="LCC385" s="252"/>
      <c r="LCD385" s="252"/>
      <c r="LCE385" s="252"/>
      <c r="LCF385" s="252"/>
      <c r="LCG385" s="252"/>
      <c r="LCH385" s="252"/>
      <c r="LCI385" s="252"/>
      <c r="LCJ385" s="252"/>
      <c r="LCK385" s="252"/>
      <c r="LCL385" s="252"/>
      <c r="LCM385" s="252"/>
      <c r="LCN385" s="252"/>
      <c r="LCO385" s="252"/>
      <c r="LCP385" s="252"/>
      <c r="LCQ385" s="252"/>
      <c r="LCR385" s="252"/>
      <c r="LCS385" s="252"/>
      <c r="LCT385" s="252"/>
      <c r="LCU385" s="252"/>
      <c r="LCV385" s="252"/>
      <c r="LCW385" s="252"/>
      <c r="LCX385" s="252"/>
      <c r="LCY385" s="252"/>
      <c r="LCZ385" s="252"/>
      <c r="LDA385" s="252"/>
      <c r="LDB385" s="252"/>
      <c r="LDC385" s="252"/>
      <c r="LDD385" s="252"/>
      <c r="LDE385" s="252"/>
      <c r="LDF385" s="252"/>
      <c r="LDG385" s="252"/>
      <c r="LDH385" s="252"/>
      <c r="LDI385" s="252"/>
      <c r="LDJ385" s="252"/>
      <c r="LDK385" s="252"/>
      <c r="LDL385" s="252"/>
      <c r="LDM385" s="252"/>
      <c r="LDN385" s="252"/>
      <c r="LDO385" s="252"/>
      <c r="LDP385" s="252"/>
      <c r="LDQ385" s="252"/>
      <c r="LDR385" s="252"/>
      <c r="LDS385" s="252"/>
      <c r="LDT385" s="252"/>
      <c r="LDU385" s="252"/>
      <c r="LDV385" s="252"/>
      <c r="LDW385" s="252"/>
      <c r="LDX385" s="252"/>
      <c r="LDY385" s="252"/>
      <c r="LDZ385" s="252"/>
      <c r="LEA385" s="252"/>
      <c r="LEB385" s="252"/>
      <c r="LEC385" s="252"/>
      <c r="LED385" s="252"/>
      <c r="LEE385" s="252"/>
      <c r="LEF385" s="252"/>
      <c r="LEG385" s="252"/>
      <c r="LEH385" s="252"/>
      <c r="LEI385" s="252"/>
      <c r="LEJ385" s="252"/>
      <c r="LEK385" s="252"/>
      <c r="LEL385" s="252"/>
      <c r="LEM385" s="252"/>
      <c r="LEN385" s="252"/>
      <c r="LEO385" s="252"/>
      <c r="LEP385" s="252"/>
      <c r="LEQ385" s="252"/>
      <c r="LER385" s="252"/>
      <c r="LES385" s="252"/>
      <c r="LET385" s="252"/>
      <c r="LEU385" s="252"/>
      <c r="LEV385" s="252"/>
      <c r="LEW385" s="252"/>
      <c r="LEX385" s="252"/>
      <c r="LEY385" s="252"/>
      <c r="LEZ385" s="252"/>
      <c r="LFA385" s="252"/>
      <c r="LFB385" s="252"/>
      <c r="LFC385" s="252"/>
      <c r="LFD385" s="252"/>
      <c r="LFE385" s="252"/>
      <c r="LFF385" s="252"/>
      <c r="LFG385" s="252"/>
      <c r="LFH385" s="252"/>
      <c r="LFI385" s="252"/>
      <c r="LFJ385" s="252"/>
      <c r="LFK385" s="252"/>
      <c r="LFL385" s="252"/>
      <c r="LFM385" s="252"/>
      <c r="LFN385" s="252"/>
      <c r="LFO385" s="252"/>
      <c r="LFP385" s="252"/>
      <c r="LFQ385" s="252"/>
      <c r="LFR385" s="252"/>
      <c r="LFS385" s="252"/>
      <c r="LFT385" s="252"/>
      <c r="LFU385" s="252"/>
      <c r="LFV385" s="252"/>
      <c r="LFW385" s="252"/>
      <c r="LFX385" s="252"/>
      <c r="LFY385" s="252"/>
      <c r="LFZ385" s="252"/>
      <c r="LGA385" s="252"/>
      <c r="LGB385" s="252"/>
      <c r="LGC385" s="252"/>
      <c r="LGD385" s="252"/>
      <c r="LGE385" s="252"/>
      <c r="LGF385" s="252"/>
      <c r="LGG385" s="252"/>
      <c r="LGH385" s="252"/>
      <c r="LGI385" s="252"/>
      <c r="LGJ385" s="252"/>
      <c r="LGK385" s="252"/>
      <c r="LGL385" s="252"/>
      <c r="LGM385" s="252"/>
      <c r="LGN385" s="252"/>
      <c r="LGO385" s="252"/>
      <c r="LGP385" s="252"/>
      <c r="LGQ385" s="252"/>
      <c r="LGR385" s="252"/>
      <c r="LGS385" s="252"/>
      <c r="LGT385" s="252"/>
      <c r="LGU385" s="252"/>
      <c r="LGV385" s="252"/>
      <c r="LGW385" s="252"/>
      <c r="LGX385" s="252"/>
      <c r="LGY385" s="252"/>
      <c r="LGZ385" s="252"/>
      <c r="LHA385" s="252"/>
      <c r="LHB385" s="252"/>
      <c r="LHC385" s="252"/>
      <c r="LHD385" s="252"/>
      <c r="LHE385" s="252"/>
      <c r="LHF385" s="252"/>
      <c r="LHG385" s="252"/>
      <c r="LHH385" s="252"/>
      <c r="LHI385" s="252"/>
      <c r="LHJ385" s="252"/>
      <c r="LHK385" s="252"/>
      <c r="LHL385" s="252"/>
      <c r="LHM385" s="252"/>
      <c r="LHN385" s="252"/>
      <c r="LHO385" s="252"/>
      <c r="LHP385" s="252"/>
      <c r="LHQ385" s="252"/>
      <c r="LHR385" s="252"/>
      <c r="LHS385" s="252"/>
      <c r="LHT385" s="252"/>
      <c r="LHU385" s="252"/>
      <c r="LHV385" s="252"/>
      <c r="LHW385" s="252"/>
      <c r="LHX385" s="252"/>
      <c r="LHY385" s="252"/>
      <c r="LHZ385" s="252"/>
      <c r="LIA385" s="252"/>
      <c r="LIB385" s="252"/>
      <c r="LIC385" s="252"/>
      <c r="LID385" s="252"/>
      <c r="LIE385" s="252"/>
      <c r="LIF385" s="252"/>
      <c r="LIG385" s="252"/>
      <c r="LIH385" s="252"/>
      <c r="LII385" s="252"/>
      <c r="LIJ385" s="252"/>
      <c r="LIK385" s="252"/>
      <c r="LIL385" s="252"/>
      <c r="LIM385" s="252"/>
      <c r="LIN385" s="252"/>
      <c r="LIO385" s="252"/>
      <c r="LIP385" s="252"/>
      <c r="LIQ385" s="252"/>
      <c r="LIR385" s="252"/>
      <c r="LIS385" s="252"/>
      <c r="LIT385" s="252"/>
      <c r="LIU385" s="252"/>
      <c r="LIV385" s="252"/>
      <c r="LIW385" s="252"/>
      <c r="LIX385" s="252"/>
      <c r="LIY385" s="252"/>
      <c r="LIZ385" s="252"/>
      <c r="LJA385" s="252"/>
      <c r="LJB385" s="252"/>
      <c r="LJC385" s="252"/>
      <c r="LJD385" s="252"/>
      <c r="LJE385" s="252"/>
      <c r="LJF385" s="252"/>
      <c r="LJG385" s="252"/>
      <c r="LJH385" s="252"/>
      <c r="LJI385" s="252"/>
      <c r="LJJ385" s="252"/>
      <c r="LJK385" s="252"/>
      <c r="LJL385" s="252"/>
      <c r="LJM385" s="252"/>
      <c r="LJN385" s="252"/>
      <c r="LJO385" s="252"/>
      <c r="LJP385" s="252"/>
      <c r="LJQ385" s="252"/>
      <c r="LJR385" s="252"/>
      <c r="LJS385" s="252"/>
      <c r="LJT385" s="252"/>
      <c r="LJU385" s="252"/>
      <c r="LJV385" s="252"/>
      <c r="LJW385" s="252"/>
      <c r="LJX385" s="252"/>
      <c r="LJY385" s="252"/>
      <c r="LJZ385" s="252"/>
      <c r="LKA385" s="252"/>
      <c r="LKB385" s="252"/>
      <c r="LKC385" s="252"/>
      <c r="LKD385" s="252"/>
      <c r="LKE385" s="252"/>
      <c r="LKF385" s="252"/>
      <c r="LKG385" s="252"/>
      <c r="LKH385" s="252"/>
      <c r="LKI385" s="252"/>
      <c r="LKJ385" s="252"/>
      <c r="LKK385" s="252"/>
      <c r="LKL385" s="252"/>
      <c r="LKM385" s="252"/>
      <c r="LKN385" s="252"/>
      <c r="LKO385" s="252"/>
      <c r="LKP385" s="252"/>
      <c r="LKQ385" s="252"/>
      <c r="LKR385" s="252"/>
      <c r="LKS385" s="252"/>
      <c r="LKT385" s="252"/>
      <c r="LKU385" s="252"/>
      <c r="LKV385" s="252"/>
      <c r="LKW385" s="252"/>
      <c r="LKX385" s="252"/>
      <c r="LKY385" s="252"/>
      <c r="LKZ385" s="252"/>
      <c r="LLA385" s="252"/>
      <c r="LLB385" s="252"/>
      <c r="LLC385" s="252"/>
      <c r="LLD385" s="252"/>
      <c r="LLE385" s="252"/>
      <c r="LLF385" s="252"/>
      <c r="LLG385" s="252"/>
      <c r="LLH385" s="252"/>
      <c r="LLI385" s="252"/>
      <c r="LLJ385" s="252"/>
      <c r="LLK385" s="252"/>
      <c r="LLL385" s="252"/>
      <c r="LLM385" s="252"/>
      <c r="LLN385" s="252"/>
      <c r="LLO385" s="252"/>
      <c r="LLP385" s="252"/>
      <c r="LLQ385" s="252"/>
      <c r="LLR385" s="252"/>
      <c r="LLS385" s="252"/>
      <c r="LLT385" s="252"/>
      <c r="LLU385" s="252"/>
      <c r="LLV385" s="252"/>
      <c r="LLW385" s="252"/>
      <c r="LLX385" s="252"/>
      <c r="LLY385" s="252"/>
      <c r="LLZ385" s="252"/>
      <c r="LMA385" s="252"/>
      <c r="LMB385" s="252"/>
      <c r="LMC385" s="252"/>
      <c r="LMD385" s="252"/>
      <c r="LME385" s="252"/>
      <c r="LMF385" s="252"/>
      <c r="LMG385" s="252"/>
      <c r="LMH385" s="252"/>
      <c r="LMI385" s="252"/>
      <c r="LMJ385" s="252"/>
      <c r="LMK385" s="252"/>
      <c r="LML385" s="252"/>
      <c r="LMM385" s="252"/>
      <c r="LMN385" s="252"/>
      <c r="LMO385" s="252"/>
      <c r="LMP385" s="252"/>
      <c r="LMQ385" s="252"/>
      <c r="LMR385" s="252"/>
      <c r="LMS385" s="252"/>
      <c r="LMT385" s="252"/>
      <c r="LMU385" s="252"/>
      <c r="LMV385" s="252"/>
      <c r="LMW385" s="252"/>
      <c r="LMX385" s="252"/>
      <c r="LMY385" s="252"/>
      <c r="LMZ385" s="252"/>
      <c r="LNA385" s="252"/>
      <c r="LNB385" s="252"/>
      <c r="LNC385" s="252"/>
      <c r="LND385" s="252"/>
      <c r="LNE385" s="252"/>
      <c r="LNF385" s="252"/>
      <c r="LNG385" s="252"/>
      <c r="LNH385" s="252"/>
      <c r="LNI385" s="252"/>
      <c r="LNJ385" s="252"/>
      <c r="LNK385" s="252"/>
      <c r="LNL385" s="252"/>
      <c r="LNM385" s="252"/>
      <c r="LNN385" s="252"/>
      <c r="LNO385" s="252"/>
      <c r="LNP385" s="252"/>
      <c r="LNQ385" s="252"/>
      <c r="LNR385" s="252"/>
      <c r="LNS385" s="252"/>
      <c r="LNT385" s="252"/>
      <c r="LNU385" s="252"/>
      <c r="LNV385" s="252"/>
      <c r="LNW385" s="252"/>
      <c r="LNX385" s="252"/>
      <c r="LNY385" s="252"/>
      <c r="LNZ385" s="252"/>
      <c r="LOA385" s="252"/>
      <c r="LOB385" s="252"/>
      <c r="LOC385" s="252"/>
      <c r="LOD385" s="252"/>
      <c r="LOE385" s="252"/>
      <c r="LOF385" s="252"/>
      <c r="LOG385" s="252"/>
      <c r="LOH385" s="252"/>
      <c r="LOI385" s="252"/>
      <c r="LOJ385" s="252"/>
      <c r="LOK385" s="252"/>
      <c r="LOL385" s="252"/>
      <c r="LOM385" s="252"/>
      <c r="LON385" s="252"/>
      <c r="LOO385" s="252"/>
      <c r="LOP385" s="252"/>
      <c r="LOQ385" s="252"/>
      <c r="LOR385" s="252"/>
      <c r="LOS385" s="252"/>
      <c r="LOT385" s="252"/>
      <c r="LOU385" s="252"/>
      <c r="LOV385" s="252"/>
      <c r="LOW385" s="252"/>
      <c r="LOX385" s="252"/>
      <c r="LOY385" s="252"/>
      <c r="LOZ385" s="252"/>
      <c r="LPA385" s="252"/>
      <c r="LPB385" s="252"/>
      <c r="LPC385" s="252"/>
      <c r="LPD385" s="252"/>
      <c r="LPE385" s="252"/>
      <c r="LPF385" s="252"/>
      <c r="LPG385" s="252"/>
      <c r="LPH385" s="252"/>
      <c r="LPI385" s="252"/>
      <c r="LPJ385" s="252"/>
      <c r="LPK385" s="252"/>
      <c r="LPL385" s="252"/>
      <c r="LPM385" s="252"/>
      <c r="LPN385" s="252"/>
      <c r="LPO385" s="252"/>
      <c r="LPP385" s="252"/>
      <c r="LPQ385" s="252"/>
      <c r="LPR385" s="252"/>
      <c r="LPS385" s="252"/>
      <c r="LPT385" s="252"/>
      <c r="LPU385" s="252"/>
      <c r="LPV385" s="252"/>
      <c r="LPW385" s="252"/>
      <c r="LPX385" s="252"/>
      <c r="LPY385" s="252"/>
      <c r="LPZ385" s="252"/>
      <c r="LQA385" s="252"/>
      <c r="LQB385" s="252"/>
      <c r="LQC385" s="252"/>
      <c r="LQD385" s="252"/>
      <c r="LQE385" s="252"/>
      <c r="LQF385" s="252"/>
      <c r="LQG385" s="252"/>
      <c r="LQH385" s="252"/>
      <c r="LQI385" s="252"/>
      <c r="LQJ385" s="252"/>
      <c r="LQK385" s="252"/>
      <c r="LQL385" s="252"/>
      <c r="LQM385" s="252"/>
      <c r="LQN385" s="252"/>
      <c r="LQO385" s="252"/>
      <c r="LQP385" s="252"/>
      <c r="LQQ385" s="252"/>
      <c r="LQR385" s="252"/>
      <c r="LQS385" s="252"/>
      <c r="LQT385" s="252"/>
      <c r="LQU385" s="252"/>
      <c r="LQV385" s="252"/>
      <c r="LQW385" s="252"/>
      <c r="LQX385" s="252"/>
      <c r="LQY385" s="252"/>
      <c r="LQZ385" s="252"/>
      <c r="LRA385" s="252"/>
      <c r="LRB385" s="252"/>
      <c r="LRC385" s="252"/>
      <c r="LRD385" s="252"/>
      <c r="LRE385" s="252"/>
      <c r="LRF385" s="252"/>
      <c r="LRG385" s="252"/>
      <c r="LRH385" s="252"/>
      <c r="LRI385" s="252"/>
      <c r="LRJ385" s="252"/>
      <c r="LRK385" s="252"/>
      <c r="LRL385" s="252"/>
      <c r="LRM385" s="252"/>
      <c r="LRN385" s="252"/>
      <c r="LRO385" s="252"/>
      <c r="LRP385" s="252"/>
      <c r="LRQ385" s="252"/>
      <c r="LRR385" s="252"/>
      <c r="LRS385" s="252"/>
      <c r="LRT385" s="252"/>
      <c r="LRU385" s="252"/>
      <c r="LRV385" s="252"/>
      <c r="LRW385" s="252"/>
      <c r="LRX385" s="252"/>
      <c r="LRY385" s="252"/>
      <c r="LRZ385" s="252"/>
      <c r="LSA385" s="252"/>
      <c r="LSB385" s="252"/>
      <c r="LSC385" s="252"/>
      <c r="LSD385" s="252"/>
      <c r="LSE385" s="252"/>
      <c r="LSF385" s="252"/>
      <c r="LSG385" s="252"/>
      <c r="LSH385" s="252"/>
      <c r="LSI385" s="252"/>
      <c r="LSJ385" s="252"/>
      <c r="LSK385" s="252"/>
      <c r="LSL385" s="252"/>
      <c r="LSM385" s="252"/>
      <c r="LSN385" s="252"/>
      <c r="LSO385" s="252"/>
      <c r="LSP385" s="252"/>
      <c r="LSQ385" s="252"/>
      <c r="LSR385" s="252"/>
      <c r="LSS385" s="252"/>
      <c r="LST385" s="252"/>
      <c r="LSU385" s="252"/>
      <c r="LSV385" s="252"/>
      <c r="LSW385" s="252"/>
      <c r="LSX385" s="252"/>
      <c r="LSY385" s="252"/>
      <c r="LSZ385" s="252"/>
      <c r="LTA385" s="252"/>
      <c r="LTB385" s="252"/>
      <c r="LTC385" s="252"/>
      <c r="LTD385" s="252"/>
      <c r="LTE385" s="252"/>
      <c r="LTF385" s="252"/>
      <c r="LTG385" s="252"/>
      <c r="LTH385" s="252"/>
      <c r="LTI385" s="252"/>
      <c r="LTJ385" s="252"/>
      <c r="LTK385" s="252"/>
      <c r="LTL385" s="252"/>
      <c r="LTM385" s="252"/>
      <c r="LTN385" s="252"/>
      <c r="LTO385" s="252"/>
      <c r="LTP385" s="252"/>
      <c r="LTQ385" s="252"/>
      <c r="LTR385" s="252"/>
      <c r="LTS385" s="252"/>
      <c r="LTT385" s="252"/>
      <c r="LTU385" s="252"/>
      <c r="LTV385" s="252"/>
      <c r="LTW385" s="252"/>
      <c r="LTX385" s="252"/>
      <c r="LTY385" s="252"/>
      <c r="LTZ385" s="252"/>
      <c r="LUA385" s="252"/>
      <c r="LUB385" s="252"/>
      <c r="LUC385" s="252"/>
      <c r="LUD385" s="252"/>
      <c r="LUE385" s="252"/>
      <c r="LUF385" s="252"/>
      <c r="LUG385" s="252"/>
      <c r="LUH385" s="252"/>
      <c r="LUI385" s="252"/>
      <c r="LUJ385" s="252"/>
      <c r="LUK385" s="252"/>
      <c r="LUL385" s="252"/>
      <c r="LUM385" s="252"/>
      <c r="LUN385" s="252"/>
      <c r="LUO385" s="252"/>
      <c r="LUP385" s="252"/>
      <c r="LUQ385" s="252"/>
      <c r="LUR385" s="252"/>
      <c r="LUS385" s="252"/>
      <c r="LUT385" s="252"/>
      <c r="LUU385" s="252"/>
      <c r="LUV385" s="252"/>
      <c r="LUW385" s="252"/>
      <c r="LUX385" s="252"/>
      <c r="LUY385" s="252"/>
      <c r="LUZ385" s="252"/>
      <c r="LVA385" s="252"/>
      <c r="LVB385" s="252"/>
      <c r="LVC385" s="252"/>
      <c r="LVD385" s="252"/>
      <c r="LVE385" s="252"/>
      <c r="LVF385" s="252"/>
      <c r="LVG385" s="252"/>
      <c r="LVH385" s="252"/>
      <c r="LVI385" s="252"/>
      <c r="LVJ385" s="252"/>
      <c r="LVK385" s="252"/>
      <c r="LVL385" s="252"/>
      <c r="LVM385" s="252"/>
      <c r="LVN385" s="252"/>
      <c r="LVO385" s="252"/>
      <c r="LVP385" s="252"/>
      <c r="LVQ385" s="252"/>
      <c r="LVR385" s="252"/>
      <c r="LVS385" s="252"/>
      <c r="LVT385" s="252"/>
      <c r="LVU385" s="252"/>
      <c r="LVV385" s="252"/>
      <c r="LVW385" s="252"/>
      <c r="LVX385" s="252"/>
      <c r="LVY385" s="252"/>
      <c r="LVZ385" s="252"/>
      <c r="LWA385" s="252"/>
      <c r="LWB385" s="252"/>
      <c r="LWC385" s="252"/>
      <c r="LWD385" s="252"/>
      <c r="LWE385" s="252"/>
      <c r="LWF385" s="252"/>
      <c r="LWG385" s="252"/>
      <c r="LWH385" s="252"/>
      <c r="LWI385" s="252"/>
      <c r="LWJ385" s="252"/>
      <c r="LWK385" s="252"/>
      <c r="LWL385" s="252"/>
      <c r="LWM385" s="252"/>
      <c r="LWN385" s="252"/>
      <c r="LWO385" s="252"/>
      <c r="LWP385" s="252"/>
      <c r="LWQ385" s="252"/>
      <c r="LWR385" s="252"/>
      <c r="LWS385" s="252"/>
      <c r="LWT385" s="252"/>
      <c r="LWU385" s="252"/>
      <c r="LWV385" s="252"/>
      <c r="LWW385" s="252"/>
      <c r="LWX385" s="252"/>
      <c r="LWY385" s="252"/>
      <c r="LWZ385" s="252"/>
      <c r="LXA385" s="252"/>
      <c r="LXB385" s="252"/>
      <c r="LXC385" s="252"/>
      <c r="LXD385" s="252"/>
      <c r="LXE385" s="252"/>
      <c r="LXF385" s="252"/>
      <c r="LXG385" s="252"/>
      <c r="LXH385" s="252"/>
      <c r="LXI385" s="252"/>
      <c r="LXJ385" s="252"/>
      <c r="LXK385" s="252"/>
      <c r="LXL385" s="252"/>
      <c r="LXM385" s="252"/>
      <c r="LXN385" s="252"/>
      <c r="LXO385" s="252"/>
      <c r="LXP385" s="252"/>
      <c r="LXQ385" s="252"/>
      <c r="LXR385" s="252"/>
      <c r="LXS385" s="252"/>
      <c r="LXT385" s="252"/>
      <c r="LXU385" s="252"/>
      <c r="LXV385" s="252"/>
      <c r="LXW385" s="252"/>
      <c r="LXX385" s="252"/>
      <c r="LXY385" s="252"/>
      <c r="LXZ385" s="252"/>
      <c r="LYA385" s="252"/>
      <c r="LYB385" s="252"/>
      <c r="LYC385" s="252"/>
      <c r="LYD385" s="252"/>
      <c r="LYE385" s="252"/>
      <c r="LYF385" s="252"/>
      <c r="LYG385" s="252"/>
      <c r="LYH385" s="252"/>
      <c r="LYI385" s="252"/>
      <c r="LYJ385" s="252"/>
      <c r="LYK385" s="252"/>
      <c r="LYL385" s="252"/>
      <c r="LYM385" s="252"/>
      <c r="LYN385" s="252"/>
      <c r="LYO385" s="252"/>
      <c r="LYP385" s="252"/>
      <c r="LYQ385" s="252"/>
      <c r="LYR385" s="252"/>
      <c r="LYS385" s="252"/>
      <c r="LYT385" s="252"/>
      <c r="LYU385" s="252"/>
      <c r="LYV385" s="252"/>
      <c r="LYW385" s="252"/>
      <c r="LYX385" s="252"/>
      <c r="LYY385" s="252"/>
      <c r="LYZ385" s="252"/>
      <c r="LZA385" s="252"/>
      <c r="LZB385" s="252"/>
      <c r="LZC385" s="252"/>
      <c r="LZD385" s="252"/>
      <c r="LZE385" s="252"/>
      <c r="LZF385" s="252"/>
      <c r="LZG385" s="252"/>
      <c r="LZH385" s="252"/>
      <c r="LZI385" s="252"/>
      <c r="LZJ385" s="252"/>
      <c r="LZK385" s="252"/>
      <c r="LZL385" s="252"/>
      <c r="LZM385" s="252"/>
      <c r="LZN385" s="252"/>
      <c r="LZO385" s="252"/>
      <c r="LZP385" s="252"/>
      <c r="LZQ385" s="252"/>
      <c r="LZR385" s="252"/>
      <c r="LZS385" s="252"/>
      <c r="LZT385" s="252"/>
      <c r="LZU385" s="252"/>
      <c r="LZV385" s="252"/>
      <c r="LZW385" s="252"/>
      <c r="LZX385" s="252"/>
      <c r="LZY385" s="252"/>
      <c r="LZZ385" s="252"/>
      <c r="MAA385" s="252"/>
      <c r="MAB385" s="252"/>
      <c r="MAC385" s="252"/>
      <c r="MAD385" s="252"/>
      <c r="MAE385" s="252"/>
      <c r="MAF385" s="252"/>
      <c r="MAG385" s="252"/>
      <c r="MAH385" s="252"/>
      <c r="MAI385" s="252"/>
      <c r="MAJ385" s="252"/>
      <c r="MAK385" s="252"/>
      <c r="MAL385" s="252"/>
      <c r="MAM385" s="252"/>
      <c r="MAN385" s="252"/>
      <c r="MAO385" s="252"/>
      <c r="MAP385" s="252"/>
      <c r="MAQ385" s="252"/>
      <c r="MAR385" s="252"/>
      <c r="MAS385" s="252"/>
      <c r="MAT385" s="252"/>
      <c r="MAU385" s="252"/>
      <c r="MAV385" s="252"/>
      <c r="MAW385" s="252"/>
      <c r="MAX385" s="252"/>
      <c r="MAY385" s="252"/>
      <c r="MAZ385" s="252"/>
      <c r="MBA385" s="252"/>
      <c r="MBB385" s="252"/>
      <c r="MBC385" s="252"/>
      <c r="MBD385" s="252"/>
      <c r="MBE385" s="252"/>
      <c r="MBF385" s="252"/>
      <c r="MBG385" s="252"/>
      <c r="MBH385" s="252"/>
      <c r="MBI385" s="252"/>
      <c r="MBJ385" s="252"/>
      <c r="MBK385" s="252"/>
      <c r="MBL385" s="252"/>
      <c r="MBM385" s="252"/>
      <c r="MBN385" s="252"/>
      <c r="MBO385" s="252"/>
      <c r="MBP385" s="252"/>
      <c r="MBQ385" s="252"/>
      <c r="MBR385" s="252"/>
      <c r="MBS385" s="252"/>
      <c r="MBT385" s="252"/>
      <c r="MBU385" s="252"/>
      <c r="MBV385" s="252"/>
      <c r="MBW385" s="252"/>
      <c r="MBX385" s="252"/>
      <c r="MBY385" s="252"/>
      <c r="MBZ385" s="252"/>
      <c r="MCA385" s="252"/>
      <c r="MCB385" s="252"/>
      <c r="MCC385" s="252"/>
      <c r="MCD385" s="252"/>
      <c r="MCE385" s="252"/>
      <c r="MCF385" s="252"/>
      <c r="MCG385" s="252"/>
      <c r="MCH385" s="252"/>
      <c r="MCI385" s="252"/>
      <c r="MCJ385" s="252"/>
      <c r="MCK385" s="252"/>
      <c r="MCL385" s="252"/>
      <c r="MCM385" s="252"/>
      <c r="MCN385" s="252"/>
      <c r="MCO385" s="252"/>
      <c r="MCP385" s="252"/>
      <c r="MCQ385" s="252"/>
      <c r="MCR385" s="252"/>
      <c r="MCS385" s="252"/>
      <c r="MCT385" s="252"/>
      <c r="MCU385" s="252"/>
      <c r="MCV385" s="252"/>
      <c r="MCW385" s="252"/>
      <c r="MCX385" s="252"/>
      <c r="MCY385" s="252"/>
      <c r="MCZ385" s="252"/>
      <c r="MDA385" s="252"/>
      <c r="MDB385" s="252"/>
      <c r="MDC385" s="252"/>
      <c r="MDD385" s="252"/>
      <c r="MDE385" s="252"/>
      <c r="MDF385" s="252"/>
      <c r="MDG385" s="252"/>
      <c r="MDH385" s="252"/>
      <c r="MDI385" s="252"/>
      <c r="MDJ385" s="252"/>
      <c r="MDK385" s="252"/>
      <c r="MDL385" s="252"/>
      <c r="MDM385" s="252"/>
      <c r="MDN385" s="252"/>
      <c r="MDO385" s="252"/>
      <c r="MDP385" s="252"/>
      <c r="MDQ385" s="252"/>
      <c r="MDR385" s="252"/>
      <c r="MDS385" s="252"/>
      <c r="MDT385" s="252"/>
      <c r="MDU385" s="252"/>
      <c r="MDV385" s="252"/>
      <c r="MDW385" s="252"/>
      <c r="MDX385" s="252"/>
      <c r="MDY385" s="252"/>
      <c r="MDZ385" s="252"/>
      <c r="MEA385" s="252"/>
      <c r="MEB385" s="252"/>
      <c r="MEC385" s="252"/>
      <c r="MED385" s="252"/>
      <c r="MEE385" s="252"/>
      <c r="MEF385" s="252"/>
      <c r="MEG385" s="252"/>
      <c r="MEH385" s="252"/>
      <c r="MEI385" s="252"/>
      <c r="MEJ385" s="252"/>
      <c r="MEK385" s="252"/>
      <c r="MEL385" s="252"/>
      <c r="MEM385" s="252"/>
      <c r="MEN385" s="252"/>
      <c r="MEO385" s="252"/>
      <c r="MEP385" s="252"/>
      <c r="MEQ385" s="252"/>
      <c r="MER385" s="252"/>
      <c r="MES385" s="252"/>
      <c r="MET385" s="252"/>
      <c r="MEU385" s="252"/>
      <c r="MEV385" s="252"/>
      <c r="MEW385" s="252"/>
      <c r="MEX385" s="252"/>
      <c r="MEY385" s="252"/>
      <c r="MEZ385" s="252"/>
      <c r="MFA385" s="252"/>
      <c r="MFB385" s="252"/>
      <c r="MFC385" s="252"/>
      <c r="MFD385" s="252"/>
      <c r="MFE385" s="252"/>
      <c r="MFF385" s="252"/>
      <c r="MFG385" s="252"/>
      <c r="MFH385" s="252"/>
      <c r="MFI385" s="252"/>
      <c r="MFJ385" s="252"/>
      <c r="MFK385" s="252"/>
      <c r="MFL385" s="252"/>
      <c r="MFM385" s="252"/>
      <c r="MFN385" s="252"/>
      <c r="MFO385" s="252"/>
      <c r="MFP385" s="252"/>
      <c r="MFQ385" s="252"/>
      <c r="MFR385" s="252"/>
      <c r="MFS385" s="252"/>
      <c r="MFT385" s="252"/>
      <c r="MFU385" s="252"/>
      <c r="MFV385" s="252"/>
      <c r="MFW385" s="252"/>
      <c r="MFX385" s="252"/>
      <c r="MFY385" s="252"/>
      <c r="MFZ385" s="252"/>
      <c r="MGA385" s="252"/>
      <c r="MGB385" s="252"/>
      <c r="MGC385" s="252"/>
      <c r="MGD385" s="252"/>
      <c r="MGE385" s="252"/>
      <c r="MGF385" s="252"/>
      <c r="MGG385" s="252"/>
      <c r="MGH385" s="252"/>
      <c r="MGI385" s="252"/>
      <c r="MGJ385" s="252"/>
      <c r="MGK385" s="252"/>
      <c r="MGL385" s="252"/>
      <c r="MGM385" s="252"/>
      <c r="MGN385" s="252"/>
      <c r="MGO385" s="252"/>
      <c r="MGP385" s="252"/>
      <c r="MGQ385" s="252"/>
      <c r="MGR385" s="252"/>
      <c r="MGS385" s="252"/>
      <c r="MGT385" s="252"/>
      <c r="MGU385" s="252"/>
      <c r="MGV385" s="252"/>
      <c r="MGW385" s="252"/>
      <c r="MGX385" s="252"/>
      <c r="MGY385" s="252"/>
      <c r="MGZ385" s="252"/>
      <c r="MHA385" s="252"/>
      <c r="MHB385" s="252"/>
      <c r="MHC385" s="252"/>
      <c r="MHD385" s="252"/>
      <c r="MHE385" s="252"/>
      <c r="MHF385" s="252"/>
      <c r="MHG385" s="252"/>
      <c r="MHH385" s="252"/>
      <c r="MHI385" s="252"/>
      <c r="MHJ385" s="252"/>
      <c r="MHK385" s="252"/>
      <c r="MHL385" s="252"/>
      <c r="MHM385" s="252"/>
      <c r="MHN385" s="252"/>
      <c r="MHO385" s="252"/>
      <c r="MHP385" s="252"/>
      <c r="MHQ385" s="252"/>
      <c r="MHR385" s="252"/>
      <c r="MHS385" s="252"/>
      <c r="MHT385" s="252"/>
      <c r="MHU385" s="252"/>
      <c r="MHV385" s="252"/>
      <c r="MHW385" s="252"/>
      <c r="MHX385" s="252"/>
      <c r="MHY385" s="252"/>
      <c r="MHZ385" s="252"/>
      <c r="MIA385" s="252"/>
      <c r="MIB385" s="252"/>
      <c r="MIC385" s="252"/>
      <c r="MID385" s="252"/>
      <c r="MIE385" s="252"/>
      <c r="MIF385" s="252"/>
      <c r="MIG385" s="252"/>
      <c r="MIH385" s="252"/>
      <c r="MII385" s="252"/>
      <c r="MIJ385" s="252"/>
      <c r="MIK385" s="252"/>
      <c r="MIL385" s="252"/>
      <c r="MIM385" s="252"/>
      <c r="MIN385" s="252"/>
      <c r="MIO385" s="252"/>
      <c r="MIP385" s="252"/>
      <c r="MIQ385" s="252"/>
      <c r="MIR385" s="252"/>
      <c r="MIS385" s="252"/>
      <c r="MIT385" s="252"/>
      <c r="MIU385" s="252"/>
      <c r="MIV385" s="252"/>
      <c r="MIW385" s="252"/>
      <c r="MIX385" s="252"/>
      <c r="MIY385" s="252"/>
      <c r="MIZ385" s="252"/>
      <c r="MJA385" s="252"/>
      <c r="MJB385" s="252"/>
      <c r="MJC385" s="252"/>
      <c r="MJD385" s="252"/>
      <c r="MJE385" s="252"/>
      <c r="MJF385" s="252"/>
      <c r="MJG385" s="252"/>
      <c r="MJH385" s="252"/>
      <c r="MJI385" s="252"/>
      <c r="MJJ385" s="252"/>
      <c r="MJK385" s="252"/>
      <c r="MJL385" s="252"/>
      <c r="MJM385" s="252"/>
      <c r="MJN385" s="252"/>
      <c r="MJO385" s="252"/>
      <c r="MJP385" s="252"/>
      <c r="MJQ385" s="252"/>
      <c r="MJR385" s="252"/>
      <c r="MJS385" s="252"/>
      <c r="MJT385" s="252"/>
      <c r="MJU385" s="252"/>
      <c r="MJV385" s="252"/>
      <c r="MJW385" s="252"/>
      <c r="MJX385" s="252"/>
      <c r="MJY385" s="252"/>
      <c r="MJZ385" s="252"/>
      <c r="MKA385" s="252"/>
      <c r="MKB385" s="252"/>
      <c r="MKC385" s="252"/>
      <c r="MKD385" s="252"/>
      <c r="MKE385" s="252"/>
      <c r="MKF385" s="252"/>
      <c r="MKG385" s="252"/>
      <c r="MKH385" s="252"/>
      <c r="MKI385" s="252"/>
      <c r="MKJ385" s="252"/>
      <c r="MKK385" s="252"/>
      <c r="MKL385" s="252"/>
      <c r="MKM385" s="252"/>
      <c r="MKN385" s="252"/>
      <c r="MKO385" s="252"/>
      <c r="MKP385" s="252"/>
      <c r="MKQ385" s="252"/>
      <c r="MKR385" s="252"/>
      <c r="MKS385" s="252"/>
      <c r="MKT385" s="252"/>
      <c r="MKU385" s="252"/>
      <c r="MKV385" s="252"/>
      <c r="MKW385" s="252"/>
      <c r="MKX385" s="252"/>
      <c r="MKY385" s="252"/>
      <c r="MKZ385" s="252"/>
      <c r="MLA385" s="252"/>
      <c r="MLB385" s="252"/>
      <c r="MLC385" s="252"/>
      <c r="MLD385" s="252"/>
      <c r="MLE385" s="252"/>
      <c r="MLF385" s="252"/>
      <c r="MLG385" s="252"/>
      <c r="MLH385" s="252"/>
      <c r="MLI385" s="252"/>
      <c r="MLJ385" s="252"/>
      <c r="MLK385" s="252"/>
      <c r="MLL385" s="252"/>
      <c r="MLM385" s="252"/>
      <c r="MLN385" s="252"/>
      <c r="MLO385" s="252"/>
      <c r="MLP385" s="252"/>
      <c r="MLQ385" s="252"/>
      <c r="MLR385" s="252"/>
      <c r="MLS385" s="252"/>
      <c r="MLT385" s="252"/>
      <c r="MLU385" s="252"/>
      <c r="MLV385" s="252"/>
      <c r="MLW385" s="252"/>
      <c r="MLX385" s="252"/>
      <c r="MLY385" s="252"/>
      <c r="MLZ385" s="252"/>
      <c r="MMA385" s="252"/>
      <c r="MMB385" s="252"/>
      <c r="MMC385" s="252"/>
      <c r="MMD385" s="252"/>
      <c r="MME385" s="252"/>
      <c r="MMF385" s="252"/>
      <c r="MMG385" s="252"/>
      <c r="MMH385" s="252"/>
      <c r="MMI385" s="252"/>
      <c r="MMJ385" s="252"/>
      <c r="MMK385" s="252"/>
      <c r="MML385" s="252"/>
      <c r="MMM385" s="252"/>
      <c r="MMN385" s="252"/>
      <c r="MMO385" s="252"/>
      <c r="MMP385" s="252"/>
      <c r="MMQ385" s="252"/>
      <c r="MMR385" s="252"/>
      <c r="MMS385" s="252"/>
      <c r="MMT385" s="252"/>
      <c r="MMU385" s="252"/>
      <c r="MMV385" s="252"/>
      <c r="MMW385" s="252"/>
      <c r="MMX385" s="252"/>
      <c r="MMY385" s="252"/>
      <c r="MMZ385" s="252"/>
      <c r="MNA385" s="252"/>
      <c r="MNB385" s="252"/>
      <c r="MNC385" s="252"/>
      <c r="MND385" s="252"/>
      <c r="MNE385" s="252"/>
      <c r="MNF385" s="252"/>
      <c r="MNG385" s="252"/>
      <c r="MNH385" s="252"/>
      <c r="MNI385" s="252"/>
      <c r="MNJ385" s="252"/>
      <c r="MNK385" s="252"/>
      <c r="MNL385" s="252"/>
      <c r="MNM385" s="252"/>
      <c r="MNN385" s="252"/>
      <c r="MNO385" s="252"/>
      <c r="MNP385" s="252"/>
      <c r="MNQ385" s="252"/>
      <c r="MNR385" s="252"/>
      <c r="MNS385" s="252"/>
      <c r="MNT385" s="252"/>
      <c r="MNU385" s="252"/>
      <c r="MNV385" s="252"/>
      <c r="MNW385" s="252"/>
      <c r="MNX385" s="252"/>
      <c r="MNY385" s="252"/>
      <c r="MNZ385" s="252"/>
      <c r="MOA385" s="252"/>
      <c r="MOB385" s="252"/>
      <c r="MOC385" s="252"/>
      <c r="MOD385" s="252"/>
      <c r="MOE385" s="252"/>
      <c r="MOF385" s="252"/>
      <c r="MOG385" s="252"/>
      <c r="MOH385" s="252"/>
      <c r="MOI385" s="252"/>
      <c r="MOJ385" s="252"/>
      <c r="MOK385" s="252"/>
      <c r="MOL385" s="252"/>
      <c r="MOM385" s="252"/>
      <c r="MON385" s="252"/>
      <c r="MOO385" s="252"/>
      <c r="MOP385" s="252"/>
      <c r="MOQ385" s="252"/>
      <c r="MOR385" s="252"/>
      <c r="MOS385" s="252"/>
      <c r="MOT385" s="252"/>
      <c r="MOU385" s="252"/>
      <c r="MOV385" s="252"/>
      <c r="MOW385" s="252"/>
      <c r="MOX385" s="252"/>
      <c r="MOY385" s="252"/>
      <c r="MOZ385" s="252"/>
      <c r="MPA385" s="252"/>
      <c r="MPB385" s="252"/>
      <c r="MPC385" s="252"/>
      <c r="MPD385" s="252"/>
      <c r="MPE385" s="252"/>
      <c r="MPF385" s="252"/>
      <c r="MPG385" s="252"/>
      <c r="MPH385" s="252"/>
      <c r="MPI385" s="252"/>
      <c r="MPJ385" s="252"/>
      <c r="MPK385" s="252"/>
      <c r="MPL385" s="252"/>
      <c r="MPM385" s="252"/>
      <c r="MPN385" s="252"/>
      <c r="MPO385" s="252"/>
      <c r="MPP385" s="252"/>
      <c r="MPQ385" s="252"/>
      <c r="MPR385" s="252"/>
      <c r="MPS385" s="252"/>
      <c r="MPT385" s="252"/>
      <c r="MPU385" s="252"/>
      <c r="MPV385" s="252"/>
      <c r="MPW385" s="252"/>
      <c r="MPX385" s="252"/>
      <c r="MPY385" s="252"/>
      <c r="MPZ385" s="252"/>
      <c r="MQA385" s="252"/>
      <c r="MQB385" s="252"/>
      <c r="MQC385" s="252"/>
      <c r="MQD385" s="252"/>
      <c r="MQE385" s="252"/>
      <c r="MQF385" s="252"/>
      <c r="MQG385" s="252"/>
      <c r="MQH385" s="252"/>
      <c r="MQI385" s="252"/>
      <c r="MQJ385" s="252"/>
      <c r="MQK385" s="252"/>
      <c r="MQL385" s="252"/>
      <c r="MQM385" s="252"/>
      <c r="MQN385" s="252"/>
      <c r="MQO385" s="252"/>
      <c r="MQP385" s="252"/>
      <c r="MQQ385" s="252"/>
      <c r="MQR385" s="252"/>
      <c r="MQS385" s="252"/>
      <c r="MQT385" s="252"/>
      <c r="MQU385" s="252"/>
      <c r="MQV385" s="252"/>
      <c r="MQW385" s="252"/>
      <c r="MQX385" s="252"/>
      <c r="MQY385" s="252"/>
      <c r="MQZ385" s="252"/>
      <c r="MRA385" s="252"/>
      <c r="MRB385" s="252"/>
      <c r="MRC385" s="252"/>
      <c r="MRD385" s="252"/>
      <c r="MRE385" s="252"/>
      <c r="MRF385" s="252"/>
      <c r="MRG385" s="252"/>
      <c r="MRH385" s="252"/>
      <c r="MRI385" s="252"/>
      <c r="MRJ385" s="252"/>
      <c r="MRK385" s="252"/>
      <c r="MRL385" s="252"/>
      <c r="MRM385" s="252"/>
      <c r="MRN385" s="252"/>
      <c r="MRO385" s="252"/>
      <c r="MRP385" s="252"/>
      <c r="MRQ385" s="252"/>
      <c r="MRR385" s="252"/>
      <c r="MRS385" s="252"/>
      <c r="MRT385" s="252"/>
      <c r="MRU385" s="252"/>
      <c r="MRV385" s="252"/>
      <c r="MRW385" s="252"/>
      <c r="MRX385" s="252"/>
      <c r="MRY385" s="252"/>
      <c r="MRZ385" s="252"/>
      <c r="MSA385" s="252"/>
      <c r="MSB385" s="252"/>
      <c r="MSC385" s="252"/>
      <c r="MSD385" s="252"/>
      <c r="MSE385" s="252"/>
      <c r="MSF385" s="252"/>
      <c r="MSG385" s="252"/>
      <c r="MSH385" s="252"/>
      <c r="MSI385" s="252"/>
      <c r="MSJ385" s="252"/>
      <c r="MSK385" s="252"/>
      <c r="MSL385" s="252"/>
      <c r="MSM385" s="252"/>
      <c r="MSN385" s="252"/>
      <c r="MSO385" s="252"/>
      <c r="MSP385" s="252"/>
      <c r="MSQ385" s="252"/>
      <c r="MSR385" s="252"/>
      <c r="MSS385" s="252"/>
      <c r="MST385" s="252"/>
      <c r="MSU385" s="252"/>
      <c r="MSV385" s="252"/>
      <c r="MSW385" s="252"/>
      <c r="MSX385" s="252"/>
      <c r="MSY385" s="252"/>
      <c r="MSZ385" s="252"/>
      <c r="MTA385" s="252"/>
      <c r="MTB385" s="252"/>
      <c r="MTC385" s="252"/>
      <c r="MTD385" s="252"/>
      <c r="MTE385" s="252"/>
      <c r="MTF385" s="252"/>
      <c r="MTG385" s="252"/>
      <c r="MTH385" s="252"/>
      <c r="MTI385" s="252"/>
      <c r="MTJ385" s="252"/>
      <c r="MTK385" s="252"/>
      <c r="MTL385" s="252"/>
      <c r="MTM385" s="252"/>
      <c r="MTN385" s="252"/>
      <c r="MTO385" s="252"/>
      <c r="MTP385" s="252"/>
      <c r="MTQ385" s="252"/>
      <c r="MTR385" s="252"/>
      <c r="MTS385" s="252"/>
      <c r="MTT385" s="252"/>
      <c r="MTU385" s="252"/>
      <c r="MTV385" s="252"/>
      <c r="MTW385" s="252"/>
      <c r="MTX385" s="252"/>
      <c r="MTY385" s="252"/>
      <c r="MTZ385" s="252"/>
      <c r="MUA385" s="252"/>
      <c r="MUB385" s="252"/>
      <c r="MUC385" s="252"/>
      <c r="MUD385" s="252"/>
      <c r="MUE385" s="252"/>
      <c r="MUF385" s="252"/>
      <c r="MUG385" s="252"/>
      <c r="MUH385" s="252"/>
      <c r="MUI385" s="252"/>
      <c r="MUJ385" s="252"/>
      <c r="MUK385" s="252"/>
      <c r="MUL385" s="252"/>
      <c r="MUM385" s="252"/>
      <c r="MUN385" s="252"/>
      <c r="MUO385" s="252"/>
      <c r="MUP385" s="252"/>
      <c r="MUQ385" s="252"/>
      <c r="MUR385" s="252"/>
      <c r="MUS385" s="252"/>
      <c r="MUT385" s="252"/>
      <c r="MUU385" s="252"/>
      <c r="MUV385" s="252"/>
      <c r="MUW385" s="252"/>
      <c r="MUX385" s="252"/>
      <c r="MUY385" s="252"/>
      <c r="MUZ385" s="252"/>
      <c r="MVA385" s="252"/>
      <c r="MVB385" s="252"/>
      <c r="MVC385" s="252"/>
      <c r="MVD385" s="252"/>
      <c r="MVE385" s="252"/>
      <c r="MVF385" s="252"/>
      <c r="MVG385" s="252"/>
      <c r="MVH385" s="252"/>
      <c r="MVI385" s="252"/>
      <c r="MVJ385" s="252"/>
      <c r="MVK385" s="252"/>
      <c r="MVL385" s="252"/>
      <c r="MVM385" s="252"/>
      <c r="MVN385" s="252"/>
      <c r="MVO385" s="252"/>
      <c r="MVP385" s="252"/>
      <c r="MVQ385" s="252"/>
      <c r="MVR385" s="252"/>
      <c r="MVS385" s="252"/>
      <c r="MVT385" s="252"/>
      <c r="MVU385" s="252"/>
      <c r="MVV385" s="252"/>
      <c r="MVW385" s="252"/>
      <c r="MVX385" s="252"/>
      <c r="MVY385" s="252"/>
      <c r="MVZ385" s="252"/>
      <c r="MWA385" s="252"/>
      <c r="MWB385" s="252"/>
      <c r="MWC385" s="252"/>
      <c r="MWD385" s="252"/>
      <c r="MWE385" s="252"/>
      <c r="MWF385" s="252"/>
      <c r="MWG385" s="252"/>
      <c r="MWH385" s="252"/>
      <c r="MWI385" s="252"/>
      <c r="MWJ385" s="252"/>
      <c r="MWK385" s="252"/>
      <c r="MWL385" s="252"/>
      <c r="MWM385" s="252"/>
      <c r="MWN385" s="252"/>
      <c r="MWO385" s="252"/>
      <c r="MWP385" s="252"/>
      <c r="MWQ385" s="252"/>
      <c r="MWR385" s="252"/>
      <c r="MWS385" s="252"/>
      <c r="MWT385" s="252"/>
      <c r="MWU385" s="252"/>
      <c r="MWV385" s="252"/>
      <c r="MWW385" s="252"/>
      <c r="MWX385" s="252"/>
      <c r="MWY385" s="252"/>
      <c r="MWZ385" s="252"/>
      <c r="MXA385" s="252"/>
      <c r="MXB385" s="252"/>
      <c r="MXC385" s="252"/>
      <c r="MXD385" s="252"/>
      <c r="MXE385" s="252"/>
      <c r="MXF385" s="252"/>
      <c r="MXG385" s="252"/>
      <c r="MXH385" s="252"/>
      <c r="MXI385" s="252"/>
      <c r="MXJ385" s="252"/>
      <c r="MXK385" s="252"/>
      <c r="MXL385" s="252"/>
      <c r="MXM385" s="252"/>
      <c r="MXN385" s="252"/>
      <c r="MXO385" s="252"/>
      <c r="MXP385" s="252"/>
      <c r="MXQ385" s="252"/>
      <c r="MXR385" s="252"/>
      <c r="MXS385" s="252"/>
      <c r="MXT385" s="252"/>
      <c r="MXU385" s="252"/>
      <c r="MXV385" s="252"/>
      <c r="MXW385" s="252"/>
      <c r="MXX385" s="252"/>
      <c r="MXY385" s="252"/>
      <c r="MXZ385" s="252"/>
      <c r="MYA385" s="252"/>
      <c r="MYB385" s="252"/>
      <c r="MYC385" s="252"/>
      <c r="MYD385" s="252"/>
      <c r="MYE385" s="252"/>
      <c r="MYF385" s="252"/>
      <c r="MYG385" s="252"/>
      <c r="MYH385" s="252"/>
      <c r="MYI385" s="252"/>
      <c r="MYJ385" s="252"/>
      <c r="MYK385" s="252"/>
      <c r="MYL385" s="252"/>
      <c r="MYM385" s="252"/>
      <c r="MYN385" s="252"/>
      <c r="MYO385" s="252"/>
      <c r="MYP385" s="252"/>
      <c r="MYQ385" s="252"/>
      <c r="MYR385" s="252"/>
      <c r="MYS385" s="252"/>
      <c r="MYT385" s="252"/>
      <c r="MYU385" s="252"/>
      <c r="MYV385" s="252"/>
      <c r="MYW385" s="252"/>
      <c r="MYX385" s="252"/>
      <c r="MYY385" s="252"/>
      <c r="MYZ385" s="252"/>
      <c r="MZA385" s="252"/>
      <c r="MZB385" s="252"/>
      <c r="MZC385" s="252"/>
      <c r="MZD385" s="252"/>
      <c r="MZE385" s="252"/>
      <c r="MZF385" s="252"/>
      <c r="MZG385" s="252"/>
      <c r="MZH385" s="252"/>
      <c r="MZI385" s="252"/>
      <c r="MZJ385" s="252"/>
      <c r="MZK385" s="252"/>
      <c r="MZL385" s="252"/>
      <c r="MZM385" s="252"/>
      <c r="MZN385" s="252"/>
      <c r="MZO385" s="252"/>
      <c r="MZP385" s="252"/>
      <c r="MZQ385" s="252"/>
      <c r="MZR385" s="252"/>
      <c r="MZS385" s="252"/>
      <c r="MZT385" s="252"/>
      <c r="MZU385" s="252"/>
      <c r="MZV385" s="252"/>
      <c r="MZW385" s="252"/>
      <c r="MZX385" s="252"/>
      <c r="MZY385" s="252"/>
      <c r="MZZ385" s="252"/>
      <c r="NAA385" s="252"/>
      <c r="NAB385" s="252"/>
      <c r="NAC385" s="252"/>
      <c r="NAD385" s="252"/>
      <c r="NAE385" s="252"/>
      <c r="NAF385" s="252"/>
      <c r="NAG385" s="252"/>
      <c r="NAH385" s="252"/>
      <c r="NAI385" s="252"/>
      <c r="NAJ385" s="252"/>
      <c r="NAK385" s="252"/>
      <c r="NAL385" s="252"/>
      <c r="NAM385" s="252"/>
      <c r="NAN385" s="252"/>
      <c r="NAO385" s="252"/>
      <c r="NAP385" s="252"/>
      <c r="NAQ385" s="252"/>
      <c r="NAR385" s="252"/>
      <c r="NAS385" s="252"/>
      <c r="NAT385" s="252"/>
      <c r="NAU385" s="252"/>
      <c r="NAV385" s="252"/>
      <c r="NAW385" s="252"/>
      <c r="NAX385" s="252"/>
      <c r="NAY385" s="252"/>
      <c r="NAZ385" s="252"/>
      <c r="NBA385" s="252"/>
      <c r="NBB385" s="252"/>
      <c r="NBC385" s="252"/>
      <c r="NBD385" s="252"/>
      <c r="NBE385" s="252"/>
      <c r="NBF385" s="252"/>
      <c r="NBG385" s="252"/>
      <c r="NBH385" s="252"/>
      <c r="NBI385" s="252"/>
      <c r="NBJ385" s="252"/>
      <c r="NBK385" s="252"/>
      <c r="NBL385" s="252"/>
      <c r="NBM385" s="252"/>
      <c r="NBN385" s="252"/>
      <c r="NBO385" s="252"/>
      <c r="NBP385" s="252"/>
      <c r="NBQ385" s="252"/>
      <c r="NBR385" s="252"/>
      <c r="NBS385" s="252"/>
      <c r="NBT385" s="252"/>
      <c r="NBU385" s="252"/>
      <c r="NBV385" s="252"/>
      <c r="NBW385" s="252"/>
      <c r="NBX385" s="252"/>
      <c r="NBY385" s="252"/>
      <c r="NBZ385" s="252"/>
      <c r="NCA385" s="252"/>
      <c r="NCB385" s="252"/>
      <c r="NCC385" s="252"/>
      <c r="NCD385" s="252"/>
      <c r="NCE385" s="252"/>
      <c r="NCF385" s="252"/>
      <c r="NCG385" s="252"/>
      <c r="NCH385" s="252"/>
      <c r="NCI385" s="252"/>
      <c r="NCJ385" s="252"/>
      <c r="NCK385" s="252"/>
      <c r="NCL385" s="252"/>
      <c r="NCM385" s="252"/>
      <c r="NCN385" s="252"/>
      <c r="NCO385" s="252"/>
      <c r="NCP385" s="252"/>
      <c r="NCQ385" s="252"/>
      <c r="NCR385" s="252"/>
      <c r="NCS385" s="252"/>
      <c r="NCT385" s="252"/>
      <c r="NCU385" s="252"/>
      <c r="NCV385" s="252"/>
      <c r="NCW385" s="252"/>
      <c r="NCX385" s="252"/>
      <c r="NCY385" s="252"/>
      <c r="NCZ385" s="252"/>
      <c r="NDA385" s="252"/>
      <c r="NDB385" s="252"/>
      <c r="NDC385" s="252"/>
      <c r="NDD385" s="252"/>
      <c r="NDE385" s="252"/>
      <c r="NDF385" s="252"/>
      <c r="NDG385" s="252"/>
      <c r="NDH385" s="252"/>
      <c r="NDI385" s="252"/>
      <c r="NDJ385" s="252"/>
      <c r="NDK385" s="252"/>
      <c r="NDL385" s="252"/>
      <c r="NDM385" s="252"/>
      <c r="NDN385" s="252"/>
      <c r="NDO385" s="252"/>
      <c r="NDP385" s="252"/>
      <c r="NDQ385" s="252"/>
      <c r="NDR385" s="252"/>
      <c r="NDS385" s="252"/>
      <c r="NDT385" s="252"/>
      <c r="NDU385" s="252"/>
      <c r="NDV385" s="252"/>
      <c r="NDW385" s="252"/>
      <c r="NDX385" s="252"/>
      <c r="NDY385" s="252"/>
      <c r="NDZ385" s="252"/>
      <c r="NEA385" s="252"/>
      <c r="NEB385" s="252"/>
      <c r="NEC385" s="252"/>
      <c r="NED385" s="252"/>
      <c r="NEE385" s="252"/>
      <c r="NEF385" s="252"/>
      <c r="NEG385" s="252"/>
      <c r="NEH385" s="252"/>
      <c r="NEI385" s="252"/>
      <c r="NEJ385" s="252"/>
      <c r="NEK385" s="252"/>
      <c r="NEL385" s="252"/>
      <c r="NEM385" s="252"/>
      <c r="NEN385" s="252"/>
      <c r="NEO385" s="252"/>
      <c r="NEP385" s="252"/>
      <c r="NEQ385" s="252"/>
      <c r="NER385" s="252"/>
      <c r="NES385" s="252"/>
      <c r="NET385" s="252"/>
      <c r="NEU385" s="252"/>
      <c r="NEV385" s="252"/>
      <c r="NEW385" s="252"/>
      <c r="NEX385" s="252"/>
      <c r="NEY385" s="252"/>
      <c r="NEZ385" s="252"/>
      <c r="NFA385" s="252"/>
      <c r="NFB385" s="252"/>
      <c r="NFC385" s="252"/>
      <c r="NFD385" s="252"/>
      <c r="NFE385" s="252"/>
      <c r="NFF385" s="252"/>
      <c r="NFG385" s="252"/>
      <c r="NFH385" s="252"/>
      <c r="NFI385" s="252"/>
      <c r="NFJ385" s="252"/>
      <c r="NFK385" s="252"/>
      <c r="NFL385" s="252"/>
      <c r="NFM385" s="252"/>
      <c r="NFN385" s="252"/>
      <c r="NFO385" s="252"/>
      <c r="NFP385" s="252"/>
      <c r="NFQ385" s="252"/>
      <c r="NFR385" s="252"/>
      <c r="NFS385" s="252"/>
      <c r="NFT385" s="252"/>
      <c r="NFU385" s="252"/>
      <c r="NFV385" s="252"/>
      <c r="NFW385" s="252"/>
      <c r="NFX385" s="252"/>
      <c r="NFY385" s="252"/>
      <c r="NFZ385" s="252"/>
      <c r="NGA385" s="252"/>
      <c r="NGB385" s="252"/>
      <c r="NGC385" s="252"/>
      <c r="NGD385" s="252"/>
      <c r="NGE385" s="252"/>
      <c r="NGF385" s="252"/>
      <c r="NGG385" s="252"/>
      <c r="NGH385" s="252"/>
      <c r="NGI385" s="252"/>
      <c r="NGJ385" s="252"/>
      <c r="NGK385" s="252"/>
      <c r="NGL385" s="252"/>
      <c r="NGM385" s="252"/>
      <c r="NGN385" s="252"/>
      <c r="NGO385" s="252"/>
      <c r="NGP385" s="252"/>
      <c r="NGQ385" s="252"/>
      <c r="NGR385" s="252"/>
      <c r="NGS385" s="252"/>
      <c r="NGT385" s="252"/>
      <c r="NGU385" s="252"/>
      <c r="NGV385" s="252"/>
      <c r="NGW385" s="252"/>
      <c r="NGX385" s="252"/>
      <c r="NGY385" s="252"/>
      <c r="NGZ385" s="252"/>
      <c r="NHA385" s="252"/>
      <c r="NHB385" s="252"/>
      <c r="NHC385" s="252"/>
      <c r="NHD385" s="252"/>
      <c r="NHE385" s="252"/>
      <c r="NHF385" s="252"/>
      <c r="NHG385" s="252"/>
      <c r="NHH385" s="252"/>
      <c r="NHI385" s="252"/>
      <c r="NHJ385" s="252"/>
      <c r="NHK385" s="252"/>
      <c r="NHL385" s="252"/>
      <c r="NHM385" s="252"/>
      <c r="NHN385" s="252"/>
      <c r="NHO385" s="252"/>
      <c r="NHP385" s="252"/>
      <c r="NHQ385" s="252"/>
      <c r="NHR385" s="252"/>
      <c r="NHS385" s="252"/>
      <c r="NHT385" s="252"/>
      <c r="NHU385" s="252"/>
      <c r="NHV385" s="252"/>
      <c r="NHW385" s="252"/>
      <c r="NHX385" s="252"/>
      <c r="NHY385" s="252"/>
      <c r="NHZ385" s="252"/>
      <c r="NIA385" s="252"/>
      <c r="NIB385" s="252"/>
      <c r="NIC385" s="252"/>
      <c r="NID385" s="252"/>
      <c r="NIE385" s="252"/>
      <c r="NIF385" s="252"/>
      <c r="NIG385" s="252"/>
      <c r="NIH385" s="252"/>
      <c r="NII385" s="252"/>
      <c r="NIJ385" s="252"/>
      <c r="NIK385" s="252"/>
      <c r="NIL385" s="252"/>
      <c r="NIM385" s="252"/>
      <c r="NIN385" s="252"/>
      <c r="NIO385" s="252"/>
      <c r="NIP385" s="252"/>
      <c r="NIQ385" s="252"/>
      <c r="NIR385" s="252"/>
      <c r="NIS385" s="252"/>
      <c r="NIT385" s="252"/>
      <c r="NIU385" s="252"/>
      <c r="NIV385" s="252"/>
      <c r="NIW385" s="252"/>
      <c r="NIX385" s="252"/>
      <c r="NIY385" s="252"/>
      <c r="NIZ385" s="252"/>
      <c r="NJA385" s="252"/>
      <c r="NJB385" s="252"/>
      <c r="NJC385" s="252"/>
      <c r="NJD385" s="252"/>
      <c r="NJE385" s="252"/>
      <c r="NJF385" s="252"/>
      <c r="NJG385" s="252"/>
      <c r="NJH385" s="252"/>
      <c r="NJI385" s="252"/>
      <c r="NJJ385" s="252"/>
      <c r="NJK385" s="252"/>
      <c r="NJL385" s="252"/>
      <c r="NJM385" s="252"/>
      <c r="NJN385" s="252"/>
      <c r="NJO385" s="252"/>
      <c r="NJP385" s="252"/>
      <c r="NJQ385" s="252"/>
      <c r="NJR385" s="252"/>
      <c r="NJS385" s="252"/>
      <c r="NJT385" s="252"/>
      <c r="NJU385" s="252"/>
      <c r="NJV385" s="252"/>
      <c r="NJW385" s="252"/>
      <c r="NJX385" s="252"/>
      <c r="NJY385" s="252"/>
      <c r="NJZ385" s="252"/>
      <c r="NKA385" s="252"/>
      <c r="NKB385" s="252"/>
      <c r="NKC385" s="252"/>
      <c r="NKD385" s="252"/>
      <c r="NKE385" s="252"/>
      <c r="NKF385" s="252"/>
      <c r="NKG385" s="252"/>
      <c r="NKH385" s="252"/>
      <c r="NKI385" s="252"/>
      <c r="NKJ385" s="252"/>
      <c r="NKK385" s="252"/>
      <c r="NKL385" s="252"/>
      <c r="NKM385" s="252"/>
      <c r="NKN385" s="252"/>
      <c r="NKO385" s="252"/>
      <c r="NKP385" s="252"/>
      <c r="NKQ385" s="252"/>
      <c r="NKR385" s="252"/>
      <c r="NKS385" s="252"/>
      <c r="NKT385" s="252"/>
      <c r="NKU385" s="252"/>
      <c r="NKV385" s="252"/>
      <c r="NKW385" s="252"/>
      <c r="NKX385" s="252"/>
      <c r="NKY385" s="252"/>
      <c r="NKZ385" s="252"/>
      <c r="NLA385" s="252"/>
      <c r="NLB385" s="252"/>
      <c r="NLC385" s="252"/>
      <c r="NLD385" s="252"/>
      <c r="NLE385" s="252"/>
      <c r="NLF385" s="252"/>
      <c r="NLG385" s="252"/>
      <c r="NLH385" s="252"/>
      <c r="NLI385" s="252"/>
      <c r="NLJ385" s="252"/>
      <c r="NLK385" s="252"/>
      <c r="NLL385" s="252"/>
      <c r="NLM385" s="252"/>
      <c r="NLN385" s="252"/>
      <c r="NLO385" s="252"/>
      <c r="NLP385" s="252"/>
      <c r="NLQ385" s="252"/>
      <c r="NLR385" s="252"/>
      <c r="NLS385" s="252"/>
      <c r="NLT385" s="252"/>
      <c r="NLU385" s="252"/>
      <c r="NLV385" s="252"/>
      <c r="NLW385" s="252"/>
      <c r="NLX385" s="252"/>
      <c r="NLY385" s="252"/>
      <c r="NLZ385" s="252"/>
      <c r="NMA385" s="252"/>
      <c r="NMB385" s="252"/>
      <c r="NMC385" s="252"/>
      <c r="NMD385" s="252"/>
      <c r="NME385" s="252"/>
      <c r="NMF385" s="252"/>
      <c r="NMG385" s="252"/>
      <c r="NMH385" s="252"/>
      <c r="NMI385" s="252"/>
      <c r="NMJ385" s="252"/>
      <c r="NMK385" s="252"/>
      <c r="NML385" s="252"/>
      <c r="NMM385" s="252"/>
      <c r="NMN385" s="252"/>
      <c r="NMO385" s="252"/>
      <c r="NMP385" s="252"/>
      <c r="NMQ385" s="252"/>
      <c r="NMR385" s="252"/>
      <c r="NMS385" s="252"/>
      <c r="NMT385" s="252"/>
      <c r="NMU385" s="252"/>
      <c r="NMV385" s="252"/>
      <c r="NMW385" s="252"/>
      <c r="NMX385" s="252"/>
      <c r="NMY385" s="252"/>
      <c r="NMZ385" s="252"/>
      <c r="NNA385" s="252"/>
      <c r="NNB385" s="252"/>
      <c r="NNC385" s="252"/>
      <c r="NND385" s="252"/>
      <c r="NNE385" s="252"/>
      <c r="NNF385" s="252"/>
      <c r="NNG385" s="252"/>
      <c r="NNH385" s="252"/>
      <c r="NNI385" s="252"/>
      <c r="NNJ385" s="252"/>
      <c r="NNK385" s="252"/>
      <c r="NNL385" s="252"/>
      <c r="NNM385" s="252"/>
      <c r="NNN385" s="252"/>
      <c r="NNO385" s="252"/>
      <c r="NNP385" s="252"/>
      <c r="NNQ385" s="252"/>
      <c r="NNR385" s="252"/>
      <c r="NNS385" s="252"/>
      <c r="NNT385" s="252"/>
      <c r="NNU385" s="252"/>
      <c r="NNV385" s="252"/>
      <c r="NNW385" s="252"/>
      <c r="NNX385" s="252"/>
      <c r="NNY385" s="252"/>
      <c r="NNZ385" s="252"/>
      <c r="NOA385" s="252"/>
      <c r="NOB385" s="252"/>
      <c r="NOC385" s="252"/>
      <c r="NOD385" s="252"/>
      <c r="NOE385" s="252"/>
      <c r="NOF385" s="252"/>
      <c r="NOG385" s="252"/>
      <c r="NOH385" s="252"/>
      <c r="NOI385" s="252"/>
      <c r="NOJ385" s="252"/>
      <c r="NOK385" s="252"/>
      <c r="NOL385" s="252"/>
      <c r="NOM385" s="252"/>
      <c r="NON385" s="252"/>
      <c r="NOO385" s="252"/>
      <c r="NOP385" s="252"/>
      <c r="NOQ385" s="252"/>
      <c r="NOR385" s="252"/>
      <c r="NOS385" s="252"/>
      <c r="NOT385" s="252"/>
      <c r="NOU385" s="252"/>
      <c r="NOV385" s="252"/>
      <c r="NOW385" s="252"/>
      <c r="NOX385" s="252"/>
      <c r="NOY385" s="252"/>
      <c r="NOZ385" s="252"/>
      <c r="NPA385" s="252"/>
      <c r="NPB385" s="252"/>
      <c r="NPC385" s="252"/>
      <c r="NPD385" s="252"/>
      <c r="NPE385" s="252"/>
      <c r="NPF385" s="252"/>
      <c r="NPG385" s="252"/>
      <c r="NPH385" s="252"/>
      <c r="NPI385" s="252"/>
      <c r="NPJ385" s="252"/>
      <c r="NPK385" s="252"/>
      <c r="NPL385" s="252"/>
      <c r="NPM385" s="252"/>
      <c r="NPN385" s="252"/>
      <c r="NPO385" s="252"/>
      <c r="NPP385" s="252"/>
      <c r="NPQ385" s="252"/>
      <c r="NPR385" s="252"/>
      <c r="NPS385" s="252"/>
      <c r="NPT385" s="252"/>
      <c r="NPU385" s="252"/>
      <c r="NPV385" s="252"/>
      <c r="NPW385" s="252"/>
      <c r="NPX385" s="252"/>
      <c r="NPY385" s="252"/>
      <c r="NPZ385" s="252"/>
      <c r="NQA385" s="252"/>
      <c r="NQB385" s="252"/>
      <c r="NQC385" s="252"/>
      <c r="NQD385" s="252"/>
      <c r="NQE385" s="252"/>
      <c r="NQF385" s="252"/>
      <c r="NQG385" s="252"/>
      <c r="NQH385" s="252"/>
      <c r="NQI385" s="252"/>
      <c r="NQJ385" s="252"/>
      <c r="NQK385" s="252"/>
      <c r="NQL385" s="252"/>
      <c r="NQM385" s="252"/>
      <c r="NQN385" s="252"/>
      <c r="NQO385" s="252"/>
      <c r="NQP385" s="252"/>
      <c r="NQQ385" s="252"/>
      <c r="NQR385" s="252"/>
      <c r="NQS385" s="252"/>
      <c r="NQT385" s="252"/>
      <c r="NQU385" s="252"/>
      <c r="NQV385" s="252"/>
      <c r="NQW385" s="252"/>
      <c r="NQX385" s="252"/>
      <c r="NQY385" s="252"/>
      <c r="NQZ385" s="252"/>
      <c r="NRA385" s="252"/>
      <c r="NRB385" s="252"/>
      <c r="NRC385" s="252"/>
      <c r="NRD385" s="252"/>
      <c r="NRE385" s="252"/>
      <c r="NRF385" s="252"/>
      <c r="NRG385" s="252"/>
      <c r="NRH385" s="252"/>
      <c r="NRI385" s="252"/>
      <c r="NRJ385" s="252"/>
      <c r="NRK385" s="252"/>
      <c r="NRL385" s="252"/>
      <c r="NRM385" s="252"/>
      <c r="NRN385" s="252"/>
      <c r="NRO385" s="252"/>
      <c r="NRP385" s="252"/>
      <c r="NRQ385" s="252"/>
      <c r="NRR385" s="252"/>
      <c r="NRS385" s="252"/>
      <c r="NRT385" s="252"/>
      <c r="NRU385" s="252"/>
      <c r="NRV385" s="252"/>
      <c r="NRW385" s="252"/>
      <c r="NRX385" s="252"/>
      <c r="NRY385" s="252"/>
      <c r="NRZ385" s="252"/>
      <c r="NSA385" s="252"/>
      <c r="NSB385" s="252"/>
      <c r="NSC385" s="252"/>
      <c r="NSD385" s="252"/>
      <c r="NSE385" s="252"/>
      <c r="NSF385" s="252"/>
      <c r="NSG385" s="252"/>
      <c r="NSH385" s="252"/>
      <c r="NSI385" s="252"/>
      <c r="NSJ385" s="252"/>
      <c r="NSK385" s="252"/>
      <c r="NSL385" s="252"/>
      <c r="NSM385" s="252"/>
      <c r="NSN385" s="252"/>
      <c r="NSO385" s="252"/>
      <c r="NSP385" s="252"/>
      <c r="NSQ385" s="252"/>
      <c r="NSR385" s="252"/>
      <c r="NSS385" s="252"/>
      <c r="NST385" s="252"/>
      <c r="NSU385" s="252"/>
      <c r="NSV385" s="252"/>
      <c r="NSW385" s="252"/>
      <c r="NSX385" s="252"/>
      <c r="NSY385" s="252"/>
      <c r="NSZ385" s="252"/>
      <c r="NTA385" s="252"/>
      <c r="NTB385" s="252"/>
      <c r="NTC385" s="252"/>
      <c r="NTD385" s="252"/>
      <c r="NTE385" s="252"/>
      <c r="NTF385" s="252"/>
      <c r="NTG385" s="252"/>
      <c r="NTH385" s="252"/>
      <c r="NTI385" s="252"/>
      <c r="NTJ385" s="252"/>
      <c r="NTK385" s="252"/>
      <c r="NTL385" s="252"/>
      <c r="NTM385" s="252"/>
      <c r="NTN385" s="252"/>
      <c r="NTO385" s="252"/>
      <c r="NTP385" s="252"/>
      <c r="NTQ385" s="252"/>
      <c r="NTR385" s="252"/>
      <c r="NTS385" s="252"/>
      <c r="NTT385" s="252"/>
      <c r="NTU385" s="252"/>
      <c r="NTV385" s="252"/>
      <c r="NTW385" s="252"/>
      <c r="NTX385" s="252"/>
      <c r="NTY385" s="252"/>
      <c r="NTZ385" s="252"/>
      <c r="NUA385" s="252"/>
      <c r="NUB385" s="252"/>
      <c r="NUC385" s="252"/>
      <c r="NUD385" s="252"/>
      <c r="NUE385" s="252"/>
      <c r="NUF385" s="252"/>
      <c r="NUG385" s="252"/>
      <c r="NUH385" s="252"/>
      <c r="NUI385" s="252"/>
      <c r="NUJ385" s="252"/>
      <c r="NUK385" s="252"/>
      <c r="NUL385" s="252"/>
      <c r="NUM385" s="252"/>
      <c r="NUN385" s="252"/>
      <c r="NUO385" s="252"/>
      <c r="NUP385" s="252"/>
      <c r="NUQ385" s="252"/>
      <c r="NUR385" s="252"/>
      <c r="NUS385" s="252"/>
      <c r="NUT385" s="252"/>
      <c r="NUU385" s="252"/>
      <c r="NUV385" s="252"/>
      <c r="NUW385" s="252"/>
      <c r="NUX385" s="252"/>
      <c r="NUY385" s="252"/>
      <c r="NUZ385" s="252"/>
      <c r="NVA385" s="252"/>
      <c r="NVB385" s="252"/>
      <c r="NVC385" s="252"/>
      <c r="NVD385" s="252"/>
      <c r="NVE385" s="252"/>
      <c r="NVF385" s="252"/>
      <c r="NVG385" s="252"/>
      <c r="NVH385" s="252"/>
      <c r="NVI385" s="252"/>
      <c r="NVJ385" s="252"/>
      <c r="NVK385" s="252"/>
      <c r="NVL385" s="252"/>
      <c r="NVM385" s="252"/>
      <c r="NVN385" s="252"/>
      <c r="NVO385" s="252"/>
      <c r="NVP385" s="252"/>
      <c r="NVQ385" s="252"/>
      <c r="NVR385" s="252"/>
      <c r="NVS385" s="252"/>
      <c r="NVT385" s="252"/>
      <c r="NVU385" s="252"/>
      <c r="NVV385" s="252"/>
      <c r="NVW385" s="252"/>
      <c r="NVX385" s="252"/>
      <c r="NVY385" s="252"/>
      <c r="NVZ385" s="252"/>
      <c r="NWA385" s="252"/>
      <c r="NWB385" s="252"/>
      <c r="NWC385" s="252"/>
      <c r="NWD385" s="252"/>
      <c r="NWE385" s="252"/>
      <c r="NWF385" s="252"/>
      <c r="NWG385" s="252"/>
      <c r="NWH385" s="252"/>
      <c r="NWI385" s="252"/>
      <c r="NWJ385" s="252"/>
      <c r="NWK385" s="252"/>
      <c r="NWL385" s="252"/>
      <c r="NWM385" s="252"/>
      <c r="NWN385" s="252"/>
      <c r="NWO385" s="252"/>
      <c r="NWP385" s="252"/>
      <c r="NWQ385" s="252"/>
      <c r="NWR385" s="252"/>
      <c r="NWS385" s="252"/>
      <c r="NWT385" s="252"/>
      <c r="NWU385" s="252"/>
      <c r="NWV385" s="252"/>
      <c r="NWW385" s="252"/>
      <c r="NWX385" s="252"/>
      <c r="NWY385" s="252"/>
      <c r="NWZ385" s="252"/>
      <c r="NXA385" s="252"/>
      <c r="NXB385" s="252"/>
      <c r="NXC385" s="252"/>
      <c r="NXD385" s="252"/>
      <c r="NXE385" s="252"/>
      <c r="NXF385" s="252"/>
      <c r="NXG385" s="252"/>
      <c r="NXH385" s="252"/>
      <c r="NXI385" s="252"/>
      <c r="NXJ385" s="252"/>
      <c r="NXK385" s="252"/>
      <c r="NXL385" s="252"/>
      <c r="NXM385" s="252"/>
      <c r="NXN385" s="252"/>
      <c r="NXO385" s="252"/>
      <c r="NXP385" s="252"/>
      <c r="NXQ385" s="252"/>
      <c r="NXR385" s="252"/>
      <c r="NXS385" s="252"/>
      <c r="NXT385" s="252"/>
      <c r="NXU385" s="252"/>
      <c r="NXV385" s="252"/>
      <c r="NXW385" s="252"/>
      <c r="NXX385" s="252"/>
      <c r="NXY385" s="252"/>
      <c r="NXZ385" s="252"/>
      <c r="NYA385" s="252"/>
      <c r="NYB385" s="252"/>
      <c r="NYC385" s="252"/>
      <c r="NYD385" s="252"/>
      <c r="NYE385" s="252"/>
      <c r="NYF385" s="252"/>
      <c r="NYG385" s="252"/>
      <c r="NYH385" s="252"/>
      <c r="NYI385" s="252"/>
      <c r="NYJ385" s="252"/>
      <c r="NYK385" s="252"/>
      <c r="NYL385" s="252"/>
      <c r="NYM385" s="252"/>
      <c r="NYN385" s="252"/>
      <c r="NYO385" s="252"/>
      <c r="NYP385" s="252"/>
      <c r="NYQ385" s="252"/>
      <c r="NYR385" s="252"/>
      <c r="NYS385" s="252"/>
      <c r="NYT385" s="252"/>
      <c r="NYU385" s="252"/>
      <c r="NYV385" s="252"/>
      <c r="NYW385" s="252"/>
      <c r="NYX385" s="252"/>
      <c r="NYY385" s="252"/>
      <c r="NYZ385" s="252"/>
      <c r="NZA385" s="252"/>
      <c r="NZB385" s="252"/>
      <c r="NZC385" s="252"/>
      <c r="NZD385" s="252"/>
      <c r="NZE385" s="252"/>
      <c r="NZF385" s="252"/>
      <c r="NZG385" s="252"/>
      <c r="NZH385" s="252"/>
      <c r="NZI385" s="252"/>
      <c r="NZJ385" s="252"/>
      <c r="NZK385" s="252"/>
      <c r="NZL385" s="252"/>
      <c r="NZM385" s="252"/>
      <c r="NZN385" s="252"/>
      <c r="NZO385" s="252"/>
      <c r="NZP385" s="252"/>
      <c r="NZQ385" s="252"/>
      <c r="NZR385" s="252"/>
      <c r="NZS385" s="252"/>
      <c r="NZT385" s="252"/>
      <c r="NZU385" s="252"/>
      <c r="NZV385" s="252"/>
      <c r="NZW385" s="252"/>
      <c r="NZX385" s="252"/>
      <c r="NZY385" s="252"/>
      <c r="NZZ385" s="252"/>
      <c r="OAA385" s="252"/>
      <c r="OAB385" s="252"/>
      <c r="OAC385" s="252"/>
      <c r="OAD385" s="252"/>
      <c r="OAE385" s="252"/>
      <c r="OAF385" s="252"/>
      <c r="OAG385" s="252"/>
      <c r="OAH385" s="252"/>
      <c r="OAI385" s="252"/>
      <c r="OAJ385" s="252"/>
      <c r="OAK385" s="252"/>
      <c r="OAL385" s="252"/>
      <c r="OAM385" s="252"/>
      <c r="OAN385" s="252"/>
      <c r="OAO385" s="252"/>
      <c r="OAP385" s="252"/>
      <c r="OAQ385" s="252"/>
      <c r="OAR385" s="252"/>
      <c r="OAS385" s="252"/>
      <c r="OAT385" s="252"/>
      <c r="OAU385" s="252"/>
      <c r="OAV385" s="252"/>
      <c r="OAW385" s="252"/>
      <c r="OAX385" s="252"/>
      <c r="OAY385" s="252"/>
      <c r="OAZ385" s="252"/>
      <c r="OBA385" s="252"/>
      <c r="OBB385" s="252"/>
      <c r="OBC385" s="252"/>
      <c r="OBD385" s="252"/>
      <c r="OBE385" s="252"/>
      <c r="OBF385" s="252"/>
      <c r="OBG385" s="252"/>
      <c r="OBH385" s="252"/>
      <c r="OBI385" s="252"/>
      <c r="OBJ385" s="252"/>
      <c r="OBK385" s="252"/>
      <c r="OBL385" s="252"/>
      <c r="OBM385" s="252"/>
      <c r="OBN385" s="252"/>
      <c r="OBO385" s="252"/>
      <c r="OBP385" s="252"/>
      <c r="OBQ385" s="252"/>
      <c r="OBR385" s="252"/>
      <c r="OBS385" s="252"/>
      <c r="OBT385" s="252"/>
      <c r="OBU385" s="252"/>
      <c r="OBV385" s="252"/>
      <c r="OBW385" s="252"/>
      <c r="OBX385" s="252"/>
      <c r="OBY385" s="252"/>
      <c r="OBZ385" s="252"/>
      <c r="OCA385" s="252"/>
      <c r="OCB385" s="252"/>
      <c r="OCC385" s="252"/>
      <c r="OCD385" s="252"/>
      <c r="OCE385" s="252"/>
      <c r="OCF385" s="252"/>
      <c r="OCG385" s="252"/>
      <c r="OCH385" s="252"/>
      <c r="OCI385" s="252"/>
      <c r="OCJ385" s="252"/>
      <c r="OCK385" s="252"/>
      <c r="OCL385" s="252"/>
      <c r="OCM385" s="252"/>
      <c r="OCN385" s="252"/>
      <c r="OCO385" s="252"/>
      <c r="OCP385" s="252"/>
      <c r="OCQ385" s="252"/>
      <c r="OCR385" s="252"/>
      <c r="OCS385" s="252"/>
      <c r="OCT385" s="252"/>
      <c r="OCU385" s="252"/>
      <c r="OCV385" s="252"/>
      <c r="OCW385" s="252"/>
      <c r="OCX385" s="252"/>
      <c r="OCY385" s="252"/>
      <c r="OCZ385" s="252"/>
      <c r="ODA385" s="252"/>
      <c r="ODB385" s="252"/>
      <c r="ODC385" s="252"/>
      <c r="ODD385" s="252"/>
      <c r="ODE385" s="252"/>
      <c r="ODF385" s="252"/>
      <c r="ODG385" s="252"/>
      <c r="ODH385" s="252"/>
      <c r="ODI385" s="252"/>
      <c r="ODJ385" s="252"/>
      <c r="ODK385" s="252"/>
      <c r="ODL385" s="252"/>
      <c r="ODM385" s="252"/>
      <c r="ODN385" s="252"/>
      <c r="ODO385" s="252"/>
      <c r="ODP385" s="252"/>
      <c r="ODQ385" s="252"/>
      <c r="ODR385" s="252"/>
      <c r="ODS385" s="252"/>
      <c r="ODT385" s="252"/>
      <c r="ODU385" s="252"/>
      <c r="ODV385" s="252"/>
      <c r="ODW385" s="252"/>
      <c r="ODX385" s="252"/>
      <c r="ODY385" s="252"/>
      <c r="ODZ385" s="252"/>
      <c r="OEA385" s="252"/>
      <c r="OEB385" s="252"/>
      <c r="OEC385" s="252"/>
      <c r="OED385" s="252"/>
      <c r="OEE385" s="252"/>
      <c r="OEF385" s="252"/>
      <c r="OEG385" s="252"/>
      <c r="OEH385" s="252"/>
      <c r="OEI385" s="252"/>
      <c r="OEJ385" s="252"/>
      <c r="OEK385" s="252"/>
      <c r="OEL385" s="252"/>
      <c r="OEM385" s="252"/>
      <c r="OEN385" s="252"/>
      <c r="OEO385" s="252"/>
      <c r="OEP385" s="252"/>
      <c r="OEQ385" s="252"/>
      <c r="OER385" s="252"/>
      <c r="OES385" s="252"/>
      <c r="OET385" s="252"/>
      <c r="OEU385" s="252"/>
      <c r="OEV385" s="252"/>
      <c r="OEW385" s="252"/>
      <c r="OEX385" s="252"/>
      <c r="OEY385" s="252"/>
      <c r="OEZ385" s="252"/>
      <c r="OFA385" s="252"/>
      <c r="OFB385" s="252"/>
      <c r="OFC385" s="252"/>
      <c r="OFD385" s="252"/>
      <c r="OFE385" s="252"/>
      <c r="OFF385" s="252"/>
      <c r="OFG385" s="252"/>
      <c r="OFH385" s="252"/>
      <c r="OFI385" s="252"/>
      <c r="OFJ385" s="252"/>
      <c r="OFK385" s="252"/>
      <c r="OFL385" s="252"/>
      <c r="OFM385" s="252"/>
      <c r="OFN385" s="252"/>
      <c r="OFO385" s="252"/>
      <c r="OFP385" s="252"/>
      <c r="OFQ385" s="252"/>
      <c r="OFR385" s="252"/>
      <c r="OFS385" s="252"/>
      <c r="OFT385" s="252"/>
      <c r="OFU385" s="252"/>
      <c r="OFV385" s="252"/>
      <c r="OFW385" s="252"/>
      <c r="OFX385" s="252"/>
      <c r="OFY385" s="252"/>
      <c r="OFZ385" s="252"/>
      <c r="OGA385" s="252"/>
      <c r="OGB385" s="252"/>
      <c r="OGC385" s="252"/>
      <c r="OGD385" s="252"/>
      <c r="OGE385" s="252"/>
      <c r="OGF385" s="252"/>
      <c r="OGG385" s="252"/>
      <c r="OGH385" s="252"/>
      <c r="OGI385" s="252"/>
      <c r="OGJ385" s="252"/>
      <c r="OGK385" s="252"/>
      <c r="OGL385" s="252"/>
      <c r="OGM385" s="252"/>
      <c r="OGN385" s="252"/>
      <c r="OGO385" s="252"/>
      <c r="OGP385" s="252"/>
      <c r="OGQ385" s="252"/>
      <c r="OGR385" s="252"/>
      <c r="OGS385" s="252"/>
      <c r="OGT385" s="252"/>
      <c r="OGU385" s="252"/>
      <c r="OGV385" s="252"/>
      <c r="OGW385" s="252"/>
      <c r="OGX385" s="252"/>
      <c r="OGY385" s="252"/>
      <c r="OGZ385" s="252"/>
      <c r="OHA385" s="252"/>
      <c r="OHB385" s="252"/>
      <c r="OHC385" s="252"/>
      <c r="OHD385" s="252"/>
      <c r="OHE385" s="252"/>
      <c r="OHF385" s="252"/>
      <c r="OHG385" s="252"/>
      <c r="OHH385" s="252"/>
      <c r="OHI385" s="252"/>
      <c r="OHJ385" s="252"/>
      <c r="OHK385" s="252"/>
      <c r="OHL385" s="252"/>
      <c r="OHM385" s="252"/>
      <c r="OHN385" s="252"/>
      <c r="OHO385" s="252"/>
      <c r="OHP385" s="252"/>
      <c r="OHQ385" s="252"/>
      <c r="OHR385" s="252"/>
      <c r="OHS385" s="252"/>
      <c r="OHT385" s="252"/>
      <c r="OHU385" s="252"/>
      <c r="OHV385" s="252"/>
      <c r="OHW385" s="252"/>
      <c r="OHX385" s="252"/>
      <c r="OHY385" s="252"/>
      <c r="OHZ385" s="252"/>
      <c r="OIA385" s="252"/>
      <c r="OIB385" s="252"/>
      <c r="OIC385" s="252"/>
      <c r="OID385" s="252"/>
      <c r="OIE385" s="252"/>
      <c r="OIF385" s="252"/>
      <c r="OIG385" s="252"/>
      <c r="OIH385" s="252"/>
      <c r="OII385" s="252"/>
      <c r="OIJ385" s="252"/>
      <c r="OIK385" s="252"/>
      <c r="OIL385" s="252"/>
      <c r="OIM385" s="252"/>
      <c r="OIN385" s="252"/>
      <c r="OIO385" s="252"/>
      <c r="OIP385" s="252"/>
      <c r="OIQ385" s="252"/>
      <c r="OIR385" s="252"/>
      <c r="OIS385" s="252"/>
      <c r="OIT385" s="252"/>
      <c r="OIU385" s="252"/>
      <c r="OIV385" s="252"/>
      <c r="OIW385" s="252"/>
      <c r="OIX385" s="252"/>
      <c r="OIY385" s="252"/>
      <c r="OIZ385" s="252"/>
      <c r="OJA385" s="252"/>
      <c r="OJB385" s="252"/>
      <c r="OJC385" s="252"/>
      <c r="OJD385" s="252"/>
      <c r="OJE385" s="252"/>
      <c r="OJF385" s="252"/>
      <c r="OJG385" s="252"/>
      <c r="OJH385" s="252"/>
      <c r="OJI385" s="252"/>
      <c r="OJJ385" s="252"/>
      <c r="OJK385" s="252"/>
      <c r="OJL385" s="252"/>
      <c r="OJM385" s="252"/>
      <c r="OJN385" s="252"/>
      <c r="OJO385" s="252"/>
      <c r="OJP385" s="252"/>
      <c r="OJQ385" s="252"/>
      <c r="OJR385" s="252"/>
      <c r="OJS385" s="252"/>
      <c r="OJT385" s="252"/>
      <c r="OJU385" s="252"/>
      <c r="OJV385" s="252"/>
      <c r="OJW385" s="252"/>
      <c r="OJX385" s="252"/>
      <c r="OJY385" s="252"/>
      <c r="OJZ385" s="252"/>
      <c r="OKA385" s="252"/>
      <c r="OKB385" s="252"/>
      <c r="OKC385" s="252"/>
      <c r="OKD385" s="252"/>
      <c r="OKE385" s="252"/>
      <c r="OKF385" s="252"/>
      <c r="OKG385" s="252"/>
      <c r="OKH385" s="252"/>
      <c r="OKI385" s="252"/>
      <c r="OKJ385" s="252"/>
      <c r="OKK385" s="252"/>
      <c r="OKL385" s="252"/>
      <c r="OKM385" s="252"/>
      <c r="OKN385" s="252"/>
      <c r="OKO385" s="252"/>
      <c r="OKP385" s="252"/>
      <c r="OKQ385" s="252"/>
      <c r="OKR385" s="252"/>
      <c r="OKS385" s="252"/>
      <c r="OKT385" s="252"/>
      <c r="OKU385" s="252"/>
      <c r="OKV385" s="252"/>
      <c r="OKW385" s="252"/>
      <c r="OKX385" s="252"/>
      <c r="OKY385" s="252"/>
      <c r="OKZ385" s="252"/>
      <c r="OLA385" s="252"/>
      <c r="OLB385" s="252"/>
      <c r="OLC385" s="252"/>
      <c r="OLD385" s="252"/>
      <c r="OLE385" s="252"/>
      <c r="OLF385" s="252"/>
      <c r="OLG385" s="252"/>
      <c r="OLH385" s="252"/>
      <c r="OLI385" s="252"/>
      <c r="OLJ385" s="252"/>
      <c r="OLK385" s="252"/>
      <c r="OLL385" s="252"/>
      <c r="OLM385" s="252"/>
      <c r="OLN385" s="252"/>
      <c r="OLO385" s="252"/>
      <c r="OLP385" s="252"/>
      <c r="OLQ385" s="252"/>
      <c r="OLR385" s="252"/>
      <c r="OLS385" s="252"/>
      <c r="OLT385" s="252"/>
      <c r="OLU385" s="252"/>
      <c r="OLV385" s="252"/>
      <c r="OLW385" s="252"/>
      <c r="OLX385" s="252"/>
      <c r="OLY385" s="252"/>
      <c r="OLZ385" s="252"/>
      <c r="OMA385" s="252"/>
      <c r="OMB385" s="252"/>
      <c r="OMC385" s="252"/>
      <c r="OMD385" s="252"/>
      <c r="OME385" s="252"/>
      <c r="OMF385" s="252"/>
      <c r="OMG385" s="252"/>
      <c r="OMH385" s="252"/>
      <c r="OMI385" s="252"/>
      <c r="OMJ385" s="252"/>
      <c r="OMK385" s="252"/>
      <c r="OML385" s="252"/>
      <c r="OMM385" s="252"/>
      <c r="OMN385" s="252"/>
      <c r="OMO385" s="252"/>
      <c r="OMP385" s="252"/>
      <c r="OMQ385" s="252"/>
      <c r="OMR385" s="252"/>
      <c r="OMS385" s="252"/>
      <c r="OMT385" s="252"/>
      <c r="OMU385" s="252"/>
      <c r="OMV385" s="252"/>
      <c r="OMW385" s="252"/>
      <c r="OMX385" s="252"/>
      <c r="OMY385" s="252"/>
      <c r="OMZ385" s="252"/>
      <c r="ONA385" s="252"/>
      <c r="ONB385" s="252"/>
      <c r="ONC385" s="252"/>
      <c r="OND385" s="252"/>
      <c r="ONE385" s="252"/>
      <c r="ONF385" s="252"/>
      <c r="ONG385" s="252"/>
      <c r="ONH385" s="252"/>
      <c r="ONI385" s="252"/>
      <c r="ONJ385" s="252"/>
      <c r="ONK385" s="252"/>
      <c r="ONL385" s="252"/>
      <c r="ONM385" s="252"/>
      <c r="ONN385" s="252"/>
      <c r="ONO385" s="252"/>
      <c r="ONP385" s="252"/>
      <c r="ONQ385" s="252"/>
      <c r="ONR385" s="252"/>
      <c r="ONS385" s="252"/>
      <c r="ONT385" s="252"/>
      <c r="ONU385" s="252"/>
      <c r="ONV385" s="252"/>
      <c r="ONW385" s="252"/>
      <c r="ONX385" s="252"/>
      <c r="ONY385" s="252"/>
      <c r="ONZ385" s="252"/>
      <c r="OOA385" s="252"/>
      <c r="OOB385" s="252"/>
      <c r="OOC385" s="252"/>
      <c r="OOD385" s="252"/>
      <c r="OOE385" s="252"/>
      <c r="OOF385" s="252"/>
      <c r="OOG385" s="252"/>
      <c r="OOH385" s="252"/>
      <c r="OOI385" s="252"/>
      <c r="OOJ385" s="252"/>
      <c r="OOK385" s="252"/>
      <c r="OOL385" s="252"/>
      <c r="OOM385" s="252"/>
      <c r="OON385" s="252"/>
      <c r="OOO385" s="252"/>
      <c r="OOP385" s="252"/>
      <c r="OOQ385" s="252"/>
      <c r="OOR385" s="252"/>
      <c r="OOS385" s="252"/>
      <c r="OOT385" s="252"/>
      <c r="OOU385" s="252"/>
      <c r="OOV385" s="252"/>
      <c r="OOW385" s="252"/>
      <c r="OOX385" s="252"/>
      <c r="OOY385" s="252"/>
      <c r="OOZ385" s="252"/>
      <c r="OPA385" s="252"/>
      <c r="OPB385" s="252"/>
      <c r="OPC385" s="252"/>
      <c r="OPD385" s="252"/>
      <c r="OPE385" s="252"/>
      <c r="OPF385" s="252"/>
      <c r="OPG385" s="252"/>
      <c r="OPH385" s="252"/>
      <c r="OPI385" s="252"/>
      <c r="OPJ385" s="252"/>
      <c r="OPK385" s="252"/>
      <c r="OPL385" s="252"/>
      <c r="OPM385" s="252"/>
      <c r="OPN385" s="252"/>
      <c r="OPO385" s="252"/>
      <c r="OPP385" s="252"/>
      <c r="OPQ385" s="252"/>
      <c r="OPR385" s="252"/>
      <c r="OPS385" s="252"/>
      <c r="OPT385" s="252"/>
      <c r="OPU385" s="252"/>
      <c r="OPV385" s="252"/>
      <c r="OPW385" s="252"/>
      <c r="OPX385" s="252"/>
      <c r="OPY385" s="252"/>
      <c r="OPZ385" s="252"/>
      <c r="OQA385" s="252"/>
      <c r="OQB385" s="252"/>
      <c r="OQC385" s="252"/>
      <c r="OQD385" s="252"/>
      <c r="OQE385" s="252"/>
      <c r="OQF385" s="252"/>
      <c r="OQG385" s="252"/>
      <c r="OQH385" s="252"/>
      <c r="OQI385" s="252"/>
      <c r="OQJ385" s="252"/>
      <c r="OQK385" s="252"/>
      <c r="OQL385" s="252"/>
      <c r="OQM385" s="252"/>
      <c r="OQN385" s="252"/>
      <c r="OQO385" s="252"/>
      <c r="OQP385" s="252"/>
      <c r="OQQ385" s="252"/>
      <c r="OQR385" s="252"/>
      <c r="OQS385" s="252"/>
      <c r="OQT385" s="252"/>
      <c r="OQU385" s="252"/>
      <c r="OQV385" s="252"/>
      <c r="OQW385" s="252"/>
      <c r="OQX385" s="252"/>
      <c r="OQY385" s="252"/>
      <c r="OQZ385" s="252"/>
      <c r="ORA385" s="252"/>
      <c r="ORB385" s="252"/>
      <c r="ORC385" s="252"/>
      <c r="ORD385" s="252"/>
      <c r="ORE385" s="252"/>
      <c r="ORF385" s="252"/>
      <c r="ORG385" s="252"/>
      <c r="ORH385" s="252"/>
      <c r="ORI385" s="252"/>
      <c r="ORJ385" s="252"/>
      <c r="ORK385" s="252"/>
      <c r="ORL385" s="252"/>
      <c r="ORM385" s="252"/>
      <c r="ORN385" s="252"/>
      <c r="ORO385" s="252"/>
      <c r="ORP385" s="252"/>
      <c r="ORQ385" s="252"/>
      <c r="ORR385" s="252"/>
      <c r="ORS385" s="252"/>
      <c r="ORT385" s="252"/>
      <c r="ORU385" s="252"/>
      <c r="ORV385" s="252"/>
      <c r="ORW385" s="252"/>
      <c r="ORX385" s="252"/>
      <c r="ORY385" s="252"/>
      <c r="ORZ385" s="252"/>
      <c r="OSA385" s="252"/>
      <c r="OSB385" s="252"/>
      <c r="OSC385" s="252"/>
      <c r="OSD385" s="252"/>
      <c r="OSE385" s="252"/>
      <c r="OSF385" s="252"/>
      <c r="OSG385" s="252"/>
      <c r="OSH385" s="252"/>
      <c r="OSI385" s="252"/>
      <c r="OSJ385" s="252"/>
      <c r="OSK385" s="252"/>
      <c r="OSL385" s="252"/>
      <c r="OSM385" s="252"/>
      <c r="OSN385" s="252"/>
      <c r="OSO385" s="252"/>
      <c r="OSP385" s="252"/>
      <c r="OSQ385" s="252"/>
      <c r="OSR385" s="252"/>
      <c r="OSS385" s="252"/>
      <c r="OST385" s="252"/>
      <c r="OSU385" s="252"/>
      <c r="OSV385" s="252"/>
      <c r="OSW385" s="252"/>
      <c r="OSX385" s="252"/>
      <c r="OSY385" s="252"/>
      <c r="OSZ385" s="252"/>
      <c r="OTA385" s="252"/>
      <c r="OTB385" s="252"/>
      <c r="OTC385" s="252"/>
      <c r="OTD385" s="252"/>
      <c r="OTE385" s="252"/>
      <c r="OTF385" s="252"/>
      <c r="OTG385" s="252"/>
      <c r="OTH385" s="252"/>
      <c r="OTI385" s="252"/>
      <c r="OTJ385" s="252"/>
      <c r="OTK385" s="252"/>
      <c r="OTL385" s="252"/>
      <c r="OTM385" s="252"/>
      <c r="OTN385" s="252"/>
      <c r="OTO385" s="252"/>
      <c r="OTP385" s="252"/>
      <c r="OTQ385" s="252"/>
      <c r="OTR385" s="252"/>
      <c r="OTS385" s="252"/>
      <c r="OTT385" s="252"/>
      <c r="OTU385" s="252"/>
      <c r="OTV385" s="252"/>
      <c r="OTW385" s="252"/>
      <c r="OTX385" s="252"/>
      <c r="OTY385" s="252"/>
      <c r="OTZ385" s="252"/>
      <c r="OUA385" s="252"/>
      <c r="OUB385" s="252"/>
      <c r="OUC385" s="252"/>
      <c r="OUD385" s="252"/>
      <c r="OUE385" s="252"/>
      <c r="OUF385" s="252"/>
      <c r="OUG385" s="252"/>
      <c r="OUH385" s="252"/>
      <c r="OUI385" s="252"/>
      <c r="OUJ385" s="252"/>
      <c r="OUK385" s="252"/>
      <c r="OUL385" s="252"/>
      <c r="OUM385" s="252"/>
      <c r="OUN385" s="252"/>
      <c r="OUO385" s="252"/>
      <c r="OUP385" s="252"/>
      <c r="OUQ385" s="252"/>
      <c r="OUR385" s="252"/>
      <c r="OUS385" s="252"/>
      <c r="OUT385" s="252"/>
      <c r="OUU385" s="252"/>
      <c r="OUV385" s="252"/>
      <c r="OUW385" s="252"/>
      <c r="OUX385" s="252"/>
      <c r="OUY385" s="252"/>
      <c r="OUZ385" s="252"/>
      <c r="OVA385" s="252"/>
      <c r="OVB385" s="252"/>
      <c r="OVC385" s="252"/>
      <c r="OVD385" s="252"/>
      <c r="OVE385" s="252"/>
      <c r="OVF385" s="252"/>
      <c r="OVG385" s="252"/>
      <c r="OVH385" s="252"/>
      <c r="OVI385" s="252"/>
      <c r="OVJ385" s="252"/>
      <c r="OVK385" s="252"/>
      <c r="OVL385" s="252"/>
      <c r="OVM385" s="252"/>
      <c r="OVN385" s="252"/>
      <c r="OVO385" s="252"/>
      <c r="OVP385" s="252"/>
      <c r="OVQ385" s="252"/>
      <c r="OVR385" s="252"/>
      <c r="OVS385" s="252"/>
      <c r="OVT385" s="252"/>
      <c r="OVU385" s="252"/>
      <c r="OVV385" s="252"/>
      <c r="OVW385" s="252"/>
      <c r="OVX385" s="252"/>
      <c r="OVY385" s="252"/>
      <c r="OVZ385" s="252"/>
      <c r="OWA385" s="252"/>
      <c r="OWB385" s="252"/>
      <c r="OWC385" s="252"/>
      <c r="OWD385" s="252"/>
      <c r="OWE385" s="252"/>
      <c r="OWF385" s="252"/>
      <c r="OWG385" s="252"/>
      <c r="OWH385" s="252"/>
      <c r="OWI385" s="252"/>
      <c r="OWJ385" s="252"/>
      <c r="OWK385" s="252"/>
      <c r="OWL385" s="252"/>
      <c r="OWM385" s="252"/>
      <c r="OWN385" s="252"/>
      <c r="OWO385" s="252"/>
      <c r="OWP385" s="252"/>
      <c r="OWQ385" s="252"/>
      <c r="OWR385" s="252"/>
      <c r="OWS385" s="252"/>
      <c r="OWT385" s="252"/>
      <c r="OWU385" s="252"/>
      <c r="OWV385" s="252"/>
      <c r="OWW385" s="252"/>
      <c r="OWX385" s="252"/>
      <c r="OWY385" s="252"/>
      <c r="OWZ385" s="252"/>
      <c r="OXA385" s="252"/>
      <c r="OXB385" s="252"/>
      <c r="OXC385" s="252"/>
      <c r="OXD385" s="252"/>
      <c r="OXE385" s="252"/>
      <c r="OXF385" s="252"/>
      <c r="OXG385" s="252"/>
      <c r="OXH385" s="252"/>
      <c r="OXI385" s="252"/>
      <c r="OXJ385" s="252"/>
      <c r="OXK385" s="252"/>
      <c r="OXL385" s="252"/>
      <c r="OXM385" s="252"/>
      <c r="OXN385" s="252"/>
      <c r="OXO385" s="252"/>
      <c r="OXP385" s="252"/>
      <c r="OXQ385" s="252"/>
      <c r="OXR385" s="252"/>
      <c r="OXS385" s="252"/>
      <c r="OXT385" s="252"/>
      <c r="OXU385" s="252"/>
      <c r="OXV385" s="252"/>
      <c r="OXW385" s="252"/>
      <c r="OXX385" s="252"/>
      <c r="OXY385" s="252"/>
      <c r="OXZ385" s="252"/>
      <c r="OYA385" s="252"/>
      <c r="OYB385" s="252"/>
      <c r="OYC385" s="252"/>
      <c r="OYD385" s="252"/>
      <c r="OYE385" s="252"/>
      <c r="OYF385" s="252"/>
      <c r="OYG385" s="252"/>
      <c r="OYH385" s="252"/>
      <c r="OYI385" s="252"/>
      <c r="OYJ385" s="252"/>
      <c r="OYK385" s="252"/>
      <c r="OYL385" s="252"/>
      <c r="OYM385" s="252"/>
      <c r="OYN385" s="252"/>
      <c r="OYO385" s="252"/>
      <c r="OYP385" s="252"/>
      <c r="OYQ385" s="252"/>
      <c r="OYR385" s="252"/>
      <c r="OYS385" s="252"/>
      <c r="OYT385" s="252"/>
      <c r="OYU385" s="252"/>
      <c r="OYV385" s="252"/>
      <c r="OYW385" s="252"/>
      <c r="OYX385" s="252"/>
      <c r="OYY385" s="252"/>
      <c r="OYZ385" s="252"/>
      <c r="OZA385" s="252"/>
      <c r="OZB385" s="252"/>
      <c r="OZC385" s="252"/>
      <c r="OZD385" s="252"/>
      <c r="OZE385" s="252"/>
      <c r="OZF385" s="252"/>
      <c r="OZG385" s="252"/>
      <c r="OZH385" s="252"/>
      <c r="OZI385" s="252"/>
      <c r="OZJ385" s="252"/>
      <c r="OZK385" s="252"/>
      <c r="OZL385" s="252"/>
      <c r="OZM385" s="252"/>
      <c r="OZN385" s="252"/>
      <c r="OZO385" s="252"/>
      <c r="OZP385" s="252"/>
      <c r="OZQ385" s="252"/>
      <c r="OZR385" s="252"/>
      <c r="OZS385" s="252"/>
      <c r="OZT385" s="252"/>
      <c r="OZU385" s="252"/>
      <c r="OZV385" s="252"/>
      <c r="OZW385" s="252"/>
      <c r="OZX385" s="252"/>
      <c r="OZY385" s="252"/>
      <c r="OZZ385" s="252"/>
      <c r="PAA385" s="252"/>
      <c r="PAB385" s="252"/>
      <c r="PAC385" s="252"/>
      <c r="PAD385" s="252"/>
      <c r="PAE385" s="252"/>
      <c r="PAF385" s="252"/>
      <c r="PAG385" s="252"/>
      <c r="PAH385" s="252"/>
      <c r="PAI385" s="252"/>
      <c r="PAJ385" s="252"/>
      <c r="PAK385" s="252"/>
      <c r="PAL385" s="252"/>
      <c r="PAM385" s="252"/>
      <c r="PAN385" s="252"/>
      <c r="PAO385" s="252"/>
      <c r="PAP385" s="252"/>
      <c r="PAQ385" s="252"/>
      <c r="PAR385" s="252"/>
      <c r="PAS385" s="252"/>
      <c r="PAT385" s="252"/>
      <c r="PAU385" s="252"/>
      <c r="PAV385" s="252"/>
      <c r="PAW385" s="252"/>
      <c r="PAX385" s="252"/>
      <c r="PAY385" s="252"/>
      <c r="PAZ385" s="252"/>
      <c r="PBA385" s="252"/>
      <c r="PBB385" s="252"/>
      <c r="PBC385" s="252"/>
      <c r="PBD385" s="252"/>
      <c r="PBE385" s="252"/>
      <c r="PBF385" s="252"/>
      <c r="PBG385" s="252"/>
      <c r="PBH385" s="252"/>
      <c r="PBI385" s="252"/>
      <c r="PBJ385" s="252"/>
      <c r="PBK385" s="252"/>
      <c r="PBL385" s="252"/>
      <c r="PBM385" s="252"/>
      <c r="PBN385" s="252"/>
      <c r="PBO385" s="252"/>
      <c r="PBP385" s="252"/>
      <c r="PBQ385" s="252"/>
      <c r="PBR385" s="252"/>
      <c r="PBS385" s="252"/>
      <c r="PBT385" s="252"/>
      <c r="PBU385" s="252"/>
      <c r="PBV385" s="252"/>
      <c r="PBW385" s="252"/>
      <c r="PBX385" s="252"/>
      <c r="PBY385" s="252"/>
      <c r="PBZ385" s="252"/>
      <c r="PCA385" s="252"/>
      <c r="PCB385" s="252"/>
      <c r="PCC385" s="252"/>
      <c r="PCD385" s="252"/>
      <c r="PCE385" s="252"/>
      <c r="PCF385" s="252"/>
      <c r="PCG385" s="252"/>
      <c r="PCH385" s="252"/>
      <c r="PCI385" s="252"/>
      <c r="PCJ385" s="252"/>
      <c r="PCK385" s="252"/>
      <c r="PCL385" s="252"/>
      <c r="PCM385" s="252"/>
      <c r="PCN385" s="252"/>
      <c r="PCO385" s="252"/>
      <c r="PCP385" s="252"/>
      <c r="PCQ385" s="252"/>
      <c r="PCR385" s="252"/>
      <c r="PCS385" s="252"/>
      <c r="PCT385" s="252"/>
      <c r="PCU385" s="252"/>
      <c r="PCV385" s="252"/>
      <c r="PCW385" s="252"/>
      <c r="PCX385" s="252"/>
      <c r="PCY385" s="252"/>
      <c r="PCZ385" s="252"/>
      <c r="PDA385" s="252"/>
      <c r="PDB385" s="252"/>
      <c r="PDC385" s="252"/>
      <c r="PDD385" s="252"/>
      <c r="PDE385" s="252"/>
      <c r="PDF385" s="252"/>
      <c r="PDG385" s="252"/>
      <c r="PDH385" s="252"/>
      <c r="PDI385" s="252"/>
      <c r="PDJ385" s="252"/>
      <c r="PDK385" s="252"/>
      <c r="PDL385" s="252"/>
      <c r="PDM385" s="252"/>
      <c r="PDN385" s="252"/>
      <c r="PDO385" s="252"/>
      <c r="PDP385" s="252"/>
      <c r="PDQ385" s="252"/>
      <c r="PDR385" s="252"/>
      <c r="PDS385" s="252"/>
      <c r="PDT385" s="252"/>
      <c r="PDU385" s="252"/>
      <c r="PDV385" s="252"/>
      <c r="PDW385" s="252"/>
      <c r="PDX385" s="252"/>
      <c r="PDY385" s="252"/>
      <c r="PDZ385" s="252"/>
      <c r="PEA385" s="252"/>
      <c r="PEB385" s="252"/>
      <c r="PEC385" s="252"/>
      <c r="PED385" s="252"/>
      <c r="PEE385" s="252"/>
      <c r="PEF385" s="252"/>
      <c r="PEG385" s="252"/>
      <c r="PEH385" s="252"/>
      <c r="PEI385" s="252"/>
      <c r="PEJ385" s="252"/>
      <c r="PEK385" s="252"/>
      <c r="PEL385" s="252"/>
      <c r="PEM385" s="252"/>
      <c r="PEN385" s="252"/>
      <c r="PEO385" s="252"/>
      <c r="PEP385" s="252"/>
      <c r="PEQ385" s="252"/>
      <c r="PER385" s="252"/>
      <c r="PES385" s="252"/>
      <c r="PET385" s="252"/>
      <c r="PEU385" s="252"/>
      <c r="PEV385" s="252"/>
      <c r="PEW385" s="252"/>
      <c r="PEX385" s="252"/>
      <c r="PEY385" s="252"/>
      <c r="PEZ385" s="252"/>
      <c r="PFA385" s="252"/>
      <c r="PFB385" s="252"/>
      <c r="PFC385" s="252"/>
      <c r="PFD385" s="252"/>
      <c r="PFE385" s="252"/>
      <c r="PFF385" s="252"/>
      <c r="PFG385" s="252"/>
      <c r="PFH385" s="252"/>
      <c r="PFI385" s="252"/>
      <c r="PFJ385" s="252"/>
      <c r="PFK385" s="252"/>
      <c r="PFL385" s="252"/>
      <c r="PFM385" s="252"/>
      <c r="PFN385" s="252"/>
      <c r="PFO385" s="252"/>
      <c r="PFP385" s="252"/>
      <c r="PFQ385" s="252"/>
      <c r="PFR385" s="252"/>
      <c r="PFS385" s="252"/>
      <c r="PFT385" s="252"/>
      <c r="PFU385" s="252"/>
      <c r="PFV385" s="252"/>
      <c r="PFW385" s="252"/>
      <c r="PFX385" s="252"/>
      <c r="PFY385" s="252"/>
      <c r="PFZ385" s="252"/>
      <c r="PGA385" s="252"/>
      <c r="PGB385" s="252"/>
      <c r="PGC385" s="252"/>
      <c r="PGD385" s="252"/>
      <c r="PGE385" s="252"/>
      <c r="PGF385" s="252"/>
      <c r="PGG385" s="252"/>
      <c r="PGH385" s="252"/>
      <c r="PGI385" s="252"/>
      <c r="PGJ385" s="252"/>
      <c r="PGK385" s="252"/>
      <c r="PGL385" s="252"/>
      <c r="PGM385" s="252"/>
      <c r="PGN385" s="252"/>
      <c r="PGO385" s="252"/>
      <c r="PGP385" s="252"/>
      <c r="PGQ385" s="252"/>
      <c r="PGR385" s="252"/>
      <c r="PGS385" s="252"/>
      <c r="PGT385" s="252"/>
      <c r="PGU385" s="252"/>
      <c r="PGV385" s="252"/>
      <c r="PGW385" s="252"/>
      <c r="PGX385" s="252"/>
      <c r="PGY385" s="252"/>
      <c r="PGZ385" s="252"/>
      <c r="PHA385" s="252"/>
      <c r="PHB385" s="252"/>
      <c r="PHC385" s="252"/>
      <c r="PHD385" s="252"/>
      <c r="PHE385" s="252"/>
      <c r="PHF385" s="252"/>
      <c r="PHG385" s="252"/>
      <c r="PHH385" s="252"/>
      <c r="PHI385" s="252"/>
      <c r="PHJ385" s="252"/>
      <c r="PHK385" s="252"/>
      <c r="PHL385" s="252"/>
      <c r="PHM385" s="252"/>
      <c r="PHN385" s="252"/>
      <c r="PHO385" s="252"/>
      <c r="PHP385" s="252"/>
      <c r="PHQ385" s="252"/>
      <c r="PHR385" s="252"/>
      <c r="PHS385" s="252"/>
      <c r="PHT385" s="252"/>
      <c r="PHU385" s="252"/>
      <c r="PHV385" s="252"/>
      <c r="PHW385" s="252"/>
      <c r="PHX385" s="252"/>
      <c r="PHY385" s="252"/>
      <c r="PHZ385" s="252"/>
      <c r="PIA385" s="252"/>
      <c r="PIB385" s="252"/>
      <c r="PIC385" s="252"/>
      <c r="PID385" s="252"/>
      <c r="PIE385" s="252"/>
      <c r="PIF385" s="252"/>
      <c r="PIG385" s="252"/>
      <c r="PIH385" s="252"/>
      <c r="PII385" s="252"/>
      <c r="PIJ385" s="252"/>
      <c r="PIK385" s="252"/>
      <c r="PIL385" s="252"/>
      <c r="PIM385" s="252"/>
      <c r="PIN385" s="252"/>
      <c r="PIO385" s="252"/>
      <c r="PIP385" s="252"/>
      <c r="PIQ385" s="252"/>
      <c r="PIR385" s="252"/>
      <c r="PIS385" s="252"/>
      <c r="PIT385" s="252"/>
      <c r="PIU385" s="252"/>
      <c r="PIV385" s="252"/>
      <c r="PIW385" s="252"/>
      <c r="PIX385" s="252"/>
      <c r="PIY385" s="252"/>
      <c r="PIZ385" s="252"/>
      <c r="PJA385" s="252"/>
      <c r="PJB385" s="252"/>
      <c r="PJC385" s="252"/>
      <c r="PJD385" s="252"/>
      <c r="PJE385" s="252"/>
      <c r="PJF385" s="252"/>
      <c r="PJG385" s="252"/>
      <c r="PJH385" s="252"/>
      <c r="PJI385" s="252"/>
      <c r="PJJ385" s="252"/>
      <c r="PJK385" s="252"/>
      <c r="PJL385" s="252"/>
      <c r="PJM385" s="252"/>
      <c r="PJN385" s="252"/>
      <c r="PJO385" s="252"/>
      <c r="PJP385" s="252"/>
      <c r="PJQ385" s="252"/>
      <c r="PJR385" s="252"/>
      <c r="PJS385" s="252"/>
      <c r="PJT385" s="252"/>
      <c r="PJU385" s="252"/>
      <c r="PJV385" s="252"/>
      <c r="PJW385" s="252"/>
      <c r="PJX385" s="252"/>
      <c r="PJY385" s="252"/>
      <c r="PJZ385" s="252"/>
      <c r="PKA385" s="252"/>
      <c r="PKB385" s="252"/>
      <c r="PKC385" s="252"/>
      <c r="PKD385" s="252"/>
      <c r="PKE385" s="252"/>
      <c r="PKF385" s="252"/>
      <c r="PKG385" s="252"/>
      <c r="PKH385" s="252"/>
      <c r="PKI385" s="252"/>
      <c r="PKJ385" s="252"/>
      <c r="PKK385" s="252"/>
      <c r="PKL385" s="252"/>
      <c r="PKM385" s="252"/>
      <c r="PKN385" s="252"/>
      <c r="PKO385" s="252"/>
      <c r="PKP385" s="252"/>
      <c r="PKQ385" s="252"/>
      <c r="PKR385" s="252"/>
      <c r="PKS385" s="252"/>
      <c r="PKT385" s="252"/>
      <c r="PKU385" s="252"/>
      <c r="PKV385" s="252"/>
      <c r="PKW385" s="252"/>
      <c r="PKX385" s="252"/>
      <c r="PKY385" s="252"/>
      <c r="PKZ385" s="252"/>
      <c r="PLA385" s="252"/>
      <c r="PLB385" s="252"/>
      <c r="PLC385" s="252"/>
      <c r="PLD385" s="252"/>
      <c r="PLE385" s="252"/>
      <c r="PLF385" s="252"/>
      <c r="PLG385" s="252"/>
      <c r="PLH385" s="252"/>
      <c r="PLI385" s="252"/>
      <c r="PLJ385" s="252"/>
      <c r="PLK385" s="252"/>
      <c r="PLL385" s="252"/>
      <c r="PLM385" s="252"/>
      <c r="PLN385" s="252"/>
      <c r="PLO385" s="252"/>
      <c r="PLP385" s="252"/>
      <c r="PLQ385" s="252"/>
      <c r="PLR385" s="252"/>
      <c r="PLS385" s="252"/>
      <c r="PLT385" s="252"/>
      <c r="PLU385" s="252"/>
      <c r="PLV385" s="252"/>
      <c r="PLW385" s="252"/>
      <c r="PLX385" s="252"/>
      <c r="PLY385" s="252"/>
      <c r="PLZ385" s="252"/>
      <c r="PMA385" s="252"/>
      <c r="PMB385" s="252"/>
      <c r="PMC385" s="252"/>
      <c r="PMD385" s="252"/>
      <c r="PME385" s="252"/>
      <c r="PMF385" s="252"/>
      <c r="PMG385" s="252"/>
      <c r="PMH385" s="252"/>
      <c r="PMI385" s="252"/>
      <c r="PMJ385" s="252"/>
      <c r="PMK385" s="252"/>
      <c r="PML385" s="252"/>
      <c r="PMM385" s="252"/>
      <c r="PMN385" s="252"/>
      <c r="PMO385" s="252"/>
      <c r="PMP385" s="252"/>
      <c r="PMQ385" s="252"/>
      <c r="PMR385" s="252"/>
      <c r="PMS385" s="252"/>
      <c r="PMT385" s="252"/>
      <c r="PMU385" s="252"/>
      <c r="PMV385" s="252"/>
      <c r="PMW385" s="252"/>
      <c r="PMX385" s="252"/>
      <c r="PMY385" s="252"/>
      <c r="PMZ385" s="252"/>
      <c r="PNA385" s="252"/>
      <c r="PNB385" s="252"/>
      <c r="PNC385" s="252"/>
      <c r="PND385" s="252"/>
      <c r="PNE385" s="252"/>
      <c r="PNF385" s="252"/>
      <c r="PNG385" s="252"/>
      <c r="PNH385" s="252"/>
      <c r="PNI385" s="252"/>
      <c r="PNJ385" s="252"/>
      <c r="PNK385" s="252"/>
      <c r="PNL385" s="252"/>
      <c r="PNM385" s="252"/>
      <c r="PNN385" s="252"/>
      <c r="PNO385" s="252"/>
      <c r="PNP385" s="252"/>
      <c r="PNQ385" s="252"/>
      <c r="PNR385" s="252"/>
      <c r="PNS385" s="252"/>
      <c r="PNT385" s="252"/>
      <c r="PNU385" s="252"/>
      <c r="PNV385" s="252"/>
      <c r="PNW385" s="252"/>
      <c r="PNX385" s="252"/>
      <c r="PNY385" s="252"/>
      <c r="PNZ385" s="252"/>
      <c r="POA385" s="252"/>
      <c r="POB385" s="252"/>
      <c r="POC385" s="252"/>
      <c r="POD385" s="252"/>
      <c r="POE385" s="252"/>
      <c r="POF385" s="252"/>
      <c r="POG385" s="252"/>
      <c r="POH385" s="252"/>
      <c r="POI385" s="252"/>
      <c r="POJ385" s="252"/>
      <c r="POK385" s="252"/>
      <c r="POL385" s="252"/>
      <c r="POM385" s="252"/>
      <c r="PON385" s="252"/>
      <c r="POO385" s="252"/>
      <c r="POP385" s="252"/>
      <c r="POQ385" s="252"/>
      <c r="POR385" s="252"/>
      <c r="POS385" s="252"/>
      <c r="POT385" s="252"/>
      <c r="POU385" s="252"/>
      <c r="POV385" s="252"/>
      <c r="POW385" s="252"/>
      <c r="POX385" s="252"/>
      <c r="POY385" s="252"/>
      <c r="POZ385" s="252"/>
      <c r="PPA385" s="252"/>
      <c r="PPB385" s="252"/>
      <c r="PPC385" s="252"/>
      <c r="PPD385" s="252"/>
      <c r="PPE385" s="252"/>
      <c r="PPF385" s="252"/>
      <c r="PPG385" s="252"/>
      <c r="PPH385" s="252"/>
      <c r="PPI385" s="252"/>
      <c r="PPJ385" s="252"/>
      <c r="PPK385" s="252"/>
      <c r="PPL385" s="252"/>
      <c r="PPM385" s="252"/>
      <c r="PPN385" s="252"/>
      <c r="PPO385" s="252"/>
      <c r="PPP385" s="252"/>
      <c r="PPQ385" s="252"/>
      <c r="PPR385" s="252"/>
      <c r="PPS385" s="252"/>
      <c r="PPT385" s="252"/>
      <c r="PPU385" s="252"/>
      <c r="PPV385" s="252"/>
      <c r="PPW385" s="252"/>
      <c r="PPX385" s="252"/>
      <c r="PPY385" s="252"/>
      <c r="PPZ385" s="252"/>
      <c r="PQA385" s="252"/>
      <c r="PQB385" s="252"/>
      <c r="PQC385" s="252"/>
      <c r="PQD385" s="252"/>
      <c r="PQE385" s="252"/>
      <c r="PQF385" s="252"/>
      <c r="PQG385" s="252"/>
      <c r="PQH385" s="252"/>
      <c r="PQI385" s="252"/>
      <c r="PQJ385" s="252"/>
      <c r="PQK385" s="252"/>
      <c r="PQL385" s="252"/>
      <c r="PQM385" s="252"/>
      <c r="PQN385" s="252"/>
      <c r="PQO385" s="252"/>
      <c r="PQP385" s="252"/>
      <c r="PQQ385" s="252"/>
      <c r="PQR385" s="252"/>
      <c r="PQS385" s="252"/>
      <c r="PQT385" s="252"/>
      <c r="PQU385" s="252"/>
      <c r="PQV385" s="252"/>
      <c r="PQW385" s="252"/>
      <c r="PQX385" s="252"/>
      <c r="PQY385" s="252"/>
      <c r="PQZ385" s="252"/>
      <c r="PRA385" s="252"/>
      <c r="PRB385" s="252"/>
      <c r="PRC385" s="252"/>
      <c r="PRD385" s="252"/>
      <c r="PRE385" s="252"/>
      <c r="PRF385" s="252"/>
      <c r="PRG385" s="252"/>
      <c r="PRH385" s="252"/>
      <c r="PRI385" s="252"/>
      <c r="PRJ385" s="252"/>
      <c r="PRK385" s="252"/>
      <c r="PRL385" s="252"/>
      <c r="PRM385" s="252"/>
      <c r="PRN385" s="252"/>
      <c r="PRO385" s="252"/>
      <c r="PRP385" s="252"/>
      <c r="PRQ385" s="252"/>
      <c r="PRR385" s="252"/>
      <c r="PRS385" s="252"/>
      <c r="PRT385" s="252"/>
      <c r="PRU385" s="252"/>
      <c r="PRV385" s="252"/>
      <c r="PRW385" s="252"/>
      <c r="PRX385" s="252"/>
      <c r="PRY385" s="252"/>
      <c r="PRZ385" s="252"/>
      <c r="PSA385" s="252"/>
      <c r="PSB385" s="252"/>
      <c r="PSC385" s="252"/>
      <c r="PSD385" s="252"/>
      <c r="PSE385" s="252"/>
      <c r="PSF385" s="252"/>
      <c r="PSG385" s="252"/>
      <c r="PSH385" s="252"/>
      <c r="PSI385" s="252"/>
      <c r="PSJ385" s="252"/>
      <c r="PSK385" s="252"/>
      <c r="PSL385" s="252"/>
      <c r="PSM385" s="252"/>
      <c r="PSN385" s="252"/>
      <c r="PSO385" s="252"/>
      <c r="PSP385" s="252"/>
      <c r="PSQ385" s="252"/>
      <c r="PSR385" s="252"/>
      <c r="PSS385" s="252"/>
      <c r="PST385" s="252"/>
      <c r="PSU385" s="252"/>
      <c r="PSV385" s="252"/>
      <c r="PSW385" s="252"/>
      <c r="PSX385" s="252"/>
      <c r="PSY385" s="252"/>
      <c r="PSZ385" s="252"/>
      <c r="PTA385" s="252"/>
      <c r="PTB385" s="252"/>
      <c r="PTC385" s="252"/>
      <c r="PTD385" s="252"/>
      <c r="PTE385" s="252"/>
      <c r="PTF385" s="252"/>
      <c r="PTG385" s="252"/>
      <c r="PTH385" s="252"/>
      <c r="PTI385" s="252"/>
      <c r="PTJ385" s="252"/>
      <c r="PTK385" s="252"/>
      <c r="PTL385" s="252"/>
      <c r="PTM385" s="252"/>
      <c r="PTN385" s="252"/>
      <c r="PTO385" s="252"/>
      <c r="PTP385" s="252"/>
      <c r="PTQ385" s="252"/>
      <c r="PTR385" s="252"/>
      <c r="PTS385" s="252"/>
      <c r="PTT385" s="252"/>
      <c r="PTU385" s="252"/>
      <c r="PTV385" s="252"/>
      <c r="PTW385" s="252"/>
      <c r="PTX385" s="252"/>
      <c r="PTY385" s="252"/>
      <c r="PTZ385" s="252"/>
      <c r="PUA385" s="252"/>
      <c r="PUB385" s="252"/>
      <c r="PUC385" s="252"/>
      <c r="PUD385" s="252"/>
      <c r="PUE385" s="252"/>
      <c r="PUF385" s="252"/>
      <c r="PUG385" s="252"/>
      <c r="PUH385" s="252"/>
      <c r="PUI385" s="252"/>
      <c r="PUJ385" s="252"/>
      <c r="PUK385" s="252"/>
      <c r="PUL385" s="252"/>
      <c r="PUM385" s="252"/>
      <c r="PUN385" s="252"/>
      <c r="PUO385" s="252"/>
      <c r="PUP385" s="252"/>
      <c r="PUQ385" s="252"/>
      <c r="PUR385" s="252"/>
      <c r="PUS385" s="252"/>
      <c r="PUT385" s="252"/>
      <c r="PUU385" s="252"/>
      <c r="PUV385" s="252"/>
      <c r="PUW385" s="252"/>
      <c r="PUX385" s="252"/>
      <c r="PUY385" s="252"/>
      <c r="PUZ385" s="252"/>
      <c r="PVA385" s="252"/>
      <c r="PVB385" s="252"/>
      <c r="PVC385" s="252"/>
      <c r="PVD385" s="252"/>
      <c r="PVE385" s="252"/>
      <c r="PVF385" s="252"/>
      <c r="PVG385" s="252"/>
      <c r="PVH385" s="252"/>
      <c r="PVI385" s="252"/>
      <c r="PVJ385" s="252"/>
      <c r="PVK385" s="252"/>
      <c r="PVL385" s="252"/>
      <c r="PVM385" s="252"/>
      <c r="PVN385" s="252"/>
      <c r="PVO385" s="252"/>
      <c r="PVP385" s="252"/>
      <c r="PVQ385" s="252"/>
      <c r="PVR385" s="252"/>
      <c r="PVS385" s="252"/>
      <c r="PVT385" s="252"/>
      <c r="PVU385" s="252"/>
      <c r="PVV385" s="252"/>
      <c r="PVW385" s="252"/>
      <c r="PVX385" s="252"/>
      <c r="PVY385" s="252"/>
      <c r="PVZ385" s="252"/>
      <c r="PWA385" s="252"/>
      <c r="PWB385" s="252"/>
      <c r="PWC385" s="252"/>
      <c r="PWD385" s="252"/>
      <c r="PWE385" s="252"/>
      <c r="PWF385" s="252"/>
      <c r="PWG385" s="252"/>
      <c r="PWH385" s="252"/>
      <c r="PWI385" s="252"/>
      <c r="PWJ385" s="252"/>
      <c r="PWK385" s="252"/>
      <c r="PWL385" s="252"/>
      <c r="PWM385" s="252"/>
      <c r="PWN385" s="252"/>
      <c r="PWO385" s="252"/>
      <c r="PWP385" s="252"/>
      <c r="PWQ385" s="252"/>
      <c r="PWR385" s="252"/>
      <c r="PWS385" s="252"/>
      <c r="PWT385" s="252"/>
      <c r="PWU385" s="252"/>
      <c r="PWV385" s="252"/>
      <c r="PWW385" s="252"/>
      <c r="PWX385" s="252"/>
      <c r="PWY385" s="252"/>
      <c r="PWZ385" s="252"/>
      <c r="PXA385" s="252"/>
      <c r="PXB385" s="252"/>
      <c r="PXC385" s="252"/>
      <c r="PXD385" s="252"/>
      <c r="PXE385" s="252"/>
      <c r="PXF385" s="252"/>
      <c r="PXG385" s="252"/>
      <c r="PXH385" s="252"/>
      <c r="PXI385" s="252"/>
      <c r="PXJ385" s="252"/>
      <c r="PXK385" s="252"/>
      <c r="PXL385" s="252"/>
      <c r="PXM385" s="252"/>
      <c r="PXN385" s="252"/>
      <c r="PXO385" s="252"/>
      <c r="PXP385" s="252"/>
      <c r="PXQ385" s="252"/>
      <c r="PXR385" s="252"/>
      <c r="PXS385" s="252"/>
      <c r="PXT385" s="252"/>
      <c r="PXU385" s="252"/>
      <c r="PXV385" s="252"/>
      <c r="PXW385" s="252"/>
      <c r="PXX385" s="252"/>
      <c r="PXY385" s="252"/>
      <c r="PXZ385" s="252"/>
      <c r="PYA385" s="252"/>
      <c r="PYB385" s="252"/>
      <c r="PYC385" s="252"/>
      <c r="PYD385" s="252"/>
      <c r="PYE385" s="252"/>
      <c r="PYF385" s="252"/>
      <c r="PYG385" s="252"/>
      <c r="PYH385" s="252"/>
      <c r="PYI385" s="252"/>
      <c r="PYJ385" s="252"/>
      <c r="PYK385" s="252"/>
      <c r="PYL385" s="252"/>
      <c r="PYM385" s="252"/>
      <c r="PYN385" s="252"/>
      <c r="PYO385" s="252"/>
      <c r="PYP385" s="252"/>
      <c r="PYQ385" s="252"/>
      <c r="PYR385" s="252"/>
      <c r="PYS385" s="252"/>
      <c r="PYT385" s="252"/>
      <c r="PYU385" s="252"/>
      <c r="PYV385" s="252"/>
      <c r="PYW385" s="252"/>
      <c r="PYX385" s="252"/>
      <c r="PYY385" s="252"/>
      <c r="PYZ385" s="252"/>
      <c r="PZA385" s="252"/>
      <c r="PZB385" s="252"/>
      <c r="PZC385" s="252"/>
      <c r="PZD385" s="252"/>
      <c r="PZE385" s="252"/>
      <c r="PZF385" s="252"/>
      <c r="PZG385" s="252"/>
      <c r="PZH385" s="252"/>
      <c r="PZI385" s="252"/>
      <c r="PZJ385" s="252"/>
      <c r="PZK385" s="252"/>
      <c r="PZL385" s="252"/>
      <c r="PZM385" s="252"/>
      <c r="PZN385" s="252"/>
      <c r="PZO385" s="252"/>
      <c r="PZP385" s="252"/>
      <c r="PZQ385" s="252"/>
      <c r="PZR385" s="252"/>
      <c r="PZS385" s="252"/>
      <c r="PZT385" s="252"/>
      <c r="PZU385" s="252"/>
      <c r="PZV385" s="252"/>
      <c r="PZW385" s="252"/>
      <c r="PZX385" s="252"/>
      <c r="PZY385" s="252"/>
      <c r="PZZ385" s="252"/>
      <c r="QAA385" s="252"/>
      <c r="QAB385" s="252"/>
      <c r="QAC385" s="252"/>
      <c r="QAD385" s="252"/>
      <c r="QAE385" s="252"/>
      <c r="QAF385" s="252"/>
      <c r="QAG385" s="252"/>
      <c r="QAH385" s="252"/>
      <c r="QAI385" s="252"/>
      <c r="QAJ385" s="252"/>
      <c r="QAK385" s="252"/>
      <c r="QAL385" s="252"/>
      <c r="QAM385" s="252"/>
      <c r="QAN385" s="252"/>
      <c r="QAO385" s="252"/>
      <c r="QAP385" s="252"/>
      <c r="QAQ385" s="252"/>
      <c r="QAR385" s="252"/>
      <c r="QAS385" s="252"/>
      <c r="QAT385" s="252"/>
      <c r="QAU385" s="252"/>
      <c r="QAV385" s="252"/>
      <c r="QAW385" s="252"/>
      <c r="QAX385" s="252"/>
      <c r="QAY385" s="252"/>
      <c r="QAZ385" s="252"/>
      <c r="QBA385" s="252"/>
      <c r="QBB385" s="252"/>
      <c r="QBC385" s="252"/>
      <c r="QBD385" s="252"/>
      <c r="QBE385" s="252"/>
      <c r="QBF385" s="252"/>
      <c r="QBG385" s="252"/>
      <c r="QBH385" s="252"/>
      <c r="QBI385" s="252"/>
      <c r="QBJ385" s="252"/>
      <c r="QBK385" s="252"/>
      <c r="QBL385" s="252"/>
      <c r="QBM385" s="252"/>
      <c r="QBN385" s="252"/>
      <c r="QBO385" s="252"/>
      <c r="QBP385" s="252"/>
      <c r="QBQ385" s="252"/>
      <c r="QBR385" s="252"/>
      <c r="QBS385" s="252"/>
      <c r="QBT385" s="252"/>
      <c r="QBU385" s="252"/>
      <c r="QBV385" s="252"/>
      <c r="QBW385" s="252"/>
      <c r="QBX385" s="252"/>
      <c r="QBY385" s="252"/>
      <c r="QBZ385" s="252"/>
      <c r="QCA385" s="252"/>
      <c r="QCB385" s="252"/>
      <c r="QCC385" s="252"/>
      <c r="QCD385" s="252"/>
      <c r="QCE385" s="252"/>
      <c r="QCF385" s="252"/>
      <c r="QCG385" s="252"/>
      <c r="QCH385" s="252"/>
      <c r="QCI385" s="252"/>
      <c r="QCJ385" s="252"/>
      <c r="QCK385" s="252"/>
      <c r="QCL385" s="252"/>
      <c r="QCM385" s="252"/>
      <c r="QCN385" s="252"/>
      <c r="QCO385" s="252"/>
      <c r="QCP385" s="252"/>
      <c r="QCQ385" s="252"/>
      <c r="QCR385" s="252"/>
      <c r="QCS385" s="252"/>
      <c r="QCT385" s="252"/>
      <c r="QCU385" s="252"/>
      <c r="QCV385" s="252"/>
      <c r="QCW385" s="252"/>
      <c r="QCX385" s="252"/>
      <c r="QCY385" s="252"/>
      <c r="QCZ385" s="252"/>
      <c r="QDA385" s="252"/>
      <c r="QDB385" s="252"/>
      <c r="QDC385" s="252"/>
      <c r="QDD385" s="252"/>
      <c r="QDE385" s="252"/>
      <c r="QDF385" s="252"/>
      <c r="QDG385" s="252"/>
      <c r="QDH385" s="252"/>
      <c r="QDI385" s="252"/>
      <c r="QDJ385" s="252"/>
      <c r="QDK385" s="252"/>
      <c r="QDL385" s="252"/>
      <c r="QDM385" s="252"/>
      <c r="QDN385" s="252"/>
      <c r="QDO385" s="252"/>
      <c r="QDP385" s="252"/>
      <c r="QDQ385" s="252"/>
      <c r="QDR385" s="252"/>
      <c r="QDS385" s="252"/>
      <c r="QDT385" s="252"/>
      <c r="QDU385" s="252"/>
      <c r="QDV385" s="252"/>
      <c r="QDW385" s="252"/>
      <c r="QDX385" s="252"/>
      <c r="QDY385" s="252"/>
      <c r="QDZ385" s="252"/>
      <c r="QEA385" s="252"/>
      <c r="QEB385" s="252"/>
      <c r="QEC385" s="252"/>
      <c r="QED385" s="252"/>
      <c r="QEE385" s="252"/>
      <c r="QEF385" s="252"/>
      <c r="QEG385" s="252"/>
      <c r="QEH385" s="252"/>
      <c r="QEI385" s="252"/>
      <c r="QEJ385" s="252"/>
      <c r="QEK385" s="252"/>
      <c r="QEL385" s="252"/>
      <c r="QEM385" s="252"/>
      <c r="QEN385" s="252"/>
      <c r="QEO385" s="252"/>
      <c r="QEP385" s="252"/>
      <c r="QEQ385" s="252"/>
      <c r="QER385" s="252"/>
      <c r="QES385" s="252"/>
      <c r="QET385" s="252"/>
      <c r="QEU385" s="252"/>
      <c r="QEV385" s="252"/>
      <c r="QEW385" s="252"/>
      <c r="QEX385" s="252"/>
      <c r="QEY385" s="252"/>
      <c r="QEZ385" s="252"/>
      <c r="QFA385" s="252"/>
      <c r="QFB385" s="252"/>
      <c r="QFC385" s="252"/>
      <c r="QFD385" s="252"/>
      <c r="QFE385" s="252"/>
      <c r="QFF385" s="252"/>
      <c r="QFG385" s="252"/>
      <c r="QFH385" s="252"/>
      <c r="QFI385" s="252"/>
      <c r="QFJ385" s="252"/>
      <c r="QFK385" s="252"/>
      <c r="QFL385" s="252"/>
      <c r="QFM385" s="252"/>
      <c r="QFN385" s="252"/>
      <c r="QFO385" s="252"/>
      <c r="QFP385" s="252"/>
      <c r="QFQ385" s="252"/>
      <c r="QFR385" s="252"/>
      <c r="QFS385" s="252"/>
      <c r="QFT385" s="252"/>
      <c r="QFU385" s="252"/>
      <c r="QFV385" s="252"/>
      <c r="QFW385" s="252"/>
      <c r="QFX385" s="252"/>
      <c r="QFY385" s="252"/>
      <c r="QFZ385" s="252"/>
      <c r="QGA385" s="252"/>
      <c r="QGB385" s="252"/>
      <c r="QGC385" s="252"/>
      <c r="QGD385" s="252"/>
      <c r="QGE385" s="252"/>
      <c r="QGF385" s="252"/>
      <c r="QGG385" s="252"/>
      <c r="QGH385" s="252"/>
      <c r="QGI385" s="252"/>
      <c r="QGJ385" s="252"/>
      <c r="QGK385" s="252"/>
      <c r="QGL385" s="252"/>
      <c r="QGM385" s="252"/>
      <c r="QGN385" s="252"/>
      <c r="QGO385" s="252"/>
      <c r="QGP385" s="252"/>
      <c r="QGQ385" s="252"/>
      <c r="QGR385" s="252"/>
      <c r="QGS385" s="252"/>
      <c r="QGT385" s="252"/>
      <c r="QGU385" s="252"/>
      <c r="QGV385" s="252"/>
      <c r="QGW385" s="252"/>
      <c r="QGX385" s="252"/>
      <c r="QGY385" s="252"/>
      <c r="QGZ385" s="252"/>
      <c r="QHA385" s="252"/>
      <c r="QHB385" s="252"/>
      <c r="QHC385" s="252"/>
      <c r="QHD385" s="252"/>
      <c r="QHE385" s="252"/>
      <c r="QHF385" s="252"/>
      <c r="QHG385" s="252"/>
      <c r="QHH385" s="252"/>
      <c r="QHI385" s="252"/>
      <c r="QHJ385" s="252"/>
      <c r="QHK385" s="252"/>
      <c r="QHL385" s="252"/>
      <c r="QHM385" s="252"/>
      <c r="QHN385" s="252"/>
      <c r="QHO385" s="252"/>
      <c r="QHP385" s="252"/>
      <c r="QHQ385" s="252"/>
      <c r="QHR385" s="252"/>
      <c r="QHS385" s="252"/>
      <c r="QHT385" s="252"/>
      <c r="QHU385" s="252"/>
      <c r="QHV385" s="252"/>
      <c r="QHW385" s="252"/>
      <c r="QHX385" s="252"/>
      <c r="QHY385" s="252"/>
      <c r="QHZ385" s="252"/>
      <c r="QIA385" s="252"/>
      <c r="QIB385" s="252"/>
      <c r="QIC385" s="252"/>
      <c r="QID385" s="252"/>
      <c r="QIE385" s="252"/>
      <c r="QIF385" s="252"/>
      <c r="QIG385" s="252"/>
      <c r="QIH385" s="252"/>
      <c r="QII385" s="252"/>
      <c r="QIJ385" s="252"/>
      <c r="QIK385" s="252"/>
      <c r="QIL385" s="252"/>
      <c r="QIM385" s="252"/>
      <c r="QIN385" s="252"/>
      <c r="QIO385" s="252"/>
      <c r="QIP385" s="252"/>
      <c r="QIQ385" s="252"/>
      <c r="QIR385" s="252"/>
      <c r="QIS385" s="252"/>
      <c r="QIT385" s="252"/>
      <c r="QIU385" s="252"/>
      <c r="QIV385" s="252"/>
      <c r="QIW385" s="252"/>
      <c r="QIX385" s="252"/>
      <c r="QIY385" s="252"/>
      <c r="QIZ385" s="252"/>
      <c r="QJA385" s="252"/>
      <c r="QJB385" s="252"/>
      <c r="QJC385" s="252"/>
      <c r="QJD385" s="252"/>
      <c r="QJE385" s="252"/>
      <c r="QJF385" s="252"/>
      <c r="QJG385" s="252"/>
      <c r="QJH385" s="252"/>
      <c r="QJI385" s="252"/>
      <c r="QJJ385" s="252"/>
      <c r="QJK385" s="252"/>
      <c r="QJL385" s="252"/>
      <c r="QJM385" s="252"/>
      <c r="QJN385" s="252"/>
      <c r="QJO385" s="252"/>
      <c r="QJP385" s="252"/>
      <c r="QJQ385" s="252"/>
      <c r="QJR385" s="252"/>
      <c r="QJS385" s="252"/>
      <c r="QJT385" s="252"/>
      <c r="QJU385" s="252"/>
      <c r="QJV385" s="252"/>
      <c r="QJW385" s="252"/>
      <c r="QJX385" s="252"/>
      <c r="QJY385" s="252"/>
      <c r="QJZ385" s="252"/>
      <c r="QKA385" s="252"/>
      <c r="QKB385" s="252"/>
      <c r="QKC385" s="252"/>
      <c r="QKD385" s="252"/>
      <c r="QKE385" s="252"/>
      <c r="QKF385" s="252"/>
      <c r="QKG385" s="252"/>
      <c r="QKH385" s="252"/>
      <c r="QKI385" s="252"/>
      <c r="QKJ385" s="252"/>
      <c r="QKK385" s="252"/>
      <c r="QKL385" s="252"/>
      <c r="QKM385" s="252"/>
      <c r="QKN385" s="252"/>
      <c r="QKO385" s="252"/>
      <c r="QKP385" s="252"/>
      <c r="QKQ385" s="252"/>
      <c r="QKR385" s="252"/>
      <c r="QKS385" s="252"/>
      <c r="QKT385" s="252"/>
      <c r="QKU385" s="252"/>
      <c r="QKV385" s="252"/>
      <c r="QKW385" s="252"/>
      <c r="QKX385" s="252"/>
      <c r="QKY385" s="252"/>
      <c r="QKZ385" s="252"/>
      <c r="QLA385" s="252"/>
      <c r="QLB385" s="252"/>
      <c r="QLC385" s="252"/>
      <c r="QLD385" s="252"/>
      <c r="QLE385" s="252"/>
      <c r="QLF385" s="252"/>
      <c r="QLG385" s="252"/>
      <c r="QLH385" s="252"/>
      <c r="QLI385" s="252"/>
      <c r="QLJ385" s="252"/>
      <c r="QLK385" s="252"/>
      <c r="QLL385" s="252"/>
      <c r="QLM385" s="252"/>
      <c r="QLN385" s="252"/>
      <c r="QLO385" s="252"/>
      <c r="QLP385" s="252"/>
      <c r="QLQ385" s="252"/>
      <c r="QLR385" s="252"/>
      <c r="QLS385" s="252"/>
      <c r="QLT385" s="252"/>
      <c r="QLU385" s="252"/>
      <c r="QLV385" s="252"/>
      <c r="QLW385" s="252"/>
      <c r="QLX385" s="252"/>
      <c r="QLY385" s="252"/>
      <c r="QLZ385" s="252"/>
      <c r="QMA385" s="252"/>
      <c r="QMB385" s="252"/>
      <c r="QMC385" s="252"/>
      <c r="QMD385" s="252"/>
      <c r="QME385" s="252"/>
      <c r="QMF385" s="252"/>
      <c r="QMG385" s="252"/>
      <c r="QMH385" s="252"/>
      <c r="QMI385" s="252"/>
      <c r="QMJ385" s="252"/>
      <c r="QMK385" s="252"/>
      <c r="QML385" s="252"/>
      <c r="QMM385" s="252"/>
      <c r="QMN385" s="252"/>
      <c r="QMO385" s="252"/>
      <c r="QMP385" s="252"/>
      <c r="QMQ385" s="252"/>
      <c r="QMR385" s="252"/>
      <c r="QMS385" s="252"/>
      <c r="QMT385" s="252"/>
      <c r="QMU385" s="252"/>
      <c r="QMV385" s="252"/>
      <c r="QMW385" s="252"/>
      <c r="QMX385" s="252"/>
      <c r="QMY385" s="252"/>
      <c r="QMZ385" s="252"/>
      <c r="QNA385" s="252"/>
      <c r="QNB385" s="252"/>
      <c r="QNC385" s="252"/>
      <c r="QND385" s="252"/>
      <c r="QNE385" s="252"/>
      <c r="QNF385" s="252"/>
      <c r="QNG385" s="252"/>
      <c r="QNH385" s="252"/>
      <c r="QNI385" s="252"/>
      <c r="QNJ385" s="252"/>
      <c r="QNK385" s="252"/>
      <c r="QNL385" s="252"/>
      <c r="QNM385" s="252"/>
      <c r="QNN385" s="252"/>
      <c r="QNO385" s="252"/>
      <c r="QNP385" s="252"/>
      <c r="QNQ385" s="252"/>
      <c r="QNR385" s="252"/>
      <c r="QNS385" s="252"/>
      <c r="QNT385" s="252"/>
      <c r="QNU385" s="252"/>
      <c r="QNV385" s="252"/>
      <c r="QNW385" s="252"/>
      <c r="QNX385" s="252"/>
      <c r="QNY385" s="252"/>
      <c r="QNZ385" s="252"/>
      <c r="QOA385" s="252"/>
      <c r="QOB385" s="252"/>
      <c r="QOC385" s="252"/>
      <c r="QOD385" s="252"/>
      <c r="QOE385" s="252"/>
      <c r="QOF385" s="252"/>
      <c r="QOG385" s="252"/>
      <c r="QOH385" s="252"/>
      <c r="QOI385" s="252"/>
      <c r="QOJ385" s="252"/>
      <c r="QOK385" s="252"/>
      <c r="QOL385" s="252"/>
      <c r="QOM385" s="252"/>
      <c r="QON385" s="252"/>
      <c r="QOO385" s="252"/>
      <c r="QOP385" s="252"/>
      <c r="QOQ385" s="252"/>
      <c r="QOR385" s="252"/>
      <c r="QOS385" s="252"/>
      <c r="QOT385" s="252"/>
      <c r="QOU385" s="252"/>
      <c r="QOV385" s="252"/>
      <c r="QOW385" s="252"/>
      <c r="QOX385" s="252"/>
      <c r="QOY385" s="252"/>
      <c r="QOZ385" s="252"/>
      <c r="QPA385" s="252"/>
      <c r="QPB385" s="252"/>
      <c r="QPC385" s="252"/>
      <c r="QPD385" s="252"/>
      <c r="QPE385" s="252"/>
      <c r="QPF385" s="252"/>
      <c r="QPG385" s="252"/>
      <c r="QPH385" s="252"/>
      <c r="QPI385" s="252"/>
      <c r="QPJ385" s="252"/>
      <c r="QPK385" s="252"/>
      <c r="QPL385" s="252"/>
      <c r="QPM385" s="252"/>
      <c r="QPN385" s="252"/>
      <c r="QPO385" s="252"/>
      <c r="QPP385" s="252"/>
      <c r="QPQ385" s="252"/>
      <c r="QPR385" s="252"/>
      <c r="QPS385" s="252"/>
      <c r="QPT385" s="252"/>
      <c r="QPU385" s="252"/>
      <c r="QPV385" s="252"/>
      <c r="QPW385" s="252"/>
      <c r="QPX385" s="252"/>
      <c r="QPY385" s="252"/>
      <c r="QPZ385" s="252"/>
      <c r="QQA385" s="252"/>
      <c r="QQB385" s="252"/>
      <c r="QQC385" s="252"/>
      <c r="QQD385" s="252"/>
      <c r="QQE385" s="252"/>
      <c r="QQF385" s="252"/>
      <c r="QQG385" s="252"/>
      <c r="QQH385" s="252"/>
      <c r="QQI385" s="252"/>
      <c r="QQJ385" s="252"/>
      <c r="QQK385" s="252"/>
      <c r="QQL385" s="252"/>
      <c r="QQM385" s="252"/>
      <c r="QQN385" s="252"/>
      <c r="QQO385" s="252"/>
      <c r="QQP385" s="252"/>
      <c r="QQQ385" s="252"/>
      <c r="QQR385" s="252"/>
      <c r="QQS385" s="252"/>
      <c r="QQT385" s="252"/>
      <c r="QQU385" s="252"/>
      <c r="QQV385" s="252"/>
      <c r="QQW385" s="252"/>
      <c r="QQX385" s="252"/>
      <c r="QQY385" s="252"/>
      <c r="QQZ385" s="252"/>
      <c r="QRA385" s="252"/>
      <c r="QRB385" s="252"/>
      <c r="QRC385" s="252"/>
      <c r="QRD385" s="252"/>
      <c r="QRE385" s="252"/>
      <c r="QRF385" s="252"/>
      <c r="QRG385" s="252"/>
      <c r="QRH385" s="252"/>
      <c r="QRI385" s="252"/>
      <c r="QRJ385" s="252"/>
      <c r="QRK385" s="252"/>
      <c r="QRL385" s="252"/>
      <c r="QRM385" s="252"/>
      <c r="QRN385" s="252"/>
      <c r="QRO385" s="252"/>
      <c r="QRP385" s="252"/>
      <c r="QRQ385" s="252"/>
      <c r="QRR385" s="252"/>
      <c r="QRS385" s="252"/>
      <c r="QRT385" s="252"/>
      <c r="QRU385" s="252"/>
      <c r="QRV385" s="252"/>
      <c r="QRW385" s="252"/>
      <c r="QRX385" s="252"/>
      <c r="QRY385" s="252"/>
      <c r="QRZ385" s="252"/>
      <c r="QSA385" s="252"/>
      <c r="QSB385" s="252"/>
      <c r="QSC385" s="252"/>
      <c r="QSD385" s="252"/>
      <c r="QSE385" s="252"/>
      <c r="QSF385" s="252"/>
      <c r="QSG385" s="252"/>
      <c r="QSH385" s="252"/>
      <c r="QSI385" s="252"/>
      <c r="QSJ385" s="252"/>
      <c r="QSK385" s="252"/>
      <c r="QSL385" s="252"/>
      <c r="QSM385" s="252"/>
      <c r="QSN385" s="252"/>
      <c r="QSO385" s="252"/>
      <c r="QSP385" s="252"/>
      <c r="QSQ385" s="252"/>
      <c r="QSR385" s="252"/>
      <c r="QSS385" s="252"/>
      <c r="QST385" s="252"/>
      <c r="QSU385" s="252"/>
      <c r="QSV385" s="252"/>
      <c r="QSW385" s="252"/>
      <c r="QSX385" s="252"/>
      <c r="QSY385" s="252"/>
      <c r="QSZ385" s="252"/>
      <c r="QTA385" s="252"/>
      <c r="QTB385" s="252"/>
      <c r="QTC385" s="252"/>
      <c r="QTD385" s="252"/>
      <c r="QTE385" s="252"/>
      <c r="QTF385" s="252"/>
      <c r="QTG385" s="252"/>
      <c r="QTH385" s="252"/>
      <c r="QTI385" s="252"/>
      <c r="QTJ385" s="252"/>
      <c r="QTK385" s="252"/>
      <c r="QTL385" s="252"/>
      <c r="QTM385" s="252"/>
      <c r="QTN385" s="252"/>
      <c r="QTO385" s="252"/>
      <c r="QTP385" s="252"/>
      <c r="QTQ385" s="252"/>
      <c r="QTR385" s="252"/>
      <c r="QTS385" s="252"/>
      <c r="QTT385" s="252"/>
      <c r="QTU385" s="252"/>
      <c r="QTV385" s="252"/>
      <c r="QTW385" s="252"/>
      <c r="QTX385" s="252"/>
      <c r="QTY385" s="252"/>
      <c r="QTZ385" s="252"/>
      <c r="QUA385" s="252"/>
      <c r="QUB385" s="252"/>
      <c r="QUC385" s="252"/>
      <c r="QUD385" s="252"/>
      <c r="QUE385" s="252"/>
      <c r="QUF385" s="252"/>
      <c r="QUG385" s="252"/>
      <c r="QUH385" s="252"/>
      <c r="QUI385" s="252"/>
      <c r="QUJ385" s="252"/>
      <c r="QUK385" s="252"/>
      <c r="QUL385" s="252"/>
      <c r="QUM385" s="252"/>
      <c r="QUN385" s="252"/>
      <c r="QUO385" s="252"/>
      <c r="QUP385" s="252"/>
      <c r="QUQ385" s="252"/>
      <c r="QUR385" s="252"/>
      <c r="QUS385" s="252"/>
      <c r="QUT385" s="252"/>
      <c r="QUU385" s="252"/>
      <c r="QUV385" s="252"/>
      <c r="QUW385" s="252"/>
      <c r="QUX385" s="252"/>
      <c r="QUY385" s="252"/>
      <c r="QUZ385" s="252"/>
      <c r="QVA385" s="252"/>
      <c r="QVB385" s="252"/>
      <c r="QVC385" s="252"/>
      <c r="QVD385" s="252"/>
      <c r="QVE385" s="252"/>
      <c r="QVF385" s="252"/>
      <c r="QVG385" s="252"/>
      <c r="QVH385" s="252"/>
      <c r="QVI385" s="252"/>
      <c r="QVJ385" s="252"/>
      <c r="QVK385" s="252"/>
      <c r="QVL385" s="252"/>
      <c r="QVM385" s="252"/>
      <c r="QVN385" s="252"/>
      <c r="QVO385" s="252"/>
      <c r="QVP385" s="252"/>
      <c r="QVQ385" s="252"/>
      <c r="QVR385" s="252"/>
      <c r="QVS385" s="252"/>
      <c r="QVT385" s="252"/>
      <c r="QVU385" s="252"/>
      <c r="QVV385" s="252"/>
      <c r="QVW385" s="252"/>
      <c r="QVX385" s="252"/>
      <c r="QVY385" s="252"/>
      <c r="QVZ385" s="252"/>
      <c r="QWA385" s="252"/>
      <c r="QWB385" s="252"/>
      <c r="QWC385" s="252"/>
      <c r="QWD385" s="252"/>
      <c r="QWE385" s="252"/>
      <c r="QWF385" s="252"/>
      <c r="QWG385" s="252"/>
      <c r="QWH385" s="252"/>
      <c r="QWI385" s="252"/>
      <c r="QWJ385" s="252"/>
      <c r="QWK385" s="252"/>
      <c r="QWL385" s="252"/>
      <c r="QWM385" s="252"/>
      <c r="QWN385" s="252"/>
      <c r="QWO385" s="252"/>
      <c r="QWP385" s="252"/>
      <c r="QWQ385" s="252"/>
      <c r="QWR385" s="252"/>
      <c r="QWS385" s="252"/>
      <c r="QWT385" s="252"/>
      <c r="QWU385" s="252"/>
      <c r="QWV385" s="252"/>
      <c r="QWW385" s="252"/>
      <c r="QWX385" s="252"/>
      <c r="QWY385" s="252"/>
      <c r="QWZ385" s="252"/>
      <c r="QXA385" s="252"/>
      <c r="QXB385" s="252"/>
      <c r="QXC385" s="252"/>
      <c r="QXD385" s="252"/>
      <c r="QXE385" s="252"/>
      <c r="QXF385" s="252"/>
      <c r="QXG385" s="252"/>
      <c r="QXH385" s="252"/>
      <c r="QXI385" s="252"/>
      <c r="QXJ385" s="252"/>
      <c r="QXK385" s="252"/>
      <c r="QXL385" s="252"/>
      <c r="QXM385" s="252"/>
      <c r="QXN385" s="252"/>
      <c r="QXO385" s="252"/>
      <c r="QXP385" s="252"/>
      <c r="QXQ385" s="252"/>
      <c r="QXR385" s="252"/>
      <c r="QXS385" s="252"/>
      <c r="QXT385" s="252"/>
      <c r="QXU385" s="252"/>
      <c r="QXV385" s="252"/>
      <c r="QXW385" s="252"/>
      <c r="QXX385" s="252"/>
      <c r="QXY385" s="252"/>
      <c r="QXZ385" s="252"/>
      <c r="QYA385" s="252"/>
      <c r="QYB385" s="252"/>
      <c r="QYC385" s="252"/>
      <c r="QYD385" s="252"/>
      <c r="QYE385" s="252"/>
      <c r="QYF385" s="252"/>
      <c r="QYG385" s="252"/>
      <c r="QYH385" s="252"/>
      <c r="QYI385" s="252"/>
      <c r="QYJ385" s="252"/>
      <c r="QYK385" s="252"/>
      <c r="QYL385" s="252"/>
      <c r="QYM385" s="252"/>
      <c r="QYN385" s="252"/>
      <c r="QYO385" s="252"/>
      <c r="QYP385" s="252"/>
      <c r="QYQ385" s="252"/>
      <c r="QYR385" s="252"/>
      <c r="QYS385" s="252"/>
      <c r="QYT385" s="252"/>
      <c r="QYU385" s="252"/>
      <c r="QYV385" s="252"/>
      <c r="QYW385" s="252"/>
      <c r="QYX385" s="252"/>
      <c r="QYY385" s="252"/>
      <c r="QYZ385" s="252"/>
      <c r="QZA385" s="252"/>
      <c r="QZB385" s="252"/>
      <c r="QZC385" s="252"/>
      <c r="QZD385" s="252"/>
      <c r="QZE385" s="252"/>
      <c r="QZF385" s="252"/>
      <c r="QZG385" s="252"/>
      <c r="QZH385" s="252"/>
      <c r="QZI385" s="252"/>
      <c r="QZJ385" s="252"/>
      <c r="QZK385" s="252"/>
      <c r="QZL385" s="252"/>
      <c r="QZM385" s="252"/>
      <c r="QZN385" s="252"/>
      <c r="QZO385" s="252"/>
      <c r="QZP385" s="252"/>
      <c r="QZQ385" s="252"/>
      <c r="QZR385" s="252"/>
      <c r="QZS385" s="252"/>
      <c r="QZT385" s="252"/>
      <c r="QZU385" s="252"/>
      <c r="QZV385" s="252"/>
      <c r="QZW385" s="252"/>
      <c r="QZX385" s="252"/>
      <c r="QZY385" s="252"/>
      <c r="QZZ385" s="252"/>
      <c r="RAA385" s="252"/>
      <c r="RAB385" s="252"/>
      <c r="RAC385" s="252"/>
      <c r="RAD385" s="252"/>
      <c r="RAE385" s="252"/>
      <c r="RAF385" s="252"/>
      <c r="RAG385" s="252"/>
      <c r="RAH385" s="252"/>
      <c r="RAI385" s="252"/>
      <c r="RAJ385" s="252"/>
      <c r="RAK385" s="252"/>
      <c r="RAL385" s="252"/>
      <c r="RAM385" s="252"/>
      <c r="RAN385" s="252"/>
      <c r="RAO385" s="252"/>
      <c r="RAP385" s="252"/>
      <c r="RAQ385" s="252"/>
      <c r="RAR385" s="252"/>
      <c r="RAS385" s="252"/>
      <c r="RAT385" s="252"/>
      <c r="RAU385" s="252"/>
      <c r="RAV385" s="252"/>
      <c r="RAW385" s="252"/>
      <c r="RAX385" s="252"/>
      <c r="RAY385" s="252"/>
      <c r="RAZ385" s="252"/>
      <c r="RBA385" s="252"/>
      <c r="RBB385" s="252"/>
      <c r="RBC385" s="252"/>
      <c r="RBD385" s="252"/>
      <c r="RBE385" s="252"/>
      <c r="RBF385" s="252"/>
      <c r="RBG385" s="252"/>
      <c r="RBH385" s="252"/>
      <c r="RBI385" s="252"/>
      <c r="RBJ385" s="252"/>
      <c r="RBK385" s="252"/>
      <c r="RBL385" s="252"/>
      <c r="RBM385" s="252"/>
      <c r="RBN385" s="252"/>
      <c r="RBO385" s="252"/>
      <c r="RBP385" s="252"/>
      <c r="RBQ385" s="252"/>
      <c r="RBR385" s="252"/>
      <c r="RBS385" s="252"/>
      <c r="RBT385" s="252"/>
      <c r="RBU385" s="252"/>
      <c r="RBV385" s="252"/>
      <c r="RBW385" s="252"/>
      <c r="RBX385" s="252"/>
      <c r="RBY385" s="252"/>
      <c r="RBZ385" s="252"/>
      <c r="RCA385" s="252"/>
      <c r="RCB385" s="252"/>
      <c r="RCC385" s="252"/>
      <c r="RCD385" s="252"/>
      <c r="RCE385" s="252"/>
      <c r="RCF385" s="252"/>
      <c r="RCG385" s="252"/>
      <c r="RCH385" s="252"/>
      <c r="RCI385" s="252"/>
      <c r="RCJ385" s="252"/>
      <c r="RCK385" s="252"/>
      <c r="RCL385" s="252"/>
      <c r="RCM385" s="252"/>
      <c r="RCN385" s="252"/>
      <c r="RCO385" s="252"/>
      <c r="RCP385" s="252"/>
      <c r="RCQ385" s="252"/>
      <c r="RCR385" s="252"/>
      <c r="RCS385" s="252"/>
      <c r="RCT385" s="252"/>
      <c r="RCU385" s="252"/>
      <c r="RCV385" s="252"/>
      <c r="RCW385" s="252"/>
      <c r="RCX385" s="252"/>
      <c r="RCY385" s="252"/>
      <c r="RCZ385" s="252"/>
      <c r="RDA385" s="252"/>
      <c r="RDB385" s="252"/>
      <c r="RDC385" s="252"/>
      <c r="RDD385" s="252"/>
      <c r="RDE385" s="252"/>
      <c r="RDF385" s="252"/>
      <c r="RDG385" s="252"/>
      <c r="RDH385" s="252"/>
      <c r="RDI385" s="252"/>
      <c r="RDJ385" s="252"/>
      <c r="RDK385" s="252"/>
      <c r="RDL385" s="252"/>
      <c r="RDM385" s="252"/>
      <c r="RDN385" s="252"/>
      <c r="RDO385" s="252"/>
      <c r="RDP385" s="252"/>
      <c r="RDQ385" s="252"/>
      <c r="RDR385" s="252"/>
      <c r="RDS385" s="252"/>
      <c r="RDT385" s="252"/>
      <c r="RDU385" s="252"/>
      <c r="RDV385" s="252"/>
      <c r="RDW385" s="252"/>
      <c r="RDX385" s="252"/>
      <c r="RDY385" s="252"/>
      <c r="RDZ385" s="252"/>
      <c r="REA385" s="252"/>
      <c r="REB385" s="252"/>
      <c r="REC385" s="252"/>
      <c r="RED385" s="252"/>
      <c r="REE385" s="252"/>
      <c r="REF385" s="252"/>
      <c r="REG385" s="252"/>
      <c r="REH385" s="252"/>
      <c r="REI385" s="252"/>
      <c r="REJ385" s="252"/>
      <c r="REK385" s="252"/>
      <c r="REL385" s="252"/>
      <c r="REM385" s="252"/>
      <c r="REN385" s="252"/>
      <c r="REO385" s="252"/>
      <c r="REP385" s="252"/>
      <c r="REQ385" s="252"/>
      <c r="RER385" s="252"/>
      <c r="RES385" s="252"/>
      <c r="RET385" s="252"/>
      <c r="REU385" s="252"/>
      <c r="REV385" s="252"/>
      <c r="REW385" s="252"/>
      <c r="REX385" s="252"/>
      <c r="REY385" s="252"/>
      <c r="REZ385" s="252"/>
      <c r="RFA385" s="252"/>
      <c r="RFB385" s="252"/>
      <c r="RFC385" s="252"/>
      <c r="RFD385" s="252"/>
      <c r="RFE385" s="252"/>
      <c r="RFF385" s="252"/>
      <c r="RFG385" s="252"/>
      <c r="RFH385" s="252"/>
      <c r="RFI385" s="252"/>
      <c r="RFJ385" s="252"/>
      <c r="RFK385" s="252"/>
      <c r="RFL385" s="252"/>
      <c r="RFM385" s="252"/>
      <c r="RFN385" s="252"/>
      <c r="RFO385" s="252"/>
      <c r="RFP385" s="252"/>
      <c r="RFQ385" s="252"/>
      <c r="RFR385" s="252"/>
      <c r="RFS385" s="252"/>
      <c r="RFT385" s="252"/>
      <c r="RFU385" s="252"/>
      <c r="RFV385" s="252"/>
      <c r="RFW385" s="252"/>
      <c r="RFX385" s="252"/>
      <c r="RFY385" s="252"/>
      <c r="RFZ385" s="252"/>
      <c r="RGA385" s="252"/>
      <c r="RGB385" s="252"/>
      <c r="RGC385" s="252"/>
      <c r="RGD385" s="252"/>
      <c r="RGE385" s="252"/>
      <c r="RGF385" s="252"/>
      <c r="RGG385" s="252"/>
      <c r="RGH385" s="252"/>
      <c r="RGI385" s="252"/>
      <c r="RGJ385" s="252"/>
      <c r="RGK385" s="252"/>
      <c r="RGL385" s="252"/>
      <c r="RGM385" s="252"/>
      <c r="RGN385" s="252"/>
      <c r="RGO385" s="252"/>
      <c r="RGP385" s="252"/>
      <c r="RGQ385" s="252"/>
      <c r="RGR385" s="252"/>
      <c r="RGS385" s="252"/>
      <c r="RGT385" s="252"/>
      <c r="RGU385" s="252"/>
      <c r="RGV385" s="252"/>
      <c r="RGW385" s="252"/>
      <c r="RGX385" s="252"/>
      <c r="RGY385" s="252"/>
      <c r="RGZ385" s="252"/>
      <c r="RHA385" s="252"/>
      <c r="RHB385" s="252"/>
      <c r="RHC385" s="252"/>
      <c r="RHD385" s="252"/>
      <c r="RHE385" s="252"/>
      <c r="RHF385" s="252"/>
      <c r="RHG385" s="252"/>
      <c r="RHH385" s="252"/>
      <c r="RHI385" s="252"/>
      <c r="RHJ385" s="252"/>
      <c r="RHK385" s="252"/>
      <c r="RHL385" s="252"/>
      <c r="RHM385" s="252"/>
      <c r="RHN385" s="252"/>
      <c r="RHO385" s="252"/>
      <c r="RHP385" s="252"/>
      <c r="RHQ385" s="252"/>
      <c r="RHR385" s="252"/>
      <c r="RHS385" s="252"/>
      <c r="RHT385" s="252"/>
      <c r="RHU385" s="252"/>
      <c r="RHV385" s="252"/>
      <c r="RHW385" s="252"/>
      <c r="RHX385" s="252"/>
      <c r="RHY385" s="252"/>
      <c r="RHZ385" s="252"/>
      <c r="RIA385" s="252"/>
      <c r="RIB385" s="252"/>
      <c r="RIC385" s="252"/>
      <c r="RID385" s="252"/>
      <c r="RIE385" s="252"/>
      <c r="RIF385" s="252"/>
      <c r="RIG385" s="252"/>
      <c r="RIH385" s="252"/>
      <c r="RII385" s="252"/>
      <c r="RIJ385" s="252"/>
      <c r="RIK385" s="252"/>
      <c r="RIL385" s="252"/>
      <c r="RIM385" s="252"/>
      <c r="RIN385" s="252"/>
      <c r="RIO385" s="252"/>
      <c r="RIP385" s="252"/>
      <c r="RIQ385" s="252"/>
      <c r="RIR385" s="252"/>
      <c r="RIS385" s="252"/>
      <c r="RIT385" s="252"/>
      <c r="RIU385" s="252"/>
      <c r="RIV385" s="252"/>
      <c r="RIW385" s="252"/>
      <c r="RIX385" s="252"/>
      <c r="RIY385" s="252"/>
      <c r="RIZ385" s="252"/>
      <c r="RJA385" s="252"/>
      <c r="RJB385" s="252"/>
      <c r="RJC385" s="252"/>
      <c r="RJD385" s="252"/>
      <c r="RJE385" s="252"/>
      <c r="RJF385" s="252"/>
      <c r="RJG385" s="252"/>
      <c r="RJH385" s="252"/>
      <c r="RJI385" s="252"/>
      <c r="RJJ385" s="252"/>
      <c r="RJK385" s="252"/>
      <c r="RJL385" s="252"/>
      <c r="RJM385" s="252"/>
      <c r="RJN385" s="252"/>
      <c r="RJO385" s="252"/>
      <c r="RJP385" s="252"/>
      <c r="RJQ385" s="252"/>
      <c r="RJR385" s="252"/>
      <c r="RJS385" s="252"/>
      <c r="RJT385" s="252"/>
      <c r="RJU385" s="252"/>
      <c r="RJV385" s="252"/>
      <c r="RJW385" s="252"/>
      <c r="RJX385" s="252"/>
      <c r="RJY385" s="252"/>
      <c r="RJZ385" s="252"/>
      <c r="RKA385" s="252"/>
      <c r="RKB385" s="252"/>
      <c r="RKC385" s="252"/>
      <c r="RKD385" s="252"/>
      <c r="RKE385" s="252"/>
      <c r="RKF385" s="252"/>
      <c r="RKG385" s="252"/>
      <c r="RKH385" s="252"/>
      <c r="RKI385" s="252"/>
      <c r="RKJ385" s="252"/>
      <c r="RKK385" s="252"/>
      <c r="RKL385" s="252"/>
      <c r="RKM385" s="252"/>
      <c r="RKN385" s="252"/>
      <c r="RKO385" s="252"/>
      <c r="RKP385" s="252"/>
      <c r="RKQ385" s="252"/>
      <c r="RKR385" s="252"/>
      <c r="RKS385" s="252"/>
      <c r="RKT385" s="252"/>
      <c r="RKU385" s="252"/>
      <c r="RKV385" s="252"/>
      <c r="RKW385" s="252"/>
      <c r="RKX385" s="252"/>
      <c r="RKY385" s="252"/>
      <c r="RKZ385" s="252"/>
      <c r="RLA385" s="252"/>
      <c r="RLB385" s="252"/>
      <c r="RLC385" s="252"/>
      <c r="RLD385" s="252"/>
      <c r="RLE385" s="252"/>
      <c r="RLF385" s="252"/>
      <c r="RLG385" s="252"/>
      <c r="RLH385" s="252"/>
      <c r="RLI385" s="252"/>
      <c r="RLJ385" s="252"/>
      <c r="RLK385" s="252"/>
      <c r="RLL385" s="252"/>
      <c r="RLM385" s="252"/>
      <c r="RLN385" s="252"/>
      <c r="RLO385" s="252"/>
      <c r="RLP385" s="252"/>
      <c r="RLQ385" s="252"/>
      <c r="RLR385" s="252"/>
      <c r="RLS385" s="252"/>
      <c r="RLT385" s="252"/>
      <c r="RLU385" s="252"/>
      <c r="RLV385" s="252"/>
      <c r="RLW385" s="252"/>
      <c r="RLX385" s="252"/>
      <c r="RLY385" s="252"/>
      <c r="RLZ385" s="252"/>
      <c r="RMA385" s="252"/>
      <c r="RMB385" s="252"/>
      <c r="RMC385" s="252"/>
      <c r="RMD385" s="252"/>
      <c r="RME385" s="252"/>
      <c r="RMF385" s="252"/>
      <c r="RMG385" s="252"/>
      <c r="RMH385" s="252"/>
      <c r="RMI385" s="252"/>
      <c r="RMJ385" s="252"/>
      <c r="RMK385" s="252"/>
      <c r="RML385" s="252"/>
      <c r="RMM385" s="252"/>
      <c r="RMN385" s="252"/>
      <c r="RMO385" s="252"/>
      <c r="RMP385" s="252"/>
      <c r="RMQ385" s="252"/>
      <c r="RMR385" s="252"/>
      <c r="RMS385" s="252"/>
      <c r="RMT385" s="252"/>
      <c r="RMU385" s="252"/>
      <c r="RMV385" s="252"/>
      <c r="RMW385" s="252"/>
      <c r="RMX385" s="252"/>
      <c r="RMY385" s="252"/>
      <c r="RMZ385" s="252"/>
      <c r="RNA385" s="252"/>
      <c r="RNB385" s="252"/>
      <c r="RNC385" s="252"/>
      <c r="RND385" s="252"/>
      <c r="RNE385" s="252"/>
      <c r="RNF385" s="252"/>
      <c r="RNG385" s="252"/>
      <c r="RNH385" s="252"/>
      <c r="RNI385" s="252"/>
      <c r="RNJ385" s="252"/>
      <c r="RNK385" s="252"/>
      <c r="RNL385" s="252"/>
      <c r="RNM385" s="252"/>
      <c r="RNN385" s="252"/>
      <c r="RNO385" s="252"/>
      <c r="RNP385" s="252"/>
      <c r="RNQ385" s="252"/>
      <c r="RNR385" s="252"/>
      <c r="RNS385" s="252"/>
      <c r="RNT385" s="252"/>
      <c r="RNU385" s="252"/>
      <c r="RNV385" s="252"/>
      <c r="RNW385" s="252"/>
      <c r="RNX385" s="252"/>
      <c r="RNY385" s="252"/>
      <c r="RNZ385" s="252"/>
      <c r="ROA385" s="252"/>
      <c r="ROB385" s="252"/>
      <c r="ROC385" s="252"/>
      <c r="ROD385" s="252"/>
      <c r="ROE385" s="252"/>
      <c r="ROF385" s="252"/>
      <c r="ROG385" s="252"/>
      <c r="ROH385" s="252"/>
      <c r="ROI385" s="252"/>
      <c r="ROJ385" s="252"/>
      <c r="ROK385" s="252"/>
      <c r="ROL385" s="252"/>
      <c r="ROM385" s="252"/>
      <c r="RON385" s="252"/>
      <c r="ROO385" s="252"/>
      <c r="ROP385" s="252"/>
      <c r="ROQ385" s="252"/>
      <c r="ROR385" s="252"/>
      <c r="ROS385" s="252"/>
      <c r="ROT385" s="252"/>
      <c r="ROU385" s="252"/>
      <c r="ROV385" s="252"/>
      <c r="ROW385" s="252"/>
      <c r="ROX385" s="252"/>
      <c r="ROY385" s="252"/>
      <c r="ROZ385" s="252"/>
      <c r="RPA385" s="252"/>
      <c r="RPB385" s="252"/>
      <c r="RPC385" s="252"/>
      <c r="RPD385" s="252"/>
      <c r="RPE385" s="252"/>
      <c r="RPF385" s="252"/>
      <c r="RPG385" s="252"/>
      <c r="RPH385" s="252"/>
      <c r="RPI385" s="252"/>
      <c r="RPJ385" s="252"/>
      <c r="RPK385" s="252"/>
      <c r="RPL385" s="252"/>
      <c r="RPM385" s="252"/>
      <c r="RPN385" s="252"/>
      <c r="RPO385" s="252"/>
      <c r="RPP385" s="252"/>
      <c r="RPQ385" s="252"/>
      <c r="RPR385" s="252"/>
      <c r="RPS385" s="252"/>
      <c r="RPT385" s="252"/>
      <c r="RPU385" s="252"/>
      <c r="RPV385" s="252"/>
      <c r="RPW385" s="252"/>
      <c r="RPX385" s="252"/>
      <c r="RPY385" s="252"/>
      <c r="RPZ385" s="252"/>
      <c r="RQA385" s="252"/>
      <c r="RQB385" s="252"/>
      <c r="RQC385" s="252"/>
      <c r="RQD385" s="252"/>
      <c r="RQE385" s="252"/>
      <c r="RQF385" s="252"/>
      <c r="RQG385" s="252"/>
      <c r="RQH385" s="252"/>
      <c r="RQI385" s="252"/>
      <c r="RQJ385" s="252"/>
      <c r="RQK385" s="252"/>
      <c r="RQL385" s="252"/>
      <c r="RQM385" s="252"/>
      <c r="RQN385" s="252"/>
      <c r="RQO385" s="252"/>
      <c r="RQP385" s="252"/>
      <c r="RQQ385" s="252"/>
      <c r="RQR385" s="252"/>
      <c r="RQS385" s="252"/>
      <c r="RQT385" s="252"/>
      <c r="RQU385" s="252"/>
      <c r="RQV385" s="252"/>
      <c r="RQW385" s="252"/>
      <c r="RQX385" s="252"/>
      <c r="RQY385" s="252"/>
      <c r="RQZ385" s="252"/>
      <c r="RRA385" s="252"/>
      <c r="RRB385" s="252"/>
      <c r="RRC385" s="252"/>
      <c r="RRD385" s="252"/>
      <c r="RRE385" s="252"/>
      <c r="RRF385" s="252"/>
      <c r="RRG385" s="252"/>
      <c r="RRH385" s="252"/>
      <c r="RRI385" s="252"/>
      <c r="RRJ385" s="252"/>
      <c r="RRK385" s="252"/>
      <c r="RRL385" s="252"/>
      <c r="RRM385" s="252"/>
      <c r="RRN385" s="252"/>
      <c r="RRO385" s="252"/>
      <c r="RRP385" s="252"/>
      <c r="RRQ385" s="252"/>
      <c r="RRR385" s="252"/>
      <c r="RRS385" s="252"/>
      <c r="RRT385" s="252"/>
      <c r="RRU385" s="252"/>
      <c r="RRV385" s="252"/>
      <c r="RRW385" s="252"/>
      <c r="RRX385" s="252"/>
      <c r="RRY385" s="252"/>
      <c r="RRZ385" s="252"/>
      <c r="RSA385" s="252"/>
      <c r="RSB385" s="252"/>
      <c r="RSC385" s="252"/>
      <c r="RSD385" s="252"/>
      <c r="RSE385" s="252"/>
      <c r="RSF385" s="252"/>
      <c r="RSG385" s="252"/>
      <c r="RSH385" s="252"/>
      <c r="RSI385" s="252"/>
      <c r="RSJ385" s="252"/>
      <c r="RSK385" s="252"/>
      <c r="RSL385" s="252"/>
      <c r="RSM385" s="252"/>
      <c r="RSN385" s="252"/>
      <c r="RSO385" s="252"/>
      <c r="RSP385" s="252"/>
      <c r="RSQ385" s="252"/>
      <c r="RSR385" s="252"/>
      <c r="RSS385" s="252"/>
      <c r="RST385" s="252"/>
      <c r="RSU385" s="252"/>
      <c r="RSV385" s="252"/>
      <c r="RSW385" s="252"/>
      <c r="RSX385" s="252"/>
      <c r="RSY385" s="252"/>
      <c r="RSZ385" s="252"/>
      <c r="RTA385" s="252"/>
      <c r="RTB385" s="252"/>
      <c r="RTC385" s="252"/>
      <c r="RTD385" s="252"/>
      <c r="RTE385" s="252"/>
      <c r="RTF385" s="252"/>
      <c r="RTG385" s="252"/>
      <c r="RTH385" s="252"/>
      <c r="RTI385" s="252"/>
      <c r="RTJ385" s="252"/>
      <c r="RTK385" s="252"/>
      <c r="RTL385" s="252"/>
      <c r="RTM385" s="252"/>
      <c r="RTN385" s="252"/>
      <c r="RTO385" s="252"/>
      <c r="RTP385" s="252"/>
      <c r="RTQ385" s="252"/>
      <c r="RTR385" s="252"/>
      <c r="RTS385" s="252"/>
      <c r="RTT385" s="252"/>
      <c r="RTU385" s="252"/>
      <c r="RTV385" s="252"/>
      <c r="RTW385" s="252"/>
      <c r="RTX385" s="252"/>
      <c r="RTY385" s="252"/>
      <c r="RTZ385" s="252"/>
      <c r="RUA385" s="252"/>
      <c r="RUB385" s="252"/>
      <c r="RUC385" s="252"/>
      <c r="RUD385" s="252"/>
      <c r="RUE385" s="252"/>
      <c r="RUF385" s="252"/>
      <c r="RUG385" s="252"/>
      <c r="RUH385" s="252"/>
      <c r="RUI385" s="252"/>
      <c r="RUJ385" s="252"/>
      <c r="RUK385" s="252"/>
      <c r="RUL385" s="252"/>
      <c r="RUM385" s="252"/>
      <c r="RUN385" s="252"/>
      <c r="RUO385" s="252"/>
      <c r="RUP385" s="252"/>
      <c r="RUQ385" s="252"/>
      <c r="RUR385" s="252"/>
      <c r="RUS385" s="252"/>
      <c r="RUT385" s="252"/>
      <c r="RUU385" s="252"/>
      <c r="RUV385" s="252"/>
      <c r="RUW385" s="252"/>
      <c r="RUX385" s="252"/>
      <c r="RUY385" s="252"/>
      <c r="RUZ385" s="252"/>
      <c r="RVA385" s="252"/>
      <c r="RVB385" s="252"/>
      <c r="RVC385" s="252"/>
      <c r="RVD385" s="252"/>
      <c r="RVE385" s="252"/>
      <c r="RVF385" s="252"/>
      <c r="RVG385" s="252"/>
      <c r="RVH385" s="252"/>
      <c r="RVI385" s="252"/>
      <c r="RVJ385" s="252"/>
      <c r="RVK385" s="252"/>
      <c r="RVL385" s="252"/>
      <c r="RVM385" s="252"/>
      <c r="RVN385" s="252"/>
      <c r="RVO385" s="252"/>
      <c r="RVP385" s="252"/>
      <c r="RVQ385" s="252"/>
      <c r="RVR385" s="252"/>
      <c r="RVS385" s="252"/>
      <c r="RVT385" s="252"/>
      <c r="RVU385" s="252"/>
      <c r="RVV385" s="252"/>
      <c r="RVW385" s="252"/>
      <c r="RVX385" s="252"/>
      <c r="RVY385" s="252"/>
      <c r="RVZ385" s="252"/>
      <c r="RWA385" s="252"/>
      <c r="RWB385" s="252"/>
      <c r="RWC385" s="252"/>
      <c r="RWD385" s="252"/>
      <c r="RWE385" s="252"/>
      <c r="RWF385" s="252"/>
      <c r="RWG385" s="252"/>
      <c r="RWH385" s="252"/>
      <c r="RWI385" s="252"/>
      <c r="RWJ385" s="252"/>
      <c r="RWK385" s="252"/>
      <c r="RWL385" s="252"/>
      <c r="RWM385" s="252"/>
      <c r="RWN385" s="252"/>
      <c r="RWO385" s="252"/>
      <c r="RWP385" s="252"/>
      <c r="RWQ385" s="252"/>
      <c r="RWR385" s="252"/>
      <c r="RWS385" s="252"/>
      <c r="RWT385" s="252"/>
      <c r="RWU385" s="252"/>
      <c r="RWV385" s="252"/>
      <c r="RWW385" s="252"/>
      <c r="RWX385" s="252"/>
      <c r="RWY385" s="252"/>
      <c r="RWZ385" s="252"/>
      <c r="RXA385" s="252"/>
      <c r="RXB385" s="252"/>
      <c r="RXC385" s="252"/>
      <c r="RXD385" s="252"/>
      <c r="RXE385" s="252"/>
      <c r="RXF385" s="252"/>
      <c r="RXG385" s="252"/>
      <c r="RXH385" s="252"/>
      <c r="RXI385" s="252"/>
      <c r="RXJ385" s="252"/>
      <c r="RXK385" s="252"/>
      <c r="RXL385" s="252"/>
      <c r="RXM385" s="252"/>
      <c r="RXN385" s="252"/>
      <c r="RXO385" s="252"/>
      <c r="RXP385" s="252"/>
      <c r="RXQ385" s="252"/>
      <c r="RXR385" s="252"/>
      <c r="RXS385" s="252"/>
      <c r="RXT385" s="252"/>
      <c r="RXU385" s="252"/>
      <c r="RXV385" s="252"/>
      <c r="RXW385" s="252"/>
      <c r="RXX385" s="252"/>
      <c r="RXY385" s="252"/>
      <c r="RXZ385" s="252"/>
      <c r="RYA385" s="252"/>
      <c r="RYB385" s="252"/>
      <c r="RYC385" s="252"/>
      <c r="RYD385" s="252"/>
      <c r="RYE385" s="252"/>
      <c r="RYF385" s="252"/>
      <c r="RYG385" s="252"/>
      <c r="RYH385" s="252"/>
      <c r="RYI385" s="252"/>
      <c r="RYJ385" s="252"/>
      <c r="RYK385" s="252"/>
      <c r="RYL385" s="252"/>
      <c r="RYM385" s="252"/>
      <c r="RYN385" s="252"/>
      <c r="RYO385" s="252"/>
      <c r="RYP385" s="252"/>
      <c r="RYQ385" s="252"/>
      <c r="RYR385" s="252"/>
      <c r="RYS385" s="252"/>
      <c r="RYT385" s="252"/>
      <c r="RYU385" s="252"/>
      <c r="RYV385" s="252"/>
      <c r="RYW385" s="252"/>
      <c r="RYX385" s="252"/>
      <c r="RYY385" s="252"/>
      <c r="RYZ385" s="252"/>
      <c r="RZA385" s="252"/>
      <c r="RZB385" s="252"/>
      <c r="RZC385" s="252"/>
      <c r="RZD385" s="252"/>
      <c r="RZE385" s="252"/>
      <c r="RZF385" s="252"/>
      <c r="RZG385" s="252"/>
      <c r="RZH385" s="252"/>
      <c r="RZI385" s="252"/>
      <c r="RZJ385" s="252"/>
      <c r="RZK385" s="252"/>
      <c r="RZL385" s="252"/>
      <c r="RZM385" s="252"/>
      <c r="RZN385" s="252"/>
      <c r="RZO385" s="252"/>
      <c r="RZP385" s="252"/>
      <c r="RZQ385" s="252"/>
      <c r="RZR385" s="252"/>
      <c r="RZS385" s="252"/>
      <c r="RZT385" s="252"/>
      <c r="RZU385" s="252"/>
      <c r="RZV385" s="252"/>
      <c r="RZW385" s="252"/>
      <c r="RZX385" s="252"/>
      <c r="RZY385" s="252"/>
      <c r="RZZ385" s="252"/>
      <c r="SAA385" s="252"/>
      <c r="SAB385" s="252"/>
      <c r="SAC385" s="252"/>
      <c r="SAD385" s="252"/>
      <c r="SAE385" s="252"/>
      <c r="SAF385" s="252"/>
      <c r="SAG385" s="252"/>
      <c r="SAH385" s="252"/>
      <c r="SAI385" s="252"/>
      <c r="SAJ385" s="252"/>
      <c r="SAK385" s="252"/>
      <c r="SAL385" s="252"/>
      <c r="SAM385" s="252"/>
      <c r="SAN385" s="252"/>
      <c r="SAO385" s="252"/>
      <c r="SAP385" s="252"/>
      <c r="SAQ385" s="252"/>
      <c r="SAR385" s="252"/>
      <c r="SAS385" s="252"/>
      <c r="SAT385" s="252"/>
      <c r="SAU385" s="252"/>
      <c r="SAV385" s="252"/>
      <c r="SAW385" s="252"/>
      <c r="SAX385" s="252"/>
      <c r="SAY385" s="252"/>
      <c r="SAZ385" s="252"/>
      <c r="SBA385" s="252"/>
      <c r="SBB385" s="252"/>
      <c r="SBC385" s="252"/>
      <c r="SBD385" s="252"/>
      <c r="SBE385" s="252"/>
      <c r="SBF385" s="252"/>
      <c r="SBG385" s="252"/>
      <c r="SBH385" s="252"/>
      <c r="SBI385" s="252"/>
      <c r="SBJ385" s="252"/>
      <c r="SBK385" s="252"/>
      <c r="SBL385" s="252"/>
      <c r="SBM385" s="252"/>
      <c r="SBN385" s="252"/>
      <c r="SBO385" s="252"/>
      <c r="SBP385" s="252"/>
      <c r="SBQ385" s="252"/>
      <c r="SBR385" s="252"/>
      <c r="SBS385" s="252"/>
      <c r="SBT385" s="252"/>
      <c r="SBU385" s="252"/>
      <c r="SBV385" s="252"/>
      <c r="SBW385" s="252"/>
      <c r="SBX385" s="252"/>
      <c r="SBY385" s="252"/>
      <c r="SBZ385" s="252"/>
      <c r="SCA385" s="252"/>
      <c r="SCB385" s="252"/>
      <c r="SCC385" s="252"/>
      <c r="SCD385" s="252"/>
      <c r="SCE385" s="252"/>
      <c r="SCF385" s="252"/>
      <c r="SCG385" s="252"/>
      <c r="SCH385" s="252"/>
      <c r="SCI385" s="252"/>
      <c r="SCJ385" s="252"/>
      <c r="SCK385" s="252"/>
      <c r="SCL385" s="252"/>
      <c r="SCM385" s="252"/>
      <c r="SCN385" s="252"/>
      <c r="SCO385" s="252"/>
      <c r="SCP385" s="252"/>
      <c r="SCQ385" s="252"/>
      <c r="SCR385" s="252"/>
      <c r="SCS385" s="252"/>
      <c r="SCT385" s="252"/>
      <c r="SCU385" s="252"/>
      <c r="SCV385" s="252"/>
      <c r="SCW385" s="252"/>
      <c r="SCX385" s="252"/>
      <c r="SCY385" s="252"/>
      <c r="SCZ385" s="252"/>
      <c r="SDA385" s="252"/>
      <c r="SDB385" s="252"/>
      <c r="SDC385" s="252"/>
      <c r="SDD385" s="252"/>
      <c r="SDE385" s="252"/>
      <c r="SDF385" s="252"/>
      <c r="SDG385" s="252"/>
      <c r="SDH385" s="252"/>
      <c r="SDI385" s="252"/>
      <c r="SDJ385" s="252"/>
      <c r="SDK385" s="252"/>
      <c r="SDL385" s="252"/>
      <c r="SDM385" s="252"/>
      <c r="SDN385" s="252"/>
      <c r="SDO385" s="252"/>
      <c r="SDP385" s="252"/>
      <c r="SDQ385" s="252"/>
      <c r="SDR385" s="252"/>
      <c r="SDS385" s="252"/>
      <c r="SDT385" s="252"/>
      <c r="SDU385" s="252"/>
      <c r="SDV385" s="252"/>
      <c r="SDW385" s="252"/>
      <c r="SDX385" s="252"/>
      <c r="SDY385" s="252"/>
      <c r="SDZ385" s="252"/>
      <c r="SEA385" s="252"/>
      <c r="SEB385" s="252"/>
      <c r="SEC385" s="252"/>
      <c r="SED385" s="252"/>
      <c r="SEE385" s="252"/>
      <c r="SEF385" s="252"/>
      <c r="SEG385" s="252"/>
      <c r="SEH385" s="252"/>
      <c r="SEI385" s="252"/>
      <c r="SEJ385" s="252"/>
      <c r="SEK385" s="252"/>
      <c r="SEL385" s="252"/>
      <c r="SEM385" s="252"/>
      <c r="SEN385" s="252"/>
      <c r="SEO385" s="252"/>
      <c r="SEP385" s="252"/>
      <c r="SEQ385" s="252"/>
      <c r="SER385" s="252"/>
      <c r="SES385" s="252"/>
      <c r="SET385" s="252"/>
      <c r="SEU385" s="252"/>
      <c r="SEV385" s="252"/>
      <c r="SEW385" s="252"/>
      <c r="SEX385" s="252"/>
      <c r="SEY385" s="252"/>
      <c r="SEZ385" s="252"/>
      <c r="SFA385" s="252"/>
      <c r="SFB385" s="252"/>
      <c r="SFC385" s="252"/>
      <c r="SFD385" s="252"/>
      <c r="SFE385" s="252"/>
      <c r="SFF385" s="252"/>
      <c r="SFG385" s="252"/>
      <c r="SFH385" s="252"/>
      <c r="SFI385" s="252"/>
      <c r="SFJ385" s="252"/>
      <c r="SFK385" s="252"/>
      <c r="SFL385" s="252"/>
      <c r="SFM385" s="252"/>
      <c r="SFN385" s="252"/>
      <c r="SFO385" s="252"/>
      <c r="SFP385" s="252"/>
      <c r="SFQ385" s="252"/>
      <c r="SFR385" s="252"/>
      <c r="SFS385" s="252"/>
      <c r="SFT385" s="252"/>
      <c r="SFU385" s="252"/>
      <c r="SFV385" s="252"/>
      <c r="SFW385" s="252"/>
      <c r="SFX385" s="252"/>
      <c r="SFY385" s="252"/>
      <c r="SFZ385" s="252"/>
      <c r="SGA385" s="252"/>
      <c r="SGB385" s="252"/>
      <c r="SGC385" s="252"/>
      <c r="SGD385" s="252"/>
      <c r="SGE385" s="252"/>
      <c r="SGF385" s="252"/>
      <c r="SGG385" s="252"/>
      <c r="SGH385" s="252"/>
      <c r="SGI385" s="252"/>
      <c r="SGJ385" s="252"/>
      <c r="SGK385" s="252"/>
      <c r="SGL385" s="252"/>
      <c r="SGM385" s="252"/>
      <c r="SGN385" s="252"/>
      <c r="SGO385" s="252"/>
      <c r="SGP385" s="252"/>
      <c r="SGQ385" s="252"/>
      <c r="SGR385" s="252"/>
      <c r="SGS385" s="252"/>
      <c r="SGT385" s="252"/>
      <c r="SGU385" s="252"/>
      <c r="SGV385" s="252"/>
      <c r="SGW385" s="252"/>
      <c r="SGX385" s="252"/>
      <c r="SGY385" s="252"/>
      <c r="SGZ385" s="252"/>
      <c r="SHA385" s="252"/>
      <c r="SHB385" s="252"/>
      <c r="SHC385" s="252"/>
      <c r="SHD385" s="252"/>
      <c r="SHE385" s="252"/>
      <c r="SHF385" s="252"/>
      <c r="SHG385" s="252"/>
      <c r="SHH385" s="252"/>
      <c r="SHI385" s="252"/>
      <c r="SHJ385" s="252"/>
      <c r="SHK385" s="252"/>
      <c r="SHL385" s="252"/>
      <c r="SHM385" s="252"/>
      <c r="SHN385" s="252"/>
      <c r="SHO385" s="252"/>
      <c r="SHP385" s="252"/>
      <c r="SHQ385" s="252"/>
      <c r="SHR385" s="252"/>
      <c r="SHS385" s="252"/>
      <c r="SHT385" s="252"/>
      <c r="SHU385" s="252"/>
      <c r="SHV385" s="252"/>
      <c r="SHW385" s="252"/>
      <c r="SHX385" s="252"/>
      <c r="SHY385" s="252"/>
      <c r="SHZ385" s="252"/>
      <c r="SIA385" s="252"/>
      <c r="SIB385" s="252"/>
      <c r="SIC385" s="252"/>
      <c r="SID385" s="252"/>
      <c r="SIE385" s="252"/>
      <c r="SIF385" s="252"/>
      <c r="SIG385" s="252"/>
      <c r="SIH385" s="252"/>
      <c r="SII385" s="252"/>
      <c r="SIJ385" s="252"/>
      <c r="SIK385" s="252"/>
      <c r="SIL385" s="252"/>
      <c r="SIM385" s="252"/>
      <c r="SIN385" s="252"/>
      <c r="SIO385" s="252"/>
      <c r="SIP385" s="252"/>
      <c r="SIQ385" s="252"/>
      <c r="SIR385" s="252"/>
      <c r="SIS385" s="252"/>
      <c r="SIT385" s="252"/>
      <c r="SIU385" s="252"/>
      <c r="SIV385" s="252"/>
      <c r="SIW385" s="252"/>
      <c r="SIX385" s="252"/>
      <c r="SIY385" s="252"/>
      <c r="SIZ385" s="252"/>
      <c r="SJA385" s="252"/>
      <c r="SJB385" s="252"/>
      <c r="SJC385" s="252"/>
      <c r="SJD385" s="252"/>
      <c r="SJE385" s="252"/>
      <c r="SJF385" s="252"/>
      <c r="SJG385" s="252"/>
      <c r="SJH385" s="252"/>
      <c r="SJI385" s="252"/>
      <c r="SJJ385" s="252"/>
      <c r="SJK385" s="252"/>
      <c r="SJL385" s="252"/>
      <c r="SJM385" s="252"/>
      <c r="SJN385" s="252"/>
      <c r="SJO385" s="252"/>
      <c r="SJP385" s="252"/>
      <c r="SJQ385" s="252"/>
      <c r="SJR385" s="252"/>
      <c r="SJS385" s="252"/>
      <c r="SJT385" s="252"/>
      <c r="SJU385" s="252"/>
      <c r="SJV385" s="252"/>
      <c r="SJW385" s="252"/>
      <c r="SJX385" s="252"/>
      <c r="SJY385" s="252"/>
      <c r="SJZ385" s="252"/>
      <c r="SKA385" s="252"/>
      <c r="SKB385" s="252"/>
      <c r="SKC385" s="252"/>
      <c r="SKD385" s="252"/>
      <c r="SKE385" s="252"/>
      <c r="SKF385" s="252"/>
      <c r="SKG385" s="252"/>
      <c r="SKH385" s="252"/>
      <c r="SKI385" s="252"/>
      <c r="SKJ385" s="252"/>
      <c r="SKK385" s="252"/>
      <c r="SKL385" s="252"/>
      <c r="SKM385" s="252"/>
      <c r="SKN385" s="252"/>
      <c r="SKO385" s="252"/>
      <c r="SKP385" s="252"/>
      <c r="SKQ385" s="252"/>
      <c r="SKR385" s="252"/>
      <c r="SKS385" s="252"/>
      <c r="SKT385" s="252"/>
      <c r="SKU385" s="252"/>
      <c r="SKV385" s="252"/>
      <c r="SKW385" s="252"/>
      <c r="SKX385" s="252"/>
      <c r="SKY385" s="252"/>
      <c r="SKZ385" s="252"/>
      <c r="SLA385" s="252"/>
      <c r="SLB385" s="252"/>
      <c r="SLC385" s="252"/>
      <c r="SLD385" s="252"/>
      <c r="SLE385" s="252"/>
      <c r="SLF385" s="252"/>
      <c r="SLG385" s="252"/>
      <c r="SLH385" s="252"/>
      <c r="SLI385" s="252"/>
      <c r="SLJ385" s="252"/>
      <c r="SLK385" s="252"/>
      <c r="SLL385" s="252"/>
      <c r="SLM385" s="252"/>
      <c r="SLN385" s="252"/>
      <c r="SLO385" s="252"/>
      <c r="SLP385" s="252"/>
      <c r="SLQ385" s="252"/>
      <c r="SLR385" s="252"/>
      <c r="SLS385" s="252"/>
      <c r="SLT385" s="252"/>
      <c r="SLU385" s="252"/>
      <c r="SLV385" s="252"/>
      <c r="SLW385" s="252"/>
      <c r="SLX385" s="252"/>
      <c r="SLY385" s="252"/>
      <c r="SLZ385" s="252"/>
      <c r="SMA385" s="252"/>
      <c r="SMB385" s="252"/>
      <c r="SMC385" s="252"/>
      <c r="SMD385" s="252"/>
      <c r="SME385" s="252"/>
      <c r="SMF385" s="252"/>
      <c r="SMG385" s="252"/>
      <c r="SMH385" s="252"/>
      <c r="SMI385" s="252"/>
      <c r="SMJ385" s="252"/>
      <c r="SMK385" s="252"/>
      <c r="SML385" s="252"/>
      <c r="SMM385" s="252"/>
      <c r="SMN385" s="252"/>
      <c r="SMO385" s="252"/>
      <c r="SMP385" s="252"/>
      <c r="SMQ385" s="252"/>
      <c r="SMR385" s="252"/>
      <c r="SMS385" s="252"/>
      <c r="SMT385" s="252"/>
      <c r="SMU385" s="252"/>
      <c r="SMV385" s="252"/>
      <c r="SMW385" s="252"/>
      <c r="SMX385" s="252"/>
      <c r="SMY385" s="252"/>
      <c r="SMZ385" s="252"/>
      <c r="SNA385" s="252"/>
      <c r="SNB385" s="252"/>
      <c r="SNC385" s="252"/>
      <c r="SND385" s="252"/>
      <c r="SNE385" s="252"/>
      <c r="SNF385" s="252"/>
      <c r="SNG385" s="252"/>
      <c r="SNH385" s="252"/>
      <c r="SNI385" s="252"/>
      <c r="SNJ385" s="252"/>
      <c r="SNK385" s="252"/>
      <c r="SNL385" s="252"/>
      <c r="SNM385" s="252"/>
      <c r="SNN385" s="252"/>
      <c r="SNO385" s="252"/>
      <c r="SNP385" s="252"/>
      <c r="SNQ385" s="252"/>
      <c r="SNR385" s="252"/>
      <c r="SNS385" s="252"/>
      <c r="SNT385" s="252"/>
      <c r="SNU385" s="252"/>
      <c r="SNV385" s="252"/>
      <c r="SNW385" s="252"/>
      <c r="SNX385" s="252"/>
      <c r="SNY385" s="252"/>
      <c r="SNZ385" s="252"/>
      <c r="SOA385" s="252"/>
      <c r="SOB385" s="252"/>
      <c r="SOC385" s="252"/>
      <c r="SOD385" s="252"/>
      <c r="SOE385" s="252"/>
      <c r="SOF385" s="252"/>
      <c r="SOG385" s="252"/>
      <c r="SOH385" s="252"/>
      <c r="SOI385" s="252"/>
      <c r="SOJ385" s="252"/>
      <c r="SOK385" s="252"/>
      <c r="SOL385" s="252"/>
      <c r="SOM385" s="252"/>
      <c r="SON385" s="252"/>
      <c r="SOO385" s="252"/>
      <c r="SOP385" s="252"/>
      <c r="SOQ385" s="252"/>
      <c r="SOR385" s="252"/>
      <c r="SOS385" s="252"/>
      <c r="SOT385" s="252"/>
      <c r="SOU385" s="252"/>
      <c r="SOV385" s="252"/>
      <c r="SOW385" s="252"/>
      <c r="SOX385" s="252"/>
      <c r="SOY385" s="252"/>
      <c r="SOZ385" s="252"/>
      <c r="SPA385" s="252"/>
      <c r="SPB385" s="252"/>
      <c r="SPC385" s="252"/>
      <c r="SPD385" s="252"/>
      <c r="SPE385" s="252"/>
      <c r="SPF385" s="252"/>
      <c r="SPG385" s="252"/>
      <c r="SPH385" s="252"/>
      <c r="SPI385" s="252"/>
      <c r="SPJ385" s="252"/>
      <c r="SPK385" s="252"/>
      <c r="SPL385" s="252"/>
      <c r="SPM385" s="252"/>
      <c r="SPN385" s="252"/>
      <c r="SPO385" s="252"/>
      <c r="SPP385" s="252"/>
      <c r="SPQ385" s="252"/>
      <c r="SPR385" s="252"/>
      <c r="SPS385" s="252"/>
      <c r="SPT385" s="252"/>
      <c r="SPU385" s="252"/>
      <c r="SPV385" s="252"/>
      <c r="SPW385" s="252"/>
      <c r="SPX385" s="252"/>
      <c r="SPY385" s="252"/>
      <c r="SPZ385" s="252"/>
      <c r="SQA385" s="252"/>
      <c r="SQB385" s="252"/>
      <c r="SQC385" s="252"/>
      <c r="SQD385" s="252"/>
      <c r="SQE385" s="252"/>
      <c r="SQF385" s="252"/>
      <c r="SQG385" s="252"/>
      <c r="SQH385" s="252"/>
      <c r="SQI385" s="252"/>
      <c r="SQJ385" s="252"/>
      <c r="SQK385" s="252"/>
      <c r="SQL385" s="252"/>
      <c r="SQM385" s="252"/>
      <c r="SQN385" s="252"/>
      <c r="SQO385" s="252"/>
      <c r="SQP385" s="252"/>
      <c r="SQQ385" s="252"/>
      <c r="SQR385" s="252"/>
      <c r="SQS385" s="252"/>
      <c r="SQT385" s="252"/>
      <c r="SQU385" s="252"/>
      <c r="SQV385" s="252"/>
      <c r="SQW385" s="252"/>
      <c r="SQX385" s="252"/>
      <c r="SQY385" s="252"/>
      <c r="SQZ385" s="252"/>
      <c r="SRA385" s="252"/>
      <c r="SRB385" s="252"/>
      <c r="SRC385" s="252"/>
      <c r="SRD385" s="252"/>
      <c r="SRE385" s="252"/>
      <c r="SRF385" s="252"/>
      <c r="SRG385" s="252"/>
      <c r="SRH385" s="252"/>
      <c r="SRI385" s="252"/>
      <c r="SRJ385" s="252"/>
      <c r="SRK385" s="252"/>
      <c r="SRL385" s="252"/>
      <c r="SRM385" s="252"/>
      <c r="SRN385" s="252"/>
      <c r="SRO385" s="252"/>
      <c r="SRP385" s="252"/>
      <c r="SRQ385" s="252"/>
      <c r="SRR385" s="252"/>
      <c r="SRS385" s="252"/>
      <c r="SRT385" s="252"/>
      <c r="SRU385" s="252"/>
      <c r="SRV385" s="252"/>
      <c r="SRW385" s="252"/>
      <c r="SRX385" s="252"/>
      <c r="SRY385" s="252"/>
      <c r="SRZ385" s="252"/>
      <c r="SSA385" s="252"/>
      <c r="SSB385" s="252"/>
      <c r="SSC385" s="252"/>
      <c r="SSD385" s="252"/>
      <c r="SSE385" s="252"/>
      <c r="SSF385" s="252"/>
      <c r="SSG385" s="252"/>
      <c r="SSH385" s="252"/>
      <c r="SSI385" s="252"/>
      <c r="SSJ385" s="252"/>
      <c r="SSK385" s="252"/>
      <c r="SSL385" s="252"/>
      <c r="SSM385" s="252"/>
      <c r="SSN385" s="252"/>
      <c r="SSO385" s="252"/>
      <c r="SSP385" s="252"/>
      <c r="SSQ385" s="252"/>
      <c r="SSR385" s="252"/>
      <c r="SSS385" s="252"/>
      <c r="SST385" s="252"/>
      <c r="SSU385" s="252"/>
      <c r="SSV385" s="252"/>
      <c r="SSW385" s="252"/>
      <c r="SSX385" s="252"/>
      <c r="SSY385" s="252"/>
      <c r="SSZ385" s="252"/>
      <c r="STA385" s="252"/>
      <c r="STB385" s="252"/>
      <c r="STC385" s="252"/>
      <c r="STD385" s="252"/>
      <c r="STE385" s="252"/>
      <c r="STF385" s="252"/>
      <c r="STG385" s="252"/>
      <c r="STH385" s="252"/>
      <c r="STI385" s="252"/>
      <c r="STJ385" s="252"/>
      <c r="STK385" s="252"/>
      <c r="STL385" s="252"/>
      <c r="STM385" s="252"/>
      <c r="STN385" s="252"/>
      <c r="STO385" s="252"/>
      <c r="STP385" s="252"/>
      <c r="STQ385" s="252"/>
      <c r="STR385" s="252"/>
      <c r="STS385" s="252"/>
      <c r="STT385" s="252"/>
      <c r="STU385" s="252"/>
      <c r="STV385" s="252"/>
      <c r="STW385" s="252"/>
      <c r="STX385" s="252"/>
      <c r="STY385" s="252"/>
      <c r="STZ385" s="252"/>
      <c r="SUA385" s="252"/>
      <c r="SUB385" s="252"/>
      <c r="SUC385" s="252"/>
      <c r="SUD385" s="252"/>
      <c r="SUE385" s="252"/>
      <c r="SUF385" s="252"/>
      <c r="SUG385" s="252"/>
      <c r="SUH385" s="252"/>
      <c r="SUI385" s="252"/>
      <c r="SUJ385" s="252"/>
      <c r="SUK385" s="252"/>
      <c r="SUL385" s="252"/>
      <c r="SUM385" s="252"/>
      <c r="SUN385" s="252"/>
      <c r="SUO385" s="252"/>
      <c r="SUP385" s="252"/>
      <c r="SUQ385" s="252"/>
      <c r="SUR385" s="252"/>
      <c r="SUS385" s="252"/>
      <c r="SUT385" s="252"/>
      <c r="SUU385" s="252"/>
      <c r="SUV385" s="252"/>
      <c r="SUW385" s="252"/>
      <c r="SUX385" s="252"/>
      <c r="SUY385" s="252"/>
      <c r="SUZ385" s="252"/>
      <c r="SVA385" s="252"/>
      <c r="SVB385" s="252"/>
      <c r="SVC385" s="252"/>
      <c r="SVD385" s="252"/>
      <c r="SVE385" s="252"/>
      <c r="SVF385" s="252"/>
      <c r="SVG385" s="252"/>
      <c r="SVH385" s="252"/>
      <c r="SVI385" s="252"/>
      <c r="SVJ385" s="252"/>
      <c r="SVK385" s="252"/>
      <c r="SVL385" s="252"/>
      <c r="SVM385" s="252"/>
      <c r="SVN385" s="252"/>
      <c r="SVO385" s="252"/>
      <c r="SVP385" s="252"/>
      <c r="SVQ385" s="252"/>
      <c r="SVR385" s="252"/>
      <c r="SVS385" s="252"/>
      <c r="SVT385" s="252"/>
      <c r="SVU385" s="252"/>
      <c r="SVV385" s="252"/>
      <c r="SVW385" s="252"/>
      <c r="SVX385" s="252"/>
      <c r="SVY385" s="252"/>
      <c r="SVZ385" s="252"/>
      <c r="SWA385" s="252"/>
      <c r="SWB385" s="252"/>
      <c r="SWC385" s="252"/>
      <c r="SWD385" s="252"/>
      <c r="SWE385" s="252"/>
      <c r="SWF385" s="252"/>
      <c r="SWG385" s="252"/>
      <c r="SWH385" s="252"/>
      <c r="SWI385" s="252"/>
      <c r="SWJ385" s="252"/>
      <c r="SWK385" s="252"/>
      <c r="SWL385" s="252"/>
      <c r="SWM385" s="252"/>
      <c r="SWN385" s="252"/>
      <c r="SWO385" s="252"/>
      <c r="SWP385" s="252"/>
      <c r="SWQ385" s="252"/>
      <c r="SWR385" s="252"/>
      <c r="SWS385" s="252"/>
      <c r="SWT385" s="252"/>
      <c r="SWU385" s="252"/>
      <c r="SWV385" s="252"/>
      <c r="SWW385" s="252"/>
      <c r="SWX385" s="252"/>
      <c r="SWY385" s="252"/>
      <c r="SWZ385" s="252"/>
      <c r="SXA385" s="252"/>
      <c r="SXB385" s="252"/>
      <c r="SXC385" s="252"/>
      <c r="SXD385" s="252"/>
      <c r="SXE385" s="252"/>
      <c r="SXF385" s="252"/>
      <c r="SXG385" s="252"/>
      <c r="SXH385" s="252"/>
      <c r="SXI385" s="252"/>
      <c r="SXJ385" s="252"/>
      <c r="SXK385" s="252"/>
      <c r="SXL385" s="252"/>
      <c r="SXM385" s="252"/>
      <c r="SXN385" s="252"/>
      <c r="SXO385" s="252"/>
      <c r="SXP385" s="252"/>
      <c r="SXQ385" s="252"/>
      <c r="SXR385" s="252"/>
      <c r="SXS385" s="252"/>
      <c r="SXT385" s="252"/>
      <c r="SXU385" s="252"/>
      <c r="SXV385" s="252"/>
      <c r="SXW385" s="252"/>
      <c r="SXX385" s="252"/>
      <c r="SXY385" s="252"/>
      <c r="SXZ385" s="252"/>
      <c r="SYA385" s="252"/>
      <c r="SYB385" s="252"/>
      <c r="SYC385" s="252"/>
      <c r="SYD385" s="252"/>
      <c r="SYE385" s="252"/>
      <c r="SYF385" s="252"/>
      <c r="SYG385" s="252"/>
      <c r="SYH385" s="252"/>
      <c r="SYI385" s="252"/>
      <c r="SYJ385" s="252"/>
      <c r="SYK385" s="252"/>
      <c r="SYL385" s="252"/>
      <c r="SYM385" s="252"/>
      <c r="SYN385" s="252"/>
      <c r="SYO385" s="252"/>
      <c r="SYP385" s="252"/>
      <c r="SYQ385" s="252"/>
      <c r="SYR385" s="252"/>
      <c r="SYS385" s="252"/>
      <c r="SYT385" s="252"/>
      <c r="SYU385" s="252"/>
      <c r="SYV385" s="252"/>
      <c r="SYW385" s="252"/>
      <c r="SYX385" s="252"/>
      <c r="SYY385" s="252"/>
      <c r="SYZ385" s="252"/>
      <c r="SZA385" s="252"/>
      <c r="SZB385" s="252"/>
      <c r="SZC385" s="252"/>
      <c r="SZD385" s="252"/>
      <c r="SZE385" s="252"/>
      <c r="SZF385" s="252"/>
      <c r="SZG385" s="252"/>
      <c r="SZH385" s="252"/>
      <c r="SZI385" s="252"/>
      <c r="SZJ385" s="252"/>
      <c r="SZK385" s="252"/>
      <c r="SZL385" s="252"/>
      <c r="SZM385" s="252"/>
      <c r="SZN385" s="252"/>
      <c r="SZO385" s="252"/>
      <c r="SZP385" s="252"/>
      <c r="SZQ385" s="252"/>
      <c r="SZR385" s="252"/>
      <c r="SZS385" s="252"/>
      <c r="SZT385" s="252"/>
      <c r="SZU385" s="252"/>
      <c r="SZV385" s="252"/>
      <c r="SZW385" s="252"/>
      <c r="SZX385" s="252"/>
      <c r="SZY385" s="252"/>
      <c r="SZZ385" s="252"/>
      <c r="TAA385" s="252"/>
      <c r="TAB385" s="252"/>
      <c r="TAC385" s="252"/>
      <c r="TAD385" s="252"/>
      <c r="TAE385" s="252"/>
      <c r="TAF385" s="252"/>
      <c r="TAG385" s="252"/>
      <c r="TAH385" s="252"/>
      <c r="TAI385" s="252"/>
      <c r="TAJ385" s="252"/>
      <c r="TAK385" s="252"/>
      <c r="TAL385" s="252"/>
      <c r="TAM385" s="252"/>
      <c r="TAN385" s="252"/>
      <c r="TAO385" s="252"/>
      <c r="TAP385" s="252"/>
      <c r="TAQ385" s="252"/>
      <c r="TAR385" s="252"/>
      <c r="TAS385" s="252"/>
      <c r="TAT385" s="252"/>
      <c r="TAU385" s="252"/>
      <c r="TAV385" s="252"/>
      <c r="TAW385" s="252"/>
      <c r="TAX385" s="252"/>
      <c r="TAY385" s="252"/>
      <c r="TAZ385" s="252"/>
      <c r="TBA385" s="252"/>
      <c r="TBB385" s="252"/>
      <c r="TBC385" s="252"/>
      <c r="TBD385" s="252"/>
      <c r="TBE385" s="252"/>
      <c r="TBF385" s="252"/>
      <c r="TBG385" s="252"/>
      <c r="TBH385" s="252"/>
      <c r="TBI385" s="252"/>
      <c r="TBJ385" s="252"/>
      <c r="TBK385" s="252"/>
      <c r="TBL385" s="252"/>
      <c r="TBM385" s="252"/>
      <c r="TBN385" s="252"/>
      <c r="TBO385" s="252"/>
      <c r="TBP385" s="252"/>
      <c r="TBQ385" s="252"/>
      <c r="TBR385" s="252"/>
      <c r="TBS385" s="252"/>
      <c r="TBT385" s="252"/>
      <c r="TBU385" s="252"/>
      <c r="TBV385" s="252"/>
      <c r="TBW385" s="252"/>
      <c r="TBX385" s="252"/>
      <c r="TBY385" s="252"/>
      <c r="TBZ385" s="252"/>
      <c r="TCA385" s="252"/>
      <c r="TCB385" s="252"/>
      <c r="TCC385" s="252"/>
      <c r="TCD385" s="252"/>
      <c r="TCE385" s="252"/>
      <c r="TCF385" s="252"/>
      <c r="TCG385" s="252"/>
      <c r="TCH385" s="252"/>
      <c r="TCI385" s="252"/>
      <c r="TCJ385" s="252"/>
      <c r="TCK385" s="252"/>
      <c r="TCL385" s="252"/>
      <c r="TCM385" s="252"/>
      <c r="TCN385" s="252"/>
      <c r="TCO385" s="252"/>
      <c r="TCP385" s="252"/>
      <c r="TCQ385" s="252"/>
      <c r="TCR385" s="252"/>
      <c r="TCS385" s="252"/>
      <c r="TCT385" s="252"/>
      <c r="TCU385" s="252"/>
      <c r="TCV385" s="252"/>
      <c r="TCW385" s="252"/>
      <c r="TCX385" s="252"/>
      <c r="TCY385" s="252"/>
      <c r="TCZ385" s="252"/>
      <c r="TDA385" s="252"/>
      <c r="TDB385" s="252"/>
      <c r="TDC385" s="252"/>
      <c r="TDD385" s="252"/>
      <c r="TDE385" s="252"/>
      <c r="TDF385" s="252"/>
      <c r="TDG385" s="252"/>
      <c r="TDH385" s="252"/>
      <c r="TDI385" s="252"/>
      <c r="TDJ385" s="252"/>
      <c r="TDK385" s="252"/>
      <c r="TDL385" s="252"/>
      <c r="TDM385" s="252"/>
      <c r="TDN385" s="252"/>
      <c r="TDO385" s="252"/>
      <c r="TDP385" s="252"/>
      <c r="TDQ385" s="252"/>
      <c r="TDR385" s="252"/>
      <c r="TDS385" s="252"/>
      <c r="TDT385" s="252"/>
      <c r="TDU385" s="252"/>
      <c r="TDV385" s="252"/>
      <c r="TDW385" s="252"/>
      <c r="TDX385" s="252"/>
      <c r="TDY385" s="252"/>
      <c r="TDZ385" s="252"/>
      <c r="TEA385" s="252"/>
      <c r="TEB385" s="252"/>
      <c r="TEC385" s="252"/>
      <c r="TED385" s="252"/>
      <c r="TEE385" s="252"/>
      <c r="TEF385" s="252"/>
      <c r="TEG385" s="252"/>
      <c r="TEH385" s="252"/>
      <c r="TEI385" s="252"/>
      <c r="TEJ385" s="252"/>
      <c r="TEK385" s="252"/>
      <c r="TEL385" s="252"/>
      <c r="TEM385" s="252"/>
      <c r="TEN385" s="252"/>
      <c r="TEO385" s="252"/>
      <c r="TEP385" s="252"/>
      <c r="TEQ385" s="252"/>
      <c r="TER385" s="252"/>
      <c r="TES385" s="252"/>
      <c r="TET385" s="252"/>
      <c r="TEU385" s="252"/>
      <c r="TEV385" s="252"/>
      <c r="TEW385" s="252"/>
      <c r="TEX385" s="252"/>
      <c r="TEY385" s="252"/>
      <c r="TEZ385" s="252"/>
      <c r="TFA385" s="252"/>
      <c r="TFB385" s="252"/>
      <c r="TFC385" s="252"/>
      <c r="TFD385" s="252"/>
      <c r="TFE385" s="252"/>
      <c r="TFF385" s="252"/>
      <c r="TFG385" s="252"/>
      <c r="TFH385" s="252"/>
      <c r="TFI385" s="252"/>
      <c r="TFJ385" s="252"/>
      <c r="TFK385" s="252"/>
      <c r="TFL385" s="252"/>
      <c r="TFM385" s="252"/>
      <c r="TFN385" s="252"/>
      <c r="TFO385" s="252"/>
      <c r="TFP385" s="252"/>
      <c r="TFQ385" s="252"/>
      <c r="TFR385" s="252"/>
      <c r="TFS385" s="252"/>
      <c r="TFT385" s="252"/>
      <c r="TFU385" s="252"/>
      <c r="TFV385" s="252"/>
      <c r="TFW385" s="252"/>
      <c r="TFX385" s="252"/>
      <c r="TFY385" s="252"/>
      <c r="TFZ385" s="252"/>
      <c r="TGA385" s="252"/>
      <c r="TGB385" s="252"/>
      <c r="TGC385" s="252"/>
      <c r="TGD385" s="252"/>
      <c r="TGE385" s="252"/>
      <c r="TGF385" s="252"/>
      <c r="TGG385" s="252"/>
      <c r="TGH385" s="252"/>
      <c r="TGI385" s="252"/>
      <c r="TGJ385" s="252"/>
      <c r="TGK385" s="252"/>
      <c r="TGL385" s="252"/>
      <c r="TGM385" s="252"/>
      <c r="TGN385" s="252"/>
      <c r="TGO385" s="252"/>
      <c r="TGP385" s="252"/>
      <c r="TGQ385" s="252"/>
      <c r="TGR385" s="252"/>
      <c r="TGS385" s="252"/>
      <c r="TGT385" s="252"/>
      <c r="TGU385" s="252"/>
      <c r="TGV385" s="252"/>
      <c r="TGW385" s="252"/>
      <c r="TGX385" s="252"/>
      <c r="TGY385" s="252"/>
      <c r="TGZ385" s="252"/>
      <c r="THA385" s="252"/>
      <c r="THB385" s="252"/>
      <c r="THC385" s="252"/>
      <c r="THD385" s="252"/>
      <c r="THE385" s="252"/>
      <c r="THF385" s="252"/>
      <c r="THG385" s="252"/>
      <c r="THH385" s="252"/>
      <c r="THI385" s="252"/>
      <c r="THJ385" s="252"/>
      <c r="THK385" s="252"/>
      <c r="THL385" s="252"/>
      <c r="THM385" s="252"/>
      <c r="THN385" s="252"/>
      <c r="THO385" s="252"/>
      <c r="THP385" s="252"/>
      <c r="THQ385" s="252"/>
      <c r="THR385" s="252"/>
      <c r="THS385" s="252"/>
      <c r="THT385" s="252"/>
      <c r="THU385" s="252"/>
      <c r="THV385" s="252"/>
      <c r="THW385" s="252"/>
      <c r="THX385" s="252"/>
      <c r="THY385" s="252"/>
      <c r="THZ385" s="252"/>
      <c r="TIA385" s="252"/>
      <c r="TIB385" s="252"/>
      <c r="TIC385" s="252"/>
      <c r="TID385" s="252"/>
      <c r="TIE385" s="252"/>
      <c r="TIF385" s="252"/>
      <c r="TIG385" s="252"/>
      <c r="TIH385" s="252"/>
      <c r="TII385" s="252"/>
      <c r="TIJ385" s="252"/>
      <c r="TIK385" s="252"/>
      <c r="TIL385" s="252"/>
      <c r="TIM385" s="252"/>
      <c r="TIN385" s="252"/>
      <c r="TIO385" s="252"/>
      <c r="TIP385" s="252"/>
      <c r="TIQ385" s="252"/>
      <c r="TIR385" s="252"/>
      <c r="TIS385" s="252"/>
      <c r="TIT385" s="252"/>
      <c r="TIU385" s="252"/>
      <c r="TIV385" s="252"/>
      <c r="TIW385" s="252"/>
      <c r="TIX385" s="252"/>
      <c r="TIY385" s="252"/>
      <c r="TIZ385" s="252"/>
      <c r="TJA385" s="252"/>
      <c r="TJB385" s="252"/>
      <c r="TJC385" s="252"/>
      <c r="TJD385" s="252"/>
      <c r="TJE385" s="252"/>
      <c r="TJF385" s="252"/>
      <c r="TJG385" s="252"/>
      <c r="TJH385" s="252"/>
      <c r="TJI385" s="252"/>
      <c r="TJJ385" s="252"/>
      <c r="TJK385" s="252"/>
      <c r="TJL385" s="252"/>
      <c r="TJM385" s="252"/>
      <c r="TJN385" s="252"/>
      <c r="TJO385" s="252"/>
      <c r="TJP385" s="252"/>
      <c r="TJQ385" s="252"/>
      <c r="TJR385" s="252"/>
      <c r="TJS385" s="252"/>
      <c r="TJT385" s="252"/>
      <c r="TJU385" s="252"/>
      <c r="TJV385" s="252"/>
      <c r="TJW385" s="252"/>
      <c r="TJX385" s="252"/>
      <c r="TJY385" s="252"/>
      <c r="TJZ385" s="252"/>
      <c r="TKA385" s="252"/>
      <c r="TKB385" s="252"/>
      <c r="TKC385" s="252"/>
      <c r="TKD385" s="252"/>
      <c r="TKE385" s="252"/>
      <c r="TKF385" s="252"/>
      <c r="TKG385" s="252"/>
      <c r="TKH385" s="252"/>
      <c r="TKI385" s="252"/>
      <c r="TKJ385" s="252"/>
      <c r="TKK385" s="252"/>
      <c r="TKL385" s="252"/>
      <c r="TKM385" s="252"/>
      <c r="TKN385" s="252"/>
      <c r="TKO385" s="252"/>
      <c r="TKP385" s="252"/>
      <c r="TKQ385" s="252"/>
      <c r="TKR385" s="252"/>
      <c r="TKS385" s="252"/>
      <c r="TKT385" s="252"/>
      <c r="TKU385" s="252"/>
      <c r="TKV385" s="252"/>
      <c r="TKW385" s="252"/>
      <c r="TKX385" s="252"/>
      <c r="TKY385" s="252"/>
      <c r="TKZ385" s="252"/>
      <c r="TLA385" s="252"/>
      <c r="TLB385" s="252"/>
      <c r="TLC385" s="252"/>
      <c r="TLD385" s="252"/>
      <c r="TLE385" s="252"/>
      <c r="TLF385" s="252"/>
      <c r="TLG385" s="252"/>
      <c r="TLH385" s="252"/>
      <c r="TLI385" s="252"/>
      <c r="TLJ385" s="252"/>
      <c r="TLK385" s="252"/>
      <c r="TLL385" s="252"/>
      <c r="TLM385" s="252"/>
      <c r="TLN385" s="252"/>
      <c r="TLO385" s="252"/>
      <c r="TLP385" s="252"/>
      <c r="TLQ385" s="252"/>
      <c r="TLR385" s="252"/>
      <c r="TLS385" s="252"/>
      <c r="TLT385" s="252"/>
      <c r="TLU385" s="252"/>
      <c r="TLV385" s="252"/>
      <c r="TLW385" s="252"/>
      <c r="TLX385" s="252"/>
      <c r="TLY385" s="252"/>
      <c r="TLZ385" s="252"/>
      <c r="TMA385" s="252"/>
      <c r="TMB385" s="252"/>
      <c r="TMC385" s="252"/>
      <c r="TMD385" s="252"/>
      <c r="TME385" s="252"/>
      <c r="TMF385" s="252"/>
      <c r="TMG385" s="252"/>
      <c r="TMH385" s="252"/>
      <c r="TMI385" s="252"/>
      <c r="TMJ385" s="252"/>
      <c r="TMK385" s="252"/>
      <c r="TML385" s="252"/>
      <c r="TMM385" s="252"/>
      <c r="TMN385" s="252"/>
      <c r="TMO385" s="252"/>
      <c r="TMP385" s="252"/>
      <c r="TMQ385" s="252"/>
      <c r="TMR385" s="252"/>
      <c r="TMS385" s="252"/>
      <c r="TMT385" s="252"/>
      <c r="TMU385" s="252"/>
      <c r="TMV385" s="252"/>
      <c r="TMW385" s="252"/>
      <c r="TMX385" s="252"/>
      <c r="TMY385" s="252"/>
      <c r="TMZ385" s="252"/>
      <c r="TNA385" s="252"/>
      <c r="TNB385" s="252"/>
      <c r="TNC385" s="252"/>
      <c r="TND385" s="252"/>
      <c r="TNE385" s="252"/>
      <c r="TNF385" s="252"/>
      <c r="TNG385" s="252"/>
      <c r="TNH385" s="252"/>
      <c r="TNI385" s="252"/>
      <c r="TNJ385" s="252"/>
      <c r="TNK385" s="252"/>
      <c r="TNL385" s="252"/>
      <c r="TNM385" s="252"/>
      <c r="TNN385" s="252"/>
      <c r="TNO385" s="252"/>
      <c r="TNP385" s="252"/>
      <c r="TNQ385" s="252"/>
      <c r="TNR385" s="252"/>
      <c r="TNS385" s="252"/>
      <c r="TNT385" s="252"/>
      <c r="TNU385" s="252"/>
      <c r="TNV385" s="252"/>
      <c r="TNW385" s="252"/>
      <c r="TNX385" s="252"/>
      <c r="TNY385" s="252"/>
      <c r="TNZ385" s="252"/>
      <c r="TOA385" s="252"/>
      <c r="TOB385" s="252"/>
      <c r="TOC385" s="252"/>
      <c r="TOD385" s="252"/>
      <c r="TOE385" s="252"/>
      <c r="TOF385" s="252"/>
      <c r="TOG385" s="252"/>
      <c r="TOH385" s="252"/>
      <c r="TOI385" s="252"/>
      <c r="TOJ385" s="252"/>
      <c r="TOK385" s="252"/>
      <c r="TOL385" s="252"/>
      <c r="TOM385" s="252"/>
      <c r="TON385" s="252"/>
      <c r="TOO385" s="252"/>
      <c r="TOP385" s="252"/>
      <c r="TOQ385" s="252"/>
      <c r="TOR385" s="252"/>
      <c r="TOS385" s="252"/>
      <c r="TOT385" s="252"/>
      <c r="TOU385" s="252"/>
      <c r="TOV385" s="252"/>
      <c r="TOW385" s="252"/>
      <c r="TOX385" s="252"/>
      <c r="TOY385" s="252"/>
      <c r="TOZ385" s="252"/>
      <c r="TPA385" s="252"/>
      <c r="TPB385" s="252"/>
      <c r="TPC385" s="252"/>
      <c r="TPD385" s="252"/>
      <c r="TPE385" s="252"/>
      <c r="TPF385" s="252"/>
      <c r="TPG385" s="252"/>
      <c r="TPH385" s="252"/>
      <c r="TPI385" s="252"/>
      <c r="TPJ385" s="252"/>
      <c r="TPK385" s="252"/>
      <c r="TPL385" s="252"/>
      <c r="TPM385" s="252"/>
      <c r="TPN385" s="252"/>
      <c r="TPO385" s="252"/>
      <c r="TPP385" s="252"/>
      <c r="TPQ385" s="252"/>
      <c r="TPR385" s="252"/>
      <c r="TPS385" s="252"/>
      <c r="TPT385" s="252"/>
      <c r="TPU385" s="252"/>
      <c r="TPV385" s="252"/>
      <c r="TPW385" s="252"/>
      <c r="TPX385" s="252"/>
      <c r="TPY385" s="252"/>
      <c r="TPZ385" s="252"/>
      <c r="TQA385" s="252"/>
      <c r="TQB385" s="252"/>
      <c r="TQC385" s="252"/>
      <c r="TQD385" s="252"/>
      <c r="TQE385" s="252"/>
      <c r="TQF385" s="252"/>
      <c r="TQG385" s="252"/>
      <c r="TQH385" s="252"/>
      <c r="TQI385" s="252"/>
      <c r="TQJ385" s="252"/>
      <c r="TQK385" s="252"/>
      <c r="TQL385" s="252"/>
      <c r="TQM385" s="252"/>
      <c r="TQN385" s="252"/>
      <c r="TQO385" s="252"/>
      <c r="TQP385" s="252"/>
      <c r="TQQ385" s="252"/>
      <c r="TQR385" s="252"/>
      <c r="TQS385" s="252"/>
      <c r="TQT385" s="252"/>
      <c r="TQU385" s="252"/>
      <c r="TQV385" s="252"/>
      <c r="TQW385" s="252"/>
      <c r="TQX385" s="252"/>
      <c r="TQY385" s="252"/>
      <c r="TQZ385" s="252"/>
      <c r="TRA385" s="252"/>
      <c r="TRB385" s="252"/>
      <c r="TRC385" s="252"/>
      <c r="TRD385" s="252"/>
      <c r="TRE385" s="252"/>
      <c r="TRF385" s="252"/>
      <c r="TRG385" s="252"/>
      <c r="TRH385" s="252"/>
      <c r="TRI385" s="252"/>
      <c r="TRJ385" s="252"/>
      <c r="TRK385" s="252"/>
      <c r="TRL385" s="252"/>
      <c r="TRM385" s="252"/>
      <c r="TRN385" s="252"/>
      <c r="TRO385" s="252"/>
      <c r="TRP385" s="252"/>
      <c r="TRQ385" s="252"/>
      <c r="TRR385" s="252"/>
      <c r="TRS385" s="252"/>
      <c r="TRT385" s="252"/>
      <c r="TRU385" s="252"/>
      <c r="TRV385" s="252"/>
      <c r="TRW385" s="252"/>
      <c r="TRX385" s="252"/>
      <c r="TRY385" s="252"/>
      <c r="TRZ385" s="252"/>
      <c r="TSA385" s="252"/>
      <c r="TSB385" s="252"/>
      <c r="TSC385" s="252"/>
      <c r="TSD385" s="252"/>
      <c r="TSE385" s="252"/>
      <c r="TSF385" s="252"/>
      <c r="TSG385" s="252"/>
      <c r="TSH385" s="252"/>
      <c r="TSI385" s="252"/>
      <c r="TSJ385" s="252"/>
      <c r="TSK385" s="252"/>
      <c r="TSL385" s="252"/>
      <c r="TSM385" s="252"/>
      <c r="TSN385" s="252"/>
      <c r="TSO385" s="252"/>
      <c r="TSP385" s="252"/>
      <c r="TSQ385" s="252"/>
      <c r="TSR385" s="252"/>
      <c r="TSS385" s="252"/>
      <c r="TST385" s="252"/>
      <c r="TSU385" s="252"/>
      <c r="TSV385" s="252"/>
      <c r="TSW385" s="252"/>
      <c r="TSX385" s="252"/>
      <c r="TSY385" s="252"/>
      <c r="TSZ385" s="252"/>
      <c r="TTA385" s="252"/>
      <c r="TTB385" s="252"/>
      <c r="TTC385" s="252"/>
      <c r="TTD385" s="252"/>
      <c r="TTE385" s="252"/>
      <c r="TTF385" s="252"/>
      <c r="TTG385" s="252"/>
      <c r="TTH385" s="252"/>
      <c r="TTI385" s="252"/>
      <c r="TTJ385" s="252"/>
      <c r="TTK385" s="252"/>
      <c r="TTL385" s="252"/>
      <c r="TTM385" s="252"/>
      <c r="TTN385" s="252"/>
      <c r="TTO385" s="252"/>
      <c r="TTP385" s="252"/>
      <c r="TTQ385" s="252"/>
      <c r="TTR385" s="252"/>
      <c r="TTS385" s="252"/>
      <c r="TTT385" s="252"/>
      <c r="TTU385" s="252"/>
      <c r="TTV385" s="252"/>
      <c r="TTW385" s="252"/>
      <c r="TTX385" s="252"/>
      <c r="TTY385" s="252"/>
      <c r="TTZ385" s="252"/>
      <c r="TUA385" s="252"/>
      <c r="TUB385" s="252"/>
      <c r="TUC385" s="252"/>
      <c r="TUD385" s="252"/>
      <c r="TUE385" s="252"/>
      <c r="TUF385" s="252"/>
      <c r="TUG385" s="252"/>
      <c r="TUH385" s="252"/>
      <c r="TUI385" s="252"/>
      <c r="TUJ385" s="252"/>
      <c r="TUK385" s="252"/>
      <c r="TUL385" s="252"/>
      <c r="TUM385" s="252"/>
      <c r="TUN385" s="252"/>
      <c r="TUO385" s="252"/>
      <c r="TUP385" s="252"/>
      <c r="TUQ385" s="252"/>
      <c r="TUR385" s="252"/>
      <c r="TUS385" s="252"/>
      <c r="TUT385" s="252"/>
      <c r="TUU385" s="252"/>
      <c r="TUV385" s="252"/>
      <c r="TUW385" s="252"/>
      <c r="TUX385" s="252"/>
      <c r="TUY385" s="252"/>
      <c r="TUZ385" s="252"/>
      <c r="TVA385" s="252"/>
      <c r="TVB385" s="252"/>
      <c r="TVC385" s="252"/>
      <c r="TVD385" s="252"/>
      <c r="TVE385" s="252"/>
      <c r="TVF385" s="252"/>
      <c r="TVG385" s="252"/>
      <c r="TVH385" s="252"/>
      <c r="TVI385" s="252"/>
      <c r="TVJ385" s="252"/>
      <c r="TVK385" s="252"/>
      <c r="TVL385" s="252"/>
      <c r="TVM385" s="252"/>
      <c r="TVN385" s="252"/>
      <c r="TVO385" s="252"/>
      <c r="TVP385" s="252"/>
      <c r="TVQ385" s="252"/>
      <c r="TVR385" s="252"/>
      <c r="TVS385" s="252"/>
      <c r="TVT385" s="252"/>
      <c r="TVU385" s="252"/>
      <c r="TVV385" s="252"/>
      <c r="TVW385" s="252"/>
      <c r="TVX385" s="252"/>
      <c r="TVY385" s="252"/>
      <c r="TVZ385" s="252"/>
      <c r="TWA385" s="252"/>
      <c r="TWB385" s="252"/>
      <c r="TWC385" s="252"/>
      <c r="TWD385" s="252"/>
      <c r="TWE385" s="252"/>
      <c r="TWF385" s="252"/>
      <c r="TWG385" s="252"/>
      <c r="TWH385" s="252"/>
      <c r="TWI385" s="252"/>
      <c r="TWJ385" s="252"/>
      <c r="TWK385" s="252"/>
      <c r="TWL385" s="252"/>
      <c r="TWM385" s="252"/>
      <c r="TWN385" s="252"/>
      <c r="TWO385" s="252"/>
      <c r="TWP385" s="252"/>
      <c r="TWQ385" s="252"/>
      <c r="TWR385" s="252"/>
      <c r="TWS385" s="252"/>
      <c r="TWT385" s="252"/>
      <c r="TWU385" s="252"/>
      <c r="TWV385" s="252"/>
      <c r="TWW385" s="252"/>
      <c r="TWX385" s="252"/>
      <c r="TWY385" s="252"/>
      <c r="TWZ385" s="252"/>
      <c r="TXA385" s="252"/>
      <c r="TXB385" s="252"/>
      <c r="TXC385" s="252"/>
      <c r="TXD385" s="252"/>
      <c r="TXE385" s="252"/>
      <c r="TXF385" s="252"/>
      <c r="TXG385" s="252"/>
      <c r="TXH385" s="252"/>
      <c r="TXI385" s="252"/>
      <c r="TXJ385" s="252"/>
      <c r="TXK385" s="252"/>
      <c r="TXL385" s="252"/>
      <c r="TXM385" s="252"/>
      <c r="TXN385" s="252"/>
      <c r="TXO385" s="252"/>
      <c r="TXP385" s="252"/>
      <c r="TXQ385" s="252"/>
      <c r="TXR385" s="252"/>
      <c r="TXS385" s="252"/>
      <c r="TXT385" s="252"/>
      <c r="TXU385" s="252"/>
      <c r="TXV385" s="252"/>
      <c r="TXW385" s="252"/>
      <c r="TXX385" s="252"/>
      <c r="TXY385" s="252"/>
      <c r="TXZ385" s="252"/>
      <c r="TYA385" s="252"/>
      <c r="TYB385" s="252"/>
      <c r="TYC385" s="252"/>
      <c r="TYD385" s="252"/>
      <c r="TYE385" s="252"/>
      <c r="TYF385" s="252"/>
      <c r="TYG385" s="252"/>
      <c r="TYH385" s="252"/>
      <c r="TYI385" s="252"/>
      <c r="TYJ385" s="252"/>
      <c r="TYK385" s="252"/>
      <c r="TYL385" s="252"/>
      <c r="TYM385" s="252"/>
      <c r="TYN385" s="252"/>
      <c r="TYO385" s="252"/>
      <c r="TYP385" s="252"/>
      <c r="TYQ385" s="252"/>
      <c r="TYR385" s="252"/>
      <c r="TYS385" s="252"/>
      <c r="TYT385" s="252"/>
      <c r="TYU385" s="252"/>
      <c r="TYV385" s="252"/>
      <c r="TYW385" s="252"/>
      <c r="TYX385" s="252"/>
      <c r="TYY385" s="252"/>
      <c r="TYZ385" s="252"/>
      <c r="TZA385" s="252"/>
      <c r="TZB385" s="252"/>
      <c r="TZC385" s="252"/>
      <c r="TZD385" s="252"/>
      <c r="TZE385" s="252"/>
      <c r="TZF385" s="252"/>
      <c r="TZG385" s="252"/>
      <c r="TZH385" s="252"/>
      <c r="TZI385" s="252"/>
      <c r="TZJ385" s="252"/>
      <c r="TZK385" s="252"/>
      <c r="TZL385" s="252"/>
      <c r="TZM385" s="252"/>
      <c r="TZN385" s="252"/>
      <c r="TZO385" s="252"/>
      <c r="TZP385" s="252"/>
      <c r="TZQ385" s="252"/>
      <c r="TZR385" s="252"/>
      <c r="TZS385" s="252"/>
      <c r="TZT385" s="252"/>
      <c r="TZU385" s="252"/>
      <c r="TZV385" s="252"/>
      <c r="TZW385" s="252"/>
      <c r="TZX385" s="252"/>
      <c r="TZY385" s="252"/>
      <c r="TZZ385" s="252"/>
      <c r="UAA385" s="252"/>
      <c r="UAB385" s="252"/>
      <c r="UAC385" s="252"/>
      <c r="UAD385" s="252"/>
      <c r="UAE385" s="252"/>
      <c r="UAF385" s="252"/>
      <c r="UAG385" s="252"/>
      <c r="UAH385" s="252"/>
      <c r="UAI385" s="252"/>
      <c r="UAJ385" s="252"/>
      <c r="UAK385" s="252"/>
      <c r="UAL385" s="252"/>
      <c r="UAM385" s="252"/>
      <c r="UAN385" s="252"/>
      <c r="UAO385" s="252"/>
      <c r="UAP385" s="252"/>
      <c r="UAQ385" s="252"/>
      <c r="UAR385" s="252"/>
      <c r="UAS385" s="252"/>
      <c r="UAT385" s="252"/>
      <c r="UAU385" s="252"/>
      <c r="UAV385" s="252"/>
      <c r="UAW385" s="252"/>
      <c r="UAX385" s="252"/>
      <c r="UAY385" s="252"/>
      <c r="UAZ385" s="252"/>
      <c r="UBA385" s="252"/>
      <c r="UBB385" s="252"/>
      <c r="UBC385" s="252"/>
      <c r="UBD385" s="252"/>
      <c r="UBE385" s="252"/>
      <c r="UBF385" s="252"/>
      <c r="UBG385" s="252"/>
      <c r="UBH385" s="252"/>
      <c r="UBI385" s="252"/>
      <c r="UBJ385" s="252"/>
      <c r="UBK385" s="252"/>
      <c r="UBL385" s="252"/>
      <c r="UBM385" s="252"/>
      <c r="UBN385" s="252"/>
      <c r="UBO385" s="252"/>
      <c r="UBP385" s="252"/>
      <c r="UBQ385" s="252"/>
      <c r="UBR385" s="252"/>
      <c r="UBS385" s="252"/>
      <c r="UBT385" s="252"/>
      <c r="UBU385" s="252"/>
      <c r="UBV385" s="252"/>
      <c r="UBW385" s="252"/>
      <c r="UBX385" s="252"/>
      <c r="UBY385" s="252"/>
      <c r="UBZ385" s="252"/>
      <c r="UCA385" s="252"/>
      <c r="UCB385" s="252"/>
      <c r="UCC385" s="252"/>
      <c r="UCD385" s="252"/>
      <c r="UCE385" s="252"/>
      <c r="UCF385" s="252"/>
      <c r="UCG385" s="252"/>
      <c r="UCH385" s="252"/>
      <c r="UCI385" s="252"/>
      <c r="UCJ385" s="252"/>
      <c r="UCK385" s="252"/>
      <c r="UCL385" s="252"/>
      <c r="UCM385" s="252"/>
      <c r="UCN385" s="252"/>
      <c r="UCO385" s="252"/>
      <c r="UCP385" s="252"/>
      <c r="UCQ385" s="252"/>
      <c r="UCR385" s="252"/>
      <c r="UCS385" s="252"/>
      <c r="UCT385" s="252"/>
      <c r="UCU385" s="252"/>
      <c r="UCV385" s="252"/>
      <c r="UCW385" s="252"/>
      <c r="UCX385" s="252"/>
      <c r="UCY385" s="252"/>
      <c r="UCZ385" s="252"/>
      <c r="UDA385" s="252"/>
      <c r="UDB385" s="252"/>
      <c r="UDC385" s="252"/>
      <c r="UDD385" s="252"/>
      <c r="UDE385" s="252"/>
      <c r="UDF385" s="252"/>
      <c r="UDG385" s="252"/>
      <c r="UDH385" s="252"/>
      <c r="UDI385" s="252"/>
      <c r="UDJ385" s="252"/>
      <c r="UDK385" s="252"/>
      <c r="UDL385" s="252"/>
      <c r="UDM385" s="252"/>
      <c r="UDN385" s="252"/>
      <c r="UDO385" s="252"/>
      <c r="UDP385" s="252"/>
      <c r="UDQ385" s="252"/>
      <c r="UDR385" s="252"/>
      <c r="UDS385" s="252"/>
      <c r="UDT385" s="252"/>
      <c r="UDU385" s="252"/>
      <c r="UDV385" s="252"/>
      <c r="UDW385" s="252"/>
      <c r="UDX385" s="252"/>
      <c r="UDY385" s="252"/>
      <c r="UDZ385" s="252"/>
      <c r="UEA385" s="252"/>
      <c r="UEB385" s="252"/>
      <c r="UEC385" s="252"/>
      <c r="UED385" s="252"/>
      <c r="UEE385" s="252"/>
      <c r="UEF385" s="252"/>
      <c r="UEG385" s="252"/>
      <c r="UEH385" s="252"/>
      <c r="UEI385" s="252"/>
      <c r="UEJ385" s="252"/>
      <c r="UEK385" s="252"/>
      <c r="UEL385" s="252"/>
      <c r="UEM385" s="252"/>
      <c r="UEN385" s="252"/>
      <c r="UEO385" s="252"/>
      <c r="UEP385" s="252"/>
      <c r="UEQ385" s="252"/>
      <c r="UER385" s="252"/>
      <c r="UES385" s="252"/>
      <c r="UET385" s="252"/>
      <c r="UEU385" s="252"/>
      <c r="UEV385" s="252"/>
      <c r="UEW385" s="252"/>
      <c r="UEX385" s="252"/>
      <c r="UEY385" s="252"/>
      <c r="UEZ385" s="252"/>
      <c r="UFA385" s="252"/>
      <c r="UFB385" s="252"/>
      <c r="UFC385" s="252"/>
      <c r="UFD385" s="252"/>
      <c r="UFE385" s="252"/>
      <c r="UFF385" s="252"/>
      <c r="UFG385" s="252"/>
      <c r="UFH385" s="252"/>
      <c r="UFI385" s="252"/>
      <c r="UFJ385" s="252"/>
      <c r="UFK385" s="252"/>
      <c r="UFL385" s="252"/>
      <c r="UFM385" s="252"/>
      <c r="UFN385" s="252"/>
      <c r="UFO385" s="252"/>
      <c r="UFP385" s="252"/>
      <c r="UFQ385" s="252"/>
      <c r="UFR385" s="252"/>
      <c r="UFS385" s="252"/>
      <c r="UFT385" s="252"/>
      <c r="UFU385" s="252"/>
      <c r="UFV385" s="252"/>
      <c r="UFW385" s="252"/>
      <c r="UFX385" s="252"/>
      <c r="UFY385" s="252"/>
      <c r="UFZ385" s="252"/>
      <c r="UGA385" s="252"/>
      <c r="UGB385" s="252"/>
      <c r="UGC385" s="252"/>
      <c r="UGD385" s="252"/>
      <c r="UGE385" s="252"/>
      <c r="UGF385" s="252"/>
      <c r="UGG385" s="252"/>
      <c r="UGH385" s="252"/>
      <c r="UGI385" s="252"/>
      <c r="UGJ385" s="252"/>
      <c r="UGK385" s="252"/>
      <c r="UGL385" s="252"/>
      <c r="UGM385" s="252"/>
      <c r="UGN385" s="252"/>
      <c r="UGO385" s="252"/>
      <c r="UGP385" s="252"/>
      <c r="UGQ385" s="252"/>
      <c r="UGR385" s="252"/>
      <c r="UGS385" s="252"/>
      <c r="UGT385" s="252"/>
      <c r="UGU385" s="252"/>
      <c r="UGV385" s="252"/>
      <c r="UGW385" s="252"/>
      <c r="UGX385" s="252"/>
      <c r="UGY385" s="252"/>
      <c r="UGZ385" s="252"/>
      <c r="UHA385" s="252"/>
      <c r="UHB385" s="252"/>
      <c r="UHC385" s="252"/>
      <c r="UHD385" s="252"/>
      <c r="UHE385" s="252"/>
      <c r="UHF385" s="252"/>
      <c r="UHG385" s="252"/>
      <c r="UHH385" s="252"/>
      <c r="UHI385" s="252"/>
      <c r="UHJ385" s="252"/>
      <c r="UHK385" s="252"/>
      <c r="UHL385" s="252"/>
      <c r="UHM385" s="252"/>
      <c r="UHN385" s="252"/>
      <c r="UHO385" s="252"/>
      <c r="UHP385" s="252"/>
      <c r="UHQ385" s="252"/>
      <c r="UHR385" s="252"/>
      <c r="UHS385" s="252"/>
      <c r="UHT385" s="252"/>
      <c r="UHU385" s="252"/>
      <c r="UHV385" s="252"/>
      <c r="UHW385" s="252"/>
      <c r="UHX385" s="252"/>
      <c r="UHY385" s="252"/>
      <c r="UHZ385" s="252"/>
      <c r="UIA385" s="252"/>
      <c r="UIB385" s="252"/>
      <c r="UIC385" s="252"/>
      <c r="UID385" s="252"/>
      <c r="UIE385" s="252"/>
      <c r="UIF385" s="252"/>
      <c r="UIG385" s="252"/>
      <c r="UIH385" s="252"/>
      <c r="UII385" s="252"/>
      <c r="UIJ385" s="252"/>
      <c r="UIK385" s="252"/>
      <c r="UIL385" s="252"/>
      <c r="UIM385" s="252"/>
      <c r="UIN385" s="252"/>
      <c r="UIO385" s="252"/>
      <c r="UIP385" s="252"/>
      <c r="UIQ385" s="252"/>
      <c r="UIR385" s="252"/>
      <c r="UIS385" s="252"/>
      <c r="UIT385" s="252"/>
      <c r="UIU385" s="252"/>
      <c r="UIV385" s="252"/>
      <c r="UIW385" s="252"/>
      <c r="UIX385" s="252"/>
      <c r="UIY385" s="252"/>
      <c r="UIZ385" s="252"/>
      <c r="UJA385" s="252"/>
      <c r="UJB385" s="252"/>
      <c r="UJC385" s="252"/>
      <c r="UJD385" s="252"/>
      <c r="UJE385" s="252"/>
      <c r="UJF385" s="252"/>
      <c r="UJG385" s="252"/>
      <c r="UJH385" s="252"/>
      <c r="UJI385" s="252"/>
      <c r="UJJ385" s="252"/>
      <c r="UJK385" s="252"/>
      <c r="UJL385" s="252"/>
      <c r="UJM385" s="252"/>
      <c r="UJN385" s="252"/>
      <c r="UJO385" s="252"/>
      <c r="UJP385" s="252"/>
      <c r="UJQ385" s="252"/>
      <c r="UJR385" s="252"/>
      <c r="UJS385" s="252"/>
      <c r="UJT385" s="252"/>
      <c r="UJU385" s="252"/>
      <c r="UJV385" s="252"/>
      <c r="UJW385" s="252"/>
      <c r="UJX385" s="252"/>
      <c r="UJY385" s="252"/>
      <c r="UJZ385" s="252"/>
      <c r="UKA385" s="252"/>
      <c r="UKB385" s="252"/>
      <c r="UKC385" s="252"/>
      <c r="UKD385" s="252"/>
      <c r="UKE385" s="252"/>
      <c r="UKF385" s="252"/>
      <c r="UKG385" s="252"/>
      <c r="UKH385" s="252"/>
      <c r="UKI385" s="252"/>
      <c r="UKJ385" s="252"/>
      <c r="UKK385" s="252"/>
      <c r="UKL385" s="252"/>
      <c r="UKM385" s="252"/>
      <c r="UKN385" s="252"/>
      <c r="UKO385" s="252"/>
      <c r="UKP385" s="252"/>
      <c r="UKQ385" s="252"/>
      <c r="UKR385" s="252"/>
      <c r="UKS385" s="252"/>
      <c r="UKT385" s="252"/>
      <c r="UKU385" s="252"/>
      <c r="UKV385" s="252"/>
      <c r="UKW385" s="252"/>
      <c r="UKX385" s="252"/>
      <c r="UKY385" s="252"/>
      <c r="UKZ385" s="252"/>
      <c r="ULA385" s="252"/>
      <c r="ULB385" s="252"/>
      <c r="ULC385" s="252"/>
      <c r="ULD385" s="252"/>
      <c r="ULE385" s="252"/>
      <c r="ULF385" s="252"/>
      <c r="ULG385" s="252"/>
      <c r="ULH385" s="252"/>
      <c r="ULI385" s="252"/>
      <c r="ULJ385" s="252"/>
      <c r="ULK385" s="252"/>
      <c r="ULL385" s="252"/>
      <c r="ULM385" s="252"/>
      <c r="ULN385" s="252"/>
      <c r="ULO385" s="252"/>
      <c r="ULP385" s="252"/>
      <c r="ULQ385" s="252"/>
      <c r="ULR385" s="252"/>
      <c r="ULS385" s="252"/>
      <c r="ULT385" s="252"/>
      <c r="ULU385" s="252"/>
      <c r="ULV385" s="252"/>
      <c r="ULW385" s="252"/>
      <c r="ULX385" s="252"/>
      <c r="ULY385" s="252"/>
      <c r="ULZ385" s="252"/>
      <c r="UMA385" s="252"/>
      <c r="UMB385" s="252"/>
      <c r="UMC385" s="252"/>
      <c r="UMD385" s="252"/>
      <c r="UME385" s="252"/>
      <c r="UMF385" s="252"/>
      <c r="UMG385" s="252"/>
      <c r="UMH385" s="252"/>
      <c r="UMI385" s="252"/>
      <c r="UMJ385" s="252"/>
      <c r="UMK385" s="252"/>
      <c r="UML385" s="252"/>
      <c r="UMM385" s="252"/>
      <c r="UMN385" s="252"/>
      <c r="UMO385" s="252"/>
      <c r="UMP385" s="252"/>
      <c r="UMQ385" s="252"/>
      <c r="UMR385" s="252"/>
      <c r="UMS385" s="252"/>
      <c r="UMT385" s="252"/>
      <c r="UMU385" s="252"/>
      <c r="UMV385" s="252"/>
      <c r="UMW385" s="252"/>
      <c r="UMX385" s="252"/>
      <c r="UMY385" s="252"/>
      <c r="UMZ385" s="252"/>
      <c r="UNA385" s="252"/>
      <c r="UNB385" s="252"/>
      <c r="UNC385" s="252"/>
      <c r="UND385" s="252"/>
      <c r="UNE385" s="252"/>
      <c r="UNF385" s="252"/>
      <c r="UNG385" s="252"/>
      <c r="UNH385" s="252"/>
      <c r="UNI385" s="252"/>
      <c r="UNJ385" s="252"/>
      <c r="UNK385" s="252"/>
      <c r="UNL385" s="252"/>
      <c r="UNM385" s="252"/>
      <c r="UNN385" s="252"/>
      <c r="UNO385" s="252"/>
      <c r="UNP385" s="252"/>
      <c r="UNQ385" s="252"/>
      <c r="UNR385" s="252"/>
      <c r="UNS385" s="252"/>
      <c r="UNT385" s="252"/>
      <c r="UNU385" s="252"/>
      <c r="UNV385" s="252"/>
      <c r="UNW385" s="252"/>
      <c r="UNX385" s="252"/>
      <c r="UNY385" s="252"/>
      <c r="UNZ385" s="252"/>
      <c r="UOA385" s="252"/>
      <c r="UOB385" s="252"/>
      <c r="UOC385" s="252"/>
      <c r="UOD385" s="252"/>
      <c r="UOE385" s="252"/>
      <c r="UOF385" s="252"/>
      <c r="UOG385" s="252"/>
      <c r="UOH385" s="252"/>
      <c r="UOI385" s="252"/>
      <c r="UOJ385" s="252"/>
      <c r="UOK385" s="252"/>
      <c r="UOL385" s="252"/>
      <c r="UOM385" s="252"/>
      <c r="UON385" s="252"/>
      <c r="UOO385" s="252"/>
      <c r="UOP385" s="252"/>
      <c r="UOQ385" s="252"/>
      <c r="UOR385" s="252"/>
      <c r="UOS385" s="252"/>
      <c r="UOT385" s="252"/>
      <c r="UOU385" s="252"/>
      <c r="UOV385" s="252"/>
      <c r="UOW385" s="252"/>
      <c r="UOX385" s="252"/>
      <c r="UOY385" s="252"/>
      <c r="UOZ385" s="252"/>
      <c r="UPA385" s="252"/>
      <c r="UPB385" s="252"/>
      <c r="UPC385" s="252"/>
      <c r="UPD385" s="252"/>
      <c r="UPE385" s="252"/>
      <c r="UPF385" s="252"/>
      <c r="UPG385" s="252"/>
      <c r="UPH385" s="252"/>
      <c r="UPI385" s="252"/>
      <c r="UPJ385" s="252"/>
      <c r="UPK385" s="252"/>
      <c r="UPL385" s="252"/>
      <c r="UPM385" s="252"/>
      <c r="UPN385" s="252"/>
      <c r="UPO385" s="252"/>
      <c r="UPP385" s="252"/>
      <c r="UPQ385" s="252"/>
      <c r="UPR385" s="252"/>
      <c r="UPS385" s="252"/>
      <c r="UPT385" s="252"/>
      <c r="UPU385" s="252"/>
      <c r="UPV385" s="252"/>
      <c r="UPW385" s="252"/>
      <c r="UPX385" s="252"/>
      <c r="UPY385" s="252"/>
      <c r="UPZ385" s="252"/>
      <c r="UQA385" s="252"/>
      <c r="UQB385" s="252"/>
      <c r="UQC385" s="252"/>
      <c r="UQD385" s="252"/>
      <c r="UQE385" s="252"/>
      <c r="UQF385" s="252"/>
      <c r="UQG385" s="252"/>
      <c r="UQH385" s="252"/>
      <c r="UQI385" s="252"/>
      <c r="UQJ385" s="252"/>
      <c r="UQK385" s="252"/>
      <c r="UQL385" s="252"/>
      <c r="UQM385" s="252"/>
      <c r="UQN385" s="252"/>
      <c r="UQO385" s="252"/>
      <c r="UQP385" s="252"/>
      <c r="UQQ385" s="252"/>
      <c r="UQR385" s="252"/>
      <c r="UQS385" s="252"/>
      <c r="UQT385" s="252"/>
      <c r="UQU385" s="252"/>
      <c r="UQV385" s="252"/>
      <c r="UQW385" s="252"/>
      <c r="UQX385" s="252"/>
      <c r="UQY385" s="252"/>
      <c r="UQZ385" s="252"/>
      <c r="URA385" s="252"/>
      <c r="URB385" s="252"/>
      <c r="URC385" s="252"/>
      <c r="URD385" s="252"/>
      <c r="URE385" s="252"/>
      <c r="URF385" s="252"/>
      <c r="URG385" s="252"/>
      <c r="URH385" s="252"/>
      <c r="URI385" s="252"/>
      <c r="URJ385" s="252"/>
      <c r="URK385" s="252"/>
      <c r="URL385" s="252"/>
      <c r="URM385" s="252"/>
      <c r="URN385" s="252"/>
      <c r="URO385" s="252"/>
      <c r="URP385" s="252"/>
      <c r="URQ385" s="252"/>
      <c r="URR385" s="252"/>
      <c r="URS385" s="252"/>
      <c r="URT385" s="252"/>
      <c r="URU385" s="252"/>
      <c r="URV385" s="252"/>
      <c r="URW385" s="252"/>
      <c r="URX385" s="252"/>
      <c r="URY385" s="252"/>
      <c r="URZ385" s="252"/>
      <c r="USA385" s="252"/>
      <c r="USB385" s="252"/>
      <c r="USC385" s="252"/>
      <c r="USD385" s="252"/>
      <c r="USE385" s="252"/>
      <c r="USF385" s="252"/>
      <c r="USG385" s="252"/>
      <c r="USH385" s="252"/>
      <c r="USI385" s="252"/>
      <c r="USJ385" s="252"/>
      <c r="USK385" s="252"/>
      <c r="USL385" s="252"/>
      <c r="USM385" s="252"/>
      <c r="USN385" s="252"/>
      <c r="USO385" s="252"/>
      <c r="USP385" s="252"/>
      <c r="USQ385" s="252"/>
      <c r="USR385" s="252"/>
      <c r="USS385" s="252"/>
      <c r="UST385" s="252"/>
      <c r="USU385" s="252"/>
      <c r="USV385" s="252"/>
      <c r="USW385" s="252"/>
      <c r="USX385" s="252"/>
      <c r="USY385" s="252"/>
      <c r="USZ385" s="252"/>
      <c r="UTA385" s="252"/>
      <c r="UTB385" s="252"/>
      <c r="UTC385" s="252"/>
      <c r="UTD385" s="252"/>
      <c r="UTE385" s="252"/>
      <c r="UTF385" s="252"/>
      <c r="UTG385" s="252"/>
      <c r="UTH385" s="252"/>
      <c r="UTI385" s="252"/>
      <c r="UTJ385" s="252"/>
      <c r="UTK385" s="252"/>
      <c r="UTL385" s="252"/>
      <c r="UTM385" s="252"/>
      <c r="UTN385" s="252"/>
      <c r="UTO385" s="252"/>
      <c r="UTP385" s="252"/>
      <c r="UTQ385" s="252"/>
      <c r="UTR385" s="252"/>
      <c r="UTS385" s="252"/>
      <c r="UTT385" s="252"/>
      <c r="UTU385" s="252"/>
      <c r="UTV385" s="252"/>
      <c r="UTW385" s="252"/>
      <c r="UTX385" s="252"/>
      <c r="UTY385" s="252"/>
      <c r="UTZ385" s="252"/>
      <c r="UUA385" s="252"/>
      <c r="UUB385" s="252"/>
      <c r="UUC385" s="252"/>
      <c r="UUD385" s="252"/>
      <c r="UUE385" s="252"/>
      <c r="UUF385" s="252"/>
      <c r="UUG385" s="252"/>
      <c r="UUH385" s="252"/>
      <c r="UUI385" s="252"/>
      <c r="UUJ385" s="252"/>
      <c r="UUK385" s="252"/>
      <c r="UUL385" s="252"/>
      <c r="UUM385" s="252"/>
      <c r="UUN385" s="252"/>
      <c r="UUO385" s="252"/>
      <c r="UUP385" s="252"/>
      <c r="UUQ385" s="252"/>
      <c r="UUR385" s="252"/>
      <c r="UUS385" s="252"/>
      <c r="UUT385" s="252"/>
      <c r="UUU385" s="252"/>
      <c r="UUV385" s="252"/>
      <c r="UUW385" s="252"/>
      <c r="UUX385" s="252"/>
      <c r="UUY385" s="252"/>
      <c r="UUZ385" s="252"/>
      <c r="UVA385" s="252"/>
      <c r="UVB385" s="252"/>
      <c r="UVC385" s="252"/>
      <c r="UVD385" s="252"/>
      <c r="UVE385" s="252"/>
      <c r="UVF385" s="252"/>
      <c r="UVG385" s="252"/>
      <c r="UVH385" s="252"/>
      <c r="UVI385" s="252"/>
      <c r="UVJ385" s="252"/>
      <c r="UVK385" s="252"/>
      <c r="UVL385" s="252"/>
      <c r="UVM385" s="252"/>
      <c r="UVN385" s="252"/>
      <c r="UVO385" s="252"/>
      <c r="UVP385" s="252"/>
      <c r="UVQ385" s="252"/>
      <c r="UVR385" s="252"/>
      <c r="UVS385" s="252"/>
      <c r="UVT385" s="252"/>
      <c r="UVU385" s="252"/>
      <c r="UVV385" s="252"/>
      <c r="UVW385" s="252"/>
      <c r="UVX385" s="252"/>
      <c r="UVY385" s="252"/>
      <c r="UVZ385" s="252"/>
      <c r="UWA385" s="252"/>
      <c r="UWB385" s="252"/>
      <c r="UWC385" s="252"/>
      <c r="UWD385" s="252"/>
      <c r="UWE385" s="252"/>
      <c r="UWF385" s="252"/>
      <c r="UWG385" s="252"/>
      <c r="UWH385" s="252"/>
      <c r="UWI385" s="252"/>
      <c r="UWJ385" s="252"/>
      <c r="UWK385" s="252"/>
      <c r="UWL385" s="252"/>
      <c r="UWM385" s="252"/>
      <c r="UWN385" s="252"/>
      <c r="UWO385" s="252"/>
      <c r="UWP385" s="252"/>
      <c r="UWQ385" s="252"/>
      <c r="UWR385" s="252"/>
      <c r="UWS385" s="252"/>
      <c r="UWT385" s="252"/>
      <c r="UWU385" s="252"/>
      <c r="UWV385" s="252"/>
      <c r="UWW385" s="252"/>
      <c r="UWX385" s="252"/>
      <c r="UWY385" s="252"/>
      <c r="UWZ385" s="252"/>
      <c r="UXA385" s="252"/>
      <c r="UXB385" s="252"/>
      <c r="UXC385" s="252"/>
      <c r="UXD385" s="252"/>
      <c r="UXE385" s="252"/>
      <c r="UXF385" s="252"/>
      <c r="UXG385" s="252"/>
      <c r="UXH385" s="252"/>
      <c r="UXI385" s="252"/>
      <c r="UXJ385" s="252"/>
      <c r="UXK385" s="252"/>
      <c r="UXL385" s="252"/>
      <c r="UXM385" s="252"/>
      <c r="UXN385" s="252"/>
      <c r="UXO385" s="252"/>
      <c r="UXP385" s="252"/>
      <c r="UXQ385" s="252"/>
      <c r="UXR385" s="252"/>
      <c r="UXS385" s="252"/>
      <c r="UXT385" s="252"/>
      <c r="UXU385" s="252"/>
      <c r="UXV385" s="252"/>
      <c r="UXW385" s="252"/>
      <c r="UXX385" s="252"/>
      <c r="UXY385" s="252"/>
      <c r="UXZ385" s="252"/>
      <c r="UYA385" s="252"/>
      <c r="UYB385" s="252"/>
      <c r="UYC385" s="252"/>
      <c r="UYD385" s="252"/>
      <c r="UYE385" s="252"/>
      <c r="UYF385" s="252"/>
      <c r="UYG385" s="252"/>
      <c r="UYH385" s="252"/>
      <c r="UYI385" s="252"/>
      <c r="UYJ385" s="252"/>
      <c r="UYK385" s="252"/>
      <c r="UYL385" s="252"/>
      <c r="UYM385" s="252"/>
      <c r="UYN385" s="252"/>
      <c r="UYO385" s="252"/>
      <c r="UYP385" s="252"/>
      <c r="UYQ385" s="252"/>
      <c r="UYR385" s="252"/>
      <c r="UYS385" s="252"/>
      <c r="UYT385" s="252"/>
      <c r="UYU385" s="252"/>
      <c r="UYV385" s="252"/>
      <c r="UYW385" s="252"/>
      <c r="UYX385" s="252"/>
      <c r="UYY385" s="252"/>
      <c r="UYZ385" s="252"/>
      <c r="UZA385" s="252"/>
      <c r="UZB385" s="252"/>
      <c r="UZC385" s="252"/>
      <c r="UZD385" s="252"/>
      <c r="UZE385" s="252"/>
      <c r="UZF385" s="252"/>
      <c r="UZG385" s="252"/>
      <c r="UZH385" s="252"/>
      <c r="UZI385" s="252"/>
      <c r="UZJ385" s="252"/>
      <c r="UZK385" s="252"/>
      <c r="UZL385" s="252"/>
      <c r="UZM385" s="252"/>
      <c r="UZN385" s="252"/>
      <c r="UZO385" s="252"/>
      <c r="UZP385" s="252"/>
      <c r="UZQ385" s="252"/>
      <c r="UZR385" s="252"/>
      <c r="UZS385" s="252"/>
      <c r="UZT385" s="252"/>
      <c r="UZU385" s="252"/>
      <c r="UZV385" s="252"/>
      <c r="UZW385" s="252"/>
      <c r="UZX385" s="252"/>
      <c r="UZY385" s="252"/>
      <c r="UZZ385" s="252"/>
      <c r="VAA385" s="252"/>
      <c r="VAB385" s="252"/>
      <c r="VAC385" s="252"/>
      <c r="VAD385" s="252"/>
      <c r="VAE385" s="252"/>
      <c r="VAF385" s="252"/>
      <c r="VAG385" s="252"/>
      <c r="VAH385" s="252"/>
      <c r="VAI385" s="252"/>
      <c r="VAJ385" s="252"/>
      <c r="VAK385" s="252"/>
      <c r="VAL385" s="252"/>
      <c r="VAM385" s="252"/>
      <c r="VAN385" s="252"/>
      <c r="VAO385" s="252"/>
      <c r="VAP385" s="252"/>
      <c r="VAQ385" s="252"/>
      <c r="VAR385" s="252"/>
      <c r="VAS385" s="252"/>
      <c r="VAT385" s="252"/>
      <c r="VAU385" s="252"/>
      <c r="VAV385" s="252"/>
      <c r="VAW385" s="252"/>
      <c r="VAX385" s="252"/>
      <c r="VAY385" s="252"/>
      <c r="VAZ385" s="252"/>
      <c r="VBA385" s="252"/>
      <c r="VBB385" s="252"/>
      <c r="VBC385" s="252"/>
      <c r="VBD385" s="252"/>
      <c r="VBE385" s="252"/>
      <c r="VBF385" s="252"/>
      <c r="VBG385" s="252"/>
      <c r="VBH385" s="252"/>
      <c r="VBI385" s="252"/>
      <c r="VBJ385" s="252"/>
      <c r="VBK385" s="252"/>
      <c r="VBL385" s="252"/>
      <c r="VBM385" s="252"/>
      <c r="VBN385" s="252"/>
      <c r="VBO385" s="252"/>
      <c r="VBP385" s="252"/>
      <c r="VBQ385" s="252"/>
      <c r="VBR385" s="252"/>
      <c r="VBS385" s="252"/>
      <c r="VBT385" s="252"/>
      <c r="VBU385" s="252"/>
      <c r="VBV385" s="252"/>
      <c r="VBW385" s="252"/>
      <c r="VBX385" s="252"/>
      <c r="VBY385" s="252"/>
      <c r="VBZ385" s="252"/>
      <c r="VCA385" s="252"/>
      <c r="VCB385" s="252"/>
      <c r="VCC385" s="252"/>
      <c r="VCD385" s="252"/>
      <c r="VCE385" s="252"/>
      <c r="VCF385" s="252"/>
      <c r="VCG385" s="252"/>
      <c r="VCH385" s="252"/>
      <c r="VCI385" s="252"/>
      <c r="VCJ385" s="252"/>
      <c r="VCK385" s="252"/>
      <c r="VCL385" s="252"/>
      <c r="VCM385" s="252"/>
      <c r="VCN385" s="252"/>
      <c r="VCO385" s="252"/>
      <c r="VCP385" s="252"/>
      <c r="VCQ385" s="252"/>
      <c r="VCR385" s="252"/>
      <c r="VCS385" s="252"/>
      <c r="VCT385" s="252"/>
      <c r="VCU385" s="252"/>
      <c r="VCV385" s="252"/>
      <c r="VCW385" s="252"/>
      <c r="VCX385" s="252"/>
      <c r="VCY385" s="252"/>
      <c r="VCZ385" s="252"/>
      <c r="VDA385" s="252"/>
      <c r="VDB385" s="252"/>
      <c r="VDC385" s="252"/>
      <c r="VDD385" s="252"/>
      <c r="VDE385" s="252"/>
      <c r="VDF385" s="252"/>
      <c r="VDG385" s="252"/>
      <c r="VDH385" s="252"/>
      <c r="VDI385" s="252"/>
      <c r="VDJ385" s="252"/>
      <c r="VDK385" s="252"/>
      <c r="VDL385" s="252"/>
      <c r="VDM385" s="252"/>
      <c r="VDN385" s="252"/>
      <c r="VDO385" s="252"/>
      <c r="VDP385" s="252"/>
      <c r="VDQ385" s="252"/>
      <c r="VDR385" s="252"/>
      <c r="VDS385" s="252"/>
      <c r="VDT385" s="252"/>
      <c r="VDU385" s="252"/>
      <c r="VDV385" s="252"/>
      <c r="VDW385" s="252"/>
      <c r="VDX385" s="252"/>
      <c r="VDY385" s="252"/>
      <c r="VDZ385" s="252"/>
      <c r="VEA385" s="252"/>
      <c r="VEB385" s="252"/>
      <c r="VEC385" s="252"/>
      <c r="VED385" s="252"/>
      <c r="VEE385" s="252"/>
      <c r="VEF385" s="252"/>
      <c r="VEG385" s="252"/>
      <c r="VEH385" s="252"/>
      <c r="VEI385" s="252"/>
      <c r="VEJ385" s="252"/>
      <c r="VEK385" s="252"/>
      <c r="VEL385" s="252"/>
      <c r="VEM385" s="252"/>
      <c r="VEN385" s="252"/>
      <c r="VEO385" s="252"/>
      <c r="VEP385" s="252"/>
      <c r="VEQ385" s="252"/>
      <c r="VER385" s="252"/>
      <c r="VES385" s="252"/>
      <c r="VET385" s="252"/>
      <c r="VEU385" s="252"/>
      <c r="VEV385" s="252"/>
      <c r="VEW385" s="252"/>
      <c r="VEX385" s="252"/>
      <c r="VEY385" s="252"/>
      <c r="VEZ385" s="252"/>
      <c r="VFA385" s="252"/>
      <c r="VFB385" s="252"/>
      <c r="VFC385" s="252"/>
      <c r="VFD385" s="252"/>
      <c r="VFE385" s="252"/>
      <c r="VFF385" s="252"/>
      <c r="VFG385" s="252"/>
      <c r="VFH385" s="252"/>
      <c r="VFI385" s="252"/>
      <c r="VFJ385" s="252"/>
      <c r="VFK385" s="252"/>
      <c r="VFL385" s="252"/>
      <c r="VFM385" s="252"/>
      <c r="VFN385" s="252"/>
      <c r="VFO385" s="252"/>
      <c r="VFP385" s="252"/>
      <c r="VFQ385" s="252"/>
      <c r="VFR385" s="252"/>
      <c r="VFS385" s="252"/>
      <c r="VFT385" s="252"/>
      <c r="VFU385" s="252"/>
      <c r="VFV385" s="252"/>
      <c r="VFW385" s="252"/>
      <c r="VFX385" s="252"/>
      <c r="VFY385" s="252"/>
      <c r="VFZ385" s="252"/>
      <c r="VGA385" s="252"/>
      <c r="VGB385" s="252"/>
      <c r="VGC385" s="252"/>
      <c r="VGD385" s="252"/>
      <c r="VGE385" s="252"/>
      <c r="VGF385" s="252"/>
      <c r="VGG385" s="252"/>
      <c r="VGH385" s="252"/>
      <c r="VGI385" s="252"/>
      <c r="VGJ385" s="252"/>
      <c r="VGK385" s="252"/>
      <c r="VGL385" s="252"/>
      <c r="VGM385" s="252"/>
      <c r="VGN385" s="252"/>
      <c r="VGO385" s="252"/>
      <c r="VGP385" s="252"/>
      <c r="VGQ385" s="252"/>
      <c r="VGR385" s="252"/>
      <c r="VGS385" s="252"/>
      <c r="VGT385" s="252"/>
      <c r="VGU385" s="252"/>
      <c r="VGV385" s="252"/>
      <c r="VGW385" s="252"/>
      <c r="VGX385" s="252"/>
      <c r="VGY385" s="252"/>
      <c r="VGZ385" s="252"/>
      <c r="VHA385" s="252"/>
      <c r="VHB385" s="252"/>
      <c r="VHC385" s="252"/>
      <c r="VHD385" s="252"/>
      <c r="VHE385" s="252"/>
      <c r="VHF385" s="252"/>
      <c r="VHG385" s="252"/>
      <c r="VHH385" s="252"/>
      <c r="VHI385" s="252"/>
      <c r="VHJ385" s="252"/>
      <c r="VHK385" s="252"/>
      <c r="VHL385" s="252"/>
      <c r="VHM385" s="252"/>
      <c r="VHN385" s="252"/>
      <c r="VHO385" s="252"/>
      <c r="VHP385" s="252"/>
      <c r="VHQ385" s="252"/>
      <c r="VHR385" s="252"/>
      <c r="VHS385" s="252"/>
      <c r="VHT385" s="252"/>
      <c r="VHU385" s="252"/>
      <c r="VHV385" s="252"/>
      <c r="VHW385" s="252"/>
      <c r="VHX385" s="252"/>
      <c r="VHY385" s="252"/>
      <c r="VHZ385" s="252"/>
      <c r="VIA385" s="252"/>
      <c r="VIB385" s="252"/>
      <c r="VIC385" s="252"/>
      <c r="VID385" s="252"/>
      <c r="VIE385" s="252"/>
      <c r="VIF385" s="252"/>
      <c r="VIG385" s="252"/>
      <c r="VIH385" s="252"/>
      <c r="VII385" s="252"/>
      <c r="VIJ385" s="252"/>
      <c r="VIK385" s="252"/>
      <c r="VIL385" s="252"/>
      <c r="VIM385" s="252"/>
      <c r="VIN385" s="252"/>
      <c r="VIO385" s="252"/>
      <c r="VIP385" s="252"/>
      <c r="VIQ385" s="252"/>
      <c r="VIR385" s="252"/>
      <c r="VIS385" s="252"/>
      <c r="VIT385" s="252"/>
      <c r="VIU385" s="252"/>
      <c r="VIV385" s="252"/>
      <c r="VIW385" s="252"/>
      <c r="VIX385" s="252"/>
      <c r="VIY385" s="252"/>
      <c r="VIZ385" s="252"/>
      <c r="VJA385" s="252"/>
      <c r="VJB385" s="252"/>
      <c r="VJC385" s="252"/>
      <c r="VJD385" s="252"/>
      <c r="VJE385" s="252"/>
      <c r="VJF385" s="252"/>
      <c r="VJG385" s="252"/>
      <c r="VJH385" s="252"/>
      <c r="VJI385" s="252"/>
      <c r="VJJ385" s="252"/>
      <c r="VJK385" s="252"/>
      <c r="VJL385" s="252"/>
      <c r="VJM385" s="252"/>
      <c r="VJN385" s="252"/>
      <c r="VJO385" s="252"/>
      <c r="VJP385" s="252"/>
      <c r="VJQ385" s="252"/>
      <c r="VJR385" s="252"/>
      <c r="VJS385" s="252"/>
      <c r="VJT385" s="252"/>
      <c r="VJU385" s="252"/>
      <c r="VJV385" s="252"/>
      <c r="VJW385" s="252"/>
      <c r="VJX385" s="252"/>
      <c r="VJY385" s="252"/>
      <c r="VJZ385" s="252"/>
      <c r="VKA385" s="252"/>
      <c r="VKB385" s="252"/>
      <c r="VKC385" s="252"/>
      <c r="VKD385" s="252"/>
      <c r="VKE385" s="252"/>
      <c r="VKF385" s="252"/>
      <c r="VKG385" s="252"/>
      <c r="VKH385" s="252"/>
      <c r="VKI385" s="252"/>
      <c r="VKJ385" s="252"/>
      <c r="VKK385" s="252"/>
      <c r="VKL385" s="252"/>
      <c r="VKM385" s="252"/>
      <c r="VKN385" s="252"/>
      <c r="VKO385" s="252"/>
      <c r="VKP385" s="252"/>
      <c r="VKQ385" s="252"/>
      <c r="VKR385" s="252"/>
      <c r="VKS385" s="252"/>
      <c r="VKT385" s="252"/>
      <c r="VKU385" s="252"/>
      <c r="VKV385" s="252"/>
      <c r="VKW385" s="252"/>
      <c r="VKX385" s="252"/>
      <c r="VKY385" s="252"/>
      <c r="VKZ385" s="252"/>
      <c r="VLA385" s="252"/>
      <c r="VLB385" s="252"/>
      <c r="VLC385" s="252"/>
      <c r="VLD385" s="252"/>
      <c r="VLE385" s="252"/>
      <c r="VLF385" s="252"/>
      <c r="VLG385" s="252"/>
      <c r="VLH385" s="252"/>
      <c r="VLI385" s="252"/>
      <c r="VLJ385" s="252"/>
      <c r="VLK385" s="252"/>
      <c r="VLL385" s="252"/>
      <c r="VLM385" s="252"/>
      <c r="VLN385" s="252"/>
      <c r="VLO385" s="252"/>
      <c r="VLP385" s="252"/>
      <c r="VLQ385" s="252"/>
      <c r="VLR385" s="252"/>
      <c r="VLS385" s="252"/>
      <c r="VLT385" s="252"/>
      <c r="VLU385" s="252"/>
      <c r="VLV385" s="252"/>
      <c r="VLW385" s="252"/>
      <c r="VLX385" s="252"/>
      <c r="VLY385" s="252"/>
      <c r="VLZ385" s="252"/>
      <c r="VMA385" s="252"/>
      <c r="VMB385" s="252"/>
      <c r="VMC385" s="252"/>
      <c r="VMD385" s="252"/>
      <c r="VME385" s="252"/>
      <c r="VMF385" s="252"/>
      <c r="VMG385" s="252"/>
      <c r="VMH385" s="252"/>
      <c r="VMI385" s="252"/>
      <c r="VMJ385" s="252"/>
      <c r="VMK385" s="252"/>
      <c r="VML385" s="252"/>
      <c r="VMM385" s="252"/>
      <c r="VMN385" s="252"/>
      <c r="VMO385" s="252"/>
      <c r="VMP385" s="252"/>
      <c r="VMQ385" s="252"/>
      <c r="VMR385" s="252"/>
      <c r="VMS385" s="252"/>
      <c r="VMT385" s="252"/>
      <c r="VMU385" s="252"/>
      <c r="VMV385" s="252"/>
      <c r="VMW385" s="252"/>
      <c r="VMX385" s="252"/>
      <c r="VMY385" s="252"/>
      <c r="VMZ385" s="252"/>
      <c r="VNA385" s="252"/>
      <c r="VNB385" s="252"/>
      <c r="VNC385" s="252"/>
      <c r="VND385" s="252"/>
      <c r="VNE385" s="252"/>
      <c r="VNF385" s="252"/>
      <c r="VNG385" s="252"/>
      <c r="VNH385" s="252"/>
      <c r="VNI385" s="252"/>
      <c r="VNJ385" s="252"/>
      <c r="VNK385" s="252"/>
      <c r="VNL385" s="252"/>
      <c r="VNM385" s="252"/>
      <c r="VNN385" s="252"/>
      <c r="VNO385" s="252"/>
      <c r="VNP385" s="252"/>
      <c r="VNQ385" s="252"/>
      <c r="VNR385" s="252"/>
      <c r="VNS385" s="252"/>
      <c r="VNT385" s="252"/>
      <c r="VNU385" s="252"/>
      <c r="VNV385" s="252"/>
      <c r="VNW385" s="252"/>
      <c r="VNX385" s="252"/>
      <c r="VNY385" s="252"/>
      <c r="VNZ385" s="252"/>
      <c r="VOA385" s="252"/>
      <c r="VOB385" s="252"/>
      <c r="VOC385" s="252"/>
      <c r="VOD385" s="252"/>
      <c r="VOE385" s="252"/>
      <c r="VOF385" s="252"/>
      <c r="VOG385" s="252"/>
      <c r="VOH385" s="252"/>
      <c r="VOI385" s="252"/>
      <c r="VOJ385" s="252"/>
      <c r="VOK385" s="252"/>
      <c r="VOL385" s="252"/>
      <c r="VOM385" s="252"/>
      <c r="VON385" s="252"/>
      <c r="VOO385" s="252"/>
      <c r="VOP385" s="252"/>
      <c r="VOQ385" s="252"/>
      <c r="VOR385" s="252"/>
      <c r="VOS385" s="252"/>
      <c r="VOT385" s="252"/>
      <c r="VOU385" s="252"/>
      <c r="VOV385" s="252"/>
      <c r="VOW385" s="252"/>
      <c r="VOX385" s="252"/>
      <c r="VOY385" s="252"/>
      <c r="VOZ385" s="252"/>
      <c r="VPA385" s="252"/>
      <c r="VPB385" s="252"/>
      <c r="VPC385" s="252"/>
      <c r="VPD385" s="252"/>
      <c r="VPE385" s="252"/>
      <c r="VPF385" s="252"/>
      <c r="VPG385" s="252"/>
      <c r="VPH385" s="252"/>
      <c r="VPI385" s="252"/>
      <c r="VPJ385" s="252"/>
      <c r="VPK385" s="252"/>
      <c r="VPL385" s="252"/>
      <c r="VPM385" s="252"/>
      <c r="VPN385" s="252"/>
      <c r="VPO385" s="252"/>
      <c r="VPP385" s="252"/>
      <c r="VPQ385" s="252"/>
      <c r="VPR385" s="252"/>
      <c r="VPS385" s="252"/>
      <c r="VPT385" s="252"/>
      <c r="VPU385" s="252"/>
      <c r="VPV385" s="252"/>
      <c r="VPW385" s="252"/>
      <c r="VPX385" s="252"/>
      <c r="VPY385" s="252"/>
      <c r="VPZ385" s="252"/>
      <c r="VQA385" s="252"/>
      <c r="VQB385" s="252"/>
      <c r="VQC385" s="252"/>
      <c r="VQD385" s="252"/>
      <c r="VQE385" s="252"/>
      <c r="VQF385" s="252"/>
      <c r="VQG385" s="252"/>
      <c r="VQH385" s="252"/>
      <c r="VQI385" s="252"/>
      <c r="VQJ385" s="252"/>
      <c r="VQK385" s="252"/>
      <c r="VQL385" s="252"/>
      <c r="VQM385" s="252"/>
      <c r="VQN385" s="252"/>
      <c r="VQO385" s="252"/>
      <c r="VQP385" s="252"/>
      <c r="VQQ385" s="252"/>
      <c r="VQR385" s="252"/>
      <c r="VQS385" s="252"/>
      <c r="VQT385" s="252"/>
      <c r="VQU385" s="252"/>
      <c r="VQV385" s="252"/>
      <c r="VQW385" s="252"/>
      <c r="VQX385" s="252"/>
      <c r="VQY385" s="252"/>
      <c r="VQZ385" s="252"/>
      <c r="VRA385" s="252"/>
      <c r="VRB385" s="252"/>
      <c r="VRC385" s="252"/>
      <c r="VRD385" s="252"/>
      <c r="VRE385" s="252"/>
      <c r="VRF385" s="252"/>
      <c r="VRG385" s="252"/>
      <c r="VRH385" s="252"/>
      <c r="VRI385" s="252"/>
      <c r="VRJ385" s="252"/>
      <c r="VRK385" s="252"/>
      <c r="VRL385" s="252"/>
      <c r="VRM385" s="252"/>
      <c r="VRN385" s="252"/>
      <c r="VRO385" s="252"/>
      <c r="VRP385" s="252"/>
      <c r="VRQ385" s="252"/>
      <c r="VRR385" s="252"/>
      <c r="VRS385" s="252"/>
      <c r="VRT385" s="252"/>
      <c r="VRU385" s="252"/>
      <c r="VRV385" s="252"/>
      <c r="VRW385" s="252"/>
      <c r="VRX385" s="252"/>
      <c r="VRY385" s="252"/>
      <c r="VRZ385" s="252"/>
      <c r="VSA385" s="252"/>
      <c r="VSB385" s="252"/>
      <c r="VSC385" s="252"/>
      <c r="VSD385" s="252"/>
      <c r="VSE385" s="252"/>
      <c r="VSF385" s="252"/>
      <c r="VSG385" s="252"/>
      <c r="VSH385" s="252"/>
      <c r="VSI385" s="252"/>
      <c r="VSJ385" s="252"/>
      <c r="VSK385" s="252"/>
      <c r="VSL385" s="252"/>
      <c r="VSM385" s="252"/>
      <c r="VSN385" s="252"/>
      <c r="VSO385" s="252"/>
      <c r="VSP385" s="252"/>
      <c r="VSQ385" s="252"/>
      <c r="VSR385" s="252"/>
      <c r="VSS385" s="252"/>
      <c r="VST385" s="252"/>
      <c r="VSU385" s="252"/>
      <c r="VSV385" s="252"/>
      <c r="VSW385" s="252"/>
      <c r="VSX385" s="252"/>
      <c r="VSY385" s="252"/>
      <c r="VSZ385" s="252"/>
      <c r="VTA385" s="252"/>
      <c r="VTB385" s="252"/>
      <c r="VTC385" s="252"/>
      <c r="VTD385" s="252"/>
      <c r="VTE385" s="252"/>
      <c r="VTF385" s="252"/>
      <c r="VTG385" s="252"/>
      <c r="VTH385" s="252"/>
      <c r="VTI385" s="252"/>
      <c r="VTJ385" s="252"/>
      <c r="VTK385" s="252"/>
      <c r="VTL385" s="252"/>
      <c r="VTM385" s="252"/>
      <c r="VTN385" s="252"/>
      <c r="VTO385" s="252"/>
      <c r="VTP385" s="252"/>
      <c r="VTQ385" s="252"/>
      <c r="VTR385" s="252"/>
      <c r="VTS385" s="252"/>
      <c r="VTT385" s="252"/>
      <c r="VTU385" s="252"/>
      <c r="VTV385" s="252"/>
      <c r="VTW385" s="252"/>
      <c r="VTX385" s="252"/>
      <c r="VTY385" s="252"/>
      <c r="VTZ385" s="252"/>
      <c r="VUA385" s="252"/>
      <c r="VUB385" s="252"/>
      <c r="VUC385" s="252"/>
      <c r="VUD385" s="252"/>
      <c r="VUE385" s="252"/>
      <c r="VUF385" s="252"/>
      <c r="VUG385" s="252"/>
      <c r="VUH385" s="252"/>
      <c r="VUI385" s="252"/>
      <c r="VUJ385" s="252"/>
      <c r="VUK385" s="252"/>
      <c r="VUL385" s="252"/>
      <c r="VUM385" s="252"/>
      <c r="VUN385" s="252"/>
      <c r="VUO385" s="252"/>
      <c r="VUP385" s="252"/>
      <c r="VUQ385" s="252"/>
      <c r="VUR385" s="252"/>
      <c r="VUS385" s="252"/>
      <c r="VUT385" s="252"/>
      <c r="VUU385" s="252"/>
      <c r="VUV385" s="252"/>
      <c r="VUW385" s="252"/>
      <c r="VUX385" s="252"/>
      <c r="VUY385" s="252"/>
      <c r="VUZ385" s="252"/>
      <c r="VVA385" s="252"/>
      <c r="VVB385" s="252"/>
      <c r="VVC385" s="252"/>
      <c r="VVD385" s="252"/>
      <c r="VVE385" s="252"/>
      <c r="VVF385" s="252"/>
      <c r="VVG385" s="252"/>
      <c r="VVH385" s="252"/>
      <c r="VVI385" s="252"/>
      <c r="VVJ385" s="252"/>
      <c r="VVK385" s="252"/>
      <c r="VVL385" s="252"/>
      <c r="VVM385" s="252"/>
      <c r="VVN385" s="252"/>
      <c r="VVO385" s="252"/>
      <c r="VVP385" s="252"/>
      <c r="VVQ385" s="252"/>
      <c r="VVR385" s="252"/>
      <c r="VVS385" s="252"/>
      <c r="VVT385" s="252"/>
      <c r="VVU385" s="252"/>
      <c r="VVV385" s="252"/>
      <c r="VVW385" s="252"/>
      <c r="VVX385" s="252"/>
      <c r="VVY385" s="252"/>
      <c r="VVZ385" s="252"/>
      <c r="VWA385" s="252"/>
      <c r="VWB385" s="252"/>
      <c r="VWC385" s="252"/>
      <c r="VWD385" s="252"/>
      <c r="VWE385" s="252"/>
      <c r="VWF385" s="252"/>
      <c r="VWG385" s="252"/>
      <c r="VWH385" s="252"/>
      <c r="VWI385" s="252"/>
      <c r="VWJ385" s="252"/>
      <c r="VWK385" s="252"/>
      <c r="VWL385" s="252"/>
      <c r="VWM385" s="252"/>
      <c r="VWN385" s="252"/>
      <c r="VWO385" s="252"/>
      <c r="VWP385" s="252"/>
      <c r="VWQ385" s="252"/>
      <c r="VWR385" s="252"/>
      <c r="VWS385" s="252"/>
      <c r="VWT385" s="252"/>
      <c r="VWU385" s="252"/>
      <c r="VWV385" s="252"/>
      <c r="VWW385" s="252"/>
      <c r="VWX385" s="252"/>
      <c r="VWY385" s="252"/>
      <c r="VWZ385" s="252"/>
      <c r="VXA385" s="252"/>
      <c r="VXB385" s="252"/>
      <c r="VXC385" s="252"/>
      <c r="VXD385" s="252"/>
      <c r="VXE385" s="252"/>
      <c r="VXF385" s="252"/>
      <c r="VXG385" s="252"/>
      <c r="VXH385" s="252"/>
      <c r="VXI385" s="252"/>
      <c r="VXJ385" s="252"/>
      <c r="VXK385" s="252"/>
      <c r="VXL385" s="252"/>
      <c r="VXM385" s="252"/>
      <c r="VXN385" s="252"/>
      <c r="VXO385" s="252"/>
      <c r="VXP385" s="252"/>
      <c r="VXQ385" s="252"/>
      <c r="VXR385" s="252"/>
      <c r="VXS385" s="252"/>
      <c r="VXT385" s="252"/>
      <c r="VXU385" s="252"/>
      <c r="VXV385" s="252"/>
      <c r="VXW385" s="252"/>
      <c r="VXX385" s="252"/>
      <c r="VXY385" s="252"/>
      <c r="VXZ385" s="252"/>
      <c r="VYA385" s="252"/>
      <c r="VYB385" s="252"/>
      <c r="VYC385" s="252"/>
      <c r="VYD385" s="252"/>
      <c r="VYE385" s="252"/>
      <c r="VYF385" s="252"/>
      <c r="VYG385" s="252"/>
      <c r="VYH385" s="252"/>
      <c r="VYI385" s="252"/>
      <c r="VYJ385" s="252"/>
      <c r="VYK385" s="252"/>
      <c r="VYL385" s="252"/>
      <c r="VYM385" s="252"/>
      <c r="VYN385" s="252"/>
      <c r="VYO385" s="252"/>
      <c r="VYP385" s="252"/>
      <c r="VYQ385" s="252"/>
      <c r="VYR385" s="252"/>
      <c r="VYS385" s="252"/>
      <c r="VYT385" s="252"/>
      <c r="VYU385" s="252"/>
      <c r="VYV385" s="252"/>
      <c r="VYW385" s="252"/>
      <c r="VYX385" s="252"/>
      <c r="VYY385" s="252"/>
      <c r="VYZ385" s="252"/>
      <c r="VZA385" s="252"/>
      <c r="VZB385" s="252"/>
      <c r="VZC385" s="252"/>
      <c r="VZD385" s="252"/>
      <c r="VZE385" s="252"/>
      <c r="VZF385" s="252"/>
      <c r="VZG385" s="252"/>
      <c r="VZH385" s="252"/>
      <c r="VZI385" s="252"/>
      <c r="VZJ385" s="252"/>
      <c r="VZK385" s="252"/>
      <c r="VZL385" s="252"/>
      <c r="VZM385" s="252"/>
      <c r="VZN385" s="252"/>
      <c r="VZO385" s="252"/>
      <c r="VZP385" s="252"/>
      <c r="VZQ385" s="252"/>
      <c r="VZR385" s="252"/>
      <c r="VZS385" s="252"/>
      <c r="VZT385" s="252"/>
      <c r="VZU385" s="252"/>
      <c r="VZV385" s="252"/>
      <c r="VZW385" s="252"/>
      <c r="VZX385" s="252"/>
      <c r="VZY385" s="252"/>
      <c r="VZZ385" s="252"/>
      <c r="WAA385" s="252"/>
      <c r="WAB385" s="252"/>
      <c r="WAC385" s="252"/>
      <c r="WAD385" s="252"/>
      <c r="WAE385" s="252"/>
      <c r="WAF385" s="252"/>
      <c r="WAG385" s="252"/>
      <c r="WAH385" s="252"/>
      <c r="WAI385" s="252"/>
      <c r="WAJ385" s="252"/>
      <c r="WAK385" s="252"/>
      <c r="WAL385" s="252"/>
      <c r="WAM385" s="252"/>
      <c r="WAN385" s="252"/>
      <c r="WAO385" s="252"/>
      <c r="WAP385" s="252"/>
      <c r="WAQ385" s="252"/>
      <c r="WAR385" s="252"/>
      <c r="WAS385" s="252"/>
      <c r="WAT385" s="252"/>
      <c r="WAU385" s="252"/>
      <c r="WAV385" s="252"/>
      <c r="WAW385" s="252"/>
      <c r="WAX385" s="252"/>
      <c r="WAY385" s="252"/>
      <c r="WAZ385" s="252"/>
      <c r="WBA385" s="252"/>
      <c r="WBB385" s="252"/>
      <c r="WBC385" s="252"/>
      <c r="WBD385" s="252"/>
      <c r="WBE385" s="252"/>
      <c r="WBF385" s="252"/>
      <c r="WBG385" s="252"/>
      <c r="WBH385" s="252"/>
      <c r="WBI385" s="252"/>
      <c r="WBJ385" s="252"/>
      <c r="WBK385" s="252"/>
      <c r="WBL385" s="252"/>
      <c r="WBM385" s="252"/>
      <c r="WBN385" s="252"/>
      <c r="WBO385" s="252"/>
      <c r="WBP385" s="252"/>
      <c r="WBQ385" s="252"/>
      <c r="WBR385" s="252"/>
      <c r="WBS385" s="252"/>
      <c r="WBT385" s="252"/>
      <c r="WBU385" s="252"/>
      <c r="WBV385" s="252"/>
      <c r="WBW385" s="252"/>
      <c r="WBX385" s="252"/>
      <c r="WBY385" s="252"/>
      <c r="WBZ385" s="252"/>
      <c r="WCA385" s="252"/>
      <c r="WCB385" s="252"/>
      <c r="WCC385" s="252"/>
      <c r="WCD385" s="252"/>
      <c r="WCE385" s="252"/>
      <c r="WCF385" s="252"/>
      <c r="WCG385" s="252"/>
      <c r="WCH385" s="252"/>
      <c r="WCI385" s="252"/>
      <c r="WCJ385" s="252"/>
      <c r="WCK385" s="252"/>
      <c r="WCL385" s="252"/>
      <c r="WCM385" s="252"/>
      <c r="WCN385" s="252"/>
      <c r="WCO385" s="252"/>
      <c r="WCP385" s="252"/>
      <c r="WCQ385" s="252"/>
      <c r="WCR385" s="252"/>
      <c r="WCS385" s="252"/>
      <c r="WCT385" s="252"/>
      <c r="WCU385" s="252"/>
      <c r="WCV385" s="252"/>
      <c r="WCW385" s="252"/>
      <c r="WCX385" s="252"/>
      <c r="WCY385" s="252"/>
      <c r="WCZ385" s="252"/>
      <c r="WDA385" s="252"/>
      <c r="WDB385" s="252"/>
      <c r="WDC385" s="252"/>
      <c r="WDD385" s="252"/>
      <c r="WDE385" s="252"/>
      <c r="WDF385" s="252"/>
      <c r="WDG385" s="252"/>
      <c r="WDH385" s="252"/>
      <c r="WDI385" s="252"/>
      <c r="WDJ385" s="252"/>
      <c r="WDK385" s="252"/>
      <c r="WDL385" s="252"/>
      <c r="WDM385" s="252"/>
      <c r="WDN385" s="252"/>
      <c r="WDO385" s="252"/>
      <c r="WDP385" s="252"/>
      <c r="WDQ385" s="252"/>
      <c r="WDR385" s="252"/>
      <c r="WDS385" s="252"/>
      <c r="WDT385" s="252"/>
      <c r="WDU385" s="252"/>
      <c r="WDV385" s="252"/>
      <c r="WDW385" s="252"/>
      <c r="WDX385" s="252"/>
      <c r="WDY385" s="252"/>
      <c r="WDZ385" s="252"/>
      <c r="WEA385" s="252"/>
      <c r="WEB385" s="252"/>
      <c r="WEC385" s="252"/>
      <c r="WED385" s="252"/>
      <c r="WEE385" s="252"/>
      <c r="WEF385" s="252"/>
      <c r="WEG385" s="252"/>
      <c r="WEH385" s="252"/>
      <c r="WEI385" s="252"/>
      <c r="WEJ385" s="252"/>
      <c r="WEK385" s="252"/>
      <c r="WEL385" s="252"/>
      <c r="WEM385" s="252"/>
      <c r="WEN385" s="252"/>
      <c r="WEO385" s="252"/>
      <c r="WEP385" s="252"/>
      <c r="WEQ385" s="252"/>
      <c r="WER385" s="252"/>
      <c r="WES385" s="252"/>
      <c r="WET385" s="252"/>
      <c r="WEU385" s="252"/>
      <c r="WEV385" s="252"/>
      <c r="WEW385" s="252"/>
      <c r="WEX385" s="252"/>
      <c r="WEY385" s="252"/>
      <c r="WEZ385" s="252"/>
      <c r="WFA385" s="252"/>
      <c r="WFB385" s="252"/>
      <c r="WFC385" s="252"/>
      <c r="WFD385" s="252"/>
      <c r="WFE385" s="252"/>
      <c r="WFF385" s="252"/>
      <c r="WFG385" s="252"/>
      <c r="WFH385" s="252"/>
      <c r="WFI385" s="252"/>
      <c r="WFJ385" s="252"/>
      <c r="WFK385" s="252"/>
      <c r="WFL385" s="252"/>
      <c r="WFM385" s="252"/>
      <c r="WFN385" s="252"/>
      <c r="WFO385" s="252"/>
      <c r="WFP385" s="252"/>
      <c r="WFQ385" s="252"/>
      <c r="WFR385" s="252"/>
      <c r="WFS385" s="252"/>
      <c r="WFT385" s="252"/>
      <c r="WFU385" s="252"/>
      <c r="WFV385" s="252"/>
      <c r="WFW385" s="252"/>
      <c r="WFX385" s="252"/>
      <c r="WFY385" s="252"/>
      <c r="WFZ385" s="252"/>
      <c r="WGA385" s="252"/>
      <c r="WGB385" s="252"/>
      <c r="WGC385" s="252"/>
      <c r="WGD385" s="252"/>
      <c r="WGE385" s="252"/>
      <c r="WGF385" s="252"/>
      <c r="WGG385" s="252"/>
      <c r="WGH385" s="252"/>
      <c r="WGI385" s="252"/>
      <c r="WGJ385" s="252"/>
      <c r="WGK385" s="252"/>
      <c r="WGL385" s="252"/>
      <c r="WGM385" s="252"/>
      <c r="WGN385" s="252"/>
      <c r="WGO385" s="252"/>
      <c r="WGP385" s="252"/>
      <c r="WGQ385" s="252"/>
      <c r="WGR385" s="252"/>
      <c r="WGS385" s="252"/>
      <c r="WGT385" s="252"/>
      <c r="WGU385" s="252"/>
      <c r="WGV385" s="252"/>
      <c r="WGW385" s="252"/>
      <c r="WGX385" s="252"/>
      <c r="WGY385" s="252"/>
      <c r="WGZ385" s="252"/>
      <c r="WHA385" s="252"/>
      <c r="WHB385" s="252"/>
      <c r="WHC385" s="252"/>
      <c r="WHD385" s="252"/>
      <c r="WHE385" s="252"/>
      <c r="WHF385" s="252"/>
      <c r="WHG385" s="252"/>
      <c r="WHH385" s="252"/>
      <c r="WHI385" s="252"/>
      <c r="WHJ385" s="252"/>
      <c r="WHK385" s="252"/>
      <c r="WHL385" s="252"/>
      <c r="WHM385" s="252"/>
      <c r="WHN385" s="252"/>
      <c r="WHO385" s="252"/>
      <c r="WHP385" s="252"/>
      <c r="WHQ385" s="252"/>
      <c r="WHR385" s="252"/>
      <c r="WHS385" s="252"/>
      <c r="WHT385" s="252"/>
      <c r="WHU385" s="252"/>
      <c r="WHV385" s="252"/>
      <c r="WHW385" s="252"/>
      <c r="WHX385" s="252"/>
      <c r="WHY385" s="252"/>
      <c r="WHZ385" s="252"/>
      <c r="WIA385" s="252"/>
      <c r="WIB385" s="252"/>
      <c r="WIC385" s="252"/>
      <c r="WID385" s="252"/>
      <c r="WIE385" s="252"/>
      <c r="WIF385" s="252"/>
      <c r="WIG385" s="252"/>
      <c r="WIH385" s="252"/>
      <c r="WII385" s="252"/>
      <c r="WIJ385" s="252"/>
      <c r="WIK385" s="252"/>
      <c r="WIL385" s="252"/>
      <c r="WIM385" s="252"/>
      <c r="WIN385" s="252"/>
      <c r="WIO385" s="252"/>
      <c r="WIP385" s="252"/>
      <c r="WIQ385" s="252"/>
      <c r="WIR385" s="252"/>
      <c r="WIS385" s="252"/>
      <c r="WIT385" s="252"/>
      <c r="WIU385" s="252"/>
      <c r="WIV385" s="252"/>
      <c r="WIW385" s="252"/>
      <c r="WIX385" s="252"/>
      <c r="WIY385" s="252"/>
      <c r="WIZ385" s="252"/>
      <c r="WJA385" s="252"/>
      <c r="WJB385" s="252"/>
      <c r="WJC385" s="252"/>
      <c r="WJD385" s="252"/>
      <c r="WJE385" s="252"/>
      <c r="WJF385" s="252"/>
      <c r="WJG385" s="252"/>
      <c r="WJH385" s="252"/>
      <c r="WJI385" s="252"/>
      <c r="WJJ385" s="252"/>
      <c r="WJK385" s="252"/>
      <c r="WJL385" s="252"/>
      <c r="WJM385" s="252"/>
      <c r="WJN385" s="252"/>
      <c r="WJO385" s="252"/>
      <c r="WJP385" s="252"/>
      <c r="WJQ385" s="252"/>
      <c r="WJR385" s="252"/>
      <c r="WJS385" s="252"/>
      <c r="WJT385" s="252"/>
      <c r="WJU385" s="252"/>
      <c r="WJV385" s="252"/>
      <c r="WJW385" s="252"/>
      <c r="WJX385" s="252"/>
      <c r="WJY385" s="252"/>
      <c r="WJZ385" s="252"/>
      <c r="WKA385" s="252"/>
      <c r="WKB385" s="252"/>
      <c r="WKC385" s="252"/>
      <c r="WKD385" s="252"/>
      <c r="WKE385" s="252"/>
      <c r="WKF385" s="252"/>
      <c r="WKG385" s="252"/>
      <c r="WKH385" s="252"/>
      <c r="WKI385" s="252"/>
      <c r="WKJ385" s="252"/>
      <c r="WKK385" s="252"/>
      <c r="WKL385" s="252"/>
      <c r="WKM385" s="252"/>
      <c r="WKN385" s="252"/>
      <c r="WKO385" s="252"/>
      <c r="WKP385" s="252"/>
      <c r="WKQ385" s="252"/>
      <c r="WKR385" s="252"/>
      <c r="WKS385" s="252"/>
      <c r="WKT385" s="252"/>
      <c r="WKU385" s="252"/>
      <c r="WKV385" s="252"/>
      <c r="WKW385" s="252"/>
      <c r="WKX385" s="252"/>
      <c r="WKY385" s="252"/>
      <c r="WKZ385" s="252"/>
      <c r="WLA385" s="252"/>
      <c r="WLB385" s="252"/>
      <c r="WLC385" s="252"/>
      <c r="WLD385" s="252"/>
      <c r="WLE385" s="252"/>
      <c r="WLF385" s="252"/>
      <c r="WLG385" s="252"/>
      <c r="WLH385" s="252"/>
      <c r="WLI385" s="252"/>
      <c r="WLJ385" s="252"/>
      <c r="WLK385" s="252"/>
      <c r="WLL385" s="252"/>
      <c r="WLM385" s="252"/>
      <c r="WLN385" s="252"/>
      <c r="WLO385" s="252"/>
      <c r="WLP385" s="252"/>
      <c r="WLQ385" s="252"/>
      <c r="WLR385" s="252"/>
      <c r="WLS385" s="252"/>
      <c r="WLT385" s="252"/>
      <c r="WLU385" s="252"/>
      <c r="WLV385" s="252"/>
      <c r="WLW385" s="252"/>
      <c r="WLX385" s="252"/>
      <c r="WLY385" s="252"/>
      <c r="WLZ385" s="252"/>
      <c r="WMA385" s="252"/>
      <c r="WMB385" s="252"/>
      <c r="WMC385" s="252"/>
      <c r="WMD385" s="252"/>
      <c r="WME385" s="252"/>
      <c r="WMF385" s="252"/>
      <c r="WMG385" s="252"/>
      <c r="WMH385" s="252"/>
      <c r="WMI385" s="252"/>
      <c r="WMJ385" s="252"/>
      <c r="WMK385" s="252"/>
      <c r="WML385" s="252"/>
      <c r="WMM385" s="252"/>
      <c r="WMN385" s="252"/>
      <c r="WMO385" s="252"/>
      <c r="WMP385" s="252"/>
      <c r="WMQ385" s="252"/>
      <c r="WMR385" s="252"/>
      <c r="WMS385" s="252"/>
      <c r="WMT385" s="252"/>
      <c r="WMU385" s="252"/>
      <c r="WMV385" s="252"/>
      <c r="WMW385" s="252"/>
      <c r="WMX385" s="252"/>
      <c r="WMY385" s="252"/>
      <c r="WMZ385" s="252"/>
      <c r="WNA385" s="252"/>
      <c r="WNB385" s="252"/>
      <c r="WNC385" s="252"/>
      <c r="WND385" s="252"/>
      <c r="WNE385" s="252"/>
      <c r="WNF385" s="252"/>
      <c r="WNG385" s="252"/>
      <c r="WNH385" s="252"/>
      <c r="WNI385" s="252"/>
      <c r="WNJ385" s="252"/>
      <c r="WNK385" s="252"/>
      <c r="WNL385" s="252"/>
      <c r="WNM385" s="252"/>
      <c r="WNN385" s="252"/>
      <c r="WNO385" s="252"/>
      <c r="WNP385" s="252"/>
      <c r="WNQ385" s="252"/>
      <c r="WNR385" s="252"/>
      <c r="WNS385" s="252"/>
      <c r="WNT385" s="252"/>
      <c r="WNU385" s="252"/>
      <c r="WNV385" s="252"/>
      <c r="WNW385" s="252"/>
      <c r="WNX385" s="252"/>
      <c r="WNY385" s="252"/>
      <c r="WNZ385" s="252"/>
      <c r="WOA385" s="252"/>
      <c r="WOB385" s="252"/>
      <c r="WOC385" s="252"/>
      <c r="WOD385" s="252"/>
      <c r="WOE385" s="252"/>
      <c r="WOF385" s="252"/>
      <c r="WOG385" s="252"/>
      <c r="WOH385" s="252"/>
      <c r="WOI385" s="252"/>
      <c r="WOJ385" s="252"/>
      <c r="WOK385" s="252"/>
      <c r="WOL385" s="252"/>
      <c r="WOM385" s="252"/>
      <c r="WON385" s="252"/>
      <c r="WOO385" s="252"/>
      <c r="WOP385" s="252"/>
      <c r="WOQ385" s="252"/>
      <c r="WOR385" s="252"/>
      <c r="WOS385" s="252"/>
      <c r="WOT385" s="252"/>
      <c r="WOU385" s="252"/>
      <c r="WOV385" s="252"/>
      <c r="WOW385" s="252"/>
      <c r="WOX385" s="252"/>
      <c r="WOY385" s="252"/>
      <c r="WOZ385" s="252"/>
      <c r="WPA385" s="252"/>
      <c r="WPB385" s="252"/>
      <c r="WPC385" s="252"/>
      <c r="WPD385" s="252"/>
      <c r="WPE385" s="252"/>
      <c r="WPF385" s="252"/>
      <c r="WPG385" s="252"/>
      <c r="WPH385" s="252"/>
      <c r="WPI385" s="252"/>
      <c r="WPJ385" s="252"/>
      <c r="WPK385" s="252"/>
      <c r="WPL385" s="252"/>
      <c r="WPM385" s="252"/>
      <c r="WPN385" s="252"/>
      <c r="WPO385" s="252"/>
      <c r="WPP385" s="252"/>
      <c r="WPQ385" s="252"/>
      <c r="WPR385" s="252"/>
      <c r="WPS385" s="252"/>
      <c r="WPT385" s="252"/>
      <c r="WPU385" s="252"/>
      <c r="WPV385" s="252"/>
      <c r="WPW385" s="252"/>
      <c r="WPX385" s="252"/>
      <c r="WPY385" s="252"/>
      <c r="WPZ385" s="252"/>
      <c r="WQA385" s="252"/>
      <c r="WQB385" s="252"/>
      <c r="WQC385" s="252"/>
      <c r="WQD385" s="252"/>
      <c r="WQE385" s="252"/>
      <c r="WQF385" s="252"/>
      <c r="WQG385" s="252"/>
      <c r="WQH385" s="252"/>
      <c r="WQI385" s="252"/>
      <c r="WQJ385" s="252"/>
      <c r="WQK385" s="252"/>
      <c r="WQL385" s="252"/>
      <c r="WQM385" s="252"/>
      <c r="WQN385" s="252"/>
      <c r="WQO385" s="252"/>
      <c r="WQP385" s="252"/>
      <c r="WQQ385" s="252"/>
      <c r="WQR385" s="252"/>
      <c r="WQS385" s="252"/>
      <c r="WQT385" s="252"/>
      <c r="WQU385" s="252"/>
      <c r="WQV385" s="252"/>
      <c r="WQW385" s="252"/>
      <c r="WQX385" s="252"/>
      <c r="WQY385" s="252"/>
      <c r="WQZ385" s="252"/>
      <c r="WRA385" s="252"/>
      <c r="WRB385" s="252"/>
      <c r="WRC385" s="252"/>
      <c r="WRD385" s="252"/>
      <c r="WRE385" s="252"/>
      <c r="WRF385" s="252"/>
      <c r="WRG385" s="252"/>
      <c r="WRH385" s="252"/>
      <c r="WRI385" s="252"/>
      <c r="WRJ385" s="252"/>
      <c r="WRK385" s="252"/>
      <c r="WRL385" s="252"/>
      <c r="WRM385" s="252"/>
      <c r="WRN385" s="252"/>
      <c r="WRO385" s="252"/>
      <c r="WRP385" s="252"/>
      <c r="WRQ385" s="252"/>
      <c r="WRR385" s="252"/>
      <c r="WRS385" s="252"/>
      <c r="WRT385" s="252"/>
      <c r="WRU385" s="252"/>
      <c r="WRV385" s="252"/>
      <c r="WRW385" s="252"/>
      <c r="WRX385" s="252"/>
      <c r="WRY385" s="252"/>
      <c r="WRZ385" s="252"/>
      <c r="WSA385" s="252"/>
      <c r="WSB385" s="252"/>
      <c r="WSC385" s="252"/>
      <c r="WSD385" s="252"/>
      <c r="WSE385" s="252"/>
      <c r="WSF385" s="252"/>
      <c r="WSG385" s="252"/>
      <c r="WSH385" s="252"/>
      <c r="WSI385" s="252"/>
      <c r="WSJ385" s="252"/>
      <c r="WSK385" s="252"/>
      <c r="WSL385" s="252"/>
      <c r="WSM385" s="252"/>
      <c r="WSN385" s="252"/>
      <c r="WSO385" s="252"/>
      <c r="WSP385" s="252"/>
      <c r="WSQ385" s="252"/>
      <c r="WSR385" s="252"/>
      <c r="WSS385" s="252"/>
      <c r="WST385" s="252"/>
      <c r="WSU385" s="252"/>
      <c r="WSV385" s="252"/>
      <c r="WSW385" s="252"/>
      <c r="WSX385" s="252"/>
      <c r="WSY385" s="252"/>
      <c r="WSZ385" s="252"/>
      <c r="WTA385" s="252"/>
      <c r="WTB385" s="252"/>
      <c r="WTC385" s="252"/>
      <c r="WTD385" s="252"/>
      <c r="WTE385" s="252"/>
      <c r="WTF385" s="252"/>
      <c r="WTG385" s="252"/>
      <c r="WTH385" s="252"/>
      <c r="WTI385" s="252"/>
      <c r="WTJ385" s="252"/>
      <c r="WTK385" s="252"/>
      <c r="WTL385" s="252"/>
      <c r="WTM385" s="252"/>
      <c r="WTN385" s="252"/>
      <c r="WTO385" s="252"/>
      <c r="WTP385" s="252"/>
      <c r="WTQ385" s="252"/>
      <c r="WTR385" s="252"/>
      <c r="WTS385" s="252"/>
      <c r="WTT385" s="252"/>
      <c r="WTU385" s="252"/>
      <c r="WTV385" s="252"/>
      <c r="WTW385" s="252"/>
      <c r="WTX385" s="252"/>
      <c r="WTY385" s="252"/>
      <c r="WTZ385" s="252"/>
      <c r="WUA385" s="252"/>
      <c r="WUB385" s="252"/>
      <c r="WUC385" s="252"/>
      <c r="WUD385" s="252"/>
      <c r="WUE385" s="252"/>
      <c r="WUF385" s="252"/>
      <c r="WUG385" s="252"/>
      <c r="WUH385" s="252"/>
      <c r="WUI385" s="252"/>
      <c r="WUJ385" s="252"/>
      <c r="WUK385" s="252"/>
      <c r="WUL385" s="252"/>
      <c r="WUM385" s="252"/>
      <c r="WUN385" s="252"/>
      <c r="WUO385" s="252"/>
      <c r="WUP385" s="252"/>
      <c r="WUQ385" s="252"/>
      <c r="WUR385" s="252"/>
      <c r="WUS385" s="252"/>
      <c r="WUT385" s="252"/>
      <c r="WUU385" s="252"/>
      <c r="WUV385" s="252"/>
      <c r="WUW385" s="252"/>
      <c r="WUX385" s="252"/>
      <c r="WUY385" s="252"/>
      <c r="WUZ385" s="252"/>
      <c r="WVA385" s="252"/>
      <c r="WVB385" s="252"/>
      <c r="WVC385" s="252"/>
      <c r="WVD385" s="252"/>
      <c r="WVE385" s="252"/>
      <c r="WVF385" s="252"/>
      <c r="WVG385" s="252"/>
      <c r="WVH385" s="252"/>
      <c r="WVI385" s="252"/>
      <c r="WVJ385" s="252"/>
      <c r="WVK385" s="252"/>
      <c r="WVL385" s="252"/>
      <c r="WVM385" s="252"/>
      <c r="WVN385" s="252"/>
      <c r="WVO385" s="252"/>
      <c r="WVP385" s="252"/>
      <c r="WVQ385" s="252"/>
      <c r="WVR385" s="252"/>
      <c r="WVS385" s="252"/>
      <c r="WVT385" s="252"/>
      <c r="WVU385" s="252"/>
      <c r="WVV385" s="252"/>
      <c r="WVW385" s="252"/>
      <c r="WVX385" s="252"/>
      <c r="WVY385" s="252"/>
      <c r="WVZ385" s="252"/>
      <c r="WWA385" s="252"/>
      <c r="WWB385" s="252"/>
      <c r="WWC385" s="252"/>
      <c r="WWD385" s="252"/>
      <c r="WWE385" s="252"/>
      <c r="WWF385" s="252"/>
      <c r="WWG385" s="252"/>
      <c r="WWH385" s="252"/>
      <c r="WWI385" s="252"/>
      <c r="WWJ385" s="252"/>
      <c r="WWK385" s="252"/>
      <c r="WWL385" s="252"/>
      <c r="WWM385" s="252"/>
      <c r="WWN385" s="252"/>
      <c r="WWO385" s="252"/>
      <c r="WWP385" s="252"/>
      <c r="WWQ385" s="252"/>
      <c r="WWR385" s="252"/>
      <c r="WWS385" s="252"/>
      <c r="WWT385" s="252"/>
      <c r="WWU385" s="252"/>
      <c r="WWV385" s="252"/>
      <c r="WWW385" s="252"/>
      <c r="WWX385" s="252"/>
      <c r="WWY385" s="252"/>
      <c r="WWZ385" s="252"/>
      <c r="WXA385" s="252"/>
      <c r="WXB385" s="252"/>
      <c r="WXC385" s="252"/>
      <c r="WXD385" s="252"/>
      <c r="WXE385" s="252"/>
      <c r="WXF385" s="252"/>
      <c r="WXG385" s="252"/>
      <c r="WXH385" s="252"/>
      <c r="WXI385" s="252"/>
      <c r="WXJ385" s="252"/>
      <c r="WXK385" s="252"/>
      <c r="WXL385" s="252"/>
      <c r="WXM385" s="252"/>
      <c r="WXN385" s="252"/>
      <c r="WXO385" s="252"/>
      <c r="WXP385" s="252"/>
      <c r="WXQ385" s="252"/>
      <c r="WXR385" s="252"/>
      <c r="WXS385" s="252"/>
      <c r="WXT385" s="252"/>
      <c r="WXU385" s="252"/>
      <c r="WXV385" s="252"/>
      <c r="WXW385" s="252"/>
      <c r="WXX385" s="252"/>
      <c r="WXY385" s="252"/>
      <c r="WXZ385" s="252"/>
      <c r="WYA385" s="252"/>
      <c r="WYB385" s="252"/>
      <c r="WYC385" s="252"/>
      <c r="WYD385" s="252"/>
      <c r="WYE385" s="252"/>
      <c r="WYF385" s="252"/>
      <c r="WYG385" s="252"/>
      <c r="WYH385" s="252"/>
      <c r="WYI385" s="252"/>
      <c r="WYJ385" s="252"/>
      <c r="WYK385" s="252"/>
      <c r="WYL385" s="252"/>
      <c r="WYM385" s="252"/>
      <c r="WYN385" s="252"/>
      <c r="WYO385" s="252"/>
      <c r="WYP385" s="252"/>
      <c r="WYQ385" s="252"/>
      <c r="WYR385" s="252"/>
      <c r="WYS385" s="252"/>
      <c r="WYT385" s="252"/>
      <c r="WYU385" s="252"/>
      <c r="WYV385" s="252"/>
      <c r="WYW385" s="252"/>
      <c r="WYX385" s="252"/>
      <c r="WYY385" s="252"/>
      <c r="WYZ385" s="252"/>
      <c r="WZA385" s="252"/>
      <c r="WZB385" s="252"/>
      <c r="WZC385" s="252"/>
      <c r="WZD385" s="252"/>
      <c r="WZE385" s="252"/>
      <c r="WZF385" s="252"/>
      <c r="WZG385" s="252"/>
      <c r="WZH385" s="252"/>
      <c r="WZI385" s="252"/>
      <c r="WZJ385" s="252"/>
      <c r="WZK385" s="252"/>
      <c r="WZL385" s="252"/>
      <c r="WZM385" s="252"/>
      <c r="WZN385" s="252"/>
      <c r="WZO385" s="252"/>
      <c r="WZP385" s="252"/>
      <c r="WZQ385" s="252"/>
      <c r="WZR385" s="252"/>
      <c r="WZS385" s="252"/>
      <c r="WZT385" s="252"/>
      <c r="WZU385" s="252"/>
      <c r="WZV385" s="252"/>
      <c r="WZW385" s="252"/>
      <c r="WZX385" s="252"/>
      <c r="WZY385" s="252"/>
      <c r="WZZ385" s="252"/>
      <c r="XAA385" s="252"/>
      <c r="XAB385" s="252"/>
      <c r="XAC385" s="252"/>
      <c r="XAD385" s="252"/>
      <c r="XAE385" s="252"/>
      <c r="XAF385" s="252"/>
      <c r="XAG385" s="252"/>
      <c r="XAH385" s="252"/>
      <c r="XAI385" s="252"/>
      <c r="XAJ385" s="252"/>
      <c r="XAK385" s="252"/>
      <c r="XAL385" s="252"/>
      <c r="XAM385" s="252"/>
      <c r="XAN385" s="252"/>
      <c r="XAO385" s="252"/>
      <c r="XAP385" s="252"/>
      <c r="XAQ385" s="252"/>
      <c r="XAR385" s="252"/>
      <c r="XAS385" s="252"/>
      <c r="XAT385" s="252"/>
      <c r="XAU385" s="252"/>
      <c r="XAV385" s="252"/>
      <c r="XAW385" s="252"/>
      <c r="XAX385" s="252"/>
      <c r="XAY385" s="252"/>
      <c r="XAZ385" s="252"/>
      <c r="XBA385" s="252"/>
      <c r="XBB385" s="252"/>
      <c r="XBC385" s="252"/>
      <c r="XBD385" s="252"/>
      <c r="XBE385" s="252"/>
      <c r="XBF385" s="252"/>
      <c r="XBG385" s="252"/>
      <c r="XBH385" s="252"/>
      <c r="XBI385" s="252"/>
      <c r="XBJ385" s="252"/>
      <c r="XBK385" s="252"/>
      <c r="XBL385" s="252"/>
      <c r="XBM385" s="252"/>
      <c r="XBN385" s="252"/>
      <c r="XBO385" s="252"/>
      <c r="XBP385" s="252"/>
      <c r="XBQ385" s="252"/>
      <c r="XBR385" s="252"/>
      <c r="XBS385" s="252"/>
      <c r="XBT385" s="252"/>
      <c r="XBU385" s="252"/>
      <c r="XBV385" s="252"/>
      <c r="XBW385" s="252"/>
      <c r="XBX385" s="252"/>
      <c r="XBY385" s="252"/>
      <c r="XBZ385" s="252"/>
      <c r="XCA385" s="252"/>
      <c r="XCB385" s="252"/>
      <c r="XCC385" s="252"/>
      <c r="XCD385" s="252"/>
      <c r="XCE385" s="252"/>
      <c r="XCF385" s="252"/>
      <c r="XCG385" s="252"/>
      <c r="XCH385" s="252"/>
      <c r="XCI385" s="252"/>
      <c r="XCJ385" s="252"/>
      <c r="XCK385" s="252"/>
      <c r="XCL385" s="252"/>
      <c r="XCM385" s="252"/>
      <c r="XCN385" s="252"/>
      <c r="XCO385" s="252"/>
      <c r="XCP385" s="252"/>
      <c r="XCQ385" s="252"/>
      <c r="XCR385" s="252"/>
      <c r="XCS385" s="252"/>
      <c r="XCT385" s="252"/>
      <c r="XCU385" s="252"/>
      <c r="XCV385" s="252"/>
      <c r="XCW385" s="252"/>
      <c r="XCX385" s="252"/>
      <c r="XCY385" s="252"/>
      <c r="XCZ385" s="252"/>
      <c r="XDA385" s="252"/>
      <c r="XDB385" s="252"/>
      <c r="XDC385" s="252"/>
      <c r="XDD385" s="252"/>
      <c r="XDE385" s="252"/>
      <c r="XDF385" s="252"/>
      <c r="XDG385" s="252"/>
      <c r="XDH385" s="252"/>
      <c r="XDI385" s="252"/>
      <c r="XDJ385" s="252"/>
      <c r="XDK385" s="252"/>
      <c r="XDL385" s="252"/>
      <c r="XDM385" s="252"/>
      <c r="XDN385" s="252"/>
      <c r="XDO385" s="252"/>
      <c r="XDP385" s="252"/>
      <c r="XDQ385" s="252"/>
      <c r="XDR385" s="252"/>
      <c r="XDS385" s="252"/>
      <c r="XDT385" s="252"/>
      <c r="XDU385" s="252"/>
      <c r="XDV385" s="252"/>
      <c r="XDW385" s="252"/>
      <c r="XDX385" s="252"/>
      <c r="XDY385" s="252"/>
      <c r="XDZ385" s="252"/>
      <c r="XEA385" s="252"/>
      <c r="XEB385" s="252"/>
      <c r="XEC385" s="252"/>
      <c r="XED385" s="252"/>
      <c r="XEE385" s="252"/>
      <c r="XEF385" s="252"/>
      <c r="XEG385" s="252"/>
      <c r="XEH385" s="252"/>
      <c r="XEI385" s="252"/>
      <c r="XEJ385" s="252"/>
      <c r="XEK385" s="252"/>
      <c r="XEL385" s="252"/>
      <c r="XEM385" s="252"/>
      <c r="XEN385" s="252"/>
      <c r="XEO385" s="252"/>
      <c r="XEP385" s="252"/>
      <c r="XEQ385" s="252"/>
      <c r="XER385" s="252"/>
      <c r="XES385" s="252"/>
      <c r="XET385" s="252"/>
      <c r="XEU385" s="252"/>
    </row>
    <row r="386" spans="2:16375" ht="26.4" hidden="1">
      <c r="B386" s="941" t="s">
        <v>2441</v>
      </c>
      <c r="C386" s="502" t="s">
        <v>134</v>
      </c>
      <c r="D386" s="502" t="s">
        <v>134</v>
      </c>
      <c r="E386" s="312"/>
      <c r="F386" s="584" t="s">
        <v>1042</v>
      </c>
      <c r="G386" s="504" t="s">
        <v>1631</v>
      </c>
      <c r="H386" s="1001">
        <v>1</v>
      </c>
      <c r="I386" s="1001" t="s">
        <v>200</v>
      </c>
      <c r="J386" s="1002" t="s">
        <v>1655</v>
      </c>
      <c r="K386" s="312"/>
      <c r="L386" s="1003" t="s">
        <v>134</v>
      </c>
      <c r="M386" s="1004"/>
      <c r="N386" s="961"/>
      <c r="O386" s="1005"/>
      <c r="P386" s="961"/>
      <c r="Q386" s="1006" t="s">
        <v>134</v>
      </c>
      <c r="R386" s="1004" t="s">
        <v>134</v>
      </c>
      <c r="S386" s="1003"/>
      <c r="T386" s="1007"/>
      <c r="U386" s="1008"/>
      <c r="V386" s="1009"/>
      <c r="X386" s="1010"/>
      <c r="Y386" s="1011"/>
      <c r="Z386" s="1012"/>
      <c r="AA386" s="1010"/>
      <c r="AB386" s="1011"/>
      <c r="AC386" s="1012"/>
      <c r="AE386" s="1000" t="str">
        <f t="shared" si="61"/>
        <v>0x00 ~ 0xFA (0~250Hz)</v>
      </c>
      <c r="AF386" s="312"/>
      <c r="AG386" s="1015">
        <v>0</v>
      </c>
      <c r="AH386" s="1016">
        <v>1</v>
      </c>
      <c r="AI386" s="1024" t="s">
        <v>750</v>
      </c>
      <c r="AJ386" s="1017" t="s">
        <v>753</v>
      </c>
      <c r="AK386" s="1027">
        <f t="shared" si="64"/>
        <v>0</v>
      </c>
      <c r="AL386" s="1018">
        <f t="shared" si="65"/>
        <v>250</v>
      </c>
      <c r="AM386" s="1019" t="s">
        <v>755</v>
      </c>
      <c r="AN386" s="1014"/>
      <c r="AP386" s="1030" t="s">
        <v>855</v>
      </c>
      <c r="AQ386" s="1030" t="s">
        <v>382</v>
      </c>
      <c r="AS386" s="1031" t="s">
        <v>1222</v>
      </c>
      <c r="AT386" s="1031" t="s">
        <v>1222</v>
      </c>
      <c r="AU386" s="1031" t="s">
        <v>1222</v>
      </c>
      <c r="AV386" s="1031" t="s">
        <v>1222</v>
      </c>
      <c r="AW386" s="252"/>
      <c r="AX386" s="252"/>
      <c r="AY386" s="252"/>
      <c r="AZ386" s="252"/>
      <c r="BA386" s="252"/>
      <c r="BB386" s="252"/>
      <c r="BC386" s="252"/>
      <c r="BD386" s="252"/>
      <c r="BE386" s="252"/>
      <c r="BF386" s="252"/>
      <c r="BG386" s="252"/>
      <c r="BH386" s="252"/>
      <c r="BI386" s="252"/>
      <c r="BJ386" s="252"/>
      <c r="BK386" s="252"/>
      <c r="BL386" s="252"/>
      <c r="BM386" s="252"/>
      <c r="BN386" s="252"/>
      <c r="BO386" s="252"/>
      <c r="BP386" s="252"/>
      <c r="BQ386" s="252"/>
      <c r="BR386" s="252"/>
      <c r="BS386" s="252"/>
      <c r="BT386" s="252"/>
      <c r="BU386" s="252"/>
      <c r="BV386" s="252"/>
      <c r="BW386" s="252"/>
      <c r="BX386" s="252"/>
      <c r="BY386" s="252"/>
      <c r="BZ386" s="252"/>
      <c r="CA386" s="252"/>
      <c r="CB386" s="252"/>
      <c r="CC386" s="252"/>
      <c r="CD386" s="252"/>
      <c r="CE386" s="252"/>
      <c r="CF386" s="252"/>
      <c r="CG386" s="252"/>
      <c r="CH386" s="252"/>
      <c r="CI386" s="252"/>
      <c r="CJ386" s="252"/>
      <c r="CK386" s="252"/>
      <c r="CL386" s="252"/>
      <c r="CM386" s="252"/>
      <c r="CN386" s="252"/>
      <c r="CO386" s="252"/>
      <c r="CP386" s="252"/>
      <c r="CQ386" s="252"/>
      <c r="CR386" s="252"/>
      <c r="CS386" s="252"/>
      <c r="CT386" s="252"/>
      <c r="CU386" s="252"/>
      <c r="CV386" s="252"/>
      <c r="CW386" s="252"/>
      <c r="CX386" s="252"/>
      <c r="CY386" s="252"/>
      <c r="CZ386" s="252"/>
      <c r="DA386" s="252"/>
      <c r="DB386" s="252"/>
      <c r="DC386" s="252"/>
      <c r="DD386" s="252"/>
      <c r="DE386" s="252"/>
      <c r="DF386" s="252"/>
      <c r="DG386" s="252"/>
      <c r="DH386" s="252"/>
      <c r="DI386" s="252"/>
      <c r="DJ386" s="252"/>
      <c r="DK386" s="252"/>
      <c r="DL386" s="252"/>
      <c r="DM386" s="252"/>
      <c r="DN386" s="252"/>
      <c r="DO386" s="252"/>
      <c r="DP386" s="252"/>
      <c r="DQ386" s="252"/>
      <c r="DR386" s="252"/>
      <c r="DS386" s="252"/>
      <c r="DT386" s="252"/>
      <c r="DU386" s="252"/>
      <c r="DV386" s="252"/>
      <c r="DW386" s="252"/>
      <c r="DX386" s="252"/>
      <c r="DY386" s="252"/>
      <c r="DZ386" s="252"/>
      <c r="EA386" s="252"/>
      <c r="EB386" s="252"/>
      <c r="EC386" s="252"/>
      <c r="ED386" s="252"/>
      <c r="EE386" s="252"/>
      <c r="EF386" s="252"/>
      <c r="EG386" s="252"/>
      <c r="EH386" s="252"/>
      <c r="EI386" s="252"/>
      <c r="EJ386" s="252"/>
      <c r="EK386" s="252"/>
      <c r="EL386" s="252"/>
      <c r="EM386" s="252"/>
      <c r="EN386" s="252"/>
      <c r="EO386" s="252"/>
      <c r="EP386" s="252"/>
      <c r="EQ386" s="252"/>
      <c r="ER386" s="252"/>
      <c r="ES386" s="252"/>
      <c r="ET386" s="252"/>
      <c r="EU386" s="252"/>
      <c r="EV386" s="252"/>
      <c r="EW386" s="252"/>
      <c r="EX386" s="252"/>
      <c r="EY386" s="252"/>
      <c r="EZ386" s="252"/>
      <c r="FA386" s="252"/>
      <c r="FB386" s="252"/>
      <c r="FC386" s="252"/>
      <c r="FD386" s="252"/>
      <c r="FE386" s="252"/>
      <c r="FF386" s="252"/>
      <c r="FG386" s="252"/>
      <c r="FH386" s="252"/>
      <c r="FI386" s="252"/>
      <c r="FJ386" s="252"/>
      <c r="FK386" s="252"/>
      <c r="FL386" s="252"/>
      <c r="FM386" s="252"/>
      <c r="FN386" s="252"/>
      <c r="FO386" s="252"/>
      <c r="FP386" s="252"/>
      <c r="FQ386" s="252"/>
      <c r="FR386" s="252"/>
      <c r="FS386" s="252"/>
      <c r="FT386" s="252"/>
      <c r="FU386" s="252"/>
      <c r="FV386" s="252"/>
      <c r="FW386" s="252"/>
      <c r="FX386" s="252"/>
      <c r="FY386" s="252"/>
      <c r="FZ386" s="252"/>
      <c r="GA386" s="252"/>
      <c r="GB386" s="252"/>
      <c r="GC386" s="252"/>
      <c r="GD386" s="252"/>
      <c r="GE386" s="252"/>
      <c r="GF386" s="252"/>
      <c r="GG386" s="252"/>
      <c r="GH386" s="252"/>
      <c r="GI386" s="252"/>
      <c r="GJ386" s="252"/>
      <c r="GK386" s="252"/>
      <c r="GL386" s="252"/>
      <c r="GM386" s="252"/>
      <c r="GN386" s="252"/>
      <c r="GO386" s="252"/>
      <c r="GP386" s="252"/>
      <c r="GQ386" s="252"/>
      <c r="GR386" s="252"/>
      <c r="GS386" s="252"/>
      <c r="GT386" s="252"/>
      <c r="GU386" s="252"/>
      <c r="GV386" s="252"/>
      <c r="GW386" s="252"/>
      <c r="GX386" s="252"/>
      <c r="GY386" s="252"/>
      <c r="GZ386" s="252"/>
      <c r="HA386" s="252"/>
      <c r="HB386" s="252"/>
      <c r="HC386" s="252"/>
      <c r="HD386" s="252"/>
      <c r="HE386" s="252"/>
      <c r="HF386" s="252"/>
      <c r="HG386" s="252"/>
      <c r="HH386" s="252"/>
      <c r="HI386" s="252"/>
      <c r="HJ386" s="252"/>
      <c r="HK386" s="252"/>
      <c r="HL386" s="252"/>
      <c r="HM386" s="252"/>
      <c r="HN386" s="252"/>
      <c r="HO386" s="252"/>
      <c r="HP386" s="252"/>
      <c r="HQ386" s="252"/>
      <c r="HR386" s="252"/>
      <c r="HS386" s="252"/>
      <c r="HT386" s="252"/>
      <c r="HU386" s="252"/>
      <c r="HV386" s="252"/>
      <c r="HW386" s="252"/>
      <c r="HX386" s="252"/>
      <c r="HY386" s="252"/>
      <c r="HZ386" s="252"/>
      <c r="IA386" s="252"/>
      <c r="IB386" s="252"/>
      <c r="IC386" s="252"/>
      <c r="ID386" s="252"/>
      <c r="IE386" s="252"/>
      <c r="IF386" s="252"/>
      <c r="IG386" s="252"/>
      <c r="IH386" s="252"/>
      <c r="II386" s="252"/>
      <c r="IJ386" s="252"/>
      <c r="IK386" s="252"/>
      <c r="IL386" s="252"/>
      <c r="IM386" s="252"/>
      <c r="IN386" s="252"/>
      <c r="IO386" s="252"/>
      <c r="IP386" s="252"/>
      <c r="IQ386" s="252"/>
      <c r="IR386" s="252"/>
      <c r="IS386" s="252"/>
      <c r="IT386" s="252"/>
      <c r="IU386" s="252"/>
      <c r="IV386" s="252"/>
      <c r="IW386" s="252"/>
      <c r="IX386" s="252"/>
      <c r="IY386" s="252"/>
      <c r="IZ386" s="252"/>
      <c r="JA386" s="252"/>
      <c r="JB386" s="252"/>
      <c r="JC386" s="252"/>
      <c r="JD386" s="252"/>
      <c r="JE386" s="252"/>
      <c r="JF386" s="252"/>
      <c r="JG386" s="252"/>
      <c r="JH386" s="252"/>
      <c r="JI386" s="252"/>
      <c r="JJ386" s="252"/>
      <c r="JK386" s="252"/>
      <c r="JL386" s="252"/>
      <c r="JM386" s="252"/>
      <c r="JN386" s="252"/>
      <c r="JO386" s="252"/>
      <c r="JP386" s="252"/>
      <c r="JQ386" s="252"/>
      <c r="JR386" s="252"/>
      <c r="JS386" s="252"/>
      <c r="JT386" s="252"/>
      <c r="JU386" s="252"/>
      <c r="JV386" s="252"/>
      <c r="JW386" s="252"/>
      <c r="JX386" s="252"/>
      <c r="JY386" s="252"/>
      <c r="JZ386" s="252"/>
      <c r="KA386" s="252"/>
      <c r="KB386" s="252"/>
      <c r="KC386" s="252"/>
      <c r="KD386" s="252"/>
      <c r="KE386" s="252"/>
      <c r="KF386" s="252"/>
      <c r="KG386" s="252"/>
      <c r="KH386" s="252"/>
      <c r="KI386" s="252"/>
      <c r="KJ386" s="252"/>
      <c r="KK386" s="252"/>
      <c r="KL386" s="252"/>
      <c r="KM386" s="252"/>
      <c r="KN386" s="252"/>
      <c r="KO386" s="252"/>
      <c r="KP386" s="252"/>
      <c r="KQ386" s="252"/>
      <c r="KR386" s="252"/>
      <c r="KS386" s="252"/>
      <c r="KT386" s="252"/>
      <c r="KU386" s="252"/>
      <c r="KV386" s="252"/>
      <c r="KW386" s="252"/>
      <c r="KX386" s="252"/>
      <c r="KY386" s="252"/>
      <c r="KZ386" s="252"/>
      <c r="LA386" s="252"/>
      <c r="LB386" s="252"/>
      <c r="LC386" s="252"/>
      <c r="LD386" s="252"/>
      <c r="LE386" s="252"/>
      <c r="LF386" s="252"/>
      <c r="LG386" s="252"/>
      <c r="LH386" s="252"/>
      <c r="LI386" s="252"/>
      <c r="LJ386" s="252"/>
      <c r="LK386" s="252"/>
      <c r="LL386" s="252"/>
      <c r="LM386" s="252"/>
      <c r="LN386" s="252"/>
      <c r="LO386" s="252"/>
      <c r="LP386" s="252"/>
      <c r="LQ386" s="252"/>
      <c r="LR386" s="252"/>
      <c r="LS386" s="252"/>
      <c r="LT386" s="252"/>
      <c r="LU386" s="252"/>
      <c r="LV386" s="252"/>
      <c r="LW386" s="252"/>
      <c r="LX386" s="252"/>
      <c r="LY386" s="252"/>
      <c r="LZ386" s="252"/>
      <c r="MA386" s="252"/>
      <c r="MB386" s="252"/>
      <c r="MC386" s="252"/>
      <c r="MD386" s="252"/>
      <c r="ME386" s="252"/>
      <c r="MF386" s="252"/>
      <c r="MG386" s="252"/>
      <c r="MH386" s="252"/>
      <c r="MI386" s="252"/>
      <c r="MJ386" s="252"/>
      <c r="MK386" s="252"/>
      <c r="ML386" s="252"/>
      <c r="MM386" s="252"/>
      <c r="MN386" s="252"/>
      <c r="MO386" s="252"/>
      <c r="MP386" s="252"/>
      <c r="MQ386" s="252"/>
      <c r="MR386" s="252"/>
      <c r="MS386" s="252"/>
      <c r="MT386" s="252"/>
      <c r="MU386" s="252"/>
      <c r="MV386" s="252"/>
      <c r="MW386" s="252"/>
      <c r="MX386" s="252"/>
      <c r="MY386" s="252"/>
      <c r="MZ386" s="252"/>
      <c r="NA386" s="252"/>
      <c r="NB386" s="252"/>
      <c r="NC386" s="252"/>
      <c r="ND386" s="252"/>
      <c r="NE386" s="252"/>
      <c r="NF386" s="252"/>
      <c r="NG386" s="252"/>
      <c r="NH386" s="252"/>
      <c r="NI386" s="252"/>
      <c r="NJ386" s="252"/>
      <c r="NK386" s="252"/>
      <c r="NL386" s="252"/>
      <c r="NM386" s="252"/>
      <c r="NN386" s="252"/>
      <c r="NO386" s="252"/>
      <c r="NP386" s="252"/>
      <c r="NQ386" s="252"/>
      <c r="NR386" s="252"/>
      <c r="NS386" s="252"/>
      <c r="NT386" s="252"/>
      <c r="NU386" s="252"/>
      <c r="NV386" s="252"/>
      <c r="NW386" s="252"/>
      <c r="NX386" s="252"/>
      <c r="NY386" s="252"/>
      <c r="NZ386" s="252"/>
      <c r="OA386" s="252"/>
      <c r="OB386" s="252"/>
      <c r="OC386" s="252"/>
      <c r="OD386" s="252"/>
      <c r="OE386" s="252"/>
      <c r="OF386" s="252"/>
      <c r="OG386" s="252"/>
      <c r="OH386" s="252"/>
      <c r="OI386" s="252"/>
      <c r="OJ386" s="252"/>
      <c r="OK386" s="252"/>
      <c r="OL386" s="252"/>
      <c r="OM386" s="252"/>
      <c r="ON386" s="252"/>
      <c r="OO386" s="252"/>
      <c r="OP386" s="252"/>
      <c r="OQ386" s="252"/>
      <c r="OR386" s="252"/>
      <c r="OS386" s="252"/>
      <c r="OT386" s="252"/>
      <c r="OU386" s="252"/>
      <c r="OV386" s="252"/>
      <c r="OW386" s="252"/>
      <c r="OX386" s="252"/>
      <c r="OY386" s="252"/>
      <c r="OZ386" s="252"/>
      <c r="PA386" s="252"/>
      <c r="PB386" s="252"/>
      <c r="PC386" s="252"/>
      <c r="PD386" s="252"/>
      <c r="PE386" s="252"/>
      <c r="PF386" s="252"/>
      <c r="PG386" s="252"/>
      <c r="PH386" s="252"/>
      <c r="PI386" s="252"/>
      <c r="PJ386" s="252"/>
      <c r="PK386" s="252"/>
      <c r="PL386" s="252"/>
      <c r="PM386" s="252"/>
      <c r="PN386" s="252"/>
      <c r="PO386" s="252"/>
      <c r="PP386" s="252"/>
      <c r="PQ386" s="252"/>
      <c r="PR386" s="252"/>
      <c r="PS386" s="252"/>
      <c r="PT386" s="252"/>
      <c r="PU386" s="252"/>
      <c r="PV386" s="252"/>
      <c r="PW386" s="252"/>
      <c r="PX386" s="252"/>
      <c r="PY386" s="252"/>
      <c r="PZ386" s="252"/>
      <c r="QA386" s="252"/>
      <c r="QB386" s="252"/>
      <c r="QC386" s="252"/>
      <c r="QD386" s="252"/>
      <c r="QE386" s="252"/>
      <c r="QF386" s="252"/>
      <c r="QG386" s="252"/>
      <c r="QH386" s="252"/>
      <c r="QI386" s="252"/>
      <c r="QJ386" s="252"/>
      <c r="QK386" s="252"/>
      <c r="QL386" s="252"/>
      <c r="QM386" s="252"/>
      <c r="QN386" s="252"/>
      <c r="QO386" s="252"/>
      <c r="QP386" s="252"/>
      <c r="QQ386" s="252"/>
      <c r="QR386" s="252"/>
      <c r="QS386" s="252"/>
      <c r="QT386" s="252"/>
      <c r="QU386" s="252"/>
      <c r="QV386" s="252"/>
      <c r="QW386" s="252"/>
      <c r="QX386" s="252"/>
      <c r="QY386" s="252"/>
      <c r="QZ386" s="252"/>
      <c r="RA386" s="252"/>
      <c r="RB386" s="252"/>
      <c r="RC386" s="252"/>
      <c r="RD386" s="252"/>
      <c r="RE386" s="252"/>
      <c r="RF386" s="252"/>
      <c r="RG386" s="252"/>
      <c r="RH386" s="252"/>
      <c r="RI386" s="252"/>
      <c r="RJ386" s="252"/>
      <c r="RK386" s="252"/>
      <c r="RL386" s="252"/>
      <c r="RM386" s="252"/>
      <c r="RN386" s="252"/>
      <c r="RO386" s="252"/>
      <c r="RP386" s="252"/>
      <c r="RQ386" s="252"/>
      <c r="RR386" s="252"/>
      <c r="RS386" s="252"/>
      <c r="RT386" s="252"/>
      <c r="RU386" s="252"/>
      <c r="RV386" s="252"/>
      <c r="RW386" s="252"/>
      <c r="RX386" s="252"/>
      <c r="RY386" s="252"/>
      <c r="RZ386" s="252"/>
      <c r="SA386" s="252"/>
      <c r="SB386" s="252"/>
      <c r="SC386" s="252"/>
      <c r="SD386" s="252"/>
      <c r="SE386" s="252"/>
      <c r="SF386" s="252"/>
      <c r="SG386" s="252"/>
      <c r="SH386" s="252"/>
      <c r="SI386" s="252"/>
      <c r="SJ386" s="252"/>
      <c r="SK386" s="252"/>
      <c r="SL386" s="252"/>
      <c r="SM386" s="252"/>
      <c r="SN386" s="252"/>
      <c r="SO386" s="252"/>
      <c r="SP386" s="252"/>
      <c r="SQ386" s="252"/>
      <c r="SR386" s="252"/>
      <c r="SS386" s="252"/>
      <c r="ST386" s="252"/>
      <c r="SU386" s="252"/>
      <c r="SV386" s="252"/>
      <c r="SW386" s="252"/>
      <c r="SX386" s="252"/>
      <c r="SY386" s="252"/>
      <c r="SZ386" s="252"/>
      <c r="TA386" s="252"/>
      <c r="TB386" s="252"/>
      <c r="TC386" s="252"/>
      <c r="TD386" s="252"/>
      <c r="TE386" s="252"/>
      <c r="TF386" s="252"/>
      <c r="TG386" s="252"/>
      <c r="TH386" s="252"/>
      <c r="TI386" s="252"/>
      <c r="TJ386" s="252"/>
      <c r="TK386" s="252"/>
      <c r="TL386" s="252"/>
      <c r="TM386" s="252"/>
      <c r="TN386" s="252"/>
      <c r="TO386" s="252"/>
      <c r="TP386" s="252"/>
      <c r="TQ386" s="252"/>
      <c r="TR386" s="252"/>
      <c r="TS386" s="252"/>
      <c r="TT386" s="252"/>
      <c r="TU386" s="252"/>
      <c r="TV386" s="252"/>
      <c r="TW386" s="252"/>
      <c r="TX386" s="252"/>
      <c r="TY386" s="252"/>
      <c r="TZ386" s="252"/>
      <c r="UA386" s="252"/>
      <c r="UB386" s="252"/>
      <c r="UC386" s="252"/>
      <c r="UD386" s="252"/>
      <c r="UE386" s="252"/>
      <c r="UF386" s="252"/>
      <c r="UG386" s="252"/>
      <c r="UH386" s="252"/>
      <c r="UI386" s="252"/>
      <c r="UJ386" s="252"/>
      <c r="UK386" s="252"/>
      <c r="UL386" s="252"/>
      <c r="UM386" s="252"/>
      <c r="UN386" s="252"/>
      <c r="UO386" s="252"/>
      <c r="UP386" s="252"/>
      <c r="UQ386" s="252"/>
      <c r="UR386" s="252"/>
      <c r="US386" s="252"/>
      <c r="UT386" s="252"/>
      <c r="UU386" s="252"/>
      <c r="UV386" s="252"/>
      <c r="UW386" s="252"/>
      <c r="UX386" s="252"/>
      <c r="UY386" s="252"/>
      <c r="UZ386" s="252"/>
      <c r="VA386" s="252"/>
      <c r="VB386" s="252"/>
      <c r="VC386" s="252"/>
      <c r="VD386" s="252"/>
      <c r="VE386" s="252"/>
      <c r="VF386" s="252"/>
      <c r="VG386" s="252"/>
      <c r="VH386" s="252"/>
      <c r="VI386" s="252"/>
      <c r="VJ386" s="252"/>
      <c r="VK386" s="252"/>
      <c r="VL386" s="252"/>
      <c r="VM386" s="252"/>
      <c r="VN386" s="252"/>
      <c r="VO386" s="252"/>
      <c r="VP386" s="252"/>
      <c r="VQ386" s="252"/>
      <c r="VR386" s="252"/>
      <c r="VS386" s="252"/>
      <c r="VT386" s="252"/>
      <c r="VU386" s="252"/>
      <c r="VV386" s="252"/>
      <c r="VW386" s="252"/>
      <c r="VX386" s="252"/>
      <c r="VY386" s="252"/>
      <c r="VZ386" s="252"/>
      <c r="WA386" s="252"/>
      <c r="WB386" s="252"/>
      <c r="WC386" s="252"/>
      <c r="WD386" s="252"/>
      <c r="WE386" s="252"/>
      <c r="WF386" s="252"/>
      <c r="WG386" s="252"/>
      <c r="WH386" s="252"/>
      <c r="WI386" s="252"/>
      <c r="WJ386" s="252"/>
      <c r="WK386" s="252"/>
      <c r="WL386" s="252"/>
      <c r="WM386" s="252"/>
      <c r="WN386" s="252"/>
      <c r="WO386" s="252"/>
      <c r="WP386" s="252"/>
      <c r="WQ386" s="252"/>
      <c r="WR386" s="252"/>
      <c r="WS386" s="252"/>
      <c r="WT386" s="252"/>
      <c r="WU386" s="252"/>
      <c r="WV386" s="252"/>
      <c r="WW386" s="252"/>
      <c r="WX386" s="252"/>
      <c r="WY386" s="252"/>
      <c r="WZ386" s="252"/>
      <c r="XA386" s="252"/>
      <c r="XB386" s="252"/>
      <c r="XC386" s="252"/>
      <c r="XD386" s="252"/>
      <c r="XE386" s="252"/>
      <c r="XF386" s="252"/>
      <c r="XG386" s="252"/>
      <c r="XH386" s="252"/>
      <c r="XI386" s="252"/>
      <c r="XJ386" s="252"/>
      <c r="XK386" s="252"/>
      <c r="XL386" s="252"/>
      <c r="XM386" s="252"/>
      <c r="XN386" s="252"/>
      <c r="XO386" s="252"/>
      <c r="XP386" s="252"/>
      <c r="XQ386" s="252"/>
      <c r="XR386" s="252"/>
      <c r="XS386" s="252"/>
      <c r="XT386" s="252"/>
      <c r="XU386" s="252"/>
      <c r="XV386" s="252"/>
      <c r="XW386" s="252"/>
      <c r="XX386" s="252"/>
      <c r="XY386" s="252"/>
      <c r="XZ386" s="252"/>
      <c r="YA386" s="252"/>
      <c r="YB386" s="252"/>
      <c r="YC386" s="252"/>
      <c r="YD386" s="252"/>
      <c r="YE386" s="252"/>
      <c r="YF386" s="252"/>
      <c r="YG386" s="252"/>
      <c r="YH386" s="252"/>
      <c r="YI386" s="252"/>
      <c r="YJ386" s="252"/>
      <c r="YK386" s="252"/>
      <c r="YL386" s="252"/>
      <c r="YM386" s="252"/>
      <c r="YN386" s="252"/>
      <c r="YO386" s="252"/>
      <c r="YP386" s="252"/>
      <c r="YQ386" s="252"/>
      <c r="YR386" s="252"/>
      <c r="YS386" s="252"/>
      <c r="YT386" s="252"/>
      <c r="YU386" s="252"/>
      <c r="YV386" s="252"/>
      <c r="YW386" s="252"/>
      <c r="YX386" s="252"/>
      <c r="YY386" s="252"/>
      <c r="YZ386" s="252"/>
      <c r="ZA386" s="252"/>
      <c r="ZB386" s="252"/>
      <c r="ZC386" s="252"/>
      <c r="ZD386" s="252"/>
      <c r="ZE386" s="252"/>
      <c r="ZF386" s="252"/>
      <c r="ZG386" s="252"/>
      <c r="ZH386" s="252"/>
      <c r="ZI386" s="252"/>
      <c r="ZJ386" s="252"/>
      <c r="ZK386" s="252"/>
      <c r="ZL386" s="252"/>
      <c r="ZM386" s="252"/>
      <c r="ZN386" s="252"/>
      <c r="ZO386" s="252"/>
      <c r="ZP386" s="252"/>
      <c r="ZQ386" s="252"/>
      <c r="ZR386" s="252"/>
      <c r="ZS386" s="252"/>
      <c r="ZT386" s="252"/>
      <c r="ZU386" s="252"/>
      <c r="ZV386" s="252"/>
      <c r="ZW386" s="252"/>
      <c r="ZX386" s="252"/>
      <c r="ZY386" s="252"/>
      <c r="ZZ386" s="252"/>
      <c r="AAA386" s="252"/>
      <c r="AAB386" s="252"/>
      <c r="AAC386" s="252"/>
      <c r="AAD386" s="252"/>
      <c r="AAE386" s="252"/>
      <c r="AAF386" s="252"/>
      <c r="AAG386" s="252"/>
      <c r="AAH386" s="252"/>
      <c r="AAI386" s="252"/>
      <c r="AAJ386" s="252"/>
      <c r="AAK386" s="252"/>
      <c r="AAL386" s="252"/>
      <c r="AAM386" s="252"/>
      <c r="AAN386" s="252"/>
      <c r="AAO386" s="252"/>
      <c r="AAP386" s="252"/>
      <c r="AAQ386" s="252"/>
      <c r="AAR386" s="252"/>
      <c r="AAS386" s="252"/>
      <c r="AAT386" s="252"/>
      <c r="AAU386" s="252"/>
      <c r="AAV386" s="252"/>
      <c r="AAW386" s="252"/>
      <c r="AAX386" s="252"/>
      <c r="AAY386" s="252"/>
      <c r="AAZ386" s="252"/>
      <c r="ABA386" s="252"/>
      <c r="ABB386" s="252"/>
      <c r="ABC386" s="252"/>
      <c r="ABD386" s="252"/>
      <c r="ABE386" s="252"/>
      <c r="ABF386" s="252"/>
      <c r="ABG386" s="252"/>
      <c r="ABH386" s="252"/>
      <c r="ABI386" s="252"/>
      <c r="ABJ386" s="252"/>
      <c r="ABK386" s="252"/>
      <c r="ABL386" s="252"/>
      <c r="ABM386" s="252"/>
      <c r="ABN386" s="252"/>
      <c r="ABO386" s="252"/>
      <c r="ABP386" s="252"/>
      <c r="ABQ386" s="252"/>
      <c r="ABR386" s="252"/>
      <c r="ABS386" s="252"/>
      <c r="ABT386" s="252"/>
      <c r="ABU386" s="252"/>
      <c r="ABV386" s="252"/>
      <c r="ABW386" s="252"/>
      <c r="ABX386" s="252"/>
      <c r="ABY386" s="252"/>
      <c r="ABZ386" s="252"/>
      <c r="ACA386" s="252"/>
      <c r="ACB386" s="252"/>
      <c r="ACC386" s="252"/>
      <c r="ACD386" s="252"/>
      <c r="ACE386" s="252"/>
      <c r="ACF386" s="252"/>
      <c r="ACG386" s="252"/>
      <c r="ACH386" s="252"/>
      <c r="ACI386" s="252"/>
      <c r="ACJ386" s="252"/>
      <c r="ACK386" s="252"/>
      <c r="ACL386" s="252"/>
      <c r="ACM386" s="252"/>
      <c r="ACN386" s="252"/>
      <c r="ACO386" s="252"/>
      <c r="ACP386" s="252"/>
      <c r="ACQ386" s="252"/>
      <c r="ACR386" s="252"/>
      <c r="ACS386" s="252"/>
      <c r="ACT386" s="252"/>
      <c r="ACU386" s="252"/>
      <c r="ACV386" s="252"/>
      <c r="ACW386" s="252"/>
      <c r="ACX386" s="252"/>
      <c r="ACY386" s="252"/>
      <c r="ACZ386" s="252"/>
      <c r="ADA386" s="252"/>
      <c r="ADB386" s="252"/>
      <c r="ADC386" s="252"/>
      <c r="ADD386" s="252"/>
      <c r="ADE386" s="252"/>
      <c r="ADF386" s="252"/>
      <c r="ADG386" s="252"/>
      <c r="ADH386" s="252"/>
      <c r="ADI386" s="252"/>
      <c r="ADJ386" s="252"/>
      <c r="ADK386" s="252"/>
      <c r="ADL386" s="252"/>
      <c r="ADM386" s="252"/>
      <c r="ADN386" s="252"/>
      <c r="ADO386" s="252"/>
      <c r="ADP386" s="252"/>
      <c r="ADQ386" s="252"/>
      <c r="ADR386" s="252"/>
      <c r="ADS386" s="252"/>
      <c r="ADT386" s="252"/>
      <c r="ADU386" s="252"/>
      <c r="ADV386" s="252"/>
      <c r="ADW386" s="252"/>
      <c r="ADX386" s="252"/>
      <c r="ADY386" s="252"/>
      <c r="ADZ386" s="252"/>
      <c r="AEA386" s="252"/>
      <c r="AEB386" s="252"/>
      <c r="AEC386" s="252"/>
      <c r="AED386" s="252"/>
      <c r="AEE386" s="252"/>
      <c r="AEF386" s="252"/>
      <c r="AEG386" s="252"/>
      <c r="AEH386" s="252"/>
      <c r="AEI386" s="252"/>
      <c r="AEJ386" s="252"/>
      <c r="AEK386" s="252"/>
      <c r="AEL386" s="252"/>
      <c r="AEM386" s="252"/>
      <c r="AEN386" s="252"/>
      <c r="AEO386" s="252"/>
      <c r="AEP386" s="252"/>
      <c r="AEQ386" s="252"/>
      <c r="AER386" s="252"/>
      <c r="AES386" s="252"/>
      <c r="AET386" s="252"/>
      <c r="AEU386" s="252"/>
      <c r="AEV386" s="252"/>
      <c r="AEW386" s="252"/>
      <c r="AEX386" s="252"/>
      <c r="AEY386" s="252"/>
      <c r="AEZ386" s="252"/>
      <c r="AFA386" s="252"/>
      <c r="AFB386" s="252"/>
      <c r="AFC386" s="252"/>
      <c r="AFD386" s="252"/>
      <c r="AFE386" s="252"/>
      <c r="AFF386" s="252"/>
      <c r="AFG386" s="252"/>
      <c r="AFH386" s="252"/>
      <c r="AFI386" s="252"/>
      <c r="AFJ386" s="252"/>
      <c r="AFK386" s="252"/>
      <c r="AFL386" s="252"/>
      <c r="AFM386" s="252"/>
      <c r="AFN386" s="252"/>
      <c r="AFO386" s="252"/>
      <c r="AFP386" s="252"/>
      <c r="AFQ386" s="252"/>
      <c r="AFR386" s="252"/>
      <c r="AFS386" s="252"/>
      <c r="AFT386" s="252"/>
      <c r="AFU386" s="252"/>
      <c r="AFV386" s="252"/>
      <c r="AFW386" s="252"/>
      <c r="AFX386" s="252"/>
      <c r="AFY386" s="252"/>
      <c r="AFZ386" s="252"/>
      <c r="AGA386" s="252"/>
      <c r="AGB386" s="252"/>
      <c r="AGC386" s="252"/>
      <c r="AGD386" s="252"/>
      <c r="AGE386" s="252"/>
      <c r="AGF386" s="252"/>
      <c r="AGG386" s="252"/>
      <c r="AGH386" s="252"/>
      <c r="AGI386" s="252"/>
      <c r="AGJ386" s="252"/>
      <c r="AGK386" s="252"/>
      <c r="AGL386" s="252"/>
      <c r="AGM386" s="252"/>
      <c r="AGN386" s="252"/>
      <c r="AGO386" s="252"/>
      <c r="AGP386" s="252"/>
      <c r="AGQ386" s="252"/>
      <c r="AGR386" s="252"/>
      <c r="AGS386" s="252"/>
      <c r="AGT386" s="252"/>
      <c r="AGU386" s="252"/>
      <c r="AGV386" s="252"/>
      <c r="AGW386" s="252"/>
      <c r="AGX386" s="252"/>
      <c r="AGY386" s="252"/>
      <c r="AGZ386" s="252"/>
      <c r="AHA386" s="252"/>
      <c r="AHB386" s="252"/>
      <c r="AHC386" s="252"/>
      <c r="AHD386" s="252"/>
      <c r="AHE386" s="252"/>
      <c r="AHF386" s="252"/>
      <c r="AHG386" s="252"/>
      <c r="AHH386" s="252"/>
      <c r="AHI386" s="252"/>
      <c r="AHJ386" s="252"/>
      <c r="AHK386" s="252"/>
      <c r="AHL386" s="252"/>
      <c r="AHM386" s="252"/>
      <c r="AHN386" s="252"/>
      <c r="AHO386" s="252"/>
      <c r="AHP386" s="252"/>
      <c r="AHQ386" s="252"/>
      <c r="AHR386" s="252"/>
      <c r="AHS386" s="252"/>
      <c r="AHT386" s="252"/>
      <c r="AHU386" s="252"/>
      <c r="AHV386" s="252"/>
      <c r="AHW386" s="252"/>
      <c r="AHX386" s="252"/>
      <c r="AHY386" s="252"/>
      <c r="AHZ386" s="252"/>
      <c r="AIA386" s="252"/>
      <c r="AIB386" s="252"/>
      <c r="AIC386" s="252"/>
      <c r="AID386" s="252"/>
      <c r="AIE386" s="252"/>
      <c r="AIF386" s="252"/>
      <c r="AIG386" s="252"/>
      <c r="AIH386" s="252"/>
      <c r="AII386" s="252"/>
      <c r="AIJ386" s="252"/>
      <c r="AIK386" s="252"/>
      <c r="AIL386" s="252"/>
      <c r="AIM386" s="252"/>
      <c r="AIN386" s="252"/>
      <c r="AIO386" s="252"/>
      <c r="AIP386" s="252"/>
      <c r="AIQ386" s="252"/>
      <c r="AIR386" s="252"/>
      <c r="AIS386" s="252"/>
      <c r="AIT386" s="252"/>
      <c r="AIU386" s="252"/>
      <c r="AIV386" s="252"/>
      <c r="AIW386" s="252"/>
      <c r="AIX386" s="252"/>
      <c r="AIY386" s="252"/>
      <c r="AIZ386" s="252"/>
      <c r="AJA386" s="252"/>
      <c r="AJB386" s="252"/>
      <c r="AJC386" s="252"/>
      <c r="AJD386" s="252"/>
      <c r="AJE386" s="252"/>
      <c r="AJF386" s="252"/>
      <c r="AJG386" s="252"/>
      <c r="AJH386" s="252"/>
      <c r="AJI386" s="252"/>
      <c r="AJJ386" s="252"/>
      <c r="AJK386" s="252"/>
      <c r="AJL386" s="252"/>
      <c r="AJM386" s="252"/>
      <c r="AJN386" s="252"/>
      <c r="AJO386" s="252"/>
      <c r="AJP386" s="252"/>
      <c r="AJQ386" s="252"/>
      <c r="AJR386" s="252"/>
      <c r="AJS386" s="252"/>
      <c r="AJT386" s="252"/>
      <c r="AJU386" s="252"/>
      <c r="AJV386" s="252"/>
      <c r="AJW386" s="252"/>
      <c r="AJX386" s="252"/>
      <c r="AJY386" s="252"/>
      <c r="AJZ386" s="252"/>
      <c r="AKA386" s="252"/>
      <c r="AKB386" s="252"/>
      <c r="AKC386" s="252"/>
      <c r="AKD386" s="252"/>
      <c r="AKE386" s="252"/>
      <c r="AKF386" s="252"/>
      <c r="AKG386" s="252"/>
      <c r="AKH386" s="252"/>
      <c r="AKI386" s="252"/>
      <c r="AKJ386" s="252"/>
      <c r="AKK386" s="252"/>
      <c r="AKL386" s="252"/>
      <c r="AKM386" s="252"/>
      <c r="AKN386" s="252"/>
      <c r="AKO386" s="252"/>
      <c r="AKP386" s="252"/>
      <c r="AKQ386" s="252"/>
      <c r="AKR386" s="252"/>
      <c r="AKS386" s="252"/>
      <c r="AKT386" s="252"/>
      <c r="AKU386" s="252"/>
      <c r="AKV386" s="252"/>
      <c r="AKW386" s="252"/>
      <c r="AKX386" s="252"/>
      <c r="AKY386" s="252"/>
      <c r="AKZ386" s="252"/>
      <c r="ALA386" s="252"/>
      <c r="ALB386" s="252"/>
      <c r="ALC386" s="252"/>
      <c r="ALD386" s="252"/>
      <c r="ALE386" s="252"/>
      <c r="ALF386" s="252"/>
      <c r="ALG386" s="252"/>
      <c r="ALH386" s="252"/>
      <c r="ALI386" s="252"/>
      <c r="ALJ386" s="252"/>
      <c r="ALK386" s="252"/>
      <c r="ALL386" s="252"/>
      <c r="ALM386" s="252"/>
      <c r="ALN386" s="252"/>
      <c r="ALO386" s="252"/>
      <c r="ALP386" s="252"/>
      <c r="ALQ386" s="252"/>
      <c r="ALR386" s="252"/>
      <c r="ALS386" s="252"/>
      <c r="ALT386" s="252"/>
      <c r="ALU386" s="252"/>
      <c r="ALV386" s="252"/>
      <c r="ALW386" s="252"/>
      <c r="ALX386" s="252"/>
      <c r="ALY386" s="252"/>
      <c r="ALZ386" s="252"/>
      <c r="AMA386" s="252"/>
      <c r="AMB386" s="252"/>
      <c r="AMC386" s="252"/>
      <c r="AMD386" s="252"/>
      <c r="AME386" s="252"/>
      <c r="AMF386" s="252"/>
      <c r="AMG386" s="252"/>
      <c r="AMH386" s="252"/>
      <c r="AMI386" s="252"/>
      <c r="AMJ386" s="252"/>
      <c r="AMK386" s="252"/>
      <c r="AML386" s="252"/>
      <c r="AMM386" s="252"/>
      <c r="AMN386" s="252"/>
      <c r="AMO386" s="252"/>
      <c r="AMP386" s="252"/>
      <c r="AMQ386" s="252"/>
      <c r="AMR386" s="252"/>
      <c r="AMS386" s="252"/>
      <c r="AMT386" s="252"/>
      <c r="AMU386" s="252"/>
      <c r="AMV386" s="252"/>
      <c r="AMW386" s="252"/>
      <c r="AMX386" s="252"/>
      <c r="AMY386" s="252"/>
      <c r="AMZ386" s="252"/>
      <c r="ANA386" s="252"/>
      <c r="ANB386" s="252"/>
      <c r="ANC386" s="252"/>
      <c r="AND386" s="252"/>
      <c r="ANE386" s="252"/>
      <c r="ANF386" s="252"/>
      <c r="ANG386" s="252"/>
      <c r="ANH386" s="252"/>
      <c r="ANI386" s="252"/>
      <c r="ANJ386" s="252"/>
      <c r="ANK386" s="252"/>
      <c r="ANL386" s="252"/>
      <c r="ANM386" s="252"/>
      <c r="ANN386" s="252"/>
      <c r="ANO386" s="252"/>
      <c r="ANP386" s="252"/>
      <c r="ANQ386" s="252"/>
      <c r="ANR386" s="252"/>
      <c r="ANS386" s="252"/>
      <c r="ANT386" s="252"/>
      <c r="ANU386" s="252"/>
      <c r="ANV386" s="252"/>
      <c r="ANW386" s="252"/>
      <c r="ANX386" s="252"/>
      <c r="ANY386" s="252"/>
      <c r="ANZ386" s="252"/>
      <c r="AOA386" s="252"/>
      <c r="AOB386" s="252"/>
      <c r="AOC386" s="252"/>
      <c r="AOD386" s="252"/>
      <c r="AOE386" s="252"/>
      <c r="AOF386" s="252"/>
      <c r="AOG386" s="252"/>
      <c r="AOH386" s="252"/>
      <c r="AOI386" s="252"/>
      <c r="AOJ386" s="252"/>
      <c r="AOK386" s="252"/>
      <c r="AOL386" s="252"/>
      <c r="AOM386" s="252"/>
      <c r="AON386" s="252"/>
      <c r="AOO386" s="252"/>
      <c r="AOP386" s="252"/>
      <c r="AOQ386" s="252"/>
      <c r="AOR386" s="252"/>
      <c r="AOS386" s="252"/>
      <c r="AOT386" s="252"/>
      <c r="AOU386" s="252"/>
      <c r="AOV386" s="252"/>
      <c r="AOW386" s="252"/>
      <c r="AOX386" s="252"/>
      <c r="AOY386" s="252"/>
      <c r="AOZ386" s="252"/>
      <c r="APA386" s="252"/>
      <c r="APB386" s="252"/>
      <c r="APC386" s="252"/>
      <c r="APD386" s="252"/>
      <c r="APE386" s="252"/>
      <c r="APF386" s="252"/>
      <c r="APG386" s="252"/>
      <c r="APH386" s="252"/>
      <c r="API386" s="252"/>
      <c r="APJ386" s="252"/>
      <c r="APK386" s="252"/>
      <c r="APL386" s="252"/>
      <c r="APM386" s="252"/>
      <c r="APN386" s="252"/>
      <c r="APO386" s="252"/>
      <c r="APP386" s="252"/>
      <c r="APQ386" s="252"/>
      <c r="APR386" s="252"/>
      <c r="APS386" s="252"/>
      <c r="APT386" s="252"/>
      <c r="APU386" s="252"/>
      <c r="APV386" s="252"/>
      <c r="APW386" s="252"/>
      <c r="APX386" s="252"/>
      <c r="APY386" s="252"/>
      <c r="APZ386" s="252"/>
      <c r="AQA386" s="252"/>
      <c r="AQB386" s="252"/>
      <c r="AQC386" s="252"/>
      <c r="AQD386" s="252"/>
      <c r="AQE386" s="252"/>
      <c r="AQF386" s="252"/>
      <c r="AQG386" s="252"/>
      <c r="AQH386" s="252"/>
      <c r="AQI386" s="252"/>
      <c r="AQJ386" s="252"/>
      <c r="AQK386" s="252"/>
      <c r="AQL386" s="252"/>
      <c r="AQM386" s="252"/>
      <c r="AQN386" s="252"/>
      <c r="AQO386" s="252"/>
      <c r="AQP386" s="252"/>
      <c r="AQQ386" s="252"/>
      <c r="AQR386" s="252"/>
      <c r="AQS386" s="252"/>
      <c r="AQT386" s="252"/>
      <c r="AQU386" s="252"/>
      <c r="AQV386" s="252"/>
      <c r="AQW386" s="252"/>
      <c r="AQX386" s="252"/>
      <c r="AQY386" s="252"/>
      <c r="AQZ386" s="252"/>
      <c r="ARA386" s="252"/>
      <c r="ARB386" s="252"/>
      <c r="ARC386" s="252"/>
      <c r="ARD386" s="252"/>
      <c r="ARE386" s="252"/>
      <c r="ARF386" s="252"/>
      <c r="ARG386" s="252"/>
      <c r="ARH386" s="252"/>
      <c r="ARI386" s="252"/>
      <c r="ARJ386" s="252"/>
      <c r="ARK386" s="252"/>
      <c r="ARL386" s="252"/>
      <c r="ARM386" s="252"/>
      <c r="ARN386" s="252"/>
      <c r="ARO386" s="252"/>
      <c r="ARP386" s="252"/>
      <c r="ARQ386" s="252"/>
      <c r="ARR386" s="252"/>
      <c r="ARS386" s="252"/>
      <c r="ART386" s="252"/>
      <c r="ARU386" s="252"/>
      <c r="ARV386" s="252"/>
      <c r="ARW386" s="252"/>
      <c r="ARX386" s="252"/>
      <c r="ARY386" s="252"/>
      <c r="ARZ386" s="252"/>
      <c r="ASA386" s="252"/>
      <c r="ASB386" s="252"/>
      <c r="ASC386" s="252"/>
      <c r="ASD386" s="252"/>
      <c r="ASE386" s="252"/>
      <c r="ASF386" s="252"/>
      <c r="ASG386" s="252"/>
      <c r="ASH386" s="252"/>
      <c r="ASI386" s="252"/>
      <c r="ASJ386" s="252"/>
      <c r="ASK386" s="252"/>
      <c r="ASL386" s="252"/>
      <c r="ASM386" s="252"/>
      <c r="ASN386" s="252"/>
      <c r="ASO386" s="252"/>
      <c r="ASP386" s="252"/>
      <c r="ASQ386" s="252"/>
      <c r="ASR386" s="252"/>
      <c r="ASS386" s="252"/>
      <c r="AST386" s="252"/>
      <c r="ASU386" s="252"/>
      <c r="ASV386" s="252"/>
      <c r="ASW386" s="252"/>
      <c r="ASX386" s="252"/>
      <c r="ASY386" s="252"/>
      <c r="ASZ386" s="252"/>
      <c r="ATA386" s="252"/>
      <c r="ATB386" s="252"/>
      <c r="ATC386" s="252"/>
      <c r="ATD386" s="252"/>
      <c r="ATE386" s="252"/>
      <c r="ATF386" s="252"/>
      <c r="ATG386" s="252"/>
      <c r="ATH386" s="252"/>
      <c r="ATI386" s="252"/>
      <c r="ATJ386" s="252"/>
      <c r="ATK386" s="252"/>
      <c r="ATL386" s="252"/>
      <c r="ATM386" s="252"/>
      <c r="ATN386" s="252"/>
      <c r="ATO386" s="252"/>
      <c r="ATP386" s="252"/>
      <c r="ATQ386" s="252"/>
      <c r="ATR386" s="252"/>
      <c r="ATS386" s="252"/>
      <c r="ATT386" s="252"/>
      <c r="ATU386" s="252"/>
      <c r="ATV386" s="252"/>
      <c r="ATW386" s="252"/>
      <c r="ATX386" s="252"/>
      <c r="ATY386" s="252"/>
      <c r="ATZ386" s="252"/>
      <c r="AUA386" s="252"/>
      <c r="AUB386" s="252"/>
      <c r="AUC386" s="252"/>
      <c r="AUD386" s="252"/>
      <c r="AUE386" s="252"/>
      <c r="AUF386" s="252"/>
      <c r="AUG386" s="252"/>
      <c r="AUH386" s="252"/>
      <c r="AUI386" s="252"/>
      <c r="AUJ386" s="252"/>
      <c r="AUK386" s="252"/>
      <c r="AUL386" s="252"/>
      <c r="AUM386" s="252"/>
      <c r="AUN386" s="252"/>
      <c r="AUO386" s="252"/>
      <c r="AUP386" s="252"/>
      <c r="AUQ386" s="252"/>
      <c r="AUR386" s="252"/>
      <c r="AUS386" s="252"/>
      <c r="AUT386" s="252"/>
      <c r="AUU386" s="252"/>
      <c r="AUV386" s="252"/>
      <c r="AUW386" s="252"/>
      <c r="AUX386" s="252"/>
      <c r="AUY386" s="252"/>
      <c r="AUZ386" s="252"/>
      <c r="AVA386" s="252"/>
      <c r="AVB386" s="252"/>
      <c r="AVC386" s="252"/>
      <c r="AVD386" s="252"/>
      <c r="AVE386" s="252"/>
      <c r="AVF386" s="252"/>
      <c r="AVG386" s="252"/>
      <c r="AVH386" s="252"/>
      <c r="AVI386" s="252"/>
      <c r="AVJ386" s="252"/>
      <c r="AVK386" s="252"/>
      <c r="AVL386" s="252"/>
      <c r="AVM386" s="252"/>
      <c r="AVN386" s="252"/>
      <c r="AVO386" s="252"/>
      <c r="AVP386" s="252"/>
      <c r="AVQ386" s="252"/>
      <c r="AVR386" s="252"/>
      <c r="AVS386" s="252"/>
      <c r="AVT386" s="252"/>
      <c r="AVU386" s="252"/>
      <c r="AVV386" s="252"/>
      <c r="AVW386" s="252"/>
      <c r="AVX386" s="252"/>
      <c r="AVY386" s="252"/>
      <c r="AVZ386" s="252"/>
      <c r="AWA386" s="252"/>
      <c r="AWB386" s="252"/>
      <c r="AWC386" s="252"/>
      <c r="AWD386" s="252"/>
      <c r="AWE386" s="252"/>
      <c r="AWF386" s="252"/>
      <c r="AWG386" s="252"/>
      <c r="AWH386" s="252"/>
      <c r="AWI386" s="252"/>
      <c r="AWJ386" s="252"/>
      <c r="AWK386" s="252"/>
      <c r="AWL386" s="252"/>
      <c r="AWM386" s="252"/>
      <c r="AWN386" s="252"/>
      <c r="AWO386" s="252"/>
      <c r="AWP386" s="252"/>
      <c r="AWQ386" s="252"/>
      <c r="AWR386" s="252"/>
      <c r="AWS386" s="252"/>
      <c r="AWT386" s="252"/>
      <c r="AWU386" s="252"/>
      <c r="AWV386" s="252"/>
      <c r="AWW386" s="252"/>
      <c r="AWX386" s="252"/>
      <c r="AWY386" s="252"/>
      <c r="AWZ386" s="252"/>
      <c r="AXA386" s="252"/>
      <c r="AXB386" s="252"/>
      <c r="AXC386" s="252"/>
      <c r="AXD386" s="252"/>
      <c r="AXE386" s="252"/>
      <c r="AXF386" s="252"/>
      <c r="AXG386" s="252"/>
      <c r="AXH386" s="252"/>
      <c r="AXI386" s="252"/>
      <c r="AXJ386" s="252"/>
      <c r="AXK386" s="252"/>
      <c r="AXL386" s="252"/>
      <c r="AXM386" s="252"/>
      <c r="AXN386" s="252"/>
      <c r="AXO386" s="252"/>
      <c r="AXP386" s="252"/>
      <c r="AXQ386" s="252"/>
      <c r="AXR386" s="252"/>
      <c r="AXS386" s="252"/>
      <c r="AXT386" s="252"/>
      <c r="AXU386" s="252"/>
      <c r="AXV386" s="252"/>
      <c r="AXW386" s="252"/>
      <c r="AXX386" s="252"/>
      <c r="AXY386" s="252"/>
      <c r="AXZ386" s="252"/>
      <c r="AYA386" s="252"/>
      <c r="AYB386" s="252"/>
      <c r="AYC386" s="252"/>
      <c r="AYD386" s="252"/>
      <c r="AYE386" s="252"/>
      <c r="AYF386" s="252"/>
      <c r="AYG386" s="252"/>
      <c r="AYH386" s="252"/>
      <c r="AYI386" s="252"/>
      <c r="AYJ386" s="252"/>
      <c r="AYK386" s="252"/>
      <c r="AYL386" s="252"/>
      <c r="AYM386" s="252"/>
      <c r="AYN386" s="252"/>
      <c r="AYO386" s="252"/>
      <c r="AYP386" s="252"/>
      <c r="AYQ386" s="252"/>
      <c r="AYR386" s="252"/>
      <c r="AYS386" s="252"/>
      <c r="AYT386" s="252"/>
      <c r="AYU386" s="252"/>
      <c r="AYV386" s="252"/>
      <c r="AYW386" s="252"/>
      <c r="AYX386" s="252"/>
      <c r="AYY386" s="252"/>
      <c r="AYZ386" s="252"/>
      <c r="AZA386" s="252"/>
      <c r="AZB386" s="252"/>
      <c r="AZC386" s="252"/>
      <c r="AZD386" s="252"/>
      <c r="AZE386" s="252"/>
      <c r="AZF386" s="252"/>
      <c r="AZG386" s="252"/>
      <c r="AZH386" s="252"/>
      <c r="AZI386" s="252"/>
      <c r="AZJ386" s="252"/>
      <c r="AZK386" s="252"/>
      <c r="AZL386" s="252"/>
      <c r="AZM386" s="252"/>
      <c r="AZN386" s="252"/>
      <c r="AZO386" s="252"/>
      <c r="AZP386" s="252"/>
      <c r="AZQ386" s="252"/>
      <c r="AZR386" s="252"/>
      <c r="AZS386" s="252"/>
      <c r="AZT386" s="252"/>
      <c r="AZU386" s="252"/>
      <c r="AZV386" s="252"/>
      <c r="AZW386" s="252"/>
      <c r="AZX386" s="252"/>
      <c r="AZY386" s="252"/>
      <c r="AZZ386" s="252"/>
      <c r="BAA386" s="252"/>
      <c r="BAB386" s="252"/>
      <c r="BAC386" s="252"/>
      <c r="BAD386" s="252"/>
      <c r="BAE386" s="252"/>
      <c r="BAF386" s="252"/>
      <c r="BAG386" s="252"/>
      <c r="BAH386" s="252"/>
      <c r="BAI386" s="252"/>
      <c r="BAJ386" s="252"/>
      <c r="BAK386" s="252"/>
      <c r="BAL386" s="252"/>
      <c r="BAM386" s="252"/>
      <c r="BAN386" s="252"/>
      <c r="BAO386" s="252"/>
      <c r="BAP386" s="252"/>
      <c r="BAQ386" s="252"/>
      <c r="BAR386" s="252"/>
      <c r="BAS386" s="252"/>
      <c r="BAT386" s="252"/>
      <c r="BAU386" s="252"/>
      <c r="BAV386" s="252"/>
      <c r="BAW386" s="252"/>
      <c r="BAX386" s="252"/>
      <c r="BAY386" s="252"/>
      <c r="BAZ386" s="252"/>
      <c r="BBA386" s="252"/>
      <c r="BBB386" s="252"/>
      <c r="BBC386" s="252"/>
      <c r="BBD386" s="252"/>
      <c r="BBE386" s="252"/>
      <c r="BBF386" s="252"/>
      <c r="BBG386" s="252"/>
      <c r="BBH386" s="252"/>
      <c r="BBI386" s="252"/>
      <c r="BBJ386" s="252"/>
      <c r="BBK386" s="252"/>
      <c r="BBL386" s="252"/>
      <c r="BBM386" s="252"/>
      <c r="BBN386" s="252"/>
      <c r="BBO386" s="252"/>
      <c r="BBP386" s="252"/>
      <c r="BBQ386" s="252"/>
      <c r="BBR386" s="252"/>
      <c r="BBS386" s="252"/>
      <c r="BBT386" s="252"/>
      <c r="BBU386" s="252"/>
      <c r="BBV386" s="252"/>
      <c r="BBW386" s="252"/>
      <c r="BBX386" s="252"/>
      <c r="BBY386" s="252"/>
      <c r="BBZ386" s="252"/>
      <c r="BCA386" s="252"/>
      <c r="BCB386" s="252"/>
      <c r="BCC386" s="252"/>
      <c r="BCD386" s="252"/>
      <c r="BCE386" s="252"/>
      <c r="BCF386" s="252"/>
      <c r="BCG386" s="252"/>
      <c r="BCH386" s="252"/>
      <c r="BCI386" s="252"/>
      <c r="BCJ386" s="252"/>
      <c r="BCK386" s="252"/>
      <c r="BCL386" s="252"/>
      <c r="BCM386" s="252"/>
      <c r="BCN386" s="252"/>
      <c r="BCO386" s="252"/>
      <c r="BCP386" s="252"/>
      <c r="BCQ386" s="252"/>
      <c r="BCR386" s="252"/>
      <c r="BCS386" s="252"/>
      <c r="BCT386" s="252"/>
      <c r="BCU386" s="252"/>
      <c r="BCV386" s="252"/>
      <c r="BCW386" s="252"/>
      <c r="BCX386" s="252"/>
      <c r="BCY386" s="252"/>
      <c r="BCZ386" s="252"/>
      <c r="BDA386" s="252"/>
      <c r="BDB386" s="252"/>
      <c r="BDC386" s="252"/>
      <c r="BDD386" s="252"/>
      <c r="BDE386" s="252"/>
      <c r="BDF386" s="252"/>
      <c r="BDG386" s="252"/>
      <c r="BDH386" s="252"/>
      <c r="BDI386" s="252"/>
      <c r="BDJ386" s="252"/>
      <c r="BDK386" s="252"/>
      <c r="BDL386" s="252"/>
      <c r="BDM386" s="252"/>
      <c r="BDN386" s="252"/>
      <c r="BDO386" s="252"/>
      <c r="BDP386" s="252"/>
      <c r="BDQ386" s="252"/>
      <c r="BDR386" s="252"/>
      <c r="BDS386" s="252"/>
      <c r="BDT386" s="252"/>
      <c r="BDU386" s="252"/>
      <c r="BDV386" s="252"/>
      <c r="BDW386" s="252"/>
      <c r="BDX386" s="252"/>
      <c r="BDY386" s="252"/>
      <c r="BDZ386" s="252"/>
      <c r="BEA386" s="252"/>
      <c r="BEB386" s="252"/>
      <c r="BEC386" s="252"/>
      <c r="BED386" s="252"/>
      <c r="BEE386" s="252"/>
      <c r="BEF386" s="252"/>
      <c r="BEG386" s="252"/>
      <c r="BEH386" s="252"/>
      <c r="BEI386" s="252"/>
      <c r="BEJ386" s="252"/>
      <c r="BEK386" s="252"/>
      <c r="BEL386" s="252"/>
      <c r="BEM386" s="252"/>
      <c r="BEN386" s="252"/>
      <c r="BEO386" s="252"/>
      <c r="BEP386" s="252"/>
      <c r="BEQ386" s="252"/>
      <c r="BER386" s="252"/>
      <c r="BES386" s="252"/>
      <c r="BET386" s="252"/>
      <c r="BEU386" s="252"/>
      <c r="BEV386" s="252"/>
      <c r="BEW386" s="252"/>
      <c r="BEX386" s="252"/>
      <c r="BEY386" s="252"/>
      <c r="BEZ386" s="252"/>
      <c r="BFA386" s="252"/>
      <c r="BFB386" s="252"/>
      <c r="BFC386" s="252"/>
      <c r="BFD386" s="252"/>
      <c r="BFE386" s="252"/>
      <c r="BFF386" s="252"/>
      <c r="BFG386" s="252"/>
      <c r="BFH386" s="252"/>
      <c r="BFI386" s="252"/>
      <c r="BFJ386" s="252"/>
      <c r="BFK386" s="252"/>
      <c r="BFL386" s="252"/>
      <c r="BFM386" s="252"/>
      <c r="BFN386" s="252"/>
      <c r="BFO386" s="252"/>
      <c r="BFP386" s="252"/>
      <c r="BFQ386" s="252"/>
      <c r="BFR386" s="252"/>
      <c r="BFS386" s="252"/>
      <c r="BFT386" s="252"/>
      <c r="BFU386" s="252"/>
      <c r="BFV386" s="252"/>
      <c r="BFW386" s="252"/>
      <c r="BFX386" s="252"/>
      <c r="BFY386" s="252"/>
      <c r="BFZ386" s="252"/>
      <c r="BGA386" s="252"/>
      <c r="BGB386" s="252"/>
      <c r="BGC386" s="252"/>
      <c r="BGD386" s="252"/>
      <c r="BGE386" s="252"/>
      <c r="BGF386" s="252"/>
      <c r="BGG386" s="252"/>
      <c r="BGH386" s="252"/>
      <c r="BGI386" s="252"/>
      <c r="BGJ386" s="252"/>
      <c r="BGK386" s="252"/>
      <c r="BGL386" s="252"/>
      <c r="BGM386" s="252"/>
      <c r="BGN386" s="252"/>
      <c r="BGO386" s="252"/>
      <c r="BGP386" s="252"/>
      <c r="BGQ386" s="252"/>
      <c r="BGR386" s="252"/>
      <c r="BGS386" s="252"/>
      <c r="BGT386" s="252"/>
      <c r="BGU386" s="252"/>
      <c r="BGV386" s="252"/>
      <c r="BGW386" s="252"/>
      <c r="BGX386" s="252"/>
      <c r="BGY386" s="252"/>
      <c r="BGZ386" s="252"/>
      <c r="BHA386" s="252"/>
      <c r="BHB386" s="252"/>
      <c r="BHC386" s="252"/>
      <c r="BHD386" s="252"/>
      <c r="BHE386" s="252"/>
      <c r="BHF386" s="252"/>
      <c r="BHG386" s="252"/>
      <c r="BHH386" s="252"/>
      <c r="BHI386" s="252"/>
      <c r="BHJ386" s="252"/>
      <c r="BHK386" s="252"/>
      <c r="BHL386" s="252"/>
      <c r="BHM386" s="252"/>
      <c r="BHN386" s="252"/>
      <c r="BHO386" s="252"/>
      <c r="BHP386" s="252"/>
      <c r="BHQ386" s="252"/>
      <c r="BHR386" s="252"/>
      <c r="BHS386" s="252"/>
      <c r="BHT386" s="252"/>
      <c r="BHU386" s="252"/>
      <c r="BHV386" s="252"/>
      <c r="BHW386" s="252"/>
      <c r="BHX386" s="252"/>
      <c r="BHY386" s="252"/>
      <c r="BHZ386" s="252"/>
      <c r="BIA386" s="252"/>
      <c r="BIB386" s="252"/>
      <c r="BIC386" s="252"/>
      <c r="BID386" s="252"/>
      <c r="BIE386" s="252"/>
      <c r="BIF386" s="252"/>
      <c r="BIG386" s="252"/>
      <c r="BIH386" s="252"/>
      <c r="BII386" s="252"/>
      <c r="BIJ386" s="252"/>
      <c r="BIK386" s="252"/>
      <c r="BIL386" s="252"/>
      <c r="BIM386" s="252"/>
      <c r="BIN386" s="252"/>
      <c r="BIO386" s="252"/>
      <c r="BIP386" s="252"/>
      <c r="BIQ386" s="252"/>
      <c r="BIR386" s="252"/>
      <c r="BIS386" s="252"/>
      <c r="BIT386" s="252"/>
      <c r="BIU386" s="252"/>
      <c r="BIV386" s="252"/>
      <c r="BIW386" s="252"/>
      <c r="BIX386" s="252"/>
      <c r="BIY386" s="252"/>
      <c r="BIZ386" s="252"/>
      <c r="BJA386" s="252"/>
      <c r="BJB386" s="252"/>
      <c r="BJC386" s="252"/>
      <c r="BJD386" s="252"/>
      <c r="BJE386" s="252"/>
      <c r="BJF386" s="252"/>
      <c r="BJG386" s="252"/>
      <c r="BJH386" s="252"/>
      <c r="BJI386" s="252"/>
      <c r="BJJ386" s="252"/>
      <c r="BJK386" s="252"/>
      <c r="BJL386" s="252"/>
      <c r="BJM386" s="252"/>
      <c r="BJN386" s="252"/>
      <c r="BJO386" s="252"/>
      <c r="BJP386" s="252"/>
      <c r="BJQ386" s="252"/>
      <c r="BJR386" s="252"/>
      <c r="BJS386" s="252"/>
      <c r="BJT386" s="252"/>
      <c r="BJU386" s="252"/>
      <c r="BJV386" s="252"/>
      <c r="BJW386" s="252"/>
      <c r="BJX386" s="252"/>
      <c r="BJY386" s="252"/>
      <c r="BJZ386" s="252"/>
      <c r="BKA386" s="252"/>
      <c r="BKB386" s="252"/>
      <c r="BKC386" s="252"/>
      <c r="BKD386" s="252"/>
      <c r="BKE386" s="252"/>
      <c r="BKF386" s="252"/>
      <c r="BKG386" s="252"/>
      <c r="BKH386" s="252"/>
      <c r="BKI386" s="252"/>
      <c r="BKJ386" s="252"/>
      <c r="BKK386" s="252"/>
      <c r="BKL386" s="252"/>
      <c r="BKM386" s="252"/>
      <c r="BKN386" s="252"/>
      <c r="BKO386" s="252"/>
      <c r="BKP386" s="252"/>
      <c r="BKQ386" s="252"/>
      <c r="BKR386" s="252"/>
      <c r="BKS386" s="252"/>
      <c r="BKT386" s="252"/>
      <c r="BKU386" s="252"/>
      <c r="BKV386" s="252"/>
      <c r="BKW386" s="252"/>
      <c r="BKX386" s="252"/>
      <c r="BKY386" s="252"/>
      <c r="BKZ386" s="252"/>
      <c r="BLA386" s="252"/>
      <c r="BLB386" s="252"/>
      <c r="BLC386" s="252"/>
      <c r="BLD386" s="252"/>
      <c r="BLE386" s="252"/>
      <c r="BLF386" s="252"/>
      <c r="BLG386" s="252"/>
      <c r="BLH386" s="252"/>
      <c r="BLI386" s="252"/>
      <c r="BLJ386" s="252"/>
      <c r="BLK386" s="252"/>
      <c r="BLL386" s="252"/>
      <c r="BLM386" s="252"/>
      <c r="BLN386" s="252"/>
      <c r="BLO386" s="252"/>
      <c r="BLP386" s="252"/>
      <c r="BLQ386" s="252"/>
      <c r="BLR386" s="252"/>
      <c r="BLS386" s="252"/>
      <c r="BLT386" s="252"/>
      <c r="BLU386" s="252"/>
      <c r="BLV386" s="252"/>
      <c r="BLW386" s="252"/>
      <c r="BLX386" s="252"/>
      <c r="BLY386" s="252"/>
      <c r="BLZ386" s="252"/>
      <c r="BMA386" s="252"/>
      <c r="BMB386" s="252"/>
      <c r="BMC386" s="252"/>
      <c r="BMD386" s="252"/>
      <c r="BME386" s="252"/>
      <c r="BMF386" s="252"/>
      <c r="BMG386" s="252"/>
      <c r="BMH386" s="252"/>
      <c r="BMI386" s="252"/>
      <c r="BMJ386" s="252"/>
      <c r="BMK386" s="252"/>
      <c r="BML386" s="252"/>
      <c r="BMM386" s="252"/>
      <c r="BMN386" s="252"/>
      <c r="BMO386" s="252"/>
      <c r="BMP386" s="252"/>
      <c r="BMQ386" s="252"/>
      <c r="BMR386" s="252"/>
      <c r="BMS386" s="252"/>
      <c r="BMT386" s="252"/>
      <c r="BMU386" s="252"/>
      <c r="BMV386" s="252"/>
      <c r="BMW386" s="252"/>
      <c r="BMX386" s="252"/>
      <c r="BMY386" s="252"/>
      <c r="BMZ386" s="252"/>
      <c r="BNA386" s="252"/>
      <c r="BNB386" s="252"/>
      <c r="BNC386" s="252"/>
      <c r="BND386" s="252"/>
      <c r="BNE386" s="252"/>
      <c r="BNF386" s="252"/>
      <c r="BNG386" s="252"/>
      <c r="BNH386" s="252"/>
      <c r="BNI386" s="252"/>
      <c r="BNJ386" s="252"/>
      <c r="BNK386" s="252"/>
      <c r="BNL386" s="252"/>
      <c r="BNM386" s="252"/>
      <c r="BNN386" s="252"/>
      <c r="BNO386" s="252"/>
      <c r="BNP386" s="252"/>
      <c r="BNQ386" s="252"/>
      <c r="BNR386" s="252"/>
      <c r="BNS386" s="252"/>
      <c r="BNT386" s="252"/>
      <c r="BNU386" s="252"/>
      <c r="BNV386" s="252"/>
      <c r="BNW386" s="252"/>
      <c r="BNX386" s="252"/>
      <c r="BNY386" s="252"/>
      <c r="BNZ386" s="252"/>
      <c r="BOA386" s="252"/>
      <c r="BOB386" s="252"/>
      <c r="BOC386" s="252"/>
      <c r="BOD386" s="252"/>
      <c r="BOE386" s="252"/>
      <c r="BOF386" s="252"/>
      <c r="BOG386" s="252"/>
      <c r="BOH386" s="252"/>
      <c r="BOI386" s="252"/>
      <c r="BOJ386" s="252"/>
      <c r="BOK386" s="252"/>
      <c r="BOL386" s="252"/>
      <c r="BOM386" s="252"/>
      <c r="BON386" s="252"/>
      <c r="BOO386" s="252"/>
      <c r="BOP386" s="252"/>
      <c r="BOQ386" s="252"/>
      <c r="BOR386" s="252"/>
      <c r="BOS386" s="252"/>
      <c r="BOT386" s="252"/>
      <c r="BOU386" s="252"/>
      <c r="BOV386" s="252"/>
      <c r="BOW386" s="252"/>
      <c r="BOX386" s="252"/>
      <c r="BOY386" s="252"/>
      <c r="BOZ386" s="252"/>
      <c r="BPA386" s="252"/>
      <c r="BPB386" s="252"/>
      <c r="BPC386" s="252"/>
      <c r="BPD386" s="252"/>
      <c r="BPE386" s="252"/>
      <c r="BPF386" s="252"/>
      <c r="BPG386" s="252"/>
      <c r="BPH386" s="252"/>
      <c r="BPI386" s="252"/>
      <c r="BPJ386" s="252"/>
      <c r="BPK386" s="252"/>
      <c r="BPL386" s="252"/>
      <c r="BPM386" s="252"/>
      <c r="BPN386" s="252"/>
      <c r="BPO386" s="252"/>
      <c r="BPP386" s="252"/>
      <c r="BPQ386" s="252"/>
      <c r="BPR386" s="252"/>
      <c r="BPS386" s="252"/>
      <c r="BPT386" s="252"/>
      <c r="BPU386" s="252"/>
      <c r="BPV386" s="252"/>
      <c r="BPW386" s="252"/>
      <c r="BPX386" s="252"/>
      <c r="BPY386" s="252"/>
      <c r="BPZ386" s="252"/>
      <c r="BQA386" s="252"/>
      <c r="BQB386" s="252"/>
      <c r="BQC386" s="252"/>
      <c r="BQD386" s="252"/>
      <c r="BQE386" s="252"/>
      <c r="BQF386" s="252"/>
      <c r="BQG386" s="252"/>
      <c r="BQH386" s="252"/>
      <c r="BQI386" s="252"/>
      <c r="BQJ386" s="252"/>
      <c r="BQK386" s="252"/>
      <c r="BQL386" s="252"/>
      <c r="BQM386" s="252"/>
      <c r="BQN386" s="252"/>
      <c r="BQO386" s="252"/>
      <c r="BQP386" s="252"/>
      <c r="BQQ386" s="252"/>
      <c r="BQR386" s="252"/>
      <c r="BQS386" s="252"/>
      <c r="BQT386" s="252"/>
      <c r="BQU386" s="252"/>
      <c r="BQV386" s="252"/>
      <c r="BQW386" s="252"/>
      <c r="BQX386" s="252"/>
      <c r="BQY386" s="252"/>
      <c r="BQZ386" s="252"/>
      <c r="BRA386" s="252"/>
      <c r="BRB386" s="252"/>
      <c r="BRC386" s="252"/>
      <c r="BRD386" s="252"/>
      <c r="BRE386" s="252"/>
      <c r="BRF386" s="252"/>
      <c r="BRG386" s="252"/>
      <c r="BRH386" s="252"/>
      <c r="BRI386" s="252"/>
      <c r="BRJ386" s="252"/>
      <c r="BRK386" s="252"/>
      <c r="BRL386" s="252"/>
      <c r="BRM386" s="252"/>
      <c r="BRN386" s="252"/>
      <c r="BRO386" s="252"/>
      <c r="BRP386" s="252"/>
      <c r="BRQ386" s="252"/>
      <c r="BRR386" s="252"/>
      <c r="BRS386" s="252"/>
      <c r="BRT386" s="252"/>
      <c r="BRU386" s="252"/>
      <c r="BRV386" s="252"/>
      <c r="BRW386" s="252"/>
      <c r="BRX386" s="252"/>
      <c r="BRY386" s="252"/>
      <c r="BRZ386" s="252"/>
      <c r="BSA386" s="252"/>
      <c r="BSB386" s="252"/>
      <c r="BSC386" s="252"/>
      <c r="BSD386" s="252"/>
      <c r="BSE386" s="252"/>
      <c r="BSF386" s="252"/>
      <c r="BSG386" s="252"/>
      <c r="BSH386" s="252"/>
      <c r="BSI386" s="252"/>
      <c r="BSJ386" s="252"/>
      <c r="BSK386" s="252"/>
      <c r="BSL386" s="252"/>
      <c r="BSM386" s="252"/>
      <c r="BSN386" s="252"/>
      <c r="BSO386" s="252"/>
      <c r="BSP386" s="252"/>
      <c r="BSQ386" s="252"/>
      <c r="BSR386" s="252"/>
      <c r="BSS386" s="252"/>
      <c r="BST386" s="252"/>
      <c r="BSU386" s="252"/>
      <c r="BSV386" s="252"/>
      <c r="BSW386" s="252"/>
      <c r="BSX386" s="252"/>
      <c r="BSY386" s="252"/>
      <c r="BSZ386" s="252"/>
      <c r="BTA386" s="252"/>
      <c r="BTB386" s="252"/>
      <c r="BTC386" s="252"/>
      <c r="BTD386" s="252"/>
      <c r="BTE386" s="252"/>
      <c r="BTF386" s="252"/>
      <c r="BTG386" s="252"/>
      <c r="BTH386" s="252"/>
      <c r="BTI386" s="252"/>
      <c r="BTJ386" s="252"/>
      <c r="BTK386" s="252"/>
      <c r="BTL386" s="252"/>
      <c r="BTM386" s="252"/>
      <c r="BTN386" s="252"/>
      <c r="BTO386" s="252"/>
      <c r="BTP386" s="252"/>
      <c r="BTQ386" s="252"/>
      <c r="BTR386" s="252"/>
      <c r="BTS386" s="252"/>
      <c r="BTT386" s="252"/>
      <c r="BTU386" s="252"/>
      <c r="BTV386" s="252"/>
      <c r="BTW386" s="252"/>
      <c r="BTX386" s="252"/>
      <c r="BTY386" s="252"/>
      <c r="BTZ386" s="252"/>
      <c r="BUA386" s="252"/>
      <c r="BUB386" s="252"/>
      <c r="BUC386" s="252"/>
      <c r="BUD386" s="252"/>
      <c r="BUE386" s="252"/>
      <c r="BUF386" s="252"/>
      <c r="BUG386" s="252"/>
      <c r="BUH386" s="252"/>
      <c r="BUI386" s="252"/>
      <c r="BUJ386" s="252"/>
      <c r="BUK386" s="252"/>
      <c r="BUL386" s="252"/>
      <c r="BUM386" s="252"/>
      <c r="BUN386" s="252"/>
      <c r="BUO386" s="252"/>
      <c r="BUP386" s="252"/>
      <c r="BUQ386" s="252"/>
      <c r="BUR386" s="252"/>
      <c r="BUS386" s="252"/>
      <c r="BUT386" s="252"/>
      <c r="BUU386" s="252"/>
      <c r="BUV386" s="252"/>
      <c r="BUW386" s="252"/>
      <c r="BUX386" s="252"/>
      <c r="BUY386" s="252"/>
      <c r="BUZ386" s="252"/>
      <c r="BVA386" s="252"/>
      <c r="BVB386" s="252"/>
      <c r="BVC386" s="252"/>
      <c r="BVD386" s="252"/>
      <c r="BVE386" s="252"/>
      <c r="BVF386" s="252"/>
      <c r="BVG386" s="252"/>
      <c r="BVH386" s="252"/>
      <c r="BVI386" s="252"/>
      <c r="BVJ386" s="252"/>
      <c r="BVK386" s="252"/>
      <c r="BVL386" s="252"/>
      <c r="BVM386" s="252"/>
      <c r="BVN386" s="252"/>
      <c r="BVO386" s="252"/>
      <c r="BVP386" s="252"/>
      <c r="BVQ386" s="252"/>
      <c r="BVR386" s="252"/>
      <c r="BVS386" s="252"/>
      <c r="BVT386" s="252"/>
      <c r="BVU386" s="252"/>
      <c r="BVV386" s="252"/>
      <c r="BVW386" s="252"/>
      <c r="BVX386" s="252"/>
      <c r="BVY386" s="252"/>
      <c r="BVZ386" s="252"/>
      <c r="BWA386" s="252"/>
      <c r="BWB386" s="252"/>
      <c r="BWC386" s="252"/>
      <c r="BWD386" s="252"/>
      <c r="BWE386" s="252"/>
      <c r="BWF386" s="252"/>
      <c r="BWG386" s="252"/>
      <c r="BWH386" s="252"/>
      <c r="BWI386" s="252"/>
      <c r="BWJ386" s="252"/>
      <c r="BWK386" s="252"/>
      <c r="BWL386" s="252"/>
      <c r="BWM386" s="252"/>
      <c r="BWN386" s="252"/>
      <c r="BWO386" s="252"/>
      <c r="BWP386" s="252"/>
      <c r="BWQ386" s="252"/>
      <c r="BWR386" s="252"/>
      <c r="BWS386" s="252"/>
      <c r="BWT386" s="252"/>
      <c r="BWU386" s="252"/>
      <c r="BWV386" s="252"/>
      <c r="BWW386" s="252"/>
      <c r="BWX386" s="252"/>
      <c r="BWY386" s="252"/>
      <c r="BWZ386" s="252"/>
      <c r="BXA386" s="252"/>
      <c r="BXB386" s="252"/>
      <c r="BXC386" s="252"/>
      <c r="BXD386" s="252"/>
      <c r="BXE386" s="252"/>
      <c r="BXF386" s="252"/>
      <c r="BXG386" s="252"/>
      <c r="BXH386" s="252"/>
      <c r="BXI386" s="252"/>
      <c r="BXJ386" s="252"/>
      <c r="BXK386" s="252"/>
      <c r="BXL386" s="252"/>
      <c r="BXM386" s="252"/>
      <c r="BXN386" s="252"/>
      <c r="BXO386" s="252"/>
      <c r="BXP386" s="252"/>
      <c r="BXQ386" s="252"/>
      <c r="BXR386" s="252"/>
      <c r="BXS386" s="252"/>
      <c r="BXT386" s="252"/>
      <c r="BXU386" s="252"/>
      <c r="BXV386" s="252"/>
      <c r="BXW386" s="252"/>
      <c r="BXX386" s="252"/>
      <c r="BXY386" s="252"/>
      <c r="BXZ386" s="252"/>
      <c r="BYA386" s="252"/>
      <c r="BYB386" s="252"/>
      <c r="BYC386" s="252"/>
      <c r="BYD386" s="252"/>
      <c r="BYE386" s="252"/>
      <c r="BYF386" s="252"/>
      <c r="BYG386" s="252"/>
      <c r="BYH386" s="252"/>
      <c r="BYI386" s="252"/>
      <c r="BYJ386" s="252"/>
      <c r="BYK386" s="252"/>
      <c r="BYL386" s="252"/>
      <c r="BYM386" s="252"/>
      <c r="BYN386" s="252"/>
      <c r="BYO386" s="252"/>
      <c r="BYP386" s="252"/>
      <c r="BYQ386" s="252"/>
      <c r="BYR386" s="252"/>
      <c r="BYS386" s="252"/>
      <c r="BYT386" s="252"/>
      <c r="BYU386" s="252"/>
      <c r="BYV386" s="252"/>
      <c r="BYW386" s="252"/>
      <c r="BYX386" s="252"/>
      <c r="BYY386" s="252"/>
      <c r="BYZ386" s="252"/>
      <c r="BZA386" s="252"/>
      <c r="BZB386" s="252"/>
      <c r="BZC386" s="252"/>
      <c r="BZD386" s="252"/>
      <c r="BZE386" s="252"/>
      <c r="BZF386" s="252"/>
      <c r="BZG386" s="252"/>
      <c r="BZH386" s="252"/>
      <c r="BZI386" s="252"/>
      <c r="BZJ386" s="252"/>
      <c r="BZK386" s="252"/>
      <c r="BZL386" s="252"/>
      <c r="BZM386" s="252"/>
      <c r="BZN386" s="252"/>
      <c r="BZO386" s="252"/>
      <c r="BZP386" s="252"/>
      <c r="BZQ386" s="252"/>
      <c r="BZR386" s="252"/>
      <c r="BZS386" s="252"/>
      <c r="BZT386" s="252"/>
      <c r="BZU386" s="252"/>
      <c r="BZV386" s="252"/>
      <c r="BZW386" s="252"/>
      <c r="BZX386" s="252"/>
      <c r="BZY386" s="252"/>
      <c r="BZZ386" s="252"/>
      <c r="CAA386" s="252"/>
      <c r="CAB386" s="252"/>
      <c r="CAC386" s="252"/>
      <c r="CAD386" s="252"/>
      <c r="CAE386" s="252"/>
      <c r="CAF386" s="252"/>
      <c r="CAG386" s="252"/>
      <c r="CAH386" s="252"/>
      <c r="CAI386" s="252"/>
      <c r="CAJ386" s="252"/>
      <c r="CAK386" s="252"/>
      <c r="CAL386" s="252"/>
      <c r="CAM386" s="252"/>
      <c r="CAN386" s="252"/>
      <c r="CAO386" s="252"/>
      <c r="CAP386" s="252"/>
      <c r="CAQ386" s="252"/>
      <c r="CAR386" s="252"/>
      <c r="CAS386" s="252"/>
      <c r="CAT386" s="252"/>
      <c r="CAU386" s="252"/>
      <c r="CAV386" s="252"/>
      <c r="CAW386" s="252"/>
      <c r="CAX386" s="252"/>
      <c r="CAY386" s="252"/>
      <c r="CAZ386" s="252"/>
      <c r="CBA386" s="252"/>
      <c r="CBB386" s="252"/>
      <c r="CBC386" s="252"/>
      <c r="CBD386" s="252"/>
      <c r="CBE386" s="252"/>
      <c r="CBF386" s="252"/>
      <c r="CBG386" s="252"/>
      <c r="CBH386" s="252"/>
      <c r="CBI386" s="252"/>
      <c r="CBJ386" s="252"/>
      <c r="CBK386" s="252"/>
      <c r="CBL386" s="252"/>
      <c r="CBM386" s="252"/>
      <c r="CBN386" s="252"/>
      <c r="CBO386" s="252"/>
      <c r="CBP386" s="252"/>
      <c r="CBQ386" s="252"/>
      <c r="CBR386" s="252"/>
      <c r="CBS386" s="252"/>
      <c r="CBT386" s="252"/>
      <c r="CBU386" s="252"/>
      <c r="CBV386" s="252"/>
      <c r="CBW386" s="252"/>
      <c r="CBX386" s="252"/>
      <c r="CBY386" s="252"/>
      <c r="CBZ386" s="252"/>
      <c r="CCA386" s="252"/>
      <c r="CCB386" s="252"/>
      <c r="CCC386" s="252"/>
      <c r="CCD386" s="252"/>
      <c r="CCE386" s="252"/>
      <c r="CCF386" s="252"/>
      <c r="CCG386" s="252"/>
      <c r="CCH386" s="252"/>
      <c r="CCI386" s="252"/>
      <c r="CCJ386" s="252"/>
      <c r="CCK386" s="252"/>
      <c r="CCL386" s="252"/>
      <c r="CCM386" s="252"/>
      <c r="CCN386" s="252"/>
      <c r="CCO386" s="252"/>
      <c r="CCP386" s="252"/>
      <c r="CCQ386" s="252"/>
      <c r="CCR386" s="252"/>
      <c r="CCS386" s="252"/>
      <c r="CCT386" s="252"/>
      <c r="CCU386" s="252"/>
      <c r="CCV386" s="252"/>
      <c r="CCW386" s="252"/>
      <c r="CCX386" s="252"/>
      <c r="CCY386" s="252"/>
      <c r="CCZ386" s="252"/>
      <c r="CDA386" s="252"/>
      <c r="CDB386" s="252"/>
      <c r="CDC386" s="252"/>
      <c r="CDD386" s="252"/>
      <c r="CDE386" s="252"/>
      <c r="CDF386" s="252"/>
      <c r="CDG386" s="252"/>
      <c r="CDH386" s="252"/>
      <c r="CDI386" s="252"/>
      <c r="CDJ386" s="252"/>
      <c r="CDK386" s="252"/>
      <c r="CDL386" s="252"/>
      <c r="CDM386" s="252"/>
      <c r="CDN386" s="252"/>
      <c r="CDO386" s="252"/>
      <c r="CDP386" s="252"/>
      <c r="CDQ386" s="252"/>
      <c r="CDR386" s="252"/>
      <c r="CDS386" s="252"/>
      <c r="CDT386" s="252"/>
      <c r="CDU386" s="252"/>
      <c r="CDV386" s="252"/>
      <c r="CDW386" s="252"/>
      <c r="CDX386" s="252"/>
      <c r="CDY386" s="252"/>
      <c r="CDZ386" s="252"/>
      <c r="CEA386" s="252"/>
      <c r="CEB386" s="252"/>
      <c r="CEC386" s="252"/>
      <c r="CED386" s="252"/>
      <c r="CEE386" s="252"/>
      <c r="CEF386" s="252"/>
      <c r="CEG386" s="252"/>
      <c r="CEH386" s="252"/>
      <c r="CEI386" s="252"/>
      <c r="CEJ386" s="252"/>
      <c r="CEK386" s="252"/>
      <c r="CEL386" s="252"/>
      <c r="CEM386" s="252"/>
      <c r="CEN386" s="252"/>
      <c r="CEO386" s="252"/>
      <c r="CEP386" s="252"/>
      <c r="CEQ386" s="252"/>
      <c r="CER386" s="252"/>
      <c r="CES386" s="252"/>
      <c r="CET386" s="252"/>
      <c r="CEU386" s="252"/>
      <c r="CEV386" s="252"/>
      <c r="CEW386" s="252"/>
      <c r="CEX386" s="252"/>
      <c r="CEY386" s="252"/>
      <c r="CEZ386" s="252"/>
      <c r="CFA386" s="252"/>
      <c r="CFB386" s="252"/>
      <c r="CFC386" s="252"/>
      <c r="CFD386" s="252"/>
      <c r="CFE386" s="252"/>
      <c r="CFF386" s="252"/>
      <c r="CFG386" s="252"/>
      <c r="CFH386" s="252"/>
      <c r="CFI386" s="252"/>
      <c r="CFJ386" s="252"/>
      <c r="CFK386" s="252"/>
      <c r="CFL386" s="252"/>
      <c r="CFM386" s="252"/>
      <c r="CFN386" s="252"/>
      <c r="CFO386" s="252"/>
      <c r="CFP386" s="252"/>
      <c r="CFQ386" s="252"/>
      <c r="CFR386" s="252"/>
      <c r="CFS386" s="252"/>
      <c r="CFT386" s="252"/>
      <c r="CFU386" s="252"/>
      <c r="CFV386" s="252"/>
      <c r="CFW386" s="252"/>
      <c r="CFX386" s="252"/>
      <c r="CFY386" s="252"/>
      <c r="CFZ386" s="252"/>
      <c r="CGA386" s="252"/>
      <c r="CGB386" s="252"/>
      <c r="CGC386" s="252"/>
      <c r="CGD386" s="252"/>
      <c r="CGE386" s="252"/>
      <c r="CGF386" s="252"/>
      <c r="CGG386" s="252"/>
      <c r="CGH386" s="252"/>
      <c r="CGI386" s="252"/>
      <c r="CGJ386" s="252"/>
      <c r="CGK386" s="252"/>
      <c r="CGL386" s="252"/>
      <c r="CGM386" s="252"/>
      <c r="CGN386" s="252"/>
      <c r="CGO386" s="252"/>
      <c r="CGP386" s="252"/>
      <c r="CGQ386" s="252"/>
      <c r="CGR386" s="252"/>
      <c r="CGS386" s="252"/>
      <c r="CGT386" s="252"/>
      <c r="CGU386" s="252"/>
      <c r="CGV386" s="252"/>
      <c r="CGW386" s="252"/>
      <c r="CGX386" s="252"/>
      <c r="CGY386" s="252"/>
      <c r="CGZ386" s="252"/>
      <c r="CHA386" s="252"/>
      <c r="CHB386" s="252"/>
      <c r="CHC386" s="252"/>
      <c r="CHD386" s="252"/>
      <c r="CHE386" s="252"/>
      <c r="CHF386" s="252"/>
      <c r="CHG386" s="252"/>
      <c r="CHH386" s="252"/>
      <c r="CHI386" s="252"/>
      <c r="CHJ386" s="252"/>
      <c r="CHK386" s="252"/>
      <c r="CHL386" s="252"/>
      <c r="CHM386" s="252"/>
      <c r="CHN386" s="252"/>
      <c r="CHO386" s="252"/>
      <c r="CHP386" s="252"/>
      <c r="CHQ386" s="252"/>
      <c r="CHR386" s="252"/>
      <c r="CHS386" s="252"/>
      <c r="CHT386" s="252"/>
      <c r="CHU386" s="252"/>
      <c r="CHV386" s="252"/>
      <c r="CHW386" s="252"/>
      <c r="CHX386" s="252"/>
      <c r="CHY386" s="252"/>
      <c r="CHZ386" s="252"/>
      <c r="CIA386" s="252"/>
      <c r="CIB386" s="252"/>
      <c r="CIC386" s="252"/>
      <c r="CID386" s="252"/>
      <c r="CIE386" s="252"/>
      <c r="CIF386" s="252"/>
      <c r="CIG386" s="252"/>
      <c r="CIH386" s="252"/>
      <c r="CII386" s="252"/>
      <c r="CIJ386" s="252"/>
      <c r="CIK386" s="252"/>
      <c r="CIL386" s="252"/>
      <c r="CIM386" s="252"/>
      <c r="CIN386" s="252"/>
      <c r="CIO386" s="252"/>
      <c r="CIP386" s="252"/>
      <c r="CIQ386" s="252"/>
      <c r="CIR386" s="252"/>
      <c r="CIS386" s="252"/>
      <c r="CIT386" s="252"/>
      <c r="CIU386" s="252"/>
      <c r="CIV386" s="252"/>
      <c r="CIW386" s="252"/>
      <c r="CIX386" s="252"/>
      <c r="CIY386" s="252"/>
      <c r="CIZ386" s="252"/>
      <c r="CJA386" s="252"/>
      <c r="CJB386" s="252"/>
      <c r="CJC386" s="252"/>
      <c r="CJD386" s="252"/>
      <c r="CJE386" s="252"/>
      <c r="CJF386" s="252"/>
      <c r="CJG386" s="252"/>
      <c r="CJH386" s="252"/>
      <c r="CJI386" s="252"/>
      <c r="CJJ386" s="252"/>
      <c r="CJK386" s="252"/>
      <c r="CJL386" s="252"/>
      <c r="CJM386" s="252"/>
      <c r="CJN386" s="252"/>
      <c r="CJO386" s="252"/>
      <c r="CJP386" s="252"/>
      <c r="CJQ386" s="252"/>
      <c r="CJR386" s="252"/>
      <c r="CJS386" s="252"/>
      <c r="CJT386" s="252"/>
      <c r="CJU386" s="252"/>
      <c r="CJV386" s="252"/>
      <c r="CJW386" s="252"/>
      <c r="CJX386" s="252"/>
      <c r="CJY386" s="252"/>
      <c r="CJZ386" s="252"/>
      <c r="CKA386" s="252"/>
      <c r="CKB386" s="252"/>
      <c r="CKC386" s="252"/>
      <c r="CKD386" s="252"/>
      <c r="CKE386" s="252"/>
      <c r="CKF386" s="252"/>
      <c r="CKG386" s="252"/>
      <c r="CKH386" s="252"/>
      <c r="CKI386" s="252"/>
      <c r="CKJ386" s="252"/>
      <c r="CKK386" s="252"/>
      <c r="CKL386" s="252"/>
      <c r="CKM386" s="252"/>
      <c r="CKN386" s="252"/>
      <c r="CKO386" s="252"/>
      <c r="CKP386" s="252"/>
      <c r="CKQ386" s="252"/>
      <c r="CKR386" s="252"/>
      <c r="CKS386" s="252"/>
      <c r="CKT386" s="252"/>
      <c r="CKU386" s="252"/>
      <c r="CKV386" s="252"/>
      <c r="CKW386" s="252"/>
      <c r="CKX386" s="252"/>
      <c r="CKY386" s="252"/>
      <c r="CKZ386" s="252"/>
      <c r="CLA386" s="252"/>
      <c r="CLB386" s="252"/>
      <c r="CLC386" s="252"/>
      <c r="CLD386" s="252"/>
      <c r="CLE386" s="252"/>
      <c r="CLF386" s="252"/>
      <c r="CLG386" s="252"/>
      <c r="CLH386" s="252"/>
      <c r="CLI386" s="252"/>
      <c r="CLJ386" s="252"/>
      <c r="CLK386" s="252"/>
      <c r="CLL386" s="252"/>
      <c r="CLM386" s="252"/>
      <c r="CLN386" s="252"/>
      <c r="CLO386" s="252"/>
      <c r="CLP386" s="252"/>
      <c r="CLQ386" s="252"/>
      <c r="CLR386" s="252"/>
      <c r="CLS386" s="252"/>
      <c r="CLT386" s="252"/>
      <c r="CLU386" s="252"/>
      <c r="CLV386" s="252"/>
      <c r="CLW386" s="252"/>
      <c r="CLX386" s="252"/>
      <c r="CLY386" s="252"/>
      <c r="CLZ386" s="252"/>
      <c r="CMA386" s="252"/>
      <c r="CMB386" s="252"/>
      <c r="CMC386" s="252"/>
      <c r="CMD386" s="252"/>
      <c r="CME386" s="252"/>
      <c r="CMF386" s="252"/>
      <c r="CMG386" s="252"/>
      <c r="CMH386" s="252"/>
      <c r="CMI386" s="252"/>
      <c r="CMJ386" s="252"/>
      <c r="CMK386" s="252"/>
      <c r="CML386" s="252"/>
      <c r="CMM386" s="252"/>
      <c r="CMN386" s="252"/>
      <c r="CMO386" s="252"/>
      <c r="CMP386" s="252"/>
      <c r="CMQ386" s="252"/>
      <c r="CMR386" s="252"/>
      <c r="CMS386" s="252"/>
      <c r="CMT386" s="252"/>
      <c r="CMU386" s="252"/>
      <c r="CMV386" s="252"/>
      <c r="CMW386" s="252"/>
      <c r="CMX386" s="252"/>
      <c r="CMY386" s="252"/>
      <c r="CMZ386" s="252"/>
      <c r="CNA386" s="252"/>
      <c r="CNB386" s="252"/>
      <c r="CNC386" s="252"/>
      <c r="CND386" s="252"/>
      <c r="CNE386" s="252"/>
      <c r="CNF386" s="252"/>
      <c r="CNG386" s="252"/>
      <c r="CNH386" s="252"/>
      <c r="CNI386" s="252"/>
      <c r="CNJ386" s="252"/>
      <c r="CNK386" s="252"/>
      <c r="CNL386" s="252"/>
      <c r="CNM386" s="252"/>
      <c r="CNN386" s="252"/>
      <c r="CNO386" s="252"/>
      <c r="CNP386" s="252"/>
      <c r="CNQ386" s="252"/>
      <c r="CNR386" s="252"/>
      <c r="CNS386" s="252"/>
      <c r="CNT386" s="252"/>
      <c r="CNU386" s="252"/>
      <c r="CNV386" s="252"/>
      <c r="CNW386" s="252"/>
      <c r="CNX386" s="252"/>
      <c r="CNY386" s="252"/>
      <c r="CNZ386" s="252"/>
      <c r="COA386" s="252"/>
      <c r="COB386" s="252"/>
      <c r="COC386" s="252"/>
      <c r="COD386" s="252"/>
      <c r="COE386" s="252"/>
      <c r="COF386" s="252"/>
      <c r="COG386" s="252"/>
      <c r="COH386" s="252"/>
      <c r="COI386" s="252"/>
      <c r="COJ386" s="252"/>
      <c r="COK386" s="252"/>
      <c r="COL386" s="252"/>
      <c r="COM386" s="252"/>
      <c r="CON386" s="252"/>
      <c r="COO386" s="252"/>
      <c r="COP386" s="252"/>
      <c r="COQ386" s="252"/>
      <c r="COR386" s="252"/>
      <c r="COS386" s="252"/>
      <c r="COT386" s="252"/>
      <c r="COU386" s="252"/>
      <c r="COV386" s="252"/>
      <c r="COW386" s="252"/>
      <c r="COX386" s="252"/>
      <c r="COY386" s="252"/>
      <c r="COZ386" s="252"/>
      <c r="CPA386" s="252"/>
      <c r="CPB386" s="252"/>
      <c r="CPC386" s="252"/>
      <c r="CPD386" s="252"/>
      <c r="CPE386" s="252"/>
      <c r="CPF386" s="252"/>
      <c r="CPG386" s="252"/>
      <c r="CPH386" s="252"/>
      <c r="CPI386" s="252"/>
      <c r="CPJ386" s="252"/>
      <c r="CPK386" s="252"/>
      <c r="CPL386" s="252"/>
      <c r="CPM386" s="252"/>
      <c r="CPN386" s="252"/>
      <c r="CPO386" s="252"/>
      <c r="CPP386" s="252"/>
      <c r="CPQ386" s="252"/>
      <c r="CPR386" s="252"/>
      <c r="CPS386" s="252"/>
      <c r="CPT386" s="252"/>
      <c r="CPU386" s="252"/>
      <c r="CPV386" s="252"/>
      <c r="CPW386" s="252"/>
      <c r="CPX386" s="252"/>
      <c r="CPY386" s="252"/>
      <c r="CPZ386" s="252"/>
      <c r="CQA386" s="252"/>
      <c r="CQB386" s="252"/>
      <c r="CQC386" s="252"/>
      <c r="CQD386" s="252"/>
      <c r="CQE386" s="252"/>
      <c r="CQF386" s="252"/>
      <c r="CQG386" s="252"/>
      <c r="CQH386" s="252"/>
      <c r="CQI386" s="252"/>
      <c r="CQJ386" s="252"/>
      <c r="CQK386" s="252"/>
      <c r="CQL386" s="252"/>
      <c r="CQM386" s="252"/>
      <c r="CQN386" s="252"/>
      <c r="CQO386" s="252"/>
      <c r="CQP386" s="252"/>
      <c r="CQQ386" s="252"/>
      <c r="CQR386" s="252"/>
      <c r="CQS386" s="252"/>
      <c r="CQT386" s="252"/>
      <c r="CQU386" s="252"/>
      <c r="CQV386" s="252"/>
      <c r="CQW386" s="252"/>
      <c r="CQX386" s="252"/>
      <c r="CQY386" s="252"/>
      <c r="CQZ386" s="252"/>
      <c r="CRA386" s="252"/>
      <c r="CRB386" s="252"/>
      <c r="CRC386" s="252"/>
      <c r="CRD386" s="252"/>
      <c r="CRE386" s="252"/>
      <c r="CRF386" s="252"/>
      <c r="CRG386" s="252"/>
      <c r="CRH386" s="252"/>
      <c r="CRI386" s="252"/>
      <c r="CRJ386" s="252"/>
      <c r="CRK386" s="252"/>
      <c r="CRL386" s="252"/>
      <c r="CRM386" s="252"/>
      <c r="CRN386" s="252"/>
      <c r="CRO386" s="252"/>
      <c r="CRP386" s="252"/>
      <c r="CRQ386" s="252"/>
      <c r="CRR386" s="252"/>
      <c r="CRS386" s="252"/>
      <c r="CRT386" s="252"/>
      <c r="CRU386" s="252"/>
      <c r="CRV386" s="252"/>
      <c r="CRW386" s="252"/>
      <c r="CRX386" s="252"/>
      <c r="CRY386" s="252"/>
      <c r="CRZ386" s="252"/>
      <c r="CSA386" s="252"/>
      <c r="CSB386" s="252"/>
      <c r="CSC386" s="252"/>
      <c r="CSD386" s="252"/>
      <c r="CSE386" s="252"/>
      <c r="CSF386" s="252"/>
      <c r="CSG386" s="252"/>
      <c r="CSH386" s="252"/>
      <c r="CSI386" s="252"/>
      <c r="CSJ386" s="252"/>
      <c r="CSK386" s="252"/>
      <c r="CSL386" s="252"/>
      <c r="CSM386" s="252"/>
      <c r="CSN386" s="252"/>
      <c r="CSO386" s="252"/>
      <c r="CSP386" s="252"/>
      <c r="CSQ386" s="252"/>
      <c r="CSR386" s="252"/>
      <c r="CSS386" s="252"/>
      <c r="CST386" s="252"/>
      <c r="CSU386" s="252"/>
      <c r="CSV386" s="252"/>
      <c r="CSW386" s="252"/>
      <c r="CSX386" s="252"/>
      <c r="CSY386" s="252"/>
      <c r="CSZ386" s="252"/>
      <c r="CTA386" s="252"/>
      <c r="CTB386" s="252"/>
      <c r="CTC386" s="252"/>
      <c r="CTD386" s="252"/>
      <c r="CTE386" s="252"/>
      <c r="CTF386" s="252"/>
      <c r="CTG386" s="252"/>
      <c r="CTH386" s="252"/>
      <c r="CTI386" s="252"/>
      <c r="CTJ386" s="252"/>
      <c r="CTK386" s="252"/>
      <c r="CTL386" s="252"/>
      <c r="CTM386" s="252"/>
      <c r="CTN386" s="252"/>
      <c r="CTO386" s="252"/>
      <c r="CTP386" s="252"/>
      <c r="CTQ386" s="252"/>
      <c r="CTR386" s="252"/>
      <c r="CTS386" s="252"/>
      <c r="CTT386" s="252"/>
      <c r="CTU386" s="252"/>
      <c r="CTV386" s="252"/>
      <c r="CTW386" s="252"/>
      <c r="CTX386" s="252"/>
      <c r="CTY386" s="252"/>
      <c r="CTZ386" s="252"/>
      <c r="CUA386" s="252"/>
      <c r="CUB386" s="252"/>
      <c r="CUC386" s="252"/>
      <c r="CUD386" s="252"/>
      <c r="CUE386" s="252"/>
      <c r="CUF386" s="252"/>
      <c r="CUG386" s="252"/>
      <c r="CUH386" s="252"/>
      <c r="CUI386" s="252"/>
      <c r="CUJ386" s="252"/>
      <c r="CUK386" s="252"/>
      <c r="CUL386" s="252"/>
      <c r="CUM386" s="252"/>
      <c r="CUN386" s="252"/>
      <c r="CUO386" s="252"/>
      <c r="CUP386" s="252"/>
      <c r="CUQ386" s="252"/>
      <c r="CUR386" s="252"/>
      <c r="CUS386" s="252"/>
      <c r="CUT386" s="252"/>
      <c r="CUU386" s="252"/>
      <c r="CUV386" s="252"/>
      <c r="CUW386" s="252"/>
      <c r="CUX386" s="252"/>
      <c r="CUY386" s="252"/>
      <c r="CUZ386" s="252"/>
      <c r="CVA386" s="252"/>
      <c r="CVB386" s="252"/>
      <c r="CVC386" s="252"/>
      <c r="CVD386" s="252"/>
      <c r="CVE386" s="252"/>
      <c r="CVF386" s="252"/>
      <c r="CVG386" s="252"/>
      <c r="CVH386" s="252"/>
      <c r="CVI386" s="252"/>
      <c r="CVJ386" s="252"/>
      <c r="CVK386" s="252"/>
      <c r="CVL386" s="252"/>
      <c r="CVM386" s="252"/>
      <c r="CVN386" s="252"/>
      <c r="CVO386" s="252"/>
      <c r="CVP386" s="252"/>
      <c r="CVQ386" s="252"/>
      <c r="CVR386" s="252"/>
      <c r="CVS386" s="252"/>
      <c r="CVT386" s="252"/>
      <c r="CVU386" s="252"/>
      <c r="CVV386" s="252"/>
      <c r="CVW386" s="252"/>
      <c r="CVX386" s="252"/>
      <c r="CVY386" s="252"/>
      <c r="CVZ386" s="252"/>
      <c r="CWA386" s="252"/>
      <c r="CWB386" s="252"/>
      <c r="CWC386" s="252"/>
      <c r="CWD386" s="252"/>
      <c r="CWE386" s="252"/>
      <c r="CWF386" s="252"/>
      <c r="CWG386" s="252"/>
      <c r="CWH386" s="252"/>
      <c r="CWI386" s="252"/>
      <c r="CWJ386" s="252"/>
      <c r="CWK386" s="252"/>
      <c r="CWL386" s="252"/>
      <c r="CWM386" s="252"/>
      <c r="CWN386" s="252"/>
      <c r="CWO386" s="252"/>
      <c r="CWP386" s="252"/>
      <c r="CWQ386" s="252"/>
      <c r="CWR386" s="252"/>
      <c r="CWS386" s="252"/>
      <c r="CWT386" s="252"/>
      <c r="CWU386" s="252"/>
      <c r="CWV386" s="252"/>
      <c r="CWW386" s="252"/>
      <c r="CWX386" s="252"/>
      <c r="CWY386" s="252"/>
      <c r="CWZ386" s="252"/>
      <c r="CXA386" s="252"/>
      <c r="CXB386" s="252"/>
      <c r="CXC386" s="252"/>
      <c r="CXD386" s="252"/>
      <c r="CXE386" s="252"/>
      <c r="CXF386" s="252"/>
      <c r="CXG386" s="252"/>
      <c r="CXH386" s="252"/>
      <c r="CXI386" s="252"/>
      <c r="CXJ386" s="252"/>
      <c r="CXK386" s="252"/>
      <c r="CXL386" s="252"/>
      <c r="CXM386" s="252"/>
      <c r="CXN386" s="252"/>
      <c r="CXO386" s="252"/>
      <c r="CXP386" s="252"/>
      <c r="CXQ386" s="252"/>
      <c r="CXR386" s="252"/>
      <c r="CXS386" s="252"/>
      <c r="CXT386" s="252"/>
      <c r="CXU386" s="252"/>
      <c r="CXV386" s="252"/>
      <c r="CXW386" s="252"/>
      <c r="CXX386" s="252"/>
      <c r="CXY386" s="252"/>
      <c r="CXZ386" s="252"/>
      <c r="CYA386" s="252"/>
      <c r="CYB386" s="252"/>
      <c r="CYC386" s="252"/>
      <c r="CYD386" s="252"/>
      <c r="CYE386" s="252"/>
      <c r="CYF386" s="252"/>
      <c r="CYG386" s="252"/>
      <c r="CYH386" s="252"/>
      <c r="CYI386" s="252"/>
      <c r="CYJ386" s="252"/>
      <c r="CYK386" s="252"/>
      <c r="CYL386" s="252"/>
      <c r="CYM386" s="252"/>
      <c r="CYN386" s="252"/>
      <c r="CYO386" s="252"/>
      <c r="CYP386" s="252"/>
      <c r="CYQ386" s="252"/>
      <c r="CYR386" s="252"/>
      <c r="CYS386" s="252"/>
      <c r="CYT386" s="252"/>
      <c r="CYU386" s="252"/>
      <c r="CYV386" s="252"/>
      <c r="CYW386" s="252"/>
      <c r="CYX386" s="252"/>
      <c r="CYY386" s="252"/>
      <c r="CYZ386" s="252"/>
      <c r="CZA386" s="252"/>
      <c r="CZB386" s="252"/>
      <c r="CZC386" s="252"/>
      <c r="CZD386" s="252"/>
      <c r="CZE386" s="252"/>
      <c r="CZF386" s="252"/>
      <c r="CZG386" s="252"/>
      <c r="CZH386" s="252"/>
      <c r="CZI386" s="252"/>
      <c r="CZJ386" s="252"/>
      <c r="CZK386" s="252"/>
      <c r="CZL386" s="252"/>
      <c r="CZM386" s="252"/>
      <c r="CZN386" s="252"/>
      <c r="CZO386" s="252"/>
      <c r="CZP386" s="252"/>
      <c r="CZQ386" s="252"/>
      <c r="CZR386" s="252"/>
      <c r="CZS386" s="252"/>
      <c r="CZT386" s="252"/>
      <c r="CZU386" s="252"/>
      <c r="CZV386" s="252"/>
      <c r="CZW386" s="252"/>
      <c r="CZX386" s="252"/>
      <c r="CZY386" s="252"/>
      <c r="CZZ386" s="252"/>
      <c r="DAA386" s="252"/>
      <c r="DAB386" s="252"/>
      <c r="DAC386" s="252"/>
      <c r="DAD386" s="252"/>
      <c r="DAE386" s="252"/>
      <c r="DAF386" s="252"/>
      <c r="DAG386" s="252"/>
      <c r="DAH386" s="252"/>
      <c r="DAI386" s="252"/>
      <c r="DAJ386" s="252"/>
      <c r="DAK386" s="252"/>
      <c r="DAL386" s="252"/>
      <c r="DAM386" s="252"/>
      <c r="DAN386" s="252"/>
      <c r="DAO386" s="252"/>
      <c r="DAP386" s="252"/>
      <c r="DAQ386" s="252"/>
      <c r="DAR386" s="252"/>
      <c r="DAS386" s="252"/>
      <c r="DAT386" s="252"/>
      <c r="DAU386" s="252"/>
      <c r="DAV386" s="252"/>
      <c r="DAW386" s="252"/>
      <c r="DAX386" s="252"/>
      <c r="DAY386" s="252"/>
      <c r="DAZ386" s="252"/>
      <c r="DBA386" s="252"/>
      <c r="DBB386" s="252"/>
      <c r="DBC386" s="252"/>
      <c r="DBD386" s="252"/>
      <c r="DBE386" s="252"/>
      <c r="DBF386" s="252"/>
      <c r="DBG386" s="252"/>
      <c r="DBH386" s="252"/>
      <c r="DBI386" s="252"/>
      <c r="DBJ386" s="252"/>
      <c r="DBK386" s="252"/>
      <c r="DBL386" s="252"/>
      <c r="DBM386" s="252"/>
      <c r="DBN386" s="252"/>
      <c r="DBO386" s="252"/>
      <c r="DBP386" s="252"/>
      <c r="DBQ386" s="252"/>
      <c r="DBR386" s="252"/>
      <c r="DBS386" s="252"/>
      <c r="DBT386" s="252"/>
      <c r="DBU386" s="252"/>
      <c r="DBV386" s="252"/>
      <c r="DBW386" s="252"/>
      <c r="DBX386" s="252"/>
      <c r="DBY386" s="252"/>
      <c r="DBZ386" s="252"/>
      <c r="DCA386" s="252"/>
      <c r="DCB386" s="252"/>
      <c r="DCC386" s="252"/>
      <c r="DCD386" s="252"/>
      <c r="DCE386" s="252"/>
      <c r="DCF386" s="252"/>
      <c r="DCG386" s="252"/>
      <c r="DCH386" s="252"/>
      <c r="DCI386" s="252"/>
      <c r="DCJ386" s="252"/>
      <c r="DCK386" s="252"/>
      <c r="DCL386" s="252"/>
      <c r="DCM386" s="252"/>
      <c r="DCN386" s="252"/>
      <c r="DCO386" s="252"/>
      <c r="DCP386" s="252"/>
      <c r="DCQ386" s="252"/>
      <c r="DCR386" s="252"/>
      <c r="DCS386" s="252"/>
      <c r="DCT386" s="252"/>
      <c r="DCU386" s="252"/>
      <c r="DCV386" s="252"/>
      <c r="DCW386" s="252"/>
      <c r="DCX386" s="252"/>
      <c r="DCY386" s="252"/>
      <c r="DCZ386" s="252"/>
      <c r="DDA386" s="252"/>
      <c r="DDB386" s="252"/>
      <c r="DDC386" s="252"/>
      <c r="DDD386" s="252"/>
      <c r="DDE386" s="252"/>
      <c r="DDF386" s="252"/>
      <c r="DDG386" s="252"/>
      <c r="DDH386" s="252"/>
      <c r="DDI386" s="252"/>
      <c r="DDJ386" s="252"/>
      <c r="DDK386" s="252"/>
      <c r="DDL386" s="252"/>
      <c r="DDM386" s="252"/>
      <c r="DDN386" s="252"/>
      <c r="DDO386" s="252"/>
      <c r="DDP386" s="252"/>
      <c r="DDQ386" s="252"/>
      <c r="DDR386" s="252"/>
      <c r="DDS386" s="252"/>
      <c r="DDT386" s="252"/>
      <c r="DDU386" s="252"/>
      <c r="DDV386" s="252"/>
      <c r="DDW386" s="252"/>
      <c r="DDX386" s="252"/>
      <c r="DDY386" s="252"/>
      <c r="DDZ386" s="252"/>
      <c r="DEA386" s="252"/>
      <c r="DEB386" s="252"/>
      <c r="DEC386" s="252"/>
      <c r="DED386" s="252"/>
      <c r="DEE386" s="252"/>
      <c r="DEF386" s="252"/>
      <c r="DEG386" s="252"/>
      <c r="DEH386" s="252"/>
      <c r="DEI386" s="252"/>
      <c r="DEJ386" s="252"/>
      <c r="DEK386" s="252"/>
      <c r="DEL386" s="252"/>
      <c r="DEM386" s="252"/>
      <c r="DEN386" s="252"/>
      <c r="DEO386" s="252"/>
      <c r="DEP386" s="252"/>
      <c r="DEQ386" s="252"/>
      <c r="DER386" s="252"/>
      <c r="DES386" s="252"/>
      <c r="DET386" s="252"/>
      <c r="DEU386" s="252"/>
      <c r="DEV386" s="252"/>
      <c r="DEW386" s="252"/>
      <c r="DEX386" s="252"/>
      <c r="DEY386" s="252"/>
      <c r="DEZ386" s="252"/>
      <c r="DFA386" s="252"/>
      <c r="DFB386" s="252"/>
      <c r="DFC386" s="252"/>
      <c r="DFD386" s="252"/>
      <c r="DFE386" s="252"/>
      <c r="DFF386" s="252"/>
      <c r="DFG386" s="252"/>
      <c r="DFH386" s="252"/>
      <c r="DFI386" s="252"/>
      <c r="DFJ386" s="252"/>
      <c r="DFK386" s="252"/>
      <c r="DFL386" s="252"/>
      <c r="DFM386" s="252"/>
      <c r="DFN386" s="252"/>
      <c r="DFO386" s="252"/>
      <c r="DFP386" s="252"/>
      <c r="DFQ386" s="252"/>
      <c r="DFR386" s="252"/>
      <c r="DFS386" s="252"/>
      <c r="DFT386" s="252"/>
      <c r="DFU386" s="252"/>
      <c r="DFV386" s="252"/>
      <c r="DFW386" s="252"/>
      <c r="DFX386" s="252"/>
      <c r="DFY386" s="252"/>
      <c r="DFZ386" s="252"/>
      <c r="DGA386" s="252"/>
      <c r="DGB386" s="252"/>
      <c r="DGC386" s="252"/>
      <c r="DGD386" s="252"/>
      <c r="DGE386" s="252"/>
      <c r="DGF386" s="252"/>
      <c r="DGG386" s="252"/>
      <c r="DGH386" s="252"/>
      <c r="DGI386" s="252"/>
      <c r="DGJ386" s="252"/>
      <c r="DGK386" s="252"/>
      <c r="DGL386" s="252"/>
      <c r="DGM386" s="252"/>
      <c r="DGN386" s="252"/>
      <c r="DGO386" s="252"/>
      <c r="DGP386" s="252"/>
      <c r="DGQ386" s="252"/>
      <c r="DGR386" s="252"/>
      <c r="DGS386" s="252"/>
      <c r="DGT386" s="252"/>
      <c r="DGU386" s="252"/>
      <c r="DGV386" s="252"/>
      <c r="DGW386" s="252"/>
      <c r="DGX386" s="252"/>
      <c r="DGY386" s="252"/>
      <c r="DGZ386" s="252"/>
      <c r="DHA386" s="252"/>
      <c r="DHB386" s="252"/>
      <c r="DHC386" s="252"/>
      <c r="DHD386" s="252"/>
      <c r="DHE386" s="252"/>
      <c r="DHF386" s="252"/>
      <c r="DHG386" s="252"/>
      <c r="DHH386" s="252"/>
      <c r="DHI386" s="252"/>
      <c r="DHJ386" s="252"/>
      <c r="DHK386" s="252"/>
      <c r="DHL386" s="252"/>
      <c r="DHM386" s="252"/>
      <c r="DHN386" s="252"/>
      <c r="DHO386" s="252"/>
      <c r="DHP386" s="252"/>
      <c r="DHQ386" s="252"/>
      <c r="DHR386" s="252"/>
      <c r="DHS386" s="252"/>
      <c r="DHT386" s="252"/>
      <c r="DHU386" s="252"/>
      <c r="DHV386" s="252"/>
      <c r="DHW386" s="252"/>
      <c r="DHX386" s="252"/>
      <c r="DHY386" s="252"/>
      <c r="DHZ386" s="252"/>
      <c r="DIA386" s="252"/>
      <c r="DIB386" s="252"/>
      <c r="DIC386" s="252"/>
      <c r="DID386" s="252"/>
      <c r="DIE386" s="252"/>
      <c r="DIF386" s="252"/>
      <c r="DIG386" s="252"/>
      <c r="DIH386" s="252"/>
      <c r="DII386" s="252"/>
      <c r="DIJ386" s="252"/>
      <c r="DIK386" s="252"/>
      <c r="DIL386" s="252"/>
      <c r="DIM386" s="252"/>
      <c r="DIN386" s="252"/>
      <c r="DIO386" s="252"/>
      <c r="DIP386" s="252"/>
      <c r="DIQ386" s="252"/>
      <c r="DIR386" s="252"/>
      <c r="DIS386" s="252"/>
      <c r="DIT386" s="252"/>
      <c r="DIU386" s="252"/>
      <c r="DIV386" s="252"/>
      <c r="DIW386" s="252"/>
      <c r="DIX386" s="252"/>
      <c r="DIY386" s="252"/>
      <c r="DIZ386" s="252"/>
      <c r="DJA386" s="252"/>
      <c r="DJB386" s="252"/>
      <c r="DJC386" s="252"/>
      <c r="DJD386" s="252"/>
      <c r="DJE386" s="252"/>
      <c r="DJF386" s="252"/>
      <c r="DJG386" s="252"/>
      <c r="DJH386" s="252"/>
      <c r="DJI386" s="252"/>
      <c r="DJJ386" s="252"/>
      <c r="DJK386" s="252"/>
      <c r="DJL386" s="252"/>
      <c r="DJM386" s="252"/>
      <c r="DJN386" s="252"/>
      <c r="DJO386" s="252"/>
      <c r="DJP386" s="252"/>
      <c r="DJQ386" s="252"/>
      <c r="DJR386" s="252"/>
      <c r="DJS386" s="252"/>
      <c r="DJT386" s="252"/>
      <c r="DJU386" s="252"/>
      <c r="DJV386" s="252"/>
      <c r="DJW386" s="252"/>
      <c r="DJX386" s="252"/>
      <c r="DJY386" s="252"/>
      <c r="DJZ386" s="252"/>
      <c r="DKA386" s="252"/>
      <c r="DKB386" s="252"/>
      <c r="DKC386" s="252"/>
      <c r="DKD386" s="252"/>
      <c r="DKE386" s="252"/>
      <c r="DKF386" s="252"/>
      <c r="DKG386" s="252"/>
      <c r="DKH386" s="252"/>
      <c r="DKI386" s="252"/>
      <c r="DKJ386" s="252"/>
      <c r="DKK386" s="252"/>
      <c r="DKL386" s="252"/>
      <c r="DKM386" s="252"/>
      <c r="DKN386" s="252"/>
      <c r="DKO386" s="252"/>
      <c r="DKP386" s="252"/>
      <c r="DKQ386" s="252"/>
      <c r="DKR386" s="252"/>
      <c r="DKS386" s="252"/>
      <c r="DKT386" s="252"/>
      <c r="DKU386" s="252"/>
      <c r="DKV386" s="252"/>
      <c r="DKW386" s="252"/>
      <c r="DKX386" s="252"/>
      <c r="DKY386" s="252"/>
      <c r="DKZ386" s="252"/>
      <c r="DLA386" s="252"/>
      <c r="DLB386" s="252"/>
      <c r="DLC386" s="252"/>
      <c r="DLD386" s="252"/>
      <c r="DLE386" s="252"/>
      <c r="DLF386" s="252"/>
      <c r="DLG386" s="252"/>
      <c r="DLH386" s="252"/>
      <c r="DLI386" s="252"/>
      <c r="DLJ386" s="252"/>
      <c r="DLK386" s="252"/>
      <c r="DLL386" s="252"/>
      <c r="DLM386" s="252"/>
      <c r="DLN386" s="252"/>
      <c r="DLO386" s="252"/>
      <c r="DLP386" s="252"/>
      <c r="DLQ386" s="252"/>
      <c r="DLR386" s="252"/>
      <c r="DLS386" s="252"/>
      <c r="DLT386" s="252"/>
      <c r="DLU386" s="252"/>
      <c r="DLV386" s="252"/>
      <c r="DLW386" s="252"/>
      <c r="DLX386" s="252"/>
      <c r="DLY386" s="252"/>
      <c r="DLZ386" s="252"/>
      <c r="DMA386" s="252"/>
      <c r="DMB386" s="252"/>
      <c r="DMC386" s="252"/>
      <c r="DMD386" s="252"/>
      <c r="DME386" s="252"/>
      <c r="DMF386" s="252"/>
      <c r="DMG386" s="252"/>
      <c r="DMH386" s="252"/>
      <c r="DMI386" s="252"/>
      <c r="DMJ386" s="252"/>
      <c r="DMK386" s="252"/>
      <c r="DML386" s="252"/>
      <c r="DMM386" s="252"/>
      <c r="DMN386" s="252"/>
      <c r="DMO386" s="252"/>
      <c r="DMP386" s="252"/>
      <c r="DMQ386" s="252"/>
      <c r="DMR386" s="252"/>
      <c r="DMS386" s="252"/>
      <c r="DMT386" s="252"/>
      <c r="DMU386" s="252"/>
      <c r="DMV386" s="252"/>
      <c r="DMW386" s="252"/>
      <c r="DMX386" s="252"/>
      <c r="DMY386" s="252"/>
      <c r="DMZ386" s="252"/>
      <c r="DNA386" s="252"/>
      <c r="DNB386" s="252"/>
      <c r="DNC386" s="252"/>
      <c r="DND386" s="252"/>
      <c r="DNE386" s="252"/>
      <c r="DNF386" s="252"/>
      <c r="DNG386" s="252"/>
      <c r="DNH386" s="252"/>
      <c r="DNI386" s="252"/>
      <c r="DNJ386" s="252"/>
      <c r="DNK386" s="252"/>
      <c r="DNL386" s="252"/>
      <c r="DNM386" s="252"/>
      <c r="DNN386" s="252"/>
      <c r="DNO386" s="252"/>
      <c r="DNP386" s="252"/>
      <c r="DNQ386" s="252"/>
      <c r="DNR386" s="252"/>
      <c r="DNS386" s="252"/>
      <c r="DNT386" s="252"/>
      <c r="DNU386" s="252"/>
      <c r="DNV386" s="252"/>
      <c r="DNW386" s="252"/>
      <c r="DNX386" s="252"/>
      <c r="DNY386" s="252"/>
      <c r="DNZ386" s="252"/>
      <c r="DOA386" s="252"/>
      <c r="DOB386" s="252"/>
      <c r="DOC386" s="252"/>
      <c r="DOD386" s="252"/>
      <c r="DOE386" s="252"/>
      <c r="DOF386" s="252"/>
      <c r="DOG386" s="252"/>
      <c r="DOH386" s="252"/>
      <c r="DOI386" s="252"/>
      <c r="DOJ386" s="252"/>
      <c r="DOK386" s="252"/>
      <c r="DOL386" s="252"/>
      <c r="DOM386" s="252"/>
      <c r="DON386" s="252"/>
      <c r="DOO386" s="252"/>
      <c r="DOP386" s="252"/>
      <c r="DOQ386" s="252"/>
      <c r="DOR386" s="252"/>
      <c r="DOS386" s="252"/>
      <c r="DOT386" s="252"/>
      <c r="DOU386" s="252"/>
      <c r="DOV386" s="252"/>
      <c r="DOW386" s="252"/>
      <c r="DOX386" s="252"/>
      <c r="DOY386" s="252"/>
      <c r="DOZ386" s="252"/>
      <c r="DPA386" s="252"/>
      <c r="DPB386" s="252"/>
      <c r="DPC386" s="252"/>
      <c r="DPD386" s="252"/>
      <c r="DPE386" s="252"/>
      <c r="DPF386" s="252"/>
      <c r="DPG386" s="252"/>
      <c r="DPH386" s="252"/>
      <c r="DPI386" s="252"/>
      <c r="DPJ386" s="252"/>
      <c r="DPK386" s="252"/>
      <c r="DPL386" s="252"/>
      <c r="DPM386" s="252"/>
      <c r="DPN386" s="252"/>
      <c r="DPO386" s="252"/>
      <c r="DPP386" s="252"/>
      <c r="DPQ386" s="252"/>
      <c r="DPR386" s="252"/>
      <c r="DPS386" s="252"/>
      <c r="DPT386" s="252"/>
      <c r="DPU386" s="252"/>
      <c r="DPV386" s="252"/>
      <c r="DPW386" s="252"/>
      <c r="DPX386" s="252"/>
      <c r="DPY386" s="252"/>
      <c r="DPZ386" s="252"/>
      <c r="DQA386" s="252"/>
      <c r="DQB386" s="252"/>
      <c r="DQC386" s="252"/>
      <c r="DQD386" s="252"/>
      <c r="DQE386" s="252"/>
      <c r="DQF386" s="252"/>
      <c r="DQG386" s="252"/>
      <c r="DQH386" s="252"/>
      <c r="DQI386" s="252"/>
      <c r="DQJ386" s="252"/>
      <c r="DQK386" s="252"/>
      <c r="DQL386" s="252"/>
      <c r="DQM386" s="252"/>
      <c r="DQN386" s="252"/>
      <c r="DQO386" s="252"/>
      <c r="DQP386" s="252"/>
      <c r="DQQ386" s="252"/>
      <c r="DQR386" s="252"/>
      <c r="DQS386" s="252"/>
      <c r="DQT386" s="252"/>
      <c r="DQU386" s="252"/>
      <c r="DQV386" s="252"/>
      <c r="DQW386" s="252"/>
      <c r="DQX386" s="252"/>
      <c r="DQY386" s="252"/>
      <c r="DQZ386" s="252"/>
      <c r="DRA386" s="252"/>
      <c r="DRB386" s="252"/>
      <c r="DRC386" s="252"/>
      <c r="DRD386" s="252"/>
      <c r="DRE386" s="252"/>
      <c r="DRF386" s="252"/>
      <c r="DRG386" s="252"/>
      <c r="DRH386" s="252"/>
      <c r="DRI386" s="252"/>
      <c r="DRJ386" s="252"/>
      <c r="DRK386" s="252"/>
      <c r="DRL386" s="252"/>
      <c r="DRM386" s="252"/>
      <c r="DRN386" s="252"/>
      <c r="DRO386" s="252"/>
      <c r="DRP386" s="252"/>
      <c r="DRQ386" s="252"/>
      <c r="DRR386" s="252"/>
      <c r="DRS386" s="252"/>
      <c r="DRT386" s="252"/>
      <c r="DRU386" s="252"/>
      <c r="DRV386" s="252"/>
      <c r="DRW386" s="252"/>
      <c r="DRX386" s="252"/>
      <c r="DRY386" s="252"/>
      <c r="DRZ386" s="252"/>
      <c r="DSA386" s="252"/>
      <c r="DSB386" s="252"/>
      <c r="DSC386" s="252"/>
      <c r="DSD386" s="252"/>
      <c r="DSE386" s="252"/>
      <c r="DSF386" s="252"/>
      <c r="DSG386" s="252"/>
      <c r="DSH386" s="252"/>
      <c r="DSI386" s="252"/>
      <c r="DSJ386" s="252"/>
      <c r="DSK386" s="252"/>
      <c r="DSL386" s="252"/>
      <c r="DSM386" s="252"/>
      <c r="DSN386" s="252"/>
      <c r="DSO386" s="252"/>
      <c r="DSP386" s="252"/>
      <c r="DSQ386" s="252"/>
      <c r="DSR386" s="252"/>
      <c r="DSS386" s="252"/>
      <c r="DST386" s="252"/>
      <c r="DSU386" s="252"/>
      <c r="DSV386" s="252"/>
      <c r="DSW386" s="252"/>
      <c r="DSX386" s="252"/>
      <c r="DSY386" s="252"/>
      <c r="DSZ386" s="252"/>
      <c r="DTA386" s="252"/>
      <c r="DTB386" s="252"/>
      <c r="DTC386" s="252"/>
      <c r="DTD386" s="252"/>
      <c r="DTE386" s="252"/>
      <c r="DTF386" s="252"/>
      <c r="DTG386" s="252"/>
      <c r="DTH386" s="252"/>
      <c r="DTI386" s="252"/>
      <c r="DTJ386" s="252"/>
      <c r="DTK386" s="252"/>
      <c r="DTL386" s="252"/>
      <c r="DTM386" s="252"/>
      <c r="DTN386" s="252"/>
      <c r="DTO386" s="252"/>
      <c r="DTP386" s="252"/>
      <c r="DTQ386" s="252"/>
      <c r="DTR386" s="252"/>
      <c r="DTS386" s="252"/>
      <c r="DTT386" s="252"/>
      <c r="DTU386" s="252"/>
      <c r="DTV386" s="252"/>
      <c r="DTW386" s="252"/>
      <c r="DTX386" s="252"/>
      <c r="DTY386" s="252"/>
      <c r="DTZ386" s="252"/>
      <c r="DUA386" s="252"/>
      <c r="DUB386" s="252"/>
      <c r="DUC386" s="252"/>
      <c r="DUD386" s="252"/>
      <c r="DUE386" s="252"/>
      <c r="DUF386" s="252"/>
      <c r="DUG386" s="252"/>
      <c r="DUH386" s="252"/>
      <c r="DUI386" s="252"/>
      <c r="DUJ386" s="252"/>
      <c r="DUK386" s="252"/>
      <c r="DUL386" s="252"/>
      <c r="DUM386" s="252"/>
      <c r="DUN386" s="252"/>
      <c r="DUO386" s="252"/>
      <c r="DUP386" s="252"/>
      <c r="DUQ386" s="252"/>
      <c r="DUR386" s="252"/>
      <c r="DUS386" s="252"/>
      <c r="DUT386" s="252"/>
      <c r="DUU386" s="252"/>
      <c r="DUV386" s="252"/>
      <c r="DUW386" s="252"/>
      <c r="DUX386" s="252"/>
      <c r="DUY386" s="252"/>
      <c r="DUZ386" s="252"/>
      <c r="DVA386" s="252"/>
      <c r="DVB386" s="252"/>
      <c r="DVC386" s="252"/>
      <c r="DVD386" s="252"/>
      <c r="DVE386" s="252"/>
      <c r="DVF386" s="252"/>
      <c r="DVG386" s="252"/>
      <c r="DVH386" s="252"/>
      <c r="DVI386" s="252"/>
      <c r="DVJ386" s="252"/>
      <c r="DVK386" s="252"/>
      <c r="DVL386" s="252"/>
      <c r="DVM386" s="252"/>
      <c r="DVN386" s="252"/>
      <c r="DVO386" s="252"/>
      <c r="DVP386" s="252"/>
      <c r="DVQ386" s="252"/>
      <c r="DVR386" s="252"/>
      <c r="DVS386" s="252"/>
      <c r="DVT386" s="252"/>
      <c r="DVU386" s="252"/>
      <c r="DVV386" s="252"/>
      <c r="DVW386" s="252"/>
      <c r="DVX386" s="252"/>
      <c r="DVY386" s="252"/>
      <c r="DVZ386" s="252"/>
      <c r="DWA386" s="252"/>
      <c r="DWB386" s="252"/>
      <c r="DWC386" s="252"/>
      <c r="DWD386" s="252"/>
      <c r="DWE386" s="252"/>
      <c r="DWF386" s="252"/>
      <c r="DWG386" s="252"/>
      <c r="DWH386" s="252"/>
      <c r="DWI386" s="252"/>
      <c r="DWJ386" s="252"/>
      <c r="DWK386" s="252"/>
      <c r="DWL386" s="252"/>
      <c r="DWM386" s="252"/>
      <c r="DWN386" s="252"/>
      <c r="DWO386" s="252"/>
      <c r="DWP386" s="252"/>
      <c r="DWQ386" s="252"/>
      <c r="DWR386" s="252"/>
      <c r="DWS386" s="252"/>
      <c r="DWT386" s="252"/>
      <c r="DWU386" s="252"/>
      <c r="DWV386" s="252"/>
      <c r="DWW386" s="252"/>
      <c r="DWX386" s="252"/>
      <c r="DWY386" s="252"/>
      <c r="DWZ386" s="252"/>
      <c r="DXA386" s="252"/>
      <c r="DXB386" s="252"/>
      <c r="DXC386" s="252"/>
      <c r="DXD386" s="252"/>
      <c r="DXE386" s="252"/>
      <c r="DXF386" s="252"/>
      <c r="DXG386" s="252"/>
      <c r="DXH386" s="252"/>
      <c r="DXI386" s="252"/>
      <c r="DXJ386" s="252"/>
      <c r="DXK386" s="252"/>
      <c r="DXL386" s="252"/>
      <c r="DXM386" s="252"/>
      <c r="DXN386" s="252"/>
      <c r="DXO386" s="252"/>
      <c r="DXP386" s="252"/>
      <c r="DXQ386" s="252"/>
      <c r="DXR386" s="252"/>
      <c r="DXS386" s="252"/>
      <c r="DXT386" s="252"/>
      <c r="DXU386" s="252"/>
      <c r="DXV386" s="252"/>
      <c r="DXW386" s="252"/>
      <c r="DXX386" s="252"/>
      <c r="DXY386" s="252"/>
      <c r="DXZ386" s="252"/>
      <c r="DYA386" s="252"/>
      <c r="DYB386" s="252"/>
      <c r="DYC386" s="252"/>
      <c r="DYD386" s="252"/>
      <c r="DYE386" s="252"/>
      <c r="DYF386" s="252"/>
      <c r="DYG386" s="252"/>
      <c r="DYH386" s="252"/>
      <c r="DYI386" s="252"/>
      <c r="DYJ386" s="252"/>
      <c r="DYK386" s="252"/>
      <c r="DYL386" s="252"/>
      <c r="DYM386" s="252"/>
      <c r="DYN386" s="252"/>
      <c r="DYO386" s="252"/>
      <c r="DYP386" s="252"/>
      <c r="DYQ386" s="252"/>
      <c r="DYR386" s="252"/>
      <c r="DYS386" s="252"/>
      <c r="DYT386" s="252"/>
      <c r="DYU386" s="252"/>
      <c r="DYV386" s="252"/>
      <c r="DYW386" s="252"/>
      <c r="DYX386" s="252"/>
      <c r="DYY386" s="252"/>
      <c r="DYZ386" s="252"/>
      <c r="DZA386" s="252"/>
      <c r="DZB386" s="252"/>
      <c r="DZC386" s="252"/>
      <c r="DZD386" s="252"/>
      <c r="DZE386" s="252"/>
      <c r="DZF386" s="252"/>
      <c r="DZG386" s="252"/>
      <c r="DZH386" s="252"/>
      <c r="DZI386" s="252"/>
      <c r="DZJ386" s="252"/>
      <c r="DZK386" s="252"/>
      <c r="DZL386" s="252"/>
      <c r="DZM386" s="252"/>
      <c r="DZN386" s="252"/>
      <c r="DZO386" s="252"/>
      <c r="DZP386" s="252"/>
      <c r="DZQ386" s="252"/>
      <c r="DZR386" s="252"/>
      <c r="DZS386" s="252"/>
      <c r="DZT386" s="252"/>
      <c r="DZU386" s="252"/>
      <c r="DZV386" s="252"/>
      <c r="DZW386" s="252"/>
      <c r="DZX386" s="252"/>
      <c r="DZY386" s="252"/>
      <c r="DZZ386" s="252"/>
      <c r="EAA386" s="252"/>
      <c r="EAB386" s="252"/>
      <c r="EAC386" s="252"/>
      <c r="EAD386" s="252"/>
      <c r="EAE386" s="252"/>
      <c r="EAF386" s="252"/>
      <c r="EAG386" s="252"/>
      <c r="EAH386" s="252"/>
      <c r="EAI386" s="252"/>
      <c r="EAJ386" s="252"/>
      <c r="EAK386" s="252"/>
      <c r="EAL386" s="252"/>
      <c r="EAM386" s="252"/>
      <c r="EAN386" s="252"/>
      <c r="EAO386" s="252"/>
      <c r="EAP386" s="252"/>
      <c r="EAQ386" s="252"/>
      <c r="EAR386" s="252"/>
      <c r="EAS386" s="252"/>
      <c r="EAT386" s="252"/>
      <c r="EAU386" s="252"/>
      <c r="EAV386" s="252"/>
      <c r="EAW386" s="252"/>
      <c r="EAX386" s="252"/>
      <c r="EAY386" s="252"/>
      <c r="EAZ386" s="252"/>
      <c r="EBA386" s="252"/>
      <c r="EBB386" s="252"/>
      <c r="EBC386" s="252"/>
      <c r="EBD386" s="252"/>
      <c r="EBE386" s="252"/>
      <c r="EBF386" s="252"/>
      <c r="EBG386" s="252"/>
      <c r="EBH386" s="252"/>
      <c r="EBI386" s="252"/>
      <c r="EBJ386" s="252"/>
      <c r="EBK386" s="252"/>
      <c r="EBL386" s="252"/>
      <c r="EBM386" s="252"/>
      <c r="EBN386" s="252"/>
      <c r="EBO386" s="252"/>
      <c r="EBP386" s="252"/>
      <c r="EBQ386" s="252"/>
      <c r="EBR386" s="252"/>
      <c r="EBS386" s="252"/>
      <c r="EBT386" s="252"/>
      <c r="EBU386" s="252"/>
      <c r="EBV386" s="252"/>
      <c r="EBW386" s="252"/>
      <c r="EBX386" s="252"/>
      <c r="EBY386" s="252"/>
      <c r="EBZ386" s="252"/>
      <c r="ECA386" s="252"/>
      <c r="ECB386" s="252"/>
      <c r="ECC386" s="252"/>
      <c r="ECD386" s="252"/>
      <c r="ECE386" s="252"/>
      <c r="ECF386" s="252"/>
      <c r="ECG386" s="252"/>
      <c r="ECH386" s="252"/>
      <c r="ECI386" s="252"/>
      <c r="ECJ386" s="252"/>
      <c r="ECK386" s="252"/>
      <c r="ECL386" s="252"/>
      <c r="ECM386" s="252"/>
      <c r="ECN386" s="252"/>
      <c r="ECO386" s="252"/>
      <c r="ECP386" s="252"/>
      <c r="ECQ386" s="252"/>
      <c r="ECR386" s="252"/>
      <c r="ECS386" s="252"/>
      <c r="ECT386" s="252"/>
      <c r="ECU386" s="252"/>
      <c r="ECV386" s="252"/>
      <c r="ECW386" s="252"/>
      <c r="ECX386" s="252"/>
      <c r="ECY386" s="252"/>
      <c r="ECZ386" s="252"/>
      <c r="EDA386" s="252"/>
      <c r="EDB386" s="252"/>
      <c r="EDC386" s="252"/>
      <c r="EDD386" s="252"/>
      <c r="EDE386" s="252"/>
      <c r="EDF386" s="252"/>
      <c r="EDG386" s="252"/>
      <c r="EDH386" s="252"/>
      <c r="EDI386" s="252"/>
      <c r="EDJ386" s="252"/>
      <c r="EDK386" s="252"/>
      <c r="EDL386" s="252"/>
      <c r="EDM386" s="252"/>
      <c r="EDN386" s="252"/>
      <c r="EDO386" s="252"/>
      <c r="EDP386" s="252"/>
      <c r="EDQ386" s="252"/>
      <c r="EDR386" s="252"/>
      <c r="EDS386" s="252"/>
      <c r="EDT386" s="252"/>
      <c r="EDU386" s="252"/>
      <c r="EDV386" s="252"/>
      <c r="EDW386" s="252"/>
      <c r="EDX386" s="252"/>
      <c r="EDY386" s="252"/>
      <c r="EDZ386" s="252"/>
      <c r="EEA386" s="252"/>
      <c r="EEB386" s="252"/>
      <c r="EEC386" s="252"/>
      <c r="EED386" s="252"/>
      <c r="EEE386" s="252"/>
      <c r="EEF386" s="252"/>
      <c r="EEG386" s="252"/>
      <c r="EEH386" s="252"/>
      <c r="EEI386" s="252"/>
      <c r="EEJ386" s="252"/>
      <c r="EEK386" s="252"/>
      <c r="EEL386" s="252"/>
      <c r="EEM386" s="252"/>
      <c r="EEN386" s="252"/>
      <c r="EEO386" s="252"/>
      <c r="EEP386" s="252"/>
      <c r="EEQ386" s="252"/>
      <c r="EER386" s="252"/>
      <c r="EES386" s="252"/>
      <c r="EET386" s="252"/>
      <c r="EEU386" s="252"/>
      <c r="EEV386" s="252"/>
      <c r="EEW386" s="252"/>
      <c r="EEX386" s="252"/>
      <c r="EEY386" s="252"/>
      <c r="EEZ386" s="252"/>
      <c r="EFA386" s="252"/>
      <c r="EFB386" s="252"/>
      <c r="EFC386" s="252"/>
      <c r="EFD386" s="252"/>
      <c r="EFE386" s="252"/>
      <c r="EFF386" s="252"/>
      <c r="EFG386" s="252"/>
      <c r="EFH386" s="252"/>
      <c r="EFI386" s="252"/>
      <c r="EFJ386" s="252"/>
      <c r="EFK386" s="252"/>
      <c r="EFL386" s="252"/>
      <c r="EFM386" s="252"/>
      <c r="EFN386" s="252"/>
      <c r="EFO386" s="252"/>
      <c r="EFP386" s="252"/>
      <c r="EFQ386" s="252"/>
      <c r="EFR386" s="252"/>
      <c r="EFS386" s="252"/>
      <c r="EFT386" s="252"/>
      <c r="EFU386" s="252"/>
      <c r="EFV386" s="252"/>
      <c r="EFW386" s="252"/>
      <c r="EFX386" s="252"/>
      <c r="EFY386" s="252"/>
      <c r="EFZ386" s="252"/>
      <c r="EGA386" s="252"/>
      <c r="EGB386" s="252"/>
      <c r="EGC386" s="252"/>
      <c r="EGD386" s="252"/>
      <c r="EGE386" s="252"/>
      <c r="EGF386" s="252"/>
      <c r="EGG386" s="252"/>
      <c r="EGH386" s="252"/>
      <c r="EGI386" s="252"/>
      <c r="EGJ386" s="252"/>
      <c r="EGK386" s="252"/>
      <c r="EGL386" s="252"/>
      <c r="EGM386" s="252"/>
      <c r="EGN386" s="252"/>
      <c r="EGO386" s="252"/>
      <c r="EGP386" s="252"/>
      <c r="EGQ386" s="252"/>
      <c r="EGR386" s="252"/>
      <c r="EGS386" s="252"/>
      <c r="EGT386" s="252"/>
      <c r="EGU386" s="252"/>
      <c r="EGV386" s="252"/>
      <c r="EGW386" s="252"/>
      <c r="EGX386" s="252"/>
      <c r="EGY386" s="252"/>
      <c r="EGZ386" s="252"/>
      <c r="EHA386" s="252"/>
      <c r="EHB386" s="252"/>
      <c r="EHC386" s="252"/>
      <c r="EHD386" s="252"/>
      <c r="EHE386" s="252"/>
      <c r="EHF386" s="252"/>
      <c r="EHG386" s="252"/>
      <c r="EHH386" s="252"/>
      <c r="EHI386" s="252"/>
      <c r="EHJ386" s="252"/>
      <c r="EHK386" s="252"/>
      <c r="EHL386" s="252"/>
      <c r="EHM386" s="252"/>
      <c r="EHN386" s="252"/>
      <c r="EHO386" s="252"/>
      <c r="EHP386" s="252"/>
      <c r="EHQ386" s="252"/>
      <c r="EHR386" s="252"/>
      <c r="EHS386" s="252"/>
      <c r="EHT386" s="252"/>
      <c r="EHU386" s="252"/>
      <c r="EHV386" s="252"/>
      <c r="EHW386" s="252"/>
      <c r="EHX386" s="252"/>
      <c r="EHY386" s="252"/>
      <c r="EHZ386" s="252"/>
      <c r="EIA386" s="252"/>
      <c r="EIB386" s="252"/>
      <c r="EIC386" s="252"/>
      <c r="EID386" s="252"/>
      <c r="EIE386" s="252"/>
      <c r="EIF386" s="252"/>
      <c r="EIG386" s="252"/>
      <c r="EIH386" s="252"/>
      <c r="EII386" s="252"/>
      <c r="EIJ386" s="252"/>
      <c r="EIK386" s="252"/>
      <c r="EIL386" s="252"/>
      <c r="EIM386" s="252"/>
      <c r="EIN386" s="252"/>
      <c r="EIO386" s="252"/>
      <c r="EIP386" s="252"/>
      <c r="EIQ386" s="252"/>
      <c r="EIR386" s="252"/>
      <c r="EIS386" s="252"/>
      <c r="EIT386" s="252"/>
      <c r="EIU386" s="252"/>
      <c r="EIV386" s="252"/>
      <c r="EIW386" s="252"/>
      <c r="EIX386" s="252"/>
      <c r="EIY386" s="252"/>
      <c r="EIZ386" s="252"/>
      <c r="EJA386" s="252"/>
      <c r="EJB386" s="252"/>
      <c r="EJC386" s="252"/>
      <c r="EJD386" s="252"/>
      <c r="EJE386" s="252"/>
      <c r="EJF386" s="252"/>
      <c r="EJG386" s="252"/>
      <c r="EJH386" s="252"/>
      <c r="EJI386" s="252"/>
      <c r="EJJ386" s="252"/>
      <c r="EJK386" s="252"/>
      <c r="EJL386" s="252"/>
      <c r="EJM386" s="252"/>
      <c r="EJN386" s="252"/>
      <c r="EJO386" s="252"/>
      <c r="EJP386" s="252"/>
      <c r="EJQ386" s="252"/>
      <c r="EJR386" s="252"/>
      <c r="EJS386" s="252"/>
      <c r="EJT386" s="252"/>
      <c r="EJU386" s="252"/>
      <c r="EJV386" s="252"/>
      <c r="EJW386" s="252"/>
      <c r="EJX386" s="252"/>
      <c r="EJY386" s="252"/>
      <c r="EJZ386" s="252"/>
      <c r="EKA386" s="252"/>
      <c r="EKB386" s="252"/>
      <c r="EKC386" s="252"/>
      <c r="EKD386" s="252"/>
      <c r="EKE386" s="252"/>
      <c r="EKF386" s="252"/>
      <c r="EKG386" s="252"/>
      <c r="EKH386" s="252"/>
      <c r="EKI386" s="252"/>
      <c r="EKJ386" s="252"/>
      <c r="EKK386" s="252"/>
      <c r="EKL386" s="252"/>
      <c r="EKM386" s="252"/>
      <c r="EKN386" s="252"/>
      <c r="EKO386" s="252"/>
      <c r="EKP386" s="252"/>
      <c r="EKQ386" s="252"/>
      <c r="EKR386" s="252"/>
      <c r="EKS386" s="252"/>
      <c r="EKT386" s="252"/>
      <c r="EKU386" s="252"/>
      <c r="EKV386" s="252"/>
      <c r="EKW386" s="252"/>
      <c r="EKX386" s="252"/>
      <c r="EKY386" s="252"/>
      <c r="EKZ386" s="252"/>
      <c r="ELA386" s="252"/>
      <c r="ELB386" s="252"/>
      <c r="ELC386" s="252"/>
      <c r="ELD386" s="252"/>
      <c r="ELE386" s="252"/>
      <c r="ELF386" s="252"/>
      <c r="ELG386" s="252"/>
      <c r="ELH386" s="252"/>
      <c r="ELI386" s="252"/>
      <c r="ELJ386" s="252"/>
      <c r="ELK386" s="252"/>
      <c r="ELL386" s="252"/>
      <c r="ELM386" s="252"/>
      <c r="ELN386" s="252"/>
      <c r="ELO386" s="252"/>
      <c r="ELP386" s="252"/>
      <c r="ELQ386" s="252"/>
      <c r="ELR386" s="252"/>
      <c r="ELS386" s="252"/>
      <c r="ELT386" s="252"/>
      <c r="ELU386" s="252"/>
      <c r="ELV386" s="252"/>
      <c r="ELW386" s="252"/>
      <c r="ELX386" s="252"/>
      <c r="ELY386" s="252"/>
      <c r="ELZ386" s="252"/>
      <c r="EMA386" s="252"/>
      <c r="EMB386" s="252"/>
      <c r="EMC386" s="252"/>
      <c r="EMD386" s="252"/>
      <c r="EME386" s="252"/>
      <c r="EMF386" s="252"/>
      <c r="EMG386" s="252"/>
      <c r="EMH386" s="252"/>
      <c r="EMI386" s="252"/>
      <c r="EMJ386" s="252"/>
      <c r="EMK386" s="252"/>
      <c r="EML386" s="252"/>
      <c r="EMM386" s="252"/>
      <c r="EMN386" s="252"/>
      <c r="EMO386" s="252"/>
      <c r="EMP386" s="252"/>
      <c r="EMQ386" s="252"/>
      <c r="EMR386" s="252"/>
      <c r="EMS386" s="252"/>
      <c r="EMT386" s="252"/>
      <c r="EMU386" s="252"/>
      <c r="EMV386" s="252"/>
      <c r="EMW386" s="252"/>
      <c r="EMX386" s="252"/>
      <c r="EMY386" s="252"/>
      <c r="EMZ386" s="252"/>
      <c r="ENA386" s="252"/>
      <c r="ENB386" s="252"/>
      <c r="ENC386" s="252"/>
      <c r="END386" s="252"/>
      <c r="ENE386" s="252"/>
      <c r="ENF386" s="252"/>
      <c r="ENG386" s="252"/>
      <c r="ENH386" s="252"/>
      <c r="ENI386" s="252"/>
      <c r="ENJ386" s="252"/>
      <c r="ENK386" s="252"/>
      <c r="ENL386" s="252"/>
      <c r="ENM386" s="252"/>
      <c r="ENN386" s="252"/>
      <c r="ENO386" s="252"/>
      <c r="ENP386" s="252"/>
      <c r="ENQ386" s="252"/>
      <c r="ENR386" s="252"/>
      <c r="ENS386" s="252"/>
      <c r="ENT386" s="252"/>
      <c r="ENU386" s="252"/>
      <c r="ENV386" s="252"/>
      <c r="ENW386" s="252"/>
      <c r="ENX386" s="252"/>
      <c r="ENY386" s="252"/>
      <c r="ENZ386" s="252"/>
      <c r="EOA386" s="252"/>
      <c r="EOB386" s="252"/>
      <c r="EOC386" s="252"/>
      <c r="EOD386" s="252"/>
      <c r="EOE386" s="252"/>
      <c r="EOF386" s="252"/>
      <c r="EOG386" s="252"/>
      <c r="EOH386" s="252"/>
      <c r="EOI386" s="252"/>
      <c r="EOJ386" s="252"/>
      <c r="EOK386" s="252"/>
      <c r="EOL386" s="252"/>
      <c r="EOM386" s="252"/>
      <c r="EON386" s="252"/>
      <c r="EOO386" s="252"/>
      <c r="EOP386" s="252"/>
      <c r="EOQ386" s="252"/>
      <c r="EOR386" s="252"/>
      <c r="EOS386" s="252"/>
      <c r="EOT386" s="252"/>
      <c r="EOU386" s="252"/>
      <c r="EOV386" s="252"/>
      <c r="EOW386" s="252"/>
      <c r="EOX386" s="252"/>
      <c r="EOY386" s="252"/>
      <c r="EOZ386" s="252"/>
      <c r="EPA386" s="252"/>
      <c r="EPB386" s="252"/>
      <c r="EPC386" s="252"/>
      <c r="EPD386" s="252"/>
      <c r="EPE386" s="252"/>
      <c r="EPF386" s="252"/>
      <c r="EPG386" s="252"/>
      <c r="EPH386" s="252"/>
      <c r="EPI386" s="252"/>
      <c r="EPJ386" s="252"/>
      <c r="EPK386" s="252"/>
      <c r="EPL386" s="252"/>
      <c r="EPM386" s="252"/>
      <c r="EPN386" s="252"/>
      <c r="EPO386" s="252"/>
      <c r="EPP386" s="252"/>
      <c r="EPQ386" s="252"/>
      <c r="EPR386" s="252"/>
      <c r="EPS386" s="252"/>
      <c r="EPT386" s="252"/>
      <c r="EPU386" s="252"/>
      <c r="EPV386" s="252"/>
      <c r="EPW386" s="252"/>
      <c r="EPX386" s="252"/>
      <c r="EPY386" s="252"/>
      <c r="EPZ386" s="252"/>
      <c r="EQA386" s="252"/>
      <c r="EQB386" s="252"/>
      <c r="EQC386" s="252"/>
      <c r="EQD386" s="252"/>
      <c r="EQE386" s="252"/>
      <c r="EQF386" s="252"/>
      <c r="EQG386" s="252"/>
      <c r="EQH386" s="252"/>
      <c r="EQI386" s="252"/>
      <c r="EQJ386" s="252"/>
      <c r="EQK386" s="252"/>
      <c r="EQL386" s="252"/>
      <c r="EQM386" s="252"/>
      <c r="EQN386" s="252"/>
      <c r="EQO386" s="252"/>
      <c r="EQP386" s="252"/>
      <c r="EQQ386" s="252"/>
      <c r="EQR386" s="252"/>
      <c r="EQS386" s="252"/>
      <c r="EQT386" s="252"/>
      <c r="EQU386" s="252"/>
      <c r="EQV386" s="252"/>
      <c r="EQW386" s="252"/>
      <c r="EQX386" s="252"/>
      <c r="EQY386" s="252"/>
      <c r="EQZ386" s="252"/>
      <c r="ERA386" s="252"/>
      <c r="ERB386" s="252"/>
      <c r="ERC386" s="252"/>
      <c r="ERD386" s="252"/>
      <c r="ERE386" s="252"/>
      <c r="ERF386" s="252"/>
      <c r="ERG386" s="252"/>
      <c r="ERH386" s="252"/>
      <c r="ERI386" s="252"/>
      <c r="ERJ386" s="252"/>
      <c r="ERK386" s="252"/>
      <c r="ERL386" s="252"/>
      <c r="ERM386" s="252"/>
      <c r="ERN386" s="252"/>
      <c r="ERO386" s="252"/>
      <c r="ERP386" s="252"/>
      <c r="ERQ386" s="252"/>
      <c r="ERR386" s="252"/>
      <c r="ERS386" s="252"/>
      <c r="ERT386" s="252"/>
      <c r="ERU386" s="252"/>
      <c r="ERV386" s="252"/>
      <c r="ERW386" s="252"/>
      <c r="ERX386" s="252"/>
      <c r="ERY386" s="252"/>
      <c r="ERZ386" s="252"/>
      <c r="ESA386" s="252"/>
      <c r="ESB386" s="252"/>
      <c r="ESC386" s="252"/>
      <c r="ESD386" s="252"/>
      <c r="ESE386" s="252"/>
      <c r="ESF386" s="252"/>
      <c r="ESG386" s="252"/>
      <c r="ESH386" s="252"/>
      <c r="ESI386" s="252"/>
      <c r="ESJ386" s="252"/>
      <c r="ESK386" s="252"/>
      <c r="ESL386" s="252"/>
      <c r="ESM386" s="252"/>
      <c r="ESN386" s="252"/>
      <c r="ESO386" s="252"/>
      <c r="ESP386" s="252"/>
      <c r="ESQ386" s="252"/>
      <c r="ESR386" s="252"/>
      <c r="ESS386" s="252"/>
      <c r="EST386" s="252"/>
      <c r="ESU386" s="252"/>
      <c r="ESV386" s="252"/>
      <c r="ESW386" s="252"/>
      <c r="ESX386" s="252"/>
      <c r="ESY386" s="252"/>
      <c r="ESZ386" s="252"/>
      <c r="ETA386" s="252"/>
      <c r="ETB386" s="252"/>
      <c r="ETC386" s="252"/>
      <c r="ETD386" s="252"/>
      <c r="ETE386" s="252"/>
      <c r="ETF386" s="252"/>
      <c r="ETG386" s="252"/>
      <c r="ETH386" s="252"/>
      <c r="ETI386" s="252"/>
      <c r="ETJ386" s="252"/>
      <c r="ETK386" s="252"/>
      <c r="ETL386" s="252"/>
      <c r="ETM386" s="252"/>
      <c r="ETN386" s="252"/>
      <c r="ETO386" s="252"/>
      <c r="ETP386" s="252"/>
      <c r="ETQ386" s="252"/>
      <c r="ETR386" s="252"/>
      <c r="ETS386" s="252"/>
      <c r="ETT386" s="252"/>
      <c r="ETU386" s="252"/>
      <c r="ETV386" s="252"/>
      <c r="ETW386" s="252"/>
      <c r="ETX386" s="252"/>
      <c r="ETY386" s="252"/>
      <c r="ETZ386" s="252"/>
      <c r="EUA386" s="252"/>
      <c r="EUB386" s="252"/>
      <c r="EUC386" s="252"/>
      <c r="EUD386" s="252"/>
      <c r="EUE386" s="252"/>
      <c r="EUF386" s="252"/>
      <c r="EUG386" s="252"/>
      <c r="EUH386" s="252"/>
      <c r="EUI386" s="252"/>
      <c r="EUJ386" s="252"/>
      <c r="EUK386" s="252"/>
      <c r="EUL386" s="252"/>
      <c r="EUM386" s="252"/>
      <c r="EUN386" s="252"/>
      <c r="EUO386" s="252"/>
      <c r="EUP386" s="252"/>
      <c r="EUQ386" s="252"/>
      <c r="EUR386" s="252"/>
      <c r="EUS386" s="252"/>
      <c r="EUT386" s="252"/>
      <c r="EUU386" s="252"/>
      <c r="EUV386" s="252"/>
      <c r="EUW386" s="252"/>
      <c r="EUX386" s="252"/>
      <c r="EUY386" s="252"/>
      <c r="EUZ386" s="252"/>
      <c r="EVA386" s="252"/>
      <c r="EVB386" s="252"/>
      <c r="EVC386" s="252"/>
      <c r="EVD386" s="252"/>
      <c r="EVE386" s="252"/>
      <c r="EVF386" s="252"/>
      <c r="EVG386" s="252"/>
      <c r="EVH386" s="252"/>
      <c r="EVI386" s="252"/>
      <c r="EVJ386" s="252"/>
      <c r="EVK386" s="252"/>
      <c r="EVL386" s="252"/>
      <c r="EVM386" s="252"/>
      <c r="EVN386" s="252"/>
      <c r="EVO386" s="252"/>
      <c r="EVP386" s="252"/>
      <c r="EVQ386" s="252"/>
      <c r="EVR386" s="252"/>
      <c r="EVS386" s="252"/>
      <c r="EVT386" s="252"/>
      <c r="EVU386" s="252"/>
      <c r="EVV386" s="252"/>
      <c r="EVW386" s="252"/>
      <c r="EVX386" s="252"/>
      <c r="EVY386" s="252"/>
      <c r="EVZ386" s="252"/>
      <c r="EWA386" s="252"/>
      <c r="EWB386" s="252"/>
      <c r="EWC386" s="252"/>
      <c r="EWD386" s="252"/>
      <c r="EWE386" s="252"/>
      <c r="EWF386" s="252"/>
      <c r="EWG386" s="252"/>
      <c r="EWH386" s="252"/>
      <c r="EWI386" s="252"/>
      <c r="EWJ386" s="252"/>
      <c r="EWK386" s="252"/>
      <c r="EWL386" s="252"/>
      <c r="EWM386" s="252"/>
      <c r="EWN386" s="252"/>
      <c r="EWO386" s="252"/>
      <c r="EWP386" s="252"/>
      <c r="EWQ386" s="252"/>
      <c r="EWR386" s="252"/>
      <c r="EWS386" s="252"/>
      <c r="EWT386" s="252"/>
      <c r="EWU386" s="252"/>
      <c r="EWV386" s="252"/>
      <c r="EWW386" s="252"/>
      <c r="EWX386" s="252"/>
      <c r="EWY386" s="252"/>
      <c r="EWZ386" s="252"/>
      <c r="EXA386" s="252"/>
      <c r="EXB386" s="252"/>
      <c r="EXC386" s="252"/>
      <c r="EXD386" s="252"/>
      <c r="EXE386" s="252"/>
      <c r="EXF386" s="252"/>
      <c r="EXG386" s="252"/>
      <c r="EXH386" s="252"/>
      <c r="EXI386" s="252"/>
      <c r="EXJ386" s="252"/>
      <c r="EXK386" s="252"/>
      <c r="EXL386" s="252"/>
      <c r="EXM386" s="252"/>
      <c r="EXN386" s="252"/>
      <c r="EXO386" s="252"/>
      <c r="EXP386" s="252"/>
      <c r="EXQ386" s="252"/>
      <c r="EXR386" s="252"/>
      <c r="EXS386" s="252"/>
      <c r="EXT386" s="252"/>
      <c r="EXU386" s="252"/>
      <c r="EXV386" s="252"/>
      <c r="EXW386" s="252"/>
      <c r="EXX386" s="252"/>
      <c r="EXY386" s="252"/>
      <c r="EXZ386" s="252"/>
      <c r="EYA386" s="252"/>
      <c r="EYB386" s="252"/>
      <c r="EYC386" s="252"/>
      <c r="EYD386" s="252"/>
      <c r="EYE386" s="252"/>
      <c r="EYF386" s="252"/>
      <c r="EYG386" s="252"/>
      <c r="EYH386" s="252"/>
      <c r="EYI386" s="252"/>
      <c r="EYJ386" s="252"/>
      <c r="EYK386" s="252"/>
      <c r="EYL386" s="252"/>
      <c r="EYM386" s="252"/>
      <c r="EYN386" s="252"/>
      <c r="EYO386" s="252"/>
      <c r="EYP386" s="252"/>
      <c r="EYQ386" s="252"/>
      <c r="EYR386" s="252"/>
      <c r="EYS386" s="252"/>
      <c r="EYT386" s="252"/>
      <c r="EYU386" s="252"/>
      <c r="EYV386" s="252"/>
      <c r="EYW386" s="252"/>
      <c r="EYX386" s="252"/>
      <c r="EYY386" s="252"/>
      <c r="EYZ386" s="252"/>
      <c r="EZA386" s="252"/>
      <c r="EZB386" s="252"/>
      <c r="EZC386" s="252"/>
      <c r="EZD386" s="252"/>
      <c r="EZE386" s="252"/>
      <c r="EZF386" s="252"/>
      <c r="EZG386" s="252"/>
      <c r="EZH386" s="252"/>
      <c r="EZI386" s="252"/>
      <c r="EZJ386" s="252"/>
      <c r="EZK386" s="252"/>
      <c r="EZL386" s="252"/>
      <c r="EZM386" s="252"/>
      <c r="EZN386" s="252"/>
      <c r="EZO386" s="252"/>
      <c r="EZP386" s="252"/>
      <c r="EZQ386" s="252"/>
      <c r="EZR386" s="252"/>
      <c r="EZS386" s="252"/>
      <c r="EZT386" s="252"/>
      <c r="EZU386" s="252"/>
      <c r="EZV386" s="252"/>
      <c r="EZW386" s="252"/>
      <c r="EZX386" s="252"/>
      <c r="EZY386" s="252"/>
      <c r="EZZ386" s="252"/>
      <c r="FAA386" s="252"/>
      <c r="FAB386" s="252"/>
      <c r="FAC386" s="252"/>
      <c r="FAD386" s="252"/>
      <c r="FAE386" s="252"/>
      <c r="FAF386" s="252"/>
      <c r="FAG386" s="252"/>
      <c r="FAH386" s="252"/>
      <c r="FAI386" s="252"/>
      <c r="FAJ386" s="252"/>
      <c r="FAK386" s="252"/>
      <c r="FAL386" s="252"/>
      <c r="FAM386" s="252"/>
      <c r="FAN386" s="252"/>
      <c r="FAO386" s="252"/>
      <c r="FAP386" s="252"/>
      <c r="FAQ386" s="252"/>
      <c r="FAR386" s="252"/>
      <c r="FAS386" s="252"/>
      <c r="FAT386" s="252"/>
      <c r="FAU386" s="252"/>
      <c r="FAV386" s="252"/>
      <c r="FAW386" s="252"/>
      <c r="FAX386" s="252"/>
      <c r="FAY386" s="252"/>
      <c r="FAZ386" s="252"/>
      <c r="FBA386" s="252"/>
      <c r="FBB386" s="252"/>
      <c r="FBC386" s="252"/>
      <c r="FBD386" s="252"/>
      <c r="FBE386" s="252"/>
      <c r="FBF386" s="252"/>
      <c r="FBG386" s="252"/>
      <c r="FBH386" s="252"/>
      <c r="FBI386" s="252"/>
      <c r="FBJ386" s="252"/>
      <c r="FBK386" s="252"/>
      <c r="FBL386" s="252"/>
      <c r="FBM386" s="252"/>
      <c r="FBN386" s="252"/>
      <c r="FBO386" s="252"/>
      <c r="FBP386" s="252"/>
      <c r="FBQ386" s="252"/>
      <c r="FBR386" s="252"/>
      <c r="FBS386" s="252"/>
      <c r="FBT386" s="252"/>
      <c r="FBU386" s="252"/>
      <c r="FBV386" s="252"/>
      <c r="FBW386" s="252"/>
      <c r="FBX386" s="252"/>
      <c r="FBY386" s="252"/>
      <c r="FBZ386" s="252"/>
      <c r="FCA386" s="252"/>
      <c r="FCB386" s="252"/>
      <c r="FCC386" s="252"/>
      <c r="FCD386" s="252"/>
      <c r="FCE386" s="252"/>
      <c r="FCF386" s="252"/>
      <c r="FCG386" s="252"/>
      <c r="FCH386" s="252"/>
      <c r="FCI386" s="252"/>
      <c r="FCJ386" s="252"/>
      <c r="FCK386" s="252"/>
      <c r="FCL386" s="252"/>
      <c r="FCM386" s="252"/>
      <c r="FCN386" s="252"/>
      <c r="FCO386" s="252"/>
      <c r="FCP386" s="252"/>
      <c r="FCQ386" s="252"/>
      <c r="FCR386" s="252"/>
      <c r="FCS386" s="252"/>
      <c r="FCT386" s="252"/>
      <c r="FCU386" s="252"/>
      <c r="FCV386" s="252"/>
      <c r="FCW386" s="252"/>
      <c r="FCX386" s="252"/>
      <c r="FCY386" s="252"/>
      <c r="FCZ386" s="252"/>
      <c r="FDA386" s="252"/>
      <c r="FDB386" s="252"/>
      <c r="FDC386" s="252"/>
      <c r="FDD386" s="252"/>
      <c r="FDE386" s="252"/>
      <c r="FDF386" s="252"/>
      <c r="FDG386" s="252"/>
      <c r="FDH386" s="252"/>
      <c r="FDI386" s="252"/>
      <c r="FDJ386" s="252"/>
      <c r="FDK386" s="252"/>
      <c r="FDL386" s="252"/>
      <c r="FDM386" s="252"/>
      <c r="FDN386" s="252"/>
      <c r="FDO386" s="252"/>
      <c r="FDP386" s="252"/>
      <c r="FDQ386" s="252"/>
      <c r="FDR386" s="252"/>
      <c r="FDS386" s="252"/>
      <c r="FDT386" s="252"/>
      <c r="FDU386" s="252"/>
      <c r="FDV386" s="252"/>
      <c r="FDW386" s="252"/>
      <c r="FDX386" s="252"/>
      <c r="FDY386" s="252"/>
      <c r="FDZ386" s="252"/>
      <c r="FEA386" s="252"/>
      <c r="FEB386" s="252"/>
      <c r="FEC386" s="252"/>
      <c r="FED386" s="252"/>
      <c r="FEE386" s="252"/>
      <c r="FEF386" s="252"/>
      <c r="FEG386" s="252"/>
      <c r="FEH386" s="252"/>
      <c r="FEI386" s="252"/>
      <c r="FEJ386" s="252"/>
      <c r="FEK386" s="252"/>
      <c r="FEL386" s="252"/>
      <c r="FEM386" s="252"/>
      <c r="FEN386" s="252"/>
      <c r="FEO386" s="252"/>
      <c r="FEP386" s="252"/>
      <c r="FEQ386" s="252"/>
      <c r="FER386" s="252"/>
      <c r="FES386" s="252"/>
      <c r="FET386" s="252"/>
      <c r="FEU386" s="252"/>
      <c r="FEV386" s="252"/>
      <c r="FEW386" s="252"/>
      <c r="FEX386" s="252"/>
      <c r="FEY386" s="252"/>
      <c r="FEZ386" s="252"/>
      <c r="FFA386" s="252"/>
      <c r="FFB386" s="252"/>
      <c r="FFC386" s="252"/>
      <c r="FFD386" s="252"/>
      <c r="FFE386" s="252"/>
      <c r="FFF386" s="252"/>
      <c r="FFG386" s="252"/>
      <c r="FFH386" s="252"/>
      <c r="FFI386" s="252"/>
      <c r="FFJ386" s="252"/>
      <c r="FFK386" s="252"/>
      <c r="FFL386" s="252"/>
      <c r="FFM386" s="252"/>
      <c r="FFN386" s="252"/>
      <c r="FFO386" s="252"/>
      <c r="FFP386" s="252"/>
      <c r="FFQ386" s="252"/>
      <c r="FFR386" s="252"/>
      <c r="FFS386" s="252"/>
      <c r="FFT386" s="252"/>
      <c r="FFU386" s="252"/>
      <c r="FFV386" s="252"/>
      <c r="FFW386" s="252"/>
      <c r="FFX386" s="252"/>
      <c r="FFY386" s="252"/>
      <c r="FFZ386" s="252"/>
      <c r="FGA386" s="252"/>
      <c r="FGB386" s="252"/>
      <c r="FGC386" s="252"/>
      <c r="FGD386" s="252"/>
      <c r="FGE386" s="252"/>
      <c r="FGF386" s="252"/>
      <c r="FGG386" s="252"/>
      <c r="FGH386" s="252"/>
      <c r="FGI386" s="252"/>
      <c r="FGJ386" s="252"/>
      <c r="FGK386" s="252"/>
      <c r="FGL386" s="252"/>
      <c r="FGM386" s="252"/>
      <c r="FGN386" s="252"/>
      <c r="FGO386" s="252"/>
      <c r="FGP386" s="252"/>
      <c r="FGQ386" s="252"/>
      <c r="FGR386" s="252"/>
      <c r="FGS386" s="252"/>
      <c r="FGT386" s="252"/>
      <c r="FGU386" s="252"/>
      <c r="FGV386" s="252"/>
      <c r="FGW386" s="252"/>
      <c r="FGX386" s="252"/>
      <c r="FGY386" s="252"/>
      <c r="FGZ386" s="252"/>
      <c r="FHA386" s="252"/>
      <c r="FHB386" s="252"/>
      <c r="FHC386" s="252"/>
      <c r="FHD386" s="252"/>
      <c r="FHE386" s="252"/>
      <c r="FHF386" s="252"/>
      <c r="FHG386" s="252"/>
      <c r="FHH386" s="252"/>
      <c r="FHI386" s="252"/>
      <c r="FHJ386" s="252"/>
      <c r="FHK386" s="252"/>
      <c r="FHL386" s="252"/>
      <c r="FHM386" s="252"/>
      <c r="FHN386" s="252"/>
      <c r="FHO386" s="252"/>
      <c r="FHP386" s="252"/>
      <c r="FHQ386" s="252"/>
      <c r="FHR386" s="252"/>
      <c r="FHS386" s="252"/>
      <c r="FHT386" s="252"/>
      <c r="FHU386" s="252"/>
      <c r="FHV386" s="252"/>
      <c r="FHW386" s="252"/>
      <c r="FHX386" s="252"/>
      <c r="FHY386" s="252"/>
      <c r="FHZ386" s="252"/>
      <c r="FIA386" s="252"/>
      <c r="FIB386" s="252"/>
      <c r="FIC386" s="252"/>
      <c r="FID386" s="252"/>
      <c r="FIE386" s="252"/>
      <c r="FIF386" s="252"/>
      <c r="FIG386" s="252"/>
      <c r="FIH386" s="252"/>
      <c r="FII386" s="252"/>
      <c r="FIJ386" s="252"/>
      <c r="FIK386" s="252"/>
      <c r="FIL386" s="252"/>
      <c r="FIM386" s="252"/>
      <c r="FIN386" s="252"/>
      <c r="FIO386" s="252"/>
      <c r="FIP386" s="252"/>
      <c r="FIQ386" s="252"/>
      <c r="FIR386" s="252"/>
      <c r="FIS386" s="252"/>
      <c r="FIT386" s="252"/>
      <c r="FIU386" s="252"/>
      <c r="FIV386" s="252"/>
      <c r="FIW386" s="252"/>
      <c r="FIX386" s="252"/>
      <c r="FIY386" s="252"/>
      <c r="FIZ386" s="252"/>
      <c r="FJA386" s="252"/>
      <c r="FJB386" s="252"/>
      <c r="FJC386" s="252"/>
      <c r="FJD386" s="252"/>
      <c r="FJE386" s="252"/>
      <c r="FJF386" s="252"/>
      <c r="FJG386" s="252"/>
      <c r="FJH386" s="252"/>
      <c r="FJI386" s="252"/>
      <c r="FJJ386" s="252"/>
      <c r="FJK386" s="252"/>
      <c r="FJL386" s="252"/>
      <c r="FJM386" s="252"/>
      <c r="FJN386" s="252"/>
      <c r="FJO386" s="252"/>
      <c r="FJP386" s="252"/>
      <c r="FJQ386" s="252"/>
      <c r="FJR386" s="252"/>
      <c r="FJS386" s="252"/>
      <c r="FJT386" s="252"/>
      <c r="FJU386" s="252"/>
      <c r="FJV386" s="252"/>
      <c r="FJW386" s="252"/>
      <c r="FJX386" s="252"/>
      <c r="FJY386" s="252"/>
      <c r="FJZ386" s="252"/>
      <c r="FKA386" s="252"/>
      <c r="FKB386" s="252"/>
      <c r="FKC386" s="252"/>
      <c r="FKD386" s="252"/>
      <c r="FKE386" s="252"/>
      <c r="FKF386" s="252"/>
      <c r="FKG386" s="252"/>
      <c r="FKH386" s="252"/>
      <c r="FKI386" s="252"/>
      <c r="FKJ386" s="252"/>
      <c r="FKK386" s="252"/>
      <c r="FKL386" s="252"/>
      <c r="FKM386" s="252"/>
      <c r="FKN386" s="252"/>
      <c r="FKO386" s="252"/>
      <c r="FKP386" s="252"/>
      <c r="FKQ386" s="252"/>
      <c r="FKR386" s="252"/>
      <c r="FKS386" s="252"/>
      <c r="FKT386" s="252"/>
      <c r="FKU386" s="252"/>
      <c r="FKV386" s="252"/>
      <c r="FKW386" s="252"/>
      <c r="FKX386" s="252"/>
      <c r="FKY386" s="252"/>
      <c r="FKZ386" s="252"/>
      <c r="FLA386" s="252"/>
      <c r="FLB386" s="252"/>
      <c r="FLC386" s="252"/>
      <c r="FLD386" s="252"/>
      <c r="FLE386" s="252"/>
      <c r="FLF386" s="252"/>
      <c r="FLG386" s="252"/>
      <c r="FLH386" s="252"/>
      <c r="FLI386" s="252"/>
      <c r="FLJ386" s="252"/>
      <c r="FLK386" s="252"/>
      <c r="FLL386" s="252"/>
      <c r="FLM386" s="252"/>
      <c r="FLN386" s="252"/>
      <c r="FLO386" s="252"/>
      <c r="FLP386" s="252"/>
      <c r="FLQ386" s="252"/>
      <c r="FLR386" s="252"/>
      <c r="FLS386" s="252"/>
      <c r="FLT386" s="252"/>
      <c r="FLU386" s="252"/>
      <c r="FLV386" s="252"/>
      <c r="FLW386" s="252"/>
      <c r="FLX386" s="252"/>
      <c r="FLY386" s="252"/>
      <c r="FLZ386" s="252"/>
      <c r="FMA386" s="252"/>
      <c r="FMB386" s="252"/>
      <c r="FMC386" s="252"/>
      <c r="FMD386" s="252"/>
      <c r="FME386" s="252"/>
      <c r="FMF386" s="252"/>
      <c r="FMG386" s="252"/>
      <c r="FMH386" s="252"/>
      <c r="FMI386" s="252"/>
      <c r="FMJ386" s="252"/>
      <c r="FMK386" s="252"/>
      <c r="FML386" s="252"/>
      <c r="FMM386" s="252"/>
      <c r="FMN386" s="252"/>
      <c r="FMO386" s="252"/>
      <c r="FMP386" s="252"/>
      <c r="FMQ386" s="252"/>
      <c r="FMR386" s="252"/>
      <c r="FMS386" s="252"/>
      <c r="FMT386" s="252"/>
      <c r="FMU386" s="252"/>
      <c r="FMV386" s="252"/>
      <c r="FMW386" s="252"/>
      <c r="FMX386" s="252"/>
      <c r="FMY386" s="252"/>
      <c r="FMZ386" s="252"/>
      <c r="FNA386" s="252"/>
      <c r="FNB386" s="252"/>
      <c r="FNC386" s="252"/>
      <c r="FND386" s="252"/>
      <c r="FNE386" s="252"/>
      <c r="FNF386" s="252"/>
      <c r="FNG386" s="252"/>
      <c r="FNH386" s="252"/>
      <c r="FNI386" s="252"/>
      <c r="FNJ386" s="252"/>
      <c r="FNK386" s="252"/>
      <c r="FNL386" s="252"/>
      <c r="FNM386" s="252"/>
      <c r="FNN386" s="252"/>
      <c r="FNO386" s="252"/>
      <c r="FNP386" s="252"/>
      <c r="FNQ386" s="252"/>
      <c r="FNR386" s="252"/>
      <c r="FNS386" s="252"/>
      <c r="FNT386" s="252"/>
      <c r="FNU386" s="252"/>
      <c r="FNV386" s="252"/>
      <c r="FNW386" s="252"/>
      <c r="FNX386" s="252"/>
      <c r="FNY386" s="252"/>
      <c r="FNZ386" s="252"/>
      <c r="FOA386" s="252"/>
      <c r="FOB386" s="252"/>
      <c r="FOC386" s="252"/>
      <c r="FOD386" s="252"/>
      <c r="FOE386" s="252"/>
      <c r="FOF386" s="252"/>
      <c r="FOG386" s="252"/>
      <c r="FOH386" s="252"/>
      <c r="FOI386" s="252"/>
      <c r="FOJ386" s="252"/>
      <c r="FOK386" s="252"/>
      <c r="FOL386" s="252"/>
      <c r="FOM386" s="252"/>
      <c r="FON386" s="252"/>
      <c r="FOO386" s="252"/>
      <c r="FOP386" s="252"/>
      <c r="FOQ386" s="252"/>
      <c r="FOR386" s="252"/>
      <c r="FOS386" s="252"/>
      <c r="FOT386" s="252"/>
      <c r="FOU386" s="252"/>
      <c r="FOV386" s="252"/>
      <c r="FOW386" s="252"/>
      <c r="FOX386" s="252"/>
      <c r="FOY386" s="252"/>
      <c r="FOZ386" s="252"/>
      <c r="FPA386" s="252"/>
      <c r="FPB386" s="252"/>
      <c r="FPC386" s="252"/>
      <c r="FPD386" s="252"/>
      <c r="FPE386" s="252"/>
      <c r="FPF386" s="252"/>
      <c r="FPG386" s="252"/>
      <c r="FPH386" s="252"/>
      <c r="FPI386" s="252"/>
      <c r="FPJ386" s="252"/>
      <c r="FPK386" s="252"/>
      <c r="FPL386" s="252"/>
      <c r="FPM386" s="252"/>
      <c r="FPN386" s="252"/>
      <c r="FPO386" s="252"/>
      <c r="FPP386" s="252"/>
      <c r="FPQ386" s="252"/>
      <c r="FPR386" s="252"/>
      <c r="FPS386" s="252"/>
      <c r="FPT386" s="252"/>
      <c r="FPU386" s="252"/>
      <c r="FPV386" s="252"/>
      <c r="FPW386" s="252"/>
      <c r="FPX386" s="252"/>
      <c r="FPY386" s="252"/>
      <c r="FPZ386" s="252"/>
      <c r="FQA386" s="252"/>
      <c r="FQB386" s="252"/>
      <c r="FQC386" s="252"/>
      <c r="FQD386" s="252"/>
      <c r="FQE386" s="252"/>
      <c r="FQF386" s="252"/>
      <c r="FQG386" s="252"/>
      <c r="FQH386" s="252"/>
      <c r="FQI386" s="252"/>
      <c r="FQJ386" s="252"/>
      <c r="FQK386" s="252"/>
      <c r="FQL386" s="252"/>
      <c r="FQM386" s="252"/>
      <c r="FQN386" s="252"/>
      <c r="FQO386" s="252"/>
      <c r="FQP386" s="252"/>
      <c r="FQQ386" s="252"/>
      <c r="FQR386" s="252"/>
      <c r="FQS386" s="252"/>
      <c r="FQT386" s="252"/>
      <c r="FQU386" s="252"/>
      <c r="FQV386" s="252"/>
      <c r="FQW386" s="252"/>
      <c r="FQX386" s="252"/>
      <c r="FQY386" s="252"/>
      <c r="FQZ386" s="252"/>
      <c r="FRA386" s="252"/>
      <c r="FRB386" s="252"/>
      <c r="FRC386" s="252"/>
      <c r="FRD386" s="252"/>
      <c r="FRE386" s="252"/>
      <c r="FRF386" s="252"/>
      <c r="FRG386" s="252"/>
      <c r="FRH386" s="252"/>
      <c r="FRI386" s="252"/>
      <c r="FRJ386" s="252"/>
      <c r="FRK386" s="252"/>
      <c r="FRL386" s="252"/>
      <c r="FRM386" s="252"/>
      <c r="FRN386" s="252"/>
      <c r="FRO386" s="252"/>
      <c r="FRP386" s="252"/>
      <c r="FRQ386" s="252"/>
      <c r="FRR386" s="252"/>
      <c r="FRS386" s="252"/>
      <c r="FRT386" s="252"/>
      <c r="FRU386" s="252"/>
      <c r="FRV386" s="252"/>
      <c r="FRW386" s="252"/>
      <c r="FRX386" s="252"/>
      <c r="FRY386" s="252"/>
      <c r="FRZ386" s="252"/>
      <c r="FSA386" s="252"/>
      <c r="FSB386" s="252"/>
      <c r="FSC386" s="252"/>
      <c r="FSD386" s="252"/>
      <c r="FSE386" s="252"/>
      <c r="FSF386" s="252"/>
      <c r="FSG386" s="252"/>
      <c r="FSH386" s="252"/>
      <c r="FSI386" s="252"/>
      <c r="FSJ386" s="252"/>
      <c r="FSK386" s="252"/>
      <c r="FSL386" s="252"/>
      <c r="FSM386" s="252"/>
      <c r="FSN386" s="252"/>
      <c r="FSO386" s="252"/>
      <c r="FSP386" s="252"/>
      <c r="FSQ386" s="252"/>
      <c r="FSR386" s="252"/>
      <c r="FSS386" s="252"/>
      <c r="FST386" s="252"/>
      <c r="FSU386" s="252"/>
      <c r="FSV386" s="252"/>
      <c r="FSW386" s="252"/>
      <c r="FSX386" s="252"/>
      <c r="FSY386" s="252"/>
      <c r="FSZ386" s="252"/>
      <c r="FTA386" s="252"/>
      <c r="FTB386" s="252"/>
      <c r="FTC386" s="252"/>
      <c r="FTD386" s="252"/>
      <c r="FTE386" s="252"/>
      <c r="FTF386" s="252"/>
      <c r="FTG386" s="252"/>
      <c r="FTH386" s="252"/>
      <c r="FTI386" s="252"/>
      <c r="FTJ386" s="252"/>
      <c r="FTK386" s="252"/>
      <c r="FTL386" s="252"/>
      <c r="FTM386" s="252"/>
      <c r="FTN386" s="252"/>
      <c r="FTO386" s="252"/>
      <c r="FTP386" s="252"/>
      <c r="FTQ386" s="252"/>
      <c r="FTR386" s="252"/>
      <c r="FTS386" s="252"/>
      <c r="FTT386" s="252"/>
      <c r="FTU386" s="252"/>
      <c r="FTV386" s="252"/>
      <c r="FTW386" s="252"/>
      <c r="FTX386" s="252"/>
      <c r="FTY386" s="252"/>
      <c r="FTZ386" s="252"/>
      <c r="FUA386" s="252"/>
      <c r="FUB386" s="252"/>
      <c r="FUC386" s="252"/>
      <c r="FUD386" s="252"/>
      <c r="FUE386" s="252"/>
      <c r="FUF386" s="252"/>
      <c r="FUG386" s="252"/>
      <c r="FUH386" s="252"/>
      <c r="FUI386" s="252"/>
      <c r="FUJ386" s="252"/>
      <c r="FUK386" s="252"/>
      <c r="FUL386" s="252"/>
      <c r="FUM386" s="252"/>
      <c r="FUN386" s="252"/>
      <c r="FUO386" s="252"/>
      <c r="FUP386" s="252"/>
      <c r="FUQ386" s="252"/>
      <c r="FUR386" s="252"/>
      <c r="FUS386" s="252"/>
      <c r="FUT386" s="252"/>
      <c r="FUU386" s="252"/>
      <c r="FUV386" s="252"/>
      <c r="FUW386" s="252"/>
      <c r="FUX386" s="252"/>
      <c r="FUY386" s="252"/>
      <c r="FUZ386" s="252"/>
      <c r="FVA386" s="252"/>
      <c r="FVB386" s="252"/>
      <c r="FVC386" s="252"/>
      <c r="FVD386" s="252"/>
      <c r="FVE386" s="252"/>
      <c r="FVF386" s="252"/>
      <c r="FVG386" s="252"/>
      <c r="FVH386" s="252"/>
      <c r="FVI386" s="252"/>
      <c r="FVJ386" s="252"/>
      <c r="FVK386" s="252"/>
      <c r="FVL386" s="252"/>
      <c r="FVM386" s="252"/>
      <c r="FVN386" s="252"/>
      <c r="FVO386" s="252"/>
      <c r="FVP386" s="252"/>
      <c r="FVQ386" s="252"/>
      <c r="FVR386" s="252"/>
      <c r="FVS386" s="252"/>
      <c r="FVT386" s="252"/>
      <c r="FVU386" s="252"/>
      <c r="FVV386" s="252"/>
      <c r="FVW386" s="252"/>
      <c r="FVX386" s="252"/>
      <c r="FVY386" s="252"/>
      <c r="FVZ386" s="252"/>
      <c r="FWA386" s="252"/>
      <c r="FWB386" s="252"/>
      <c r="FWC386" s="252"/>
      <c r="FWD386" s="252"/>
      <c r="FWE386" s="252"/>
      <c r="FWF386" s="252"/>
      <c r="FWG386" s="252"/>
      <c r="FWH386" s="252"/>
      <c r="FWI386" s="252"/>
      <c r="FWJ386" s="252"/>
      <c r="FWK386" s="252"/>
      <c r="FWL386" s="252"/>
      <c r="FWM386" s="252"/>
      <c r="FWN386" s="252"/>
      <c r="FWO386" s="252"/>
      <c r="FWP386" s="252"/>
      <c r="FWQ386" s="252"/>
      <c r="FWR386" s="252"/>
      <c r="FWS386" s="252"/>
      <c r="FWT386" s="252"/>
      <c r="FWU386" s="252"/>
      <c r="FWV386" s="252"/>
      <c r="FWW386" s="252"/>
      <c r="FWX386" s="252"/>
      <c r="FWY386" s="252"/>
      <c r="FWZ386" s="252"/>
      <c r="FXA386" s="252"/>
      <c r="FXB386" s="252"/>
      <c r="FXC386" s="252"/>
      <c r="FXD386" s="252"/>
      <c r="FXE386" s="252"/>
      <c r="FXF386" s="252"/>
      <c r="FXG386" s="252"/>
      <c r="FXH386" s="252"/>
      <c r="FXI386" s="252"/>
      <c r="FXJ386" s="252"/>
      <c r="FXK386" s="252"/>
      <c r="FXL386" s="252"/>
      <c r="FXM386" s="252"/>
      <c r="FXN386" s="252"/>
      <c r="FXO386" s="252"/>
      <c r="FXP386" s="252"/>
      <c r="FXQ386" s="252"/>
      <c r="FXR386" s="252"/>
      <c r="FXS386" s="252"/>
      <c r="FXT386" s="252"/>
      <c r="FXU386" s="252"/>
      <c r="FXV386" s="252"/>
      <c r="FXW386" s="252"/>
      <c r="FXX386" s="252"/>
      <c r="FXY386" s="252"/>
      <c r="FXZ386" s="252"/>
      <c r="FYA386" s="252"/>
      <c r="FYB386" s="252"/>
      <c r="FYC386" s="252"/>
      <c r="FYD386" s="252"/>
      <c r="FYE386" s="252"/>
      <c r="FYF386" s="252"/>
      <c r="FYG386" s="252"/>
      <c r="FYH386" s="252"/>
      <c r="FYI386" s="252"/>
      <c r="FYJ386" s="252"/>
      <c r="FYK386" s="252"/>
      <c r="FYL386" s="252"/>
      <c r="FYM386" s="252"/>
      <c r="FYN386" s="252"/>
      <c r="FYO386" s="252"/>
      <c r="FYP386" s="252"/>
      <c r="FYQ386" s="252"/>
      <c r="FYR386" s="252"/>
      <c r="FYS386" s="252"/>
      <c r="FYT386" s="252"/>
      <c r="FYU386" s="252"/>
      <c r="FYV386" s="252"/>
      <c r="FYW386" s="252"/>
      <c r="FYX386" s="252"/>
      <c r="FYY386" s="252"/>
      <c r="FYZ386" s="252"/>
      <c r="FZA386" s="252"/>
      <c r="FZB386" s="252"/>
      <c r="FZC386" s="252"/>
      <c r="FZD386" s="252"/>
      <c r="FZE386" s="252"/>
      <c r="FZF386" s="252"/>
      <c r="FZG386" s="252"/>
      <c r="FZH386" s="252"/>
      <c r="FZI386" s="252"/>
      <c r="FZJ386" s="252"/>
      <c r="FZK386" s="252"/>
      <c r="FZL386" s="252"/>
      <c r="FZM386" s="252"/>
      <c r="FZN386" s="252"/>
      <c r="FZO386" s="252"/>
      <c r="FZP386" s="252"/>
      <c r="FZQ386" s="252"/>
      <c r="FZR386" s="252"/>
      <c r="FZS386" s="252"/>
      <c r="FZT386" s="252"/>
      <c r="FZU386" s="252"/>
      <c r="FZV386" s="252"/>
      <c r="FZW386" s="252"/>
      <c r="FZX386" s="252"/>
      <c r="FZY386" s="252"/>
      <c r="FZZ386" s="252"/>
      <c r="GAA386" s="252"/>
      <c r="GAB386" s="252"/>
      <c r="GAC386" s="252"/>
      <c r="GAD386" s="252"/>
      <c r="GAE386" s="252"/>
      <c r="GAF386" s="252"/>
      <c r="GAG386" s="252"/>
      <c r="GAH386" s="252"/>
      <c r="GAI386" s="252"/>
      <c r="GAJ386" s="252"/>
      <c r="GAK386" s="252"/>
      <c r="GAL386" s="252"/>
      <c r="GAM386" s="252"/>
      <c r="GAN386" s="252"/>
      <c r="GAO386" s="252"/>
      <c r="GAP386" s="252"/>
      <c r="GAQ386" s="252"/>
      <c r="GAR386" s="252"/>
      <c r="GAS386" s="252"/>
      <c r="GAT386" s="252"/>
      <c r="GAU386" s="252"/>
      <c r="GAV386" s="252"/>
      <c r="GAW386" s="252"/>
      <c r="GAX386" s="252"/>
      <c r="GAY386" s="252"/>
      <c r="GAZ386" s="252"/>
      <c r="GBA386" s="252"/>
      <c r="GBB386" s="252"/>
      <c r="GBC386" s="252"/>
      <c r="GBD386" s="252"/>
      <c r="GBE386" s="252"/>
      <c r="GBF386" s="252"/>
      <c r="GBG386" s="252"/>
      <c r="GBH386" s="252"/>
      <c r="GBI386" s="252"/>
      <c r="GBJ386" s="252"/>
      <c r="GBK386" s="252"/>
      <c r="GBL386" s="252"/>
      <c r="GBM386" s="252"/>
      <c r="GBN386" s="252"/>
      <c r="GBO386" s="252"/>
      <c r="GBP386" s="252"/>
      <c r="GBQ386" s="252"/>
      <c r="GBR386" s="252"/>
      <c r="GBS386" s="252"/>
      <c r="GBT386" s="252"/>
      <c r="GBU386" s="252"/>
      <c r="GBV386" s="252"/>
      <c r="GBW386" s="252"/>
      <c r="GBX386" s="252"/>
      <c r="GBY386" s="252"/>
      <c r="GBZ386" s="252"/>
      <c r="GCA386" s="252"/>
      <c r="GCB386" s="252"/>
      <c r="GCC386" s="252"/>
      <c r="GCD386" s="252"/>
      <c r="GCE386" s="252"/>
      <c r="GCF386" s="252"/>
      <c r="GCG386" s="252"/>
      <c r="GCH386" s="252"/>
      <c r="GCI386" s="252"/>
      <c r="GCJ386" s="252"/>
      <c r="GCK386" s="252"/>
      <c r="GCL386" s="252"/>
      <c r="GCM386" s="252"/>
      <c r="GCN386" s="252"/>
      <c r="GCO386" s="252"/>
      <c r="GCP386" s="252"/>
      <c r="GCQ386" s="252"/>
      <c r="GCR386" s="252"/>
      <c r="GCS386" s="252"/>
      <c r="GCT386" s="252"/>
      <c r="GCU386" s="252"/>
      <c r="GCV386" s="252"/>
      <c r="GCW386" s="252"/>
      <c r="GCX386" s="252"/>
      <c r="GCY386" s="252"/>
      <c r="GCZ386" s="252"/>
      <c r="GDA386" s="252"/>
      <c r="GDB386" s="252"/>
      <c r="GDC386" s="252"/>
      <c r="GDD386" s="252"/>
      <c r="GDE386" s="252"/>
      <c r="GDF386" s="252"/>
      <c r="GDG386" s="252"/>
      <c r="GDH386" s="252"/>
      <c r="GDI386" s="252"/>
      <c r="GDJ386" s="252"/>
      <c r="GDK386" s="252"/>
      <c r="GDL386" s="252"/>
      <c r="GDM386" s="252"/>
      <c r="GDN386" s="252"/>
      <c r="GDO386" s="252"/>
      <c r="GDP386" s="252"/>
      <c r="GDQ386" s="252"/>
      <c r="GDR386" s="252"/>
      <c r="GDS386" s="252"/>
      <c r="GDT386" s="252"/>
      <c r="GDU386" s="252"/>
      <c r="GDV386" s="252"/>
      <c r="GDW386" s="252"/>
      <c r="GDX386" s="252"/>
      <c r="GDY386" s="252"/>
      <c r="GDZ386" s="252"/>
      <c r="GEA386" s="252"/>
      <c r="GEB386" s="252"/>
      <c r="GEC386" s="252"/>
      <c r="GED386" s="252"/>
      <c r="GEE386" s="252"/>
      <c r="GEF386" s="252"/>
      <c r="GEG386" s="252"/>
      <c r="GEH386" s="252"/>
      <c r="GEI386" s="252"/>
      <c r="GEJ386" s="252"/>
      <c r="GEK386" s="252"/>
      <c r="GEL386" s="252"/>
      <c r="GEM386" s="252"/>
      <c r="GEN386" s="252"/>
      <c r="GEO386" s="252"/>
      <c r="GEP386" s="252"/>
      <c r="GEQ386" s="252"/>
      <c r="GER386" s="252"/>
      <c r="GES386" s="252"/>
      <c r="GET386" s="252"/>
      <c r="GEU386" s="252"/>
      <c r="GEV386" s="252"/>
      <c r="GEW386" s="252"/>
      <c r="GEX386" s="252"/>
      <c r="GEY386" s="252"/>
      <c r="GEZ386" s="252"/>
      <c r="GFA386" s="252"/>
      <c r="GFB386" s="252"/>
      <c r="GFC386" s="252"/>
      <c r="GFD386" s="252"/>
      <c r="GFE386" s="252"/>
      <c r="GFF386" s="252"/>
      <c r="GFG386" s="252"/>
      <c r="GFH386" s="252"/>
      <c r="GFI386" s="252"/>
      <c r="GFJ386" s="252"/>
      <c r="GFK386" s="252"/>
      <c r="GFL386" s="252"/>
      <c r="GFM386" s="252"/>
      <c r="GFN386" s="252"/>
      <c r="GFO386" s="252"/>
      <c r="GFP386" s="252"/>
      <c r="GFQ386" s="252"/>
      <c r="GFR386" s="252"/>
      <c r="GFS386" s="252"/>
      <c r="GFT386" s="252"/>
      <c r="GFU386" s="252"/>
      <c r="GFV386" s="252"/>
      <c r="GFW386" s="252"/>
      <c r="GFX386" s="252"/>
      <c r="GFY386" s="252"/>
      <c r="GFZ386" s="252"/>
      <c r="GGA386" s="252"/>
      <c r="GGB386" s="252"/>
      <c r="GGC386" s="252"/>
      <c r="GGD386" s="252"/>
      <c r="GGE386" s="252"/>
      <c r="GGF386" s="252"/>
      <c r="GGG386" s="252"/>
      <c r="GGH386" s="252"/>
      <c r="GGI386" s="252"/>
      <c r="GGJ386" s="252"/>
      <c r="GGK386" s="252"/>
      <c r="GGL386" s="252"/>
      <c r="GGM386" s="252"/>
      <c r="GGN386" s="252"/>
      <c r="GGO386" s="252"/>
      <c r="GGP386" s="252"/>
      <c r="GGQ386" s="252"/>
      <c r="GGR386" s="252"/>
      <c r="GGS386" s="252"/>
      <c r="GGT386" s="252"/>
      <c r="GGU386" s="252"/>
      <c r="GGV386" s="252"/>
      <c r="GGW386" s="252"/>
      <c r="GGX386" s="252"/>
      <c r="GGY386" s="252"/>
      <c r="GGZ386" s="252"/>
      <c r="GHA386" s="252"/>
      <c r="GHB386" s="252"/>
      <c r="GHC386" s="252"/>
      <c r="GHD386" s="252"/>
      <c r="GHE386" s="252"/>
      <c r="GHF386" s="252"/>
      <c r="GHG386" s="252"/>
      <c r="GHH386" s="252"/>
      <c r="GHI386" s="252"/>
      <c r="GHJ386" s="252"/>
      <c r="GHK386" s="252"/>
      <c r="GHL386" s="252"/>
      <c r="GHM386" s="252"/>
      <c r="GHN386" s="252"/>
      <c r="GHO386" s="252"/>
      <c r="GHP386" s="252"/>
      <c r="GHQ386" s="252"/>
      <c r="GHR386" s="252"/>
      <c r="GHS386" s="252"/>
      <c r="GHT386" s="252"/>
      <c r="GHU386" s="252"/>
      <c r="GHV386" s="252"/>
      <c r="GHW386" s="252"/>
      <c r="GHX386" s="252"/>
      <c r="GHY386" s="252"/>
      <c r="GHZ386" s="252"/>
      <c r="GIA386" s="252"/>
      <c r="GIB386" s="252"/>
      <c r="GIC386" s="252"/>
      <c r="GID386" s="252"/>
      <c r="GIE386" s="252"/>
      <c r="GIF386" s="252"/>
      <c r="GIG386" s="252"/>
      <c r="GIH386" s="252"/>
      <c r="GII386" s="252"/>
      <c r="GIJ386" s="252"/>
      <c r="GIK386" s="252"/>
      <c r="GIL386" s="252"/>
      <c r="GIM386" s="252"/>
      <c r="GIN386" s="252"/>
      <c r="GIO386" s="252"/>
      <c r="GIP386" s="252"/>
      <c r="GIQ386" s="252"/>
      <c r="GIR386" s="252"/>
      <c r="GIS386" s="252"/>
      <c r="GIT386" s="252"/>
      <c r="GIU386" s="252"/>
      <c r="GIV386" s="252"/>
      <c r="GIW386" s="252"/>
      <c r="GIX386" s="252"/>
      <c r="GIY386" s="252"/>
      <c r="GIZ386" s="252"/>
      <c r="GJA386" s="252"/>
      <c r="GJB386" s="252"/>
      <c r="GJC386" s="252"/>
      <c r="GJD386" s="252"/>
      <c r="GJE386" s="252"/>
      <c r="GJF386" s="252"/>
      <c r="GJG386" s="252"/>
      <c r="GJH386" s="252"/>
      <c r="GJI386" s="252"/>
      <c r="GJJ386" s="252"/>
      <c r="GJK386" s="252"/>
      <c r="GJL386" s="252"/>
      <c r="GJM386" s="252"/>
      <c r="GJN386" s="252"/>
      <c r="GJO386" s="252"/>
      <c r="GJP386" s="252"/>
      <c r="GJQ386" s="252"/>
      <c r="GJR386" s="252"/>
      <c r="GJS386" s="252"/>
      <c r="GJT386" s="252"/>
      <c r="GJU386" s="252"/>
      <c r="GJV386" s="252"/>
      <c r="GJW386" s="252"/>
      <c r="GJX386" s="252"/>
      <c r="GJY386" s="252"/>
      <c r="GJZ386" s="252"/>
      <c r="GKA386" s="252"/>
      <c r="GKB386" s="252"/>
      <c r="GKC386" s="252"/>
      <c r="GKD386" s="252"/>
      <c r="GKE386" s="252"/>
      <c r="GKF386" s="252"/>
      <c r="GKG386" s="252"/>
      <c r="GKH386" s="252"/>
      <c r="GKI386" s="252"/>
      <c r="GKJ386" s="252"/>
      <c r="GKK386" s="252"/>
      <c r="GKL386" s="252"/>
      <c r="GKM386" s="252"/>
      <c r="GKN386" s="252"/>
      <c r="GKO386" s="252"/>
      <c r="GKP386" s="252"/>
      <c r="GKQ386" s="252"/>
      <c r="GKR386" s="252"/>
      <c r="GKS386" s="252"/>
      <c r="GKT386" s="252"/>
      <c r="GKU386" s="252"/>
      <c r="GKV386" s="252"/>
      <c r="GKW386" s="252"/>
      <c r="GKX386" s="252"/>
      <c r="GKY386" s="252"/>
      <c r="GKZ386" s="252"/>
      <c r="GLA386" s="252"/>
      <c r="GLB386" s="252"/>
      <c r="GLC386" s="252"/>
      <c r="GLD386" s="252"/>
      <c r="GLE386" s="252"/>
      <c r="GLF386" s="252"/>
      <c r="GLG386" s="252"/>
      <c r="GLH386" s="252"/>
      <c r="GLI386" s="252"/>
      <c r="GLJ386" s="252"/>
      <c r="GLK386" s="252"/>
      <c r="GLL386" s="252"/>
      <c r="GLM386" s="252"/>
      <c r="GLN386" s="252"/>
      <c r="GLO386" s="252"/>
      <c r="GLP386" s="252"/>
      <c r="GLQ386" s="252"/>
      <c r="GLR386" s="252"/>
      <c r="GLS386" s="252"/>
      <c r="GLT386" s="252"/>
      <c r="GLU386" s="252"/>
      <c r="GLV386" s="252"/>
      <c r="GLW386" s="252"/>
      <c r="GLX386" s="252"/>
      <c r="GLY386" s="252"/>
      <c r="GLZ386" s="252"/>
      <c r="GMA386" s="252"/>
      <c r="GMB386" s="252"/>
      <c r="GMC386" s="252"/>
      <c r="GMD386" s="252"/>
      <c r="GME386" s="252"/>
      <c r="GMF386" s="252"/>
      <c r="GMG386" s="252"/>
      <c r="GMH386" s="252"/>
      <c r="GMI386" s="252"/>
      <c r="GMJ386" s="252"/>
      <c r="GMK386" s="252"/>
      <c r="GML386" s="252"/>
      <c r="GMM386" s="252"/>
      <c r="GMN386" s="252"/>
      <c r="GMO386" s="252"/>
      <c r="GMP386" s="252"/>
      <c r="GMQ386" s="252"/>
      <c r="GMR386" s="252"/>
      <c r="GMS386" s="252"/>
      <c r="GMT386" s="252"/>
      <c r="GMU386" s="252"/>
      <c r="GMV386" s="252"/>
      <c r="GMW386" s="252"/>
      <c r="GMX386" s="252"/>
      <c r="GMY386" s="252"/>
      <c r="GMZ386" s="252"/>
      <c r="GNA386" s="252"/>
      <c r="GNB386" s="252"/>
      <c r="GNC386" s="252"/>
      <c r="GND386" s="252"/>
      <c r="GNE386" s="252"/>
      <c r="GNF386" s="252"/>
      <c r="GNG386" s="252"/>
      <c r="GNH386" s="252"/>
      <c r="GNI386" s="252"/>
      <c r="GNJ386" s="252"/>
      <c r="GNK386" s="252"/>
      <c r="GNL386" s="252"/>
      <c r="GNM386" s="252"/>
      <c r="GNN386" s="252"/>
      <c r="GNO386" s="252"/>
      <c r="GNP386" s="252"/>
      <c r="GNQ386" s="252"/>
      <c r="GNR386" s="252"/>
      <c r="GNS386" s="252"/>
      <c r="GNT386" s="252"/>
      <c r="GNU386" s="252"/>
      <c r="GNV386" s="252"/>
      <c r="GNW386" s="252"/>
      <c r="GNX386" s="252"/>
      <c r="GNY386" s="252"/>
      <c r="GNZ386" s="252"/>
      <c r="GOA386" s="252"/>
      <c r="GOB386" s="252"/>
      <c r="GOC386" s="252"/>
      <c r="GOD386" s="252"/>
      <c r="GOE386" s="252"/>
      <c r="GOF386" s="252"/>
      <c r="GOG386" s="252"/>
      <c r="GOH386" s="252"/>
      <c r="GOI386" s="252"/>
      <c r="GOJ386" s="252"/>
      <c r="GOK386" s="252"/>
      <c r="GOL386" s="252"/>
      <c r="GOM386" s="252"/>
      <c r="GON386" s="252"/>
      <c r="GOO386" s="252"/>
      <c r="GOP386" s="252"/>
      <c r="GOQ386" s="252"/>
      <c r="GOR386" s="252"/>
      <c r="GOS386" s="252"/>
      <c r="GOT386" s="252"/>
      <c r="GOU386" s="252"/>
      <c r="GOV386" s="252"/>
      <c r="GOW386" s="252"/>
      <c r="GOX386" s="252"/>
      <c r="GOY386" s="252"/>
      <c r="GOZ386" s="252"/>
      <c r="GPA386" s="252"/>
      <c r="GPB386" s="252"/>
      <c r="GPC386" s="252"/>
      <c r="GPD386" s="252"/>
      <c r="GPE386" s="252"/>
      <c r="GPF386" s="252"/>
      <c r="GPG386" s="252"/>
      <c r="GPH386" s="252"/>
      <c r="GPI386" s="252"/>
      <c r="GPJ386" s="252"/>
      <c r="GPK386" s="252"/>
      <c r="GPL386" s="252"/>
      <c r="GPM386" s="252"/>
      <c r="GPN386" s="252"/>
      <c r="GPO386" s="252"/>
      <c r="GPP386" s="252"/>
      <c r="GPQ386" s="252"/>
      <c r="GPR386" s="252"/>
      <c r="GPS386" s="252"/>
      <c r="GPT386" s="252"/>
      <c r="GPU386" s="252"/>
      <c r="GPV386" s="252"/>
      <c r="GPW386" s="252"/>
      <c r="GPX386" s="252"/>
      <c r="GPY386" s="252"/>
      <c r="GPZ386" s="252"/>
      <c r="GQA386" s="252"/>
      <c r="GQB386" s="252"/>
      <c r="GQC386" s="252"/>
      <c r="GQD386" s="252"/>
      <c r="GQE386" s="252"/>
      <c r="GQF386" s="252"/>
      <c r="GQG386" s="252"/>
      <c r="GQH386" s="252"/>
      <c r="GQI386" s="252"/>
      <c r="GQJ386" s="252"/>
      <c r="GQK386" s="252"/>
      <c r="GQL386" s="252"/>
      <c r="GQM386" s="252"/>
      <c r="GQN386" s="252"/>
      <c r="GQO386" s="252"/>
      <c r="GQP386" s="252"/>
      <c r="GQQ386" s="252"/>
      <c r="GQR386" s="252"/>
      <c r="GQS386" s="252"/>
      <c r="GQT386" s="252"/>
      <c r="GQU386" s="252"/>
      <c r="GQV386" s="252"/>
      <c r="GQW386" s="252"/>
      <c r="GQX386" s="252"/>
      <c r="GQY386" s="252"/>
      <c r="GQZ386" s="252"/>
      <c r="GRA386" s="252"/>
      <c r="GRB386" s="252"/>
      <c r="GRC386" s="252"/>
      <c r="GRD386" s="252"/>
      <c r="GRE386" s="252"/>
      <c r="GRF386" s="252"/>
      <c r="GRG386" s="252"/>
      <c r="GRH386" s="252"/>
      <c r="GRI386" s="252"/>
      <c r="GRJ386" s="252"/>
      <c r="GRK386" s="252"/>
      <c r="GRL386" s="252"/>
      <c r="GRM386" s="252"/>
      <c r="GRN386" s="252"/>
      <c r="GRO386" s="252"/>
      <c r="GRP386" s="252"/>
      <c r="GRQ386" s="252"/>
      <c r="GRR386" s="252"/>
      <c r="GRS386" s="252"/>
      <c r="GRT386" s="252"/>
      <c r="GRU386" s="252"/>
      <c r="GRV386" s="252"/>
      <c r="GRW386" s="252"/>
      <c r="GRX386" s="252"/>
      <c r="GRY386" s="252"/>
      <c r="GRZ386" s="252"/>
      <c r="GSA386" s="252"/>
      <c r="GSB386" s="252"/>
      <c r="GSC386" s="252"/>
      <c r="GSD386" s="252"/>
      <c r="GSE386" s="252"/>
      <c r="GSF386" s="252"/>
      <c r="GSG386" s="252"/>
      <c r="GSH386" s="252"/>
      <c r="GSI386" s="252"/>
      <c r="GSJ386" s="252"/>
      <c r="GSK386" s="252"/>
      <c r="GSL386" s="252"/>
      <c r="GSM386" s="252"/>
      <c r="GSN386" s="252"/>
      <c r="GSO386" s="252"/>
      <c r="GSP386" s="252"/>
      <c r="GSQ386" s="252"/>
      <c r="GSR386" s="252"/>
      <c r="GSS386" s="252"/>
      <c r="GST386" s="252"/>
      <c r="GSU386" s="252"/>
      <c r="GSV386" s="252"/>
      <c r="GSW386" s="252"/>
      <c r="GSX386" s="252"/>
      <c r="GSY386" s="252"/>
      <c r="GSZ386" s="252"/>
      <c r="GTA386" s="252"/>
      <c r="GTB386" s="252"/>
      <c r="GTC386" s="252"/>
      <c r="GTD386" s="252"/>
      <c r="GTE386" s="252"/>
      <c r="GTF386" s="252"/>
      <c r="GTG386" s="252"/>
      <c r="GTH386" s="252"/>
      <c r="GTI386" s="252"/>
      <c r="GTJ386" s="252"/>
      <c r="GTK386" s="252"/>
      <c r="GTL386" s="252"/>
      <c r="GTM386" s="252"/>
      <c r="GTN386" s="252"/>
      <c r="GTO386" s="252"/>
      <c r="GTP386" s="252"/>
      <c r="GTQ386" s="252"/>
      <c r="GTR386" s="252"/>
      <c r="GTS386" s="252"/>
      <c r="GTT386" s="252"/>
      <c r="GTU386" s="252"/>
      <c r="GTV386" s="252"/>
      <c r="GTW386" s="252"/>
      <c r="GTX386" s="252"/>
      <c r="GTY386" s="252"/>
      <c r="GTZ386" s="252"/>
      <c r="GUA386" s="252"/>
      <c r="GUB386" s="252"/>
      <c r="GUC386" s="252"/>
      <c r="GUD386" s="252"/>
      <c r="GUE386" s="252"/>
      <c r="GUF386" s="252"/>
      <c r="GUG386" s="252"/>
      <c r="GUH386" s="252"/>
      <c r="GUI386" s="252"/>
      <c r="GUJ386" s="252"/>
      <c r="GUK386" s="252"/>
      <c r="GUL386" s="252"/>
      <c r="GUM386" s="252"/>
      <c r="GUN386" s="252"/>
      <c r="GUO386" s="252"/>
      <c r="GUP386" s="252"/>
      <c r="GUQ386" s="252"/>
      <c r="GUR386" s="252"/>
      <c r="GUS386" s="252"/>
      <c r="GUT386" s="252"/>
      <c r="GUU386" s="252"/>
      <c r="GUV386" s="252"/>
      <c r="GUW386" s="252"/>
      <c r="GUX386" s="252"/>
      <c r="GUY386" s="252"/>
      <c r="GUZ386" s="252"/>
      <c r="GVA386" s="252"/>
      <c r="GVB386" s="252"/>
      <c r="GVC386" s="252"/>
      <c r="GVD386" s="252"/>
      <c r="GVE386" s="252"/>
      <c r="GVF386" s="252"/>
      <c r="GVG386" s="252"/>
      <c r="GVH386" s="252"/>
      <c r="GVI386" s="252"/>
      <c r="GVJ386" s="252"/>
      <c r="GVK386" s="252"/>
      <c r="GVL386" s="252"/>
      <c r="GVM386" s="252"/>
      <c r="GVN386" s="252"/>
      <c r="GVO386" s="252"/>
      <c r="GVP386" s="252"/>
      <c r="GVQ386" s="252"/>
      <c r="GVR386" s="252"/>
      <c r="GVS386" s="252"/>
      <c r="GVT386" s="252"/>
      <c r="GVU386" s="252"/>
      <c r="GVV386" s="252"/>
      <c r="GVW386" s="252"/>
      <c r="GVX386" s="252"/>
      <c r="GVY386" s="252"/>
      <c r="GVZ386" s="252"/>
      <c r="GWA386" s="252"/>
      <c r="GWB386" s="252"/>
      <c r="GWC386" s="252"/>
      <c r="GWD386" s="252"/>
      <c r="GWE386" s="252"/>
      <c r="GWF386" s="252"/>
      <c r="GWG386" s="252"/>
      <c r="GWH386" s="252"/>
      <c r="GWI386" s="252"/>
      <c r="GWJ386" s="252"/>
      <c r="GWK386" s="252"/>
      <c r="GWL386" s="252"/>
      <c r="GWM386" s="252"/>
      <c r="GWN386" s="252"/>
      <c r="GWO386" s="252"/>
      <c r="GWP386" s="252"/>
      <c r="GWQ386" s="252"/>
      <c r="GWR386" s="252"/>
      <c r="GWS386" s="252"/>
      <c r="GWT386" s="252"/>
      <c r="GWU386" s="252"/>
      <c r="GWV386" s="252"/>
      <c r="GWW386" s="252"/>
      <c r="GWX386" s="252"/>
      <c r="GWY386" s="252"/>
      <c r="GWZ386" s="252"/>
      <c r="GXA386" s="252"/>
      <c r="GXB386" s="252"/>
      <c r="GXC386" s="252"/>
      <c r="GXD386" s="252"/>
      <c r="GXE386" s="252"/>
      <c r="GXF386" s="252"/>
      <c r="GXG386" s="252"/>
      <c r="GXH386" s="252"/>
      <c r="GXI386" s="252"/>
      <c r="GXJ386" s="252"/>
      <c r="GXK386" s="252"/>
      <c r="GXL386" s="252"/>
      <c r="GXM386" s="252"/>
      <c r="GXN386" s="252"/>
      <c r="GXO386" s="252"/>
      <c r="GXP386" s="252"/>
      <c r="GXQ386" s="252"/>
      <c r="GXR386" s="252"/>
      <c r="GXS386" s="252"/>
      <c r="GXT386" s="252"/>
      <c r="GXU386" s="252"/>
      <c r="GXV386" s="252"/>
      <c r="GXW386" s="252"/>
      <c r="GXX386" s="252"/>
      <c r="GXY386" s="252"/>
      <c r="GXZ386" s="252"/>
      <c r="GYA386" s="252"/>
      <c r="GYB386" s="252"/>
      <c r="GYC386" s="252"/>
      <c r="GYD386" s="252"/>
      <c r="GYE386" s="252"/>
      <c r="GYF386" s="252"/>
      <c r="GYG386" s="252"/>
      <c r="GYH386" s="252"/>
      <c r="GYI386" s="252"/>
      <c r="GYJ386" s="252"/>
      <c r="GYK386" s="252"/>
      <c r="GYL386" s="252"/>
      <c r="GYM386" s="252"/>
      <c r="GYN386" s="252"/>
      <c r="GYO386" s="252"/>
      <c r="GYP386" s="252"/>
      <c r="GYQ386" s="252"/>
      <c r="GYR386" s="252"/>
      <c r="GYS386" s="252"/>
      <c r="GYT386" s="252"/>
      <c r="GYU386" s="252"/>
      <c r="GYV386" s="252"/>
      <c r="GYW386" s="252"/>
      <c r="GYX386" s="252"/>
      <c r="GYY386" s="252"/>
      <c r="GYZ386" s="252"/>
      <c r="GZA386" s="252"/>
      <c r="GZB386" s="252"/>
      <c r="GZC386" s="252"/>
      <c r="GZD386" s="252"/>
      <c r="GZE386" s="252"/>
      <c r="GZF386" s="252"/>
      <c r="GZG386" s="252"/>
      <c r="GZH386" s="252"/>
      <c r="GZI386" s="252"/>
      <c r="GZJ386" s="252"/>
      <c r="GZK386" s="252"/>
      <c r="GZL386" s="252"/>
      <c r="GZM386" s="252"/>
      <c r="GZN386" s="252"/>
      <c r="GZO386" s="252"/>
      <c r="GZP386" s="252"/>
      <c r="GZQ386" s="252"/>
      <c r="GZR386" s="252"/>
      <c r="GZS386" s="252"/>
      <c r="GZT386" s="252"/>
      <c r="GZU386" s="252"/>
      <c r="GZV386" s="252"/>
      <c r="GZW386" s="252"/>
      <c r="GZX386" s="252"/>
      <c r="GZY386" s="252"/>
      <c r="GZZ386" s="252"/>
      <c r="HAA386" s="252"/>
      <c r="HAB386" s="252"/>
      <c r="HAC386" s="252"/>
      <c r="HAD386" s="252"/>
      <c r="HAE386" s="252"/>
      <c r="HAF386" s="252"/>
      <c r="HAG386" s="252"/>
      <c r="HAH386" s="252"/>
      <c r="HAI386" s="252"/>
      <c r="HAJ386" s="252"/>
      <c r="HAK386" s="252"/>
      <c r="HAL386" s="252"/>
      <c r="HAM386" s="252"/>
      <c r="HAN386" s="252"/>
      <c r="HAO386" s="252"/>
      <c r="HAP386" s="252"/>
      <c r="HAQ386" s="252"/>
      <c r="HAR386" s="252"/>
      <c r="HAS386" s="252"/>
      <c r="HAT386" s="252"/>
      <c r="HAU386" s="252"/>
      <c r="HAV386" s="252"/>
      <c r="HAW386" s="252"/>
      <c r="HAX386" s="252"/>
      <c r="HAY386" s="252"/>
      <c r="HAZ386" s="252"/>
      <c r="HBA386" s="252"/>
      <c r="HBB386" s="252"/>
      <c r="HBC386" s="252"/>
      <c r="HBD386" s="252"/>
      <c r="HBE386" s="252"/>
      <c r="HBF386" s="252"/>
      <c r="HBG386" s="252"/>
      <c r="HBH386" s="252"/>
      <c r="HBI386" s="252"/>
      <c r="HBJ386" s="252"/>
      <c r="HBK386" s="252"/>
      <c r="HBL386" s="252"/>
      <c r="HBM386" s="252"/>
      <c r="HBN386" s="252"/>
      <c r="HBO386" s="252"/>
      <c r="HBP386" s="252"/>
      <c r="HBQ386" s="252"/>
      <c r="HBR386" s="252"/>
      <c r="HBS386" s="252"/>
      <c r="HBT386" s="252"/>
      <c r="HBU386" s="252"/>
      <c r="HBV386" s="252"/>
      <c r="HBW386" s="252"/>
      <c r="HBX386" s="252"/>
      <c r="HBY386" s="252"/>
      <c r="HBZ386" s="252"/>
      <c r="HCA386" s="252"/>
      <c r="HCB386" s="252"/>
      <c r="HCC386" s="252"/>
      <c r="HCD386" s="252"/>
      <c r="HCE386" s="252"/>
      <c r="HCF386" s="252"/>
      <c r="HCG386" s="252"/>
      <c r="HCH386" s="252"/>
      <c r="HCI386" s="252"/>
      <c r="HCJ386" s="252"/>
      <c r="HCK386" s="252"/>
      <c r="HCL386" s="252"/>
      <c r="HCM386" s="252"/>
      <c r="HCN386" s="252"/>
      <c r="HCO386" s="252"/>
      <c r="HCP386" s="252"/>
      <c r="HCQ386" s="252"/>
      <c r="HCR386" s="252"/>
      <c r="HCS386" s="252"/>
      <c r="HCT386" s="252"/>
      <c r="HCU386" s="252"/>
      <c r="HCV386" s="252"/>
      <c r="HCW386" s="252"/>
      <c r="HCX386" s="252"/>
      <c r="HCY386" s="252"/>
      <c r="HCZ386" s="252"/>
      <c r="HDA386" s="252"/>
      <c r="HDB386" s="252"/>
      <c r="HDC386" s="252"/>
      <c r="HDD386" s="252"/>
      <c r="HDE386" s="252"/>
      <c r="HDF386" s="252"/>
      <c r="HDG386" s="252"/>
      <c r="HDH386" s="252"/>
      <c r="HDI386" s="252"/>
      <c r="HDJ386" s="252"/>
      <c r="HDK386" s="252"/>
      <c r="HDL386" s="252"/>
      <c r="HDM386" s="252"/>
      <c r="HDN386" s="252"/>
      <c r="HDO386" s="252"/>
      <c r="HDP386" s="252"/>
      <c r="HDQ386" s="252"/>
      <c r="HDR386" s="252"/>
      <c r="HDS386" s="252"/>
      <c r="HDT386" s="252"/>
      <c r="HDU386" s="252"/>
      <c r="HDV386" s="252"/>
      <c r="HDW386" s="252"/>
      <c r="HDX386" s="252"/>
      <c r="HDY386" s="252"/>
      <c r="HDZ386" s="252"/>
      <c r="HEA386" s="252"/>
      <c r="HEB386" s="252"/>
      <c r="HEC386" s="252"/>
      <c r="HED386" s="252"/>
      <c r="HEE386" s="252"/>
      <c r="HEF386" s="252"/>
      <c r="HEG386" s="252"/>
      <c r="HEH386" s="252"/>
      <c r="HEI386" s="252"/>
      <c r="HEJ386" s="252"/>
      <c r="HEK386" s="252"/>
      <c r="HEL386" s="252"/>
      <c r="HEM386" s="252"/>
      <c r="HEN386" s="252"/>
      <c r="HEO386" s="252"/>
      <c r="HEP386" s="252"/>
      <c r="HEQ386" s="252"/>
      <c r="HER386" s="252"/>
      <c r="HES386" s="252"/>
      <c r="HET386" s="252"/>
      <c r="HEU386" s="252"/>
      <c r="HEV386" s="252"/>
      <c r="HEW386" s="252"/>
      <c r="HEX386" s="252"/>
      <c r="HEY386" s="252"/>
      <c r="HEZ386" s="252"/>
      <c r="HFA386" s="252"/>
      <c r="HFB386" s="252"/>
      <c r="HFC386" s="252"/>
      <c r="HFD386" s="252"/>
      <c r="HFE386" s="252"/>
      <c r="HFF386" s="252"/>
      <c r="HFG386" s="252"/>
      <c r="HFH386" s="252"/>
      <c r="HFI386" s="252"/>
      <c r="HFJ386" s="252"/>
      <c r="HFK386" s="252"/>
      <c r="HFL386" s="252"/>
      <c r="HFM386" s="252"/>
      <c r="HFN386" s="252"/>
      <c r="HFO386" s="252"/>
      <c r="HFP386" s="252"/>
      <c r="HFQ386" s="252"/>
      <c r="HFR386" s="252"/>
      <c r="HFS386" s="252"/>
      <c r="HFT386" s="252"/>
      <c r="HFU386" s="252"/>
      <c r="HFV386" s="252"/>
      <c r="HFW386" s="252"/>
      <c r="HFX386" s="252"/>
      <c r="HFY386" s="252"/>
      <c r="HFZ386" s="252"/>
      <c r="HGA386" s="252"/>
      <c r="HGB386" s="252"/>
      <c r="HGC386" s="252"/>
      <c r="HGD386" s="252"/>
      <c r="HGE386" s="252"/>
      <c r="HGF386" s="252"/>
      <c r="HGG386" s="252"/>
      <c r="HGH386" s="252"/>
      <c r="HGI386" s="252"/>
      <c r="HGJ386" s="252"/>
      <c r="HGK386" s="252"/>
      <c r="HGL386" s="252"/>
      <c r="HGM386" s="252"/>
      <c r="HGN386" s="252"/>
      <c r="HGO386" s="252"/>
      <c r="HGP386" s="252"/>
      <c r="HGQ386" s="252"/>
      <c r="HGR386" s="252"/>
      <c r="HGS386" s="252"/>
      <c r="HGT386" s="252"/>
      <c r="HGU386" s="252"/>
      <c r="HGV386" s="252"/>
      <c r="HGW386" s="252"/>
      <c r="HGX386" s="252"/>
      <c r="HGY386" s="252"/>
      <c r="HGZ386" s="252"/>
      <c r="HHA386" s="252"/>
      <c r="HHB386" s="252"/>
      <c r="HHC386" s="252"/>
      <c r="HHD386" s="252"/>
      <c r="HHE386" s="252"/>
      <c r="HHF386" s="252"/>
      <c r="HHG386" s="252"/>
      <c r="HHH386" s="252"/>
      <c r="HHI386" s="252"/>
      <c r="HHJ386" s="252"/>
      <c r="HHK386" s="252"/>
      <c r="HHL386" s="252"/>
      <c r="HHM386" s="252"/>
      <c r="HHN386" s="252"/>
      <c r="HHO386" s="252"/>
      <c r="HHP386" s="252"/>
      <c r="HHQ386" s="252"/>
      <c r="HHR386" s="252"/>
      <c r="HHS386" s="252"/>
      <c r="HHT386" s="252"/>
      <c r="HHU386" s="252"/>
      <c r="HHV386" s="252"/>
      <c r="HHW386" s="252"/>
      <c r="HHX386" s="252"/>
      <c r="HHY386" s="252"/>
      <c r="HHZ386" s="252"/>
      <c r="HIA386" s="252"/>
      <c r="HIB386" s="252"/>
      <c r="HIC386" s="252"/>
      <c r="HID386" s="252"/>
      <c r="HIE386" s="252"/>
      <c r="HIF386" s="252"/>
      <c r="HIG386" s="252"/>
      <c r="HIH386" s="252"/>
      <c r="HII386" s="252"/>
      <c r="HIJ386" s="252"/>
      <c r="HIK386" s="252"/>
      <c r="HIL386" s="252"/>
      <c r="HIM386" s="252"/>
      <c r="HIN386" s="252"/>
      <c r="HIO386" s="252"/>
      <c r="HIP386" s="252"/>
      <c r="HIQ386" s="252"/>
      <c r="HIR386" s="252"/>
      <c r="HIS386" s="252"/>
      <c r="HIT386" s="252"/>
      <c r="HIU386" s="252"/>
      <c r="HIV386" s="252"/>
      <c r="HIW386" s="252"/>
      <c r="HIX386" s="252"/>
      <c r="HIY386" s="252"/>
      <c r="HIZ386" s="252"/>
      <c r="HJA386" s="252"/>
      <c r="HJB386" s="252"/>
      <c r="HJC386" s="252"/>
      <c r="HJD386" s="252"/>
      <c r="HJE386" s="252"/>
      <c r="HJF386" s="252"/>
      <c r="HJG386" s="252"/>
      <c r="HJH386" s="252"/>
      <c r="HJI386" s="252"/>
      <c r="HJJ386" s="252"/>
      <c r="HJK386" s="252"/>
      <c r="HJL386" s="252"/>
      <c r="HJM386" s="252"/>
      <c r="HJN386" s="252"/>
      <c r="HJO386" s="252"/>
      <c r="HJP386" s="252"/>
      <c r="HJQ386" s="252"/>
      <c r="HJR386" s="252"/>
      <c r="HJS386" s="252"/>
      <c r="HJT386" s="252"/>
      <c r="HJU386" s="252"/>
      <c r="HJV386" s="252"/>
      <c r="HJW386" s="252"/>
      <c r="HJX386" s="252"/>
      <c r="HJY386" s="252"/>
      <c r="HJZ386" s="252"/>
      <c r="HKA386" s="252"/>
      <c r="HKB386" s="252"/>
      <c r="HKC386" s="252"/>
      <c r="HKD386" s="252"/>
      <c r="HKE386" s="252"/>
      <c r="HKF386" s="252"/>
      <c r="HKG386" s="252"/>
      <c r="HKH386" s="252"/>
      <c r="HKI386" s="252"/>
      <c r="HKJ386" s="252"/>
      <c r="HKK386" s="252"/>
      <c r="HKL386" s="252"/>
      <c r="HKM386" s="252"/>
      <c r="HKN386" s="252"/>
      <c r="HKO386" s="252"/>
      <c r="HKP386" s="252"/>
      <c r="HKQ386" s="252"/>
      <c r="HKR386" s="252"/>
      <c r="HKS386" s="252"/>
      <c r="HKT386" s="252"/>
      <c r="HKU386" s="252"/>
      <c r="HKV386" s="252"/>
      <c r="HKW386" s="252"/>
      <c r="HKX386" s="252"/>
      <c r="HKY386" s="252"/>
      <c r="HKZ386" s="252"/>
      <c r="HLA386" s="252"/>
      <c r="HLB386" s="252"/>
      <c r="HLC386" s="252"/>
      <c r="HLD386" s="252"/>
      <c r="HLE386" s="252"/>
      <c r="HLF386" s="252"/>
      <c r="HLG386" s="252"/>
      <c r="HLH386" s="252"/>
      <c r="HLI386" s="252"/>
      <c r="HLJ386" s="252"/>
      <c r="HLK386" s="252"/>
      <c r="HLL386" s="252"/>
      <c r="HLM386" s="252"/>
      <c r="HLN386" s="252"/>
      <c r="HLO386" s="252"/>
      <c r="HLP386" s="252"/>
      <c r="HLQ386" s="252"/>
      <c r="HLR386" s="252"/>
      <c r="HLS386" s="252"/>
      <c r="HLT386" s="252"/>
      <c r="HLU386" s="252"/>
      <c r="HLV386" s="252"/>
      <c r="HLW386" s="252"/>
      <c r="HLX386" s="252"/>
      <c r="HLY386" s="252"/>
      <c r="HLZ386" s="252"/>
      <c r="HMA386" s="252"/>
      <c r="HMB386" s="252"/>
      <c r="HMC386" s="252"/>
      <c r="HMD386" s="252"/>
      <c r="HME386" s="252"/>
      <c r="HMF386" s="252"/>
      <c r="HMG386" s="252"/>
      <c r="HMH386" s="252"/>
      <c r="HMI386" s="252"/>
      <c r="HMJ386" s="252"/>
      <c r="HMK386" s="252"/>
      <c r="HML386" s="252"/>
      <c r="HMM386" s="252"/>
      <c r="HMN386" s="252"/>
      <c r="HMO386" s="252"/>
      <c r="HMP386" s="252"/>
      <c r="HMQ386" s="252"/>
      <c r="HMR386" s="252"/>
      <c r="HMS386" s="252"/>
      <c r="HMT386" s="252"/>
      <c r="HMU386" s="252"/>
      <c r="HMV386" s="252"/>
      <c r="HMW386" s="252"/>
      <c r="HMX386" s="252"/>
      <c r="HMY386" s="252"/>
      <c r="HMZ386" s="252"/>
      <c r="HNA386" s="252"/>
      <c r="HNB386" s="252"/>
      <c r="HNC386" s="252"/>
      <c r="HND386" s="252"/>
      <c r="HNE386" s="252"/>
      <c r="HNF386" s="252"/>
      <c r="HNG386" s="252"/>
      <c r="HNH386" s="252"/>
      <c r="HNI386" s="252"/>
      <c r="HNJ386" s="252"/>
      <c r="HNK386" s="252"/>
      <c r="HNL386" s="252"/>
      <c r="HNM386" s="252"/>
      <c r="HNN386" s="252"/>
      <c r="HNO386" s="252"/>
      <c r="HNP386" s="252"/>
      <c r="HNQ386" s="252"/>
      <c r="HNR386" s="252"/>
      <c r="HNS386" s="252"/>
      <c r="HNT386" s="252"/>
      <c r="HNU386" s="252"/>
      <c r="HNV386" s="252"/>
      <c r="HNW386" s="252"/>
      <c r="HNX386" s="252"/>
      <c r="HNY386" s="252"/>
      <c r="HNZ386" s="252"/>
      <c r="HOA386" s="252"/>
      <c r="HOB386" s="252"/>
      <c r="HOC386" s="252"/>
      <c r="HOD386" s="252"/>
      <c r="HOE386" s="252"/>
      <c r="HOF386" s="252"/>
      <c r="HOG386" s="252"/>
      <c r="HOH386" s="252"/>
      <c r="HOI386" s="252"/>
      <c r="HOJ386" s="252"/>
      <c r="HOK386" s="252"/>
      <c r="HOL386" s="252"/>
      <c r="HOM386" s="252"/>
      <c r="HON386" s="252"/>
      <c r="HOO386" s="252"/>
      <c r="HOP386" s="252"/>
      <c r="HOQ386" s="252"/>
      <c r="HOR386" s="252"/>
      <c r="HOS386" s="252"/>
      <c r="HOT386" s="252"/>
      <c r="HOU386" s="252"/>
      <c r="HOV386" s="252"/>
      <c r="HOW386" s="252"/>
      <c r="HOX386" s="252"/>
      <c r="HOY386" s="252"/>
      <c r="HOZ386" s="252"/>
      <c r="HPA386" s="252"/>
      <c r="HPB386" s="252"/>
      <c r="HPC386" s="252"/>
      <c r="HPD386" s="252"/>
      <c r="HPE386" s="252"/>
      <c r="HPF386" s="252"/>
      <c r="HPG386" s="252"/>
      <c r="HPH386" s="252"/>
      <c r="HPI386" s="252"/>
      <c r="HPJ386" s="252"/>
      <c r="HPK386" s="252"/>
      <c r="HPL386" s="252"/>
      <c r="HPM386" s="252"/>
      <c r="HPN386" s="252"/>
      <c r="HPO386" s="252"/>
      <c r="HPP386" s="252"/>
      <c r="HPQ386" s="252"/>
      <c r="HPR386" s="252"/>
      <c r="HPS386" s="252"/>
      <c r="HPT386" s="252"/>
      <c r="HPU386" s="252"/>
      <c r="HPV386" s="252"/>
      <c r="HPW386" s="252"/>
      <c r="HPX386" s="252"/>
      <c r="HPY386" s="252"/>
      <c r="HPZ386" s="252"/>
      <c r="HQA386" s="252"/>
      <c r="HQB386" s="252"/>
      <c r="HQC386" s="252"/>
      <c r="HQD386" s="252"/>
      <c r="HQE386" s="252"/>
      <c r="HQF386" s="252"/>
      <c r="HQG386" s="252"/>
      <c r="HQH386" s="252"/>
      <c r="HQI386" s="252"/>
      <c r="HQJ386" s="252"/>
      <c r="HQK386" s="252"/>
      <c r="HQL386" s="252"/>
      <c r="HQM386" s="252"/>
      <c r="HQN386" s="252"/>
      <c r="HQO386" s="252"/>
      <c r="HQP386" s="252"/>
      <c r="HQQ386" s="252"/>
      <c r="HQR386" s="252"/>
      <c r="HQS386" s="252"/>
      <c r="HQT386" s="252"/>
      <c r="HQU386" s="252"/>
      <c r="HQV386" s="252"/>
      <c r="HQW386" s="252"/>
      <c r="HQX386" s="252"/>
      <c r="HQY386" s="252"/>
      <c r="HQZ386" s="252"/>
      <c r="HRA386" s="252"/>
      <c r="HRB386" s="252"/>
      <c r="HRC386" s="252"/>
      <c r="HRD386" s="252"/>
      <c r="HRE386" s="252"/>
      <c r="HRF386" s="252"/>
      <c r="HRG386" s="252"/>
      <c r="HRH386" s="252"/>
      <c r="HRI386" s="252"/>
      <c r="HRJ386" s="252"/>
      <c r="HRK386" s="252"/>
      <c r="HRL386" s="252"/>
      <c r="HRM386" s="252"/>
      <c r="HRN386" s="252"/>
      <c r="HRO386" s="252"/>
      <c r="HRP386" s="252"/>
      <c r="HRQ386" s="252"/>
      <c r="HRR386" s="252"/>
      <c r="HRS386" s="252"/>
      <c r="HRT386" s="252"/>
      <c r="HRU386" s="252"/>
      <c r="HRV386" s="252"/>
      <c r="HRW386" s="252"/>
      <c r="HRX386" s="252"/>
      <c r="HRY386" s="252"/>
      <c r="HRZ386" s="252"/>
      <c r="HSA386" s="252"/>
      <c r="HSB386" s="252"/>
      <c r="HSC386" s="252"/>
      <c r="HSD386" s="252"/>
      <c r="HSE386" s="252"/>
      <c r="HSF386" s="252"/>
      <c r="HSG386" s="252"/>
      <c r="HSH386" s="252"/>
      <c r="HSI386" s="252"/>
      <c r="HSJ386" s="252"/>
      <c r="HSK386" s="252"/>
      <c r="HSL386" s="252"/>
      <c r="HSM386" s="252"/>
      <c r="HSN386" s="252"/>
      <c r="HSO386" s="252"/>
      <c r="HSP386" s="252"/>
      <c r="HSQ386" s="252"/>
      <c r="HSR386" s="252"/>
      <c r="HSS386" s="252"/>
      <c r="HST386" s="252"/>
      <c r="HSU386" s="252"/>
      <c r="HSV386" s="252"/>
      <c r="HSW386" s="252"/>
      <c r="HSX386" s="252"/>
      <c r="HSY386" s="252"/>
      <c r="HSZ386" s="252"/>
      <c r="HTA386" s="252"/>
      <c r="HTB386" s="252"/>
      <c r="HTC386" s="252"/>
      <c r="HTD386" s="252"/>
      <c r="HTE386" s="252"/>
      <c r="HTF386" s="252"/>
      <c r="HTG386" s="252"/>
      <c r="HTH386" s="252"/>
      <c r="HTI386" s="252"/>
      <c r="HTJ386" s="252"/>
      <c r="HTK386" s="252"/>
      <c r="HTL386" s="252"/>
      <c r="HTM386" s="252"/>
      <c r="HTN386" s="252"/>
      <c r="HTO386" s="252"/>
      <c r="HTP386" s="252"/>
      <c r="HTQ386" s="252"/>
      <c r="HTR386" s="252"/>
      <c r="HTS386" s="252"/>
      <c r="HTT386" s="252"/>
      <c r="HTU386" s="252"/>
      <c r="HTV386" s="252"/>
      <c r="HTW386" s="252"/>
      <c r="HTX386" s="252"/>
      <c r="HTY386" s="252"/>
      <c r="HTZ386" s="252"/>
      <c r="HUA386" s="252"/>
      <c r="HUB386" s="252"/>
      <c r="HUC386" s="252"/>
      <c r="HUD386" s="252"/>
      <c r="HUE386" s="252"/>
      <c r="HUF386" s="252"/>
      <c r="HUG386" s="252"/>
      <c r="HUH386" s="252"/>
      <c r="HUI386" s="252"/>
      <c r="HUJ386" s="252"/>
      <c r="HUK386" s="252"/>
      <c r="HUL386" s="252"/>
      <c r="HUM386" s="252"/>
      <c r="HUN386" s="252"/>
      <c r="HUO386" s="252"/>
      <c r="HUP386" s="252"/>
      <c r="HUQ386" s="252"/>
      <c r="HUR386" s="252"/>
      <c r="HUS386" s="252"/>
      <c r="HUT386" s="252"/>
      <c r="HUU386" s="252"/>
      <c r="HUV386" s="252"/>
      <c r="HUW386" s="252"/>
      <c r="HUX386" s="252"/>
      <c r="HUY386" s="252"/>
      <c r="HUZ386" s="252"/>
      <c r="HVA386" s="252"/>
      <c r="HVB386" s="252"/>
      <c r="HVC386" s="252"/>
      <c r="HVD386" s="252"/>
      <c r="HVE386" s="252"/>
      <c r="HVF386" s="252"/>
      <c r="HVG386" s="252"/>
      <c r="HVH386" s="252"/>
      <c r="HVI386" s="252"/>
      <c r="HVJ386" s="252"/>
      <c r="HVK386" s="252"/>
      <c r="HVL386" s="252"/>
      <c r="HVM386" s="252"/>
      <c r="HVN386" s="252"/>
      <c r="HVO386" s="252"/>
      <c r="HVP386" s="252"/>
      <c r="HVQ386" s="252"/>
      <c r="HVR386" s="252"/>
      <c r="HVS386" s="252"/>
      <c r="HVT386" s="252"/>
      <c r="HVU386" s="252"/>
      <c r="HVV386" s="252"/>
      <c r="HVW386" s="252"/>
      <c r="HVX386" s="252"/>
      <c r="HVY386" s="252"/>
      <c r="HVZ386" s="252"/>
      <c r="HWA386" s="252"/>
      <c r="HWB386" s="252"/>
      <c r="HWC386" s="252"/>
      <c r="HWD386" s="252"/>
      <c r="HWE386" s="252"/>
      <c r="HWF386" s="252"/>
      <c r="HWG386" s="252"/>
      <c r="HWH386" s="252"/>
      <c r="HWI386" s="252"/>
      <c r="HWJ386" s="252"/>
      <c r="HWK386" s="252"/>
      <c r="HWL386" s="252"/>
      <c r="HWM386" s="252"/>
      <c r="HWN386" s="252"/>
      <c r="HWO386" s="252"/>
      <c r="HWP386" s="252"/>
      <c r="HWQ386" s="252"/>
      <c r="HWR386" s="252"/>
      <c r="HWS386" s="252"/>
      <c r="HWT386" s="252"/>
      <c r="HWU386" s="252"/>
      <c r="HWV386" s="252"/>
      <c r="HWW386" s="252"/>
      <c r="HWX386" s="252"/>
      <c r="HWY386" s="252"/>
      <c r="HWZ386" s="252"/>
      <c r="HXA386" s="252"/>
      <c r="HXB386" s="252"/>
      <c r="HXC386" s="252"/>
      <c r="HXD386" s="252"/>
      <c r="HXE386" s="252"/>
      <c r="HXF386" s="252"/>
      <c r="HXG386" s="252"/>
      <c r="HXH386" s="252"/>
      <c r="HXI386" s="252"/>
      <c r="HXJ386" s="252"/>
      <c r="HXK386" s="252"/>
      <c r="HXL386" s="252"/>
      <c r="HXM386" s="252"/>
      <c r="HXN386" s="252"/>
      <c r="HXO386" s="252"/>
      <c r="HXP386" s="252"/>
      <c r="HXQ386" s="252"/>
      <c r="HXR386" s="252"/>
      <c r="HXS386" s="252"/>
      <c r="HXT386" s="252"/>
      <c r="HXU386" s="252"/>
      <c r="HXV386" s="252"/>
      <c r="HXW386" s="252"/>
      <c r="HXX386" s="252"/>
      <c r="HXY386" s="252"/>
      <c r="HXZ386" s="252"/>
      <c r="HYA386" s="252"/>
      <c r="HYB386" s="252"/>
      <c r="HYC386" s="252"/>
      <c r="HYD386" s="252"/>
      <c r="HYE386" s="252"/>
      <c r="HYF386" s="252"/>
      <c r="HYG386" s="252"/>
      <c r="HYH386" s="252"/>
      <c r="HYI386" s="252"/>
      <c r="HYJ386" s="252"/>
      <c r="HYK386" s="252"/>
      <c r="HYL386" s="252"/>
      <c r="HYM386" s="252"/>
      <c r="HYN386" s="252"/>
      <c r="HYO386" s="252"/>
      <c r="HYP386" s="252"/>
      <c r="HYQ386" s="252"/>
      <c r="HYR386" s="252"/>
      <c r="HYS386" s="252"/>
      <c r="HYT386" s="252"/>
      <c r="HYU386" s="252"/>
      <c r="HYV386" s="252"/>
      <c r="HYW386" s="252"/>
      <c r="HYX386" s="252"/>
      <c r="HYY386" s="252"/>
      <c r="HYZ386" s="252"/>
      <c r="HZA386" s="252"/>
      <c r="HZB386" s="252"/>
      <c r="HZC386" s="252"/>
      <c r="HZD386" s="252"/>
      <c r="HZE386" s="252"/>
      <c r="HZF386" s="252"/>
      <c r="HZG386" s="252"/>
      <c r="HZH386" s="252"/>
      <c r="HZI386" s="252"/>
      <c r="HZJ386" s="252"/>
      <c r="HZK386" s="252"/>
      <c r="HZL386" s="252"/>
      <c r="HZM386" s="252"/>
      <c r="HZN386" s="252"/>
      <c r="HZO386" s="252"/>
      <c r="HZP386" s="252"/>
      <c r="HZQ386" s="252"/>
      <c r="HZR386" s="252"/>
      <c r="HZS386" s="252"/>
      <c r="HZT386" s="252"/>
      <c r="HZU386" s="252"/>
      <c r="HZV386" s="252"/>
      <c r="HZW386" s="252"/>
      <c r="HZX386" s="252"/>
      <c r="HZY386" s="252"/>
      <c r="HZZ386" s="252"/>
      <c r="IAA386" s="252"/>
      <c r="IAB386" s="252"/>
      <c r="IAC386" s="252"/>
      <c r="IAD386" s="252"/>
      <c r="IAE386" s="252"/>
      <c r="IAF386" s="252"/>
      <c r="IAG386" s="252"/>
      <c r="IAH386" s="252"/>
      <c r="IAI386" s="252"/>
      <c r="IAJ386" s="252"/>
      <c r="IAK386" s="252"/>
      <c r="IAL386" s="252"/>
      <c r="IAM386" s="252"/>
      <c r="IAN386" s="252"/>
      <c r="IAO386" s="252"/>
      <c r="IAP386" s="252"/>
      <c r="IAQ386" s="252"/>
      <c r="IAR386" s="252"/>
      <c r="IAS386" s="252"/>
      <c r="IAT386" s="252"/>
      <c r="IAU386" s="252"/>
      <c r="IAV386" s="252"/>
      <c r="IAW386" s="252"/>
      <c r="IAX386" s="252"/>
      <c r="IAY386" s="252"/>
      <c r="IAZ386" s="252"/>
      <c r="IBA386" s="252"/>
      <c r="IBB386" s="252"/>
      <c r="IBC386" s="252"/>
      <c r="IBD386" s="252"/>
      <c r="IBE386" s="252"/>
      <c r="IBF386" s="252"/>
      <c r="IBG386" s="252"/>
      <c r="IBH386" s="252"/>
      <c r="IBI386" s="252"/>
      <c r="IBJ386" s="252"/>
      <c r="IBK386" s="252"/>
      <c r="IBL386" s="252"/>
      <c r="IBM386" s="252"/>
      <c r="IBN386" s="252"/>
      <c r="IBO386" s="252"/>
      <c r="IBP386" s="252"/>
      <c r="IBQ386" s="252"/>
      <c r="IBR386" s="252"/>
      <c r="IBS386" s="252"/>
      <c r="IBT386" s="252"/>
      <c r="IBU386" s="252"/>
      <c r="IBV386" s="252"/>
      <c r="IBW386" s="252"/>
      <c r="IBX386" s="252"/>
      <c r="IBY386" s="252"/>
      <c r="IBZ386" s="252"/>
      <c r="ICA386" s="252"/>
      <c r="ICB386" s="252"/>
      <c r="ICC386" s="252"/>
      <c r="ICD386" s="252"/>
      <c r="ICE386" s="252"/>
      <c r="ICF386" s="252"/>
      <c r="ICG386" s="252"/>
      <c r="ICH386" s="252"/>
      <c r="ICI386" s="252"/>
      <c r="ICJ386" s="252"/>
      <c r="ICK386" s="252"/>
      <c r="ICL386" s="252"/>
      <c r="ICM386" s="252"/>
      <c r="ICN386" s="252"/>
      <c r="ICO386" s="252"/>
      <c r="ICP386" s="252"/>
      <c r="ICQ386" s="252"/>
      <c r="ICR386" s="252"/>
      <c r="ICS386" s="252"/>
      <c r="ICT386" s="252"/>
      <c r="ICU386" s="252"/>
      <c r="ICV386" s="252"/>
      <c r="ICW386" s="252"/>
      <c r="ICX386" s="252"/>
      <c r="ICY386" s="252"/>
      <c r="ICZ386" s="252"/>
      <c r="IDA386" s="252"/>
      <c r="IDB386" s="252"/>
      <c r="IDC386" s="252"/>
      <c r="IDD386" s="252"/>
      <c r="IDE386" s="252"/>
      <c r="IDF386" s="252"/>
      <c r="IDG386" s="252"/>
      <c r="IDH386" s="252"/>
      <c r="IDI386" s="252"/>
      <c r="IDJ386" s="252"/>
      <c r="IDK386" s="252"/>
      <c r="IDL386" s="252"/>
      <c r="IDM386" s="252"/>
      <c r="IDN386" s="252"/>
      <c r="IDO386" s="252"/>
      <c r="IDP386" s="252"/>
      <c r="IDQ386" s="252"/>
      <c r="IDR386" s="252"/>
      <c r="IDS386" s="252"/>
      <c r="IDT386" s="252"/>
      <c r="IDU386" s="252"/>
      <c r="IDV386" s="252"/>
      <c r="IDW386" s="252"/>
      <c r="IDX386" s="252"/>
      <c r="IDY386" s="252"/>
      <c r="IDZ386" s="252"/>
      <c r="IEA386" s="252"/>
      <c r="IEB386" s="252"/>
      <c r="IEC386" s="252"/>
      <c r="IED386" s="252"/>
      <c r="IEE386" s="252"/>
      <c r="IEF386" s="252"/>
      <c r="IEG386" s="252"/>
      <c r="IEH386" s="252"/>
      <c r="IEI386" s="252"/>
      <c r="IEJ386" s="252"/>
      <c r="IEK386" s="252"/>
      <c r="IEL386" s="252"/>
      <c r="IEM386" s="252"/>
      <c r="IEN386" s="252"/>
      <c r="IEO386" s="252"/>
      <c r="IEP386" s="252"/>
      <c r="IEQ386" s="252"/>
      <c r="IER386" s="252"/>
      <c r="IES386" s="252"/>
      <c r="IET386" s="252"/>
      <c r="IEU386" s="252"/>
      <c r="IEV386" s="252"/>
      <c r="IEW386" s="252"/>
      <c r="IEX386" s="252"/>
      <c r="IEY386" s="252"/>
      <c r="IEZ386" s="252"/>
      <c r="IFA386" s="252"/>
      <c r="IFB386" s="252"/>
      <c r="IFC386" s="252"/>
      <c r="IFD386" s="252"/>
      <c r="IFE386" s="252"/>
      <c r="IFF386" s="252"/>
      <c r="IFG386" s="252"/>
      <c r="IFH386" s="252"/>
      <c r="IFI386" s="252"/>
      <c r="IFJ386" s="252"/>
      <c r="IFK386" s="252"/>
      <c r="IFL386" s="252"/>
      <c r="IFM386" s="252"/>
      <c r="IFN386" s="252"/>
      <c r="IFO386" s="252"/>
      <c r="IFP386" s="252"/>
      <c r="IFQ386" s="252"/>
      <c r="IFR386" s="252"/>
      <c r="IFS386" s="252"/>
      <c r="IFT386" s="252"/>
      <c r="IFU386" s="252"/>
      <c r="IFV386" s="252"/>
      <c r="IFW386" s="252"/>
      <c r="IFX386" s="252"/>
      <c r="IFY386" s="252"/>
      <c r="IFZ386" s="252"/>
      <c r="IGA386" s="252"/>
      <c r="IGB386" s="252"/>
      <c r="IGC386" s="252"/>
      <c r="IGD386" s="252"/>
      <c r="IGE386" s="252"/>
      <c r="IGF386" s="252"/>
      <c r="IGG386" s="252"/>
      <c r="IGH386" s="252"/>
      <c r="IGI386" s="252"/>
      <c r="IGJ386" s="252"/>
      <c r="IGK386" s="252"/>
      <c r="IGL386" s="252"/>
      <c r="IGM386" s="252"/>
      <c r="IGN386" s="252"/>
      <c r="IGO386" s="252"/>
      <c r="IGP386" s="252"/>
      <c r="IGQ386" s="252"/>
      <c r="IGR386" s="252"/>
      <c r="IGS386" s="252"/>
      <c r="IGT386" s="252"/>
      <c r="IGU386" s="252"/>
      <c r="IGV386" s="252"/>
      <c r="IGW386" s="252"/>
      <c r="IGX386" s="252"/>
      <c r="IGY386" s="252"/>
      <c r="IGZ386" s="252"/>
      <c r="IHA386" s="252"/>
      <c r="IHB386" s="252"/>
      <c r="IHC386" s="252"/>
      <c r="IHD386" s="252"/>
      <c r="IHE386" s="252"/>
      <c r="IHF386" s="252"/>
      <c r="IHG386" s="252"/>
      <c r="IHH386" s="252"/>
      <c r="IHI386" s="252"/>
      <c r="IHJ386" s="252"/>
      <c r="IHK386" s="252"/>
      <c r="IHL386" s="252"/>
      <c r="IHM386" s="252"/>
      <c r="IHN386" s="252"/>
      <c r="IHO386" s="252"/>
      <c r="IHP386" s="252"/>
      <c r="IHQ386" s="252"/>
      <c r="IHR386" s="252"/>
      <c r="IHS386" s="252"/>
      <c r="IHT386" s="252"/>
      <c r="IHU386" s="252"/>
      <c r="IHV386" s="252"/>
      <c r="IHW386" s="252"/>
      <c r="IHX386" s="252"/>
      <c r="IHY386" s="252"/>
      <c r="IHZ386" s="252"/>
      <c r="IIA386" s="252"/>
      <c r="IIB386" s="252"/>
      <c r="IIC386" s="252"/>
      <c r="IID386" s="252"/>
      <c r="IIE386" s="252"/>
      <c r="IIF386" s="252"/>
      <c r="IIG386" s="252"/>
      <c r="IIH386" s="252"/>
      <c r="III386" s="252"/>
      <c r="IIJ386" s="252"/>
      <c r="IIK386" s="252"/>
      <c r="IIL386" s="252"/>
      <c r="IIM386" s="252"/>
      <c r="IIN386" s="252"/>
      <c r="IIO386" s="252"/>
      <c r="IIP386" s="252"/>
      <c r="IIQ386" s="252"/>
      <c r="IIR386" s="252"/>
      <c r="IIS386" s="252"/>
      <c r="IIT386" s="252"/>
      <c r="IIU386" s="252"/>
      <c r="IIV386" s="252"/>
      <c r="IIW386" s="252"/>
      <c r="IIX386" s="252"/>
      <c r="IIY386" s="252"/>
      <c r="IIZ386" s="252"/>
      <c r="IJA386" s="252"/>
      <c r="IJB386" s="252"/>
      <c r="IJC386" s="252"/>
      <c r="IJD386" s="252"/>
      <c r="IJE386" s="252"/>
      <c r="IJF386" s="252"/>
      <c r="IJG386" s="252"/>
      <c r="IJH386" s="252"/>
      <c r="IJI386" s="252"/>
      <c r="IJJ386" s="252"/>
      <c r="IJK386" s="252"/>
      <c r="IJL386" s="252"/>
      <c r="IJM386" s="252"/>
      <c r="IJN386" s="252"/>
      <c r="IJO386" s="252"/>
      <c r="IJP386" s="252"/>
      <c r="IJQ386" s="252"/>
      <c r="IJR386" s="252"/>
      <c r="IJS386" s="252"/>
      <c r="IJT386" s="252"/>
      <c r="IJU386" s="252"/>
      <c r="IJV386" s="252"/>
      <c r="IJW386" s="252"/>
      <c r="IJX386" s="252"/>
      <c r="IJY386" s="252"/>
      <c r="IJZ386" s="252"/>
      <c r="IKA386" s="252"/>
      <c r="IKB386" s="252"/>
      <c r="IKC386" s="252"/>
      <c r="IKD386" s="252"/>
      <c r="IKE386" s="252"/>
      <c r="IKF386" s="252"/>
      <c r="IKG386" s="252"/>
      <c r="IKH386" s="252"/>
      <c r="IKI386" s="252"/>
      <c r="IKJ386" s="252"/>
      <c r="IKK386" s="252"/>
      <c r="IKL386" s="252"/>
      <c r="IKM386" s="252"/>
      <c r="IKN386" s="252"/>
      <c r="IKO386" s="252"/>
      <c r="IKP386" s="252"/>
      <c r="IKQ386" s="252"/>
      <c r="IKR386" s="252"/>
      <c r="IKS386" s="252"/>
      <c r="IKT386" s="252"/>
      <c r="IKU386" s="252"/>
      <c r="IKV386" s="252"/>
      <c r="IKW386" s="252"/>
      <c r="IKX386" s="252"/>
      <c r="IKY386" s="252"/>
      <c r="IKZ386" s="252"/>
      <c r="ILA386" s="252"/>
      <c r="ILB386" s="252"/>
      <c r="ILC386" s="252"/>
      <c r="ILD386" s="252"/>
      <c r="ILE386" s="252"/>
      <c r="ILF386" s="252"/>
      <c r="ILG386" s="252"/>
      <c r="ILH386" s="252"/>
      <c r="ILI386" s="252"/>
      <c r="ILJ386" s="252"/>
      <c r="ILK386" s="252"/>
      <c r="ILL386" s="252"/>
      <c r="ILM386" s="252"/>
      <c r="ILN386" s="252"/>
      <c r="ILO386" s="252"/>
      <c r="ILP386" s="252"/>
      <c r="ILQ386" s="252"/>
      <c r="ILR386" s="252"/>
      <c r="ILS386" s="252"/>
      <c r="ILT386" s="252"/>
      <c r="ILU386" s="252"/>
      <c r="ILV386" s="252"/>
      <c r="ILW386" s="252"/>
      <c r="ILX386" s="252"/>
      <c r="ILY386" s="252"/>
      <c r="ILZ386" s="252"/>
      <c r="IMA386" s="252"/>
      <c r="IMB386" s="252"/>
      <c r="IMC386" s="252"/>
      <c r="IMD386" s="252"/>
      <c r="IME386" s="252"/>
      <c r="IMF386" s="252"/>
      <c r="IMG386" s="252"/>
      <c r="IMH386" s="252"/>
      <c r="IMI386" s="252"/>
      <c r="IMJ386" s="252"/>
      <c r="IMK386" s="252"/>
      <c r="IML386" s="252"/>
      <c r="IMM386" s="252"/>
      <c r="IMN386" s="252"/>
      <c r="IMO386" s="252"/>
      <c r="IMP386" s="252"/>
      <c r="IMQ386" s="252"/>
      <c r="IMR386" s="252"/>
      <c r="IMS386" s="252"/>
      <c r="IMT386" s="252"/>
      <c r="IMU386" s="252"/>
      <c r="IMV386" s="252"/>
      <c r="IMW386" s="252"/>
      <c r="IMX386" s="252"/>
      <c r="IMY386" s="252"/>
      <c r="IMZ386" s="252"/>
      <c r="INA386" s="252"/>
      <c r="INB386" s="252"/>
      <c r="INC386" s="252"/>
      <c r="IND386" s="252"/>
      <c r="INE386" s="252"/>
      <c r="INF386" s="252"/>
      <c r="ING386" s="252"/>
      <c r="INH386" s="252"/>
      <c r="INI386" s="252"/>
      <c r="INJ386" s="252"/>
      <c r="INK386" s="252"/>
      <c r="INL386" s="252"/>
      <c r="INM386" s="252"/>
      <c r="INN386" s="252"/>
      <c r="INO386" s="252"/>
      <c r="INP386" s="252"/>
      <c r="INQ386" s="252"/>
      <c r="INR386" s="252"/>
      <c r="INS386" s="252"/>
      <c r="INT386" s="252"/>
      <c r="INU386" s="252"/>
      <c r="INV386" s="252"/>
      <c r="INW386" s="252"/>
      <c r="INX386" s="252"/>
      <c r="INY386" s="252"/>
      <c r="INZ386" s="252"/>
      <c r="IOA386" s="252"/>
      <c r="IOB386" s="252"/>
      <c r="IOC386" s="252"/>
      <c r="IOD386" s="252"/>
      <c r="IOE386" s="252"/>
      <c r="IOF386" s="252"/>
      <c r="IOG386" s="252"/>
      <c r="IOH386" s="252"/>
      <c r="IOI386" s="252"/>
      <c r="IOJ386" s="252"/>
      <c r="IOK386" s="252"/>
      <c r="IOL386" s="252"/>
      <c r="IOM386" s="252"/>
      <c r="ION386" s="252"/>
      <c r="IOO386" s="252"/>
      <c r="IOP386" s="252"/>
      <c r="IOQ386" s="252"/>
      <c r="IOR386" s="252"/>
      <c r="IOS386" s="252"/>
      <c r="IOT386" s="252"/>
      <c r="IOU386" s="252"/>
      <c r="IOV386" s="252"/>
      <c r="IOW386" s="252"/>
      <c r="IOX386" s="252"/>
      <c r="IOY386" s="252"/>
      <c r="IOZ386" s="252"/>
      <c r="IPA386" s="252"/>
      <c r="IPB386" s="252"/>
      <c r="IPC386" s="252"/>
      <c r="IPD386" s="252"/>
      <c r="IPE386" s="252"/>
      <c r="IPF386" s="252"/>
      <c r="IPG386" s="252"/>
      <c r="IPH386" s="252"/>
      <c r="IPI386" s="252"/>
      <c r="IPJ386" s="252"/>
      <c r="IPK386" s="252"/>
      <c r="IPL386" s="252"/>
      <c r="IPM386" s="252"/>
      <c r="IPN386" s="252"/>
      <c r="IPO386" s="252"/>
      <c r="IPP386" s="252"/>
      <c r="IPQ386" s="252"/>
      <c r="IPR386" s="252"/>
      <c r="IPS386" s="252"/>
      <c r="IPT386" s="252"/>
      <c r="IPU386" s="252"/>
      <c r="IPV386" s="252"/>
      <c r="IPW386" s="252"/>
      <c r="IPX386" s="252"/>
      <c r="IPY386" s="252"/>
      <c r="IPZ386" s="252"/>
      <c r="IQA386" s="252"/>
      <c r="IQB386" s="252"/>
      <c r="IQC386" s="252"/>
      <c r="IQD386" s="252"/>
      <c r="IQE386" s="252"/>
      <c r="IQF386" s="252"/>
      <c r="IQG386" s="252"/>
      <c r="IQH386" s="252"/>
      <c r="IQI386" s="252"/>
      <c r="IQJ386" s="252"/>
      <c r="IQK386" s="252"/>
      <c r="IQL386" s="252"/>
      <c r="IQM386" s="252"/>
      <c r="IQN386" s="252"/>
      <c r="IQO386" s="252"/>
      <c r="IQP386" s="252"/>
      <c r="IQQ386" s="252"/>
      <c r="IQR386" s="252"/>
      <c r="IQS386" s="252"/>
      <c r="IQT386" s="252"/>
      <c r="IQU386" s="252"/>
      <c r="IQV386" s="252"/>
      <c r="IQW386" s="252"/>
      <c r="IQX386" s="252"/>
      <c r="IQY386" s="252"/>
      <c r="IQZ386" s="252"/>
      <c r="IRA386" s="252"/>
      <c r="IRB386" s="252"/>
      <c r="IRC386" s="252"/>
      <c r="IRD386" s="252"/>
      <c r="IRE386" s="252"/>
      <c r="IRF386" s="252"/>
      <c r="IRG386" s="252"/>
      <c r="IRH386" s="252"/>
      <c r="IRI386" s="252"/>
      <c r="IRJ386" s="252"/>
      <c r="IRK386" s="252"/>
      <c r="IRL386" s="252"/>
      <c r="IRM386" s="252"/>
      <c r="IRN386" s="252"/>
      <c r="IRO386" s="252"/>
      <c r="IRP386" s="252"/>
      <c r="IRQ386" s="252"/>
      <c r="IRR386" s="252"/>
      <c r="IRS386" s="252"/>
      <c r="IRT386" s="252"/>
      <c r="IRU386" s="252"/>
      <c r="IRV386" s="252"/>
      <c r="IRW386" s="252"/>
      <c r="IRX386" s="252"/>
      <c r="IRY386" s="252"/>
      <c r="IRZ386" s="252"/>
      <c r="ISA386" s="252"/>
      <c r="ISB386" s="252"/>
      <c r="ISC386" s="252"/>
      <c r="ISD386" s="252"/>
      <c r="ISE386" s="252"/>
      <c r="ISF386" s="252"/>
      <c r="ISG386" s="252"/>
      <c r="ISH386" s="252"/>
      <c r="ISI386" s="252"/>
      <c r="ISJ386" s="252"/>
      <c r="ISK386" s="252"/>
      <c r="ISL386" s="252"/>
      <c r="ISM386" s="252"/>
      <c r="ISN386" s="252"/>
      <c r="ISO386" s="252"/>
      <c r="ISP386" s="252"/>
      <c r="ISQ386" s="252"/>
      <c r="ISR386" s="252"/>
      <c r="ISS386" s="252"/>
      <c r="IST386" s="252"/>
      <c r="ISU386" s="252"/>
      <c r="ISV386" s="252"/>
      <c r="ISW386" s="252"/>
      <c r="ISX386" s="252"/>
      <c r="ISY386" s="252"/>
      <c r="ISZ386" s="252"/>
      <c r="ITA386" s="252"/>
      <c r="ITB386" s="252"/>
      <c r="ITC386" s="252"/>
      <c r="ITD386" s="252"/>
      <c r="ITE386" s="252"/>
      <c r="ITF386" s="252"/>
      <c r="ITG386" s="252"/>
      <c r="ITH386" s="252"/>
      <c r="ITI386" s="252"/>
      <c r="ITJ386" s="252"/>
      <c r="ITK386" s="252"/>
      <c r="ITL386" s="252"/>
      <c r="ITM386" s="252"/>
      <c r="ITN386" s="252"/>
      <c r="ITO386" s="252"/>
      <c r="ITP386" s="252"/>
      <c r="ITQ386" s="252"/>
      <c r="ITR386" s="252"/>
      <c r="ITS386" s="252"/>
      <c r="ITT386" s="252"/>
      <c r="ITU386" s="252"/>
      <c r="ITV386" s="252"/>
      <c r="ITW386" s="252"/>
      <c r="ITX386" s="252"/>
      <c r="ITY386" s="252"/>
      <c r="ITZ386" s="252"/>
      <c r="IUA386" s="252"/>
      <c r="IUB386" s="252"/>
      <c r="IUC386" s="252"/>
      <c r="IUD386" s="252"/>
      <c r="IUE386" s="252"/>
      <c r="IUF386" s="252"/>
      <c r="IUG386" s="252"/>
      <c r="IUH386" s="252"/>
      <c r="IUI386" s="252"/>
      <c r="IUJ386" s="252"/>
      <c r="IUK386" s="252"/>
      <c r="IUL386" s="252"/>
      <c r="IUM386" s="252"/>
      <c r="IUN386" s="252"/>
      <c r="IUO386" s="252"/>
      <c r="IUP386" s="252"/>
      <c r="IUQ386" s="252"/>
      <c r="IUR386" s="252"/>
      <c r="IUS386" s="252"/>
      <c r="IUT386" s="252"/>
      <c r="IUU386" s="252"/>
      <c r="IUV386" s="252"/>
      <c r="IUW386" s="252"/>
      <c r="IUX386" s="252"/>
      <c r="IUY386" s="252"/>
      <c r="IUZ386" s="252"/>
      <c r="IVA386" s="252"/>
      <c r="IVB386" s="252"/>
      <c r="IVC386" s="252"/>
      <c r="IVD386" s="252"/>
      <c r="IVE386" s="252"/>
      <c r="IVF386" s="252"/>
      <c r="IVG386" s="252"/>
      <c r="IVH386" s="252"/>
      <c r="IVI386" s="252"/>
      <c r="IVJ386" s="252"/>
      <c r="IVK386" s="252"/>
      <c r="IVL386" s="252"/>
      <c r="IVM386" s="252"/>
      <c r="IVN386" s="252"/>
      <c r="IVO386" s="252"/>
      <c r="IVP386" s="252"/>
      <c r="IVQ386" s="252"/>
      <c r="IVR386" s="252"/>
      <c r="IVS386" s="252"/>
      <c r="IVT386" s="252"/>
      <c r="IVU386" s="252"/>
      <c r="IVV386" s="252"/>
      <c r="IVW386" s="252"/>
      <c r="IVX386" s="252"/>
      <c r="IVY386" s="252"/>
      <c r="IVZ386" s="252"/>
      <c r="IWA386" s="252"/>
      <c r="IWB386" s="252"/>
      <c r="IWC386" s="252"/>
      <c r="IWD386" s="252"/>
      <c r="IWE386" s="252"/>
      <c r="IWF386" s="252"/>
      <c r="IWG386" s="252"/>
      <c r="IWH386" s="252"/>
      <c r="IWI386" s="252"/>
      <c r="IWJ386" s="252"/>
      <c r="IWK386" s="252"/>
      <c r="IWL386" s="252"/>
      <c r="IWM386" s="252"/>
      <c r="IWN386" s="252"/>
      <c r="IWO386" s="252"/>
      <c r="IWP386" s="252"/>
      <c r="IWQ386" s="252"/>
      <c r="IWR386" s="252"/>
      <c r="IWS386" s="252"/>
      <c r="IWT386" s="252"/>
      <c r="IWU386" s="252"/>
      <c r="IWV386" s="252"/>
      <c r="IWW386" s="252"/>
      <c r="IWX386" s="252"/>
      <c r="IWY386" s="252"/>
      <c r="IWZ386" s="252"/>
      <c r="IXA386" s="252"/>
      <c r="IXB386" s="252"/>
      <c r="IXC386" s="252"/>
      <c r="IXD386" s="252"/>
      <c r="IXE386" s="252"/>
      <c r="IXF386" s="252"/>
      <c r="IXG386" s="252"/>
      <c r="IXH386" s="252"/>
      <c r="IXI386" s="252"/>
      <c r="IXJ386" s="252"/>
      <c r="IXK386" s="252"/>
      <c r="IXL386" s="252"/>
      <c r="IXM386" s="252"/>
      <c r="IXN386" s="252"/>
      <c r="IXO386" s="252"/>
      <c r="IXP386" s="252"/>
      <c r="IXQ386" s="252"/>
      <c r="IXR386" s="252"/>
      <c r="IXS386" s="252"/>
      <c r="IXT386" s="252"/>
      <c r="IXU386" s="252"/>
      <c r="IXV386" s="252"/>
      <c r="IXW386" s="252"/>
      <c r="IXX386" s="252"/>
      <c r="IXY386" s="252"/>
      <c r="IXZ386" s="252"/>
      <c r="IYA386" s="252"/>
      <c r="IYB386" s="252"/>
      <c r="IYC386" s="252"/>
      <c r="IYD386" s="252"/>
      <c r="IYE386" s="252"/>
      <c r="IYF386" s="252"/>
      <c r="IYG386" s="252"/>
      <c r="IYH386" s="252"/>
      <c r="IYI386" s="252"/>
      <c r="IYJ386" s="252"/>
      <c r="IYK386" s="252"/>
      <c r="IYL386" s="252"/>
      <c r="IYM386" s="252"/>
      <c r="IYN386" s="252"/>
      <c r="IYO386" s="252"/>
      <c r="IYP386" s="252"/>
      <c r="IYQ386" s="252"/>
      <c r="IYR386" s="252"/>
      <c r="IYS386" s="252"/>
      <c r="IYT386" s="252"/>
      <c r="IYU386" s="252"/>
      <c r="IYV386" s="252"/>
      <c r="IYW386" s="252"/>
      <c r="IYX386" s="252"/>
      <c r="IYY386" s="252"/>
      <c r="IYZ386" s="252"/>
      <c r="IZA386" s="252"/>
      <c r="IZB386" s="252"/>
      <c r="IZC386" s="252"/>
      <c r="IZD386" s="252"/>
      <c r="IZE386" s="252"/>
      <c r="IZF386" s="252"/>
      <c r="IZG386" s="252"/>
      <c r="IZH386" s="252"/>
      <c r="IZI386" s="252"/>
      <c r="IZJ386" s="252"/>
      <c r="IZK386" s="252"/>
      <c r="IZL386" s="252"/>
      <c r="IZM386" s="252"/>
      <c r="IZN386" s="252"/>
      <c r="IZO386" s="252"/>
      <c r="IZP386" s="252"/>
      <c r="IZQ386" s="252"/>
      <c r="IZR386" s="252"/>
      <c r="IZS386" s="252"/>
      <c r="IZT386" s="252"/>
      <c r="IZU386" s="252"/>
      <c r="IZV386" s="252"/>
      <c r="IZW386" s="252"/>
      <c r="IZX386" s="252"/>
      <c r="IZY386" s="252"/>
      <c r="IZZ386" s="252"/>
      <c r="JAA386" s="252"/>
      <c r="JAB386" s="252"/>
      <c r="JAC386" s="252"/>
      <c r="JAD386" s="252"/>
      <c r="JAE386" s="252"/>
      <c r="JAF386" s="252"/>
      <c r="JAG386" s="252"/>
      <c r="JAH386" s="252"/>
      <c r="JAI386" s="252"/>
      <c r="JAJ386" s="252"/>
      <c r="JAK386" s="252"/>
      <c r="JAL386" s="252"/>
      <c r="JAM386" s="252"/>
      <c r="JAN386" s="252"/>
      <c r="JAO386" s="252"/>
      <c r="JAP386" s="252"/>
      <c r="JAQ386" s="252"/>
      <c r="JAR386" s="252"/>
      <c r="JAS386" s="252"/>
      <c r="JAT386" s="252"/>
      <c r="JAU386" s="252"/>
      <c r="JAV386" s="252"/>
      <c r="JAW386" s="252"/>
      <c r="JAX386" s="252"/>
      <c r="JAY386" s="252"/>
      <c r="JAZ386" s="252"/>
      <c r="JBA386" s="252"/>
      <c r="JBB386" s="252"/>
      <c r="JBC386" s="252"/>
      <c r="JBD386" s="252"/>
      <c r="JBE386" s="252"/>
      <c r="JBF386" s="252"/>
      <c r="JBG386" s="252"/>
      <c r="JBH386" s="252"/>
      <c r="JBI386" s="252"/>
      <c r="JBJ386" s="252"/>
      <c r="JBK386" s="252"/>
      <c r="JBL386" s="252"/>
      <c r="JBM386" s="252"/>
      <c r="JBN386" s="252"/>
      <c r="JBO386" s="252"/>
      <c r="JBP386" s="252"/>
      <c r="JBQ386" s="252"/>
      <c r="JBR386" s="252"/>
      <c r="JBS386" s="252"/>
      <c r="JBT386" s="252"/>
      <c r="JBU386" s="252"/>
      <c r="JBV386" s="252"/>
      <c r="JBW386" s="252"/>
      <c r="JBX386" s="252"/>
      <c r="JBY386" s="252"/>
      <c r="JBZ386" s="252"/>
      <c r="JCA386" s="252"/>
      <c r="JCB386" s="252"/>
      <c r="JCC386" s="252"/>
      <c r="JCD386" s="252"/>
      <c r="JCE386" s="252"/>
      <c r="JCF386" s="252"/>
      <c r="JCG386" s="252"/>
      <c r="JCH386" s="252"/>
      <c r="JCI386" s="252"/>
      <c r="JCJ386" s="252"/>
      <c r="JCK386" s="252"/>
      <c r="JCL386" s="252"/>
      <c r="JCM386" s="252"/>
      <c r="JCN386" s="252"/>
      <c r="JCO386" s="252"/>
      <c r="JCP386" s="252"/>
      <c r="JCQ386" s="252"/>
      <c r="JCR386" s="252"/>
      <c r="JCS386" s="252"/>
      <c r="JCT386" s="252"/>
      <c r="JCU386" s="252"/>
      <c r="JCV386" s="252"/>
      <c r="JCW386" s="252"/>
      <c r="JCX386" s="252"/>
      <c r="JCY386" s="252"/>
      <c r="JCZ386" s="252"/>
      <c r="JDA386" s="252"/>
      <c r="JDB386" s="252"/>
      <c r="JDC386" s="252"/>
      <c r="JDD386" s="252"/>
      <c r="JDE386" s="252"/>
      <c r="JDF386" s="252"/>
      <c r="JDG386" s="252"/>
      <c r="JDH386" s="252"/>
      <c r="JDI386" s="252"/>
      <c r="JDJ386" s="252"/>
      <c r="JDK386" s="252"/>
      <c r="JDL386" s="252"/>
      <c r="JDM386" s="252"/>
      <c r="JDN386" s="252"/>
      <c r="JDO386" s="252"/>
      <c r="JDP386" s="252"/>
      <c r="JDQ386" s="252"/>
      <c r="JDR386" s="252"/>
      <c r="JDS386" s="252"/>
      <c r="JDT386" s="252"/>
      <c r="JDU386" s="252"/>
      <c r="JDV386" s="252"/>
      <c r="JDW386" s="252"/>
      <c r="JDX386" s="252"/>
      <c r="JDY386" s="252"/>
      <c r="JDZ386" s="252"/>
      <c r="JEA386" s="252"/>
      <c r="JEB386" s="252"/>
      <c r="JEC386" s="252"/>
      <c r="JED386" s="252"/>
      <c r="JEE386" s="252"/>
      <c r="JEF386" s="252"/>
      <c r="JEG386" s="252"/>
      <c r="JEH386" s="252"/>
      <c r="JEI386" s="252"/>
      <c r="JEJ386" s="252"/>
      <c r="JEK386" s="252"/>
      <c r="JEL386" s="252"/>
      <c r="JEM386" s="252"/>
      <c r="JEN386" s="252"/>
      <c r="JEO386" s="252"/>
      <c r="JEP386" s="252"/>
      <c r="JEQ386" s="252"/>
      <c r="JER386" s="252"/>
      <c r="JES386" s="252"/>
      <c r="JET386" s="252"/>
      <c r="JEU386" s="252"/>
      <c r="JEV386" s="252"/>
      <c r="JEW386" s="252"/>
      <c r="JEX386" s="252"/>
      <c r="JEY386" s="252"/>
      <c r="JEZ386" s="252"/>
      <c r="JFA386" s="252"/>
      <c r="JFB386" s="252"/>
      <c r="JFC386" s="252"/>
      <c r="JFD386" s="252"/>
      <c r="JFE386" s="252"/>
      <c r="JFF386" s="252"/>
      <c r="JFG386" s="252"/>
      <c r="JFH386" s="252"/>
      <c r="JFI386" s="252"/>
      <c r="JFJ386" s="252"/>
      <c r="JFK386" s="252"/>
      <c r="JFL386" s="252"/>
      <c r="JFM386" s="252"/>
      <c r="JFN386" s="252"/>
      <c r="JFO386" s="252"/>
      <c r="JFP386" s="252"/>
      <c r="JFQ386" s="252"/>
      <c r="JFR386" s="252"/>
      <c r="JFS386" s="252"/>
      <c r="JFT386" s="252"/>
      <c r="JFU386" s="252"/>
      <c r="JFV386" s="252"/>
      <c r="JFW386" s="252"/>
      <c r="JFX386" s="252"/>
      <c r="JFY386" s="252"/>
      <c r="JFZ386" s="252"/>
      <c r="JGA386" s="252"/>
      <c r="JGB386" s="252"/>
      <c r="JGC386" s="252"/>
      <c r="JGD386" s="252"/>
      <c r="JGE386" s="252"/>
      <c r="JGF386" s="252"/>
      <c r="JGG386" s="252"/>
      <c r="JGH386" s="252"/>
      <c r="JGI386" s="252"/>
      <c r="JGJ386" s="252"/>
      <c r="JGK386" s="252"/>
      <c r="JGL386" s="252"/>
      <c r="JGM386" s="252"/>
      <c r="JGN386" s="252"/>
      <c r="JGO386" s="252"/>
      <c r="JGP386" s="252"/>
      <c r="JGQ386" s="252"/>
      <c r="JGR386" s="252"/>
      <c r="JGS386" s="252"/>
      <c r="JGT386" s="252"/>
      <c r="JGU386" s="252"/>
      <c r="JGV386" s="252"/>
      <c r="JGW386" s="252"/>
      <c r="JGX386" s="252"/>
      <c r="JGY386" s="252"/>
      <c r="JGZ386" s="252"/>
      <c r="JHA386" s="252"/>
      <c r="JHB386" s="252"/>
      <c r="JHC386" s="252"/>
      <c r="JHD386" s="252"/>
      <c r="JHE386" s="252"/>
      <c r="JHF386" s="252"/>
      <c r="JHG386" s="252"/>
      <c r="JHH386" s="252"/>
      <c r="JHI386" s="252"/>
      <c r="JHJ386" s="252"/>
      <c r="JHK386" s="252"/>
      <c r="JHL386" s="252"/>
      <c r="JHM386" s="252"/>
      <c r="JHN386" s="252"/>
      <c r="JHO386" s="252"/>
      <c r="JHP386" s="252"/>
      <c r="JHQ386" s="252"/>
      <c r="JHR386" s="252"/>
      <c r="JHS386" s="252"/>
      <c r="JHT386" s="252"/>
      <c r="JHU386" s="252"/>
      <c r="JHV386" s="252"/>
      <c r="JHW386" s="252"/>
      <c r="JHX386" s="252"/>
      <c r="JHY386" s="252"/>
      <c r="JHZ386" s="252"/>
      <c r="JIA386" s="252"/>
      <c r="JIB386" s="252"/>
      <c r="JIC386" s="252"/>
      <c r="JID386" s="252"/>
      <c r="JIE386" s="252"/>
      <c r="JIF386" s="252"/>
      <c r="JIG386" s="252"/>
      <c r="JIH386" s="252"/>
      <c r="JII386" s="252"/>
      <c r="JIJ386" s="252"/>
      <c r="JIK386" s="252"/>
      <c r="JIL386" s="252"/>
      <c r="JIM386" s="252"/>
      <c r="JIN386" s="252"/>
      <c r="JIO386" s="252"/>
      <c r="JIP386" s="252"/>
      <c r="JIQ386" s="252"/>
      <c r="JIR386" s="252"/>
      <c r="JIS386" s="252"/>
      <c r="JIT386" s="252"/>
      <c r="JIU386" s="252"/>
      <c r="JIV386" s="252"/>
      <c r="JIW386" s="252"/>
      <c r="JIX386" s="252"/>
      <c r="JIY386" s="252"/>
      <c r="JIZ386" s="252"/>
      <c r="JJA386" s="252"/>
      <c r="JJB386" s="252"/>
      <c r="JJC386" s="252"/>
      <c r="JJD386" s="252"/>
      <c r="JJE386" s="252"/>
      <c r="JJF386" s="252"/>
      <c r="JJG386" s="252"/>
      <c r="JJH386" s="252"/>
      <c r="JJI386" s="252"/>
      <c r="JJJ386" s="252"/>
      <c r="JJK386" s="252"/>
      <c r="JJL386" s="252"/>
      <c r="JJM386" s="252"/>
      <c r="JJN386" s="252"/>
      <c r="JJO386" s="252"/>
      <c r="JJP386" s="252"/>
      <c r="JJQ386" s="252"/>
      <c r="JJR386" s="252"/>
      <c r="JJS386" s="252"/>
      <c r="JJT386" s="252"/>
      <c r="JJU386" s="252"/>
      <c r="JJV386" s="252"/>
      <c r="JJW386" s="252"/>
      <c r="JJX386" s="252"/>
      <c r="JJY386" s="252"/>
      <c r="JJZ386" s="252"/>
      <c r="JKA386" s="252"/>
      <c r="JKB386" s="252"/>
      <c r="JKC386" s="252"/>
      <c r="JKD386" s="252"/>
      <c r="JKE386" s="252"/>
      <c r="JKF386" s="252"/>
      <c r="JKG386" s="252"/>
      <c r="JKH386" s="252"/>
      <c r="JKI386" s="252"/>
      <c r="JKJ386" s="252"/>
      <c r="JKK386" s="252"/>
      <c r="JKL386" s="252"/>
      <c r="JKM386" s="252"/>
      <c r="JKN386" s="252"/>
      <c r="JKO386" s="252"/>
      <c r="JKP386" s="252"/>
      <c r="JKQ386" s="252"/>
      <c r="JKR386" s="252"/>
      <c r="JKS386" s="252"/>
      <c r="JKT386" s="252"/>
      <c r="JKU386" s="252"/>
      <c r="JKV386" s="252"/>
      <c r="JKW386" s="252"/>
      <c r="JKX386" s="252"/>
      <c r="JKY386" s="252"/>
      <c r="JKZ386" s="252"/>
      <c r="JLA386" s="252"/>
      <c r="JLB386" s="252"/>
      <c r="JLC386" s="252"/>
      <c r="JLD386" s="252"/>
      <c r="JLE386" s="252"/>
      <c r="JLF386" s="252"/>
      <c r="JLG386" s="252"/>
      <c r="JLH386" s="252"/>
      <c r="JLI386" s="252"/>
      <c r="JLJ386" s="252"/>
      <c r="JLK386" s="252"/>
      <c r="JLL386" s="252"/>
      <c r="JLM386" s="252"/>
      <c r="JLN386" s="252"/>
      <c r="JLO386" s="252"/>
      <c r="JLP386" s="252"/>
      <c r="JLQ386" s="252"/>
      <c r="JLR386" s="252"/>
      <c r="JLS386" s="252"/>
      <c r="JLT386" s="252"/>
      <c r="JLU386" s="252"/>
      <c r="JLV386" s="252"/>
      <c r="JLW386" s="252"/>
      <c r="JLX386" s="252"/>
      <c r="JLY386" s="252"/>
      <c r="JLZ386" s="252"/>
      <c r="JMA386" s="252"/>
      <c r="JMB386" s="252"/>
      <c r="JMC386" s="252"/>
      <c r="JMD386" s="252"/>
      <c r="JME386" s="252"/>
      <c r="JMF386" s="252"/>
      <c r="JMG386" s="252"/>
      <c r="JMH386" s="252"/>
      <c r="JMI386" s="252"/>
      <c r="JMJ386" s="252"/>
      <c r="JMK386" s="252"/>
      <c r="JML386" s="252"/>
      <c r="JMM386" s="252"/>
      <c r="JMN386" s="252"/>
      <c r="JMO386" s="252"/>
      <c r="JMP386" s="252"/>
      <c r="JMQ386" s="252"/>
      <c r="JMR386" s="252"/>
      <c r="JMS386" s="252"/>
      <c r="JMT386" s="252"/>
      <c r="JMU386" s="252"/>
      <c r="JMV386" s="252"/>
      <c r="JMW386" s="252"/>
      <c r="JMX386" s="252"/>
      <c r="JMY386" s="252"/>
      <c r="JMZ386" s="252"/>
      <c r="JNA386" s="252"/>
      <c r="JNB386" s="252"/>
      <c r="JNC386" s="252"/>
      <c r="JND386" s="252"/>
      <c r="JNE386" s="252"/>
      <c r="JNF386" s="252"/>
      <c r="JNG386" s="252"/>
      <c r="JNH386" s="252"/>
      <c r="JNI386" s="252"/>
      <c r="JNJ386" s="252"/>
      <c r="JNK386" s="252"/>
      <c r="JNL386" s="252"/>
      <c r="JNM386" s="252"/>
      <c r="JNN386" s="252"/>
      <c r="JNO386" s="252"/>
      <c r="JNP386" s="252"/>
      <c r="JNQ386" s="252"/>
      <c r="JNR386" s="252"/>
      <c r="JNS386" s="252"/>
      <c r="JNT386" s="252"/>
      <c r="JNU386" s="252"/>
      <c r="JNV386" s="252"/>
      <c r="JNW386" s="252"/>
      <c r="JNX386" s="252"/>
      <c r="JNY386" s="252"/>
      <c r="JNZ386" s="252"/>
      <c r="JOA386" s="252"/>
      <c r="JOB386" s="252"/>
      <c r="JOC386" s="252"/>
      <c r="JOD386" s="252"/>
      <c r="JOE386" s="252"/>
      <c r="JOF386" s="252"/>
      <c r="JOG386" s="252"/>
      <c r="JOH386" s="252"/>
      <c r="JOI386" s="252"/>
      <c r="JOJ386" s="252"/>
      <c r="JOK386" s="252"/>
      <c r="JOL386" s="252"/>
      <c r="JOM386" s="252"/>
      <c r="JON386" s="252"/>
      <c r="JOO386" s="252"/>
      <c r="JOP386" s="252"/>
      <c r="JOQ386" s="252"/>
      <c r="JOR386" s="252"/>
      <c r="JOS386" s="252"/>
      <c r="JOT386" s="252"/>
      <c r="JOU386" s="252"/>
      <c r="JOV386" s="252"/>
      <c r="JOW386" s="252"/>
      <c r="JOX386" s="252"/>
      <c r="JOY386" s="252"/>
      <c r="JOZ386" s="252"/>
      <c r="JPA386" s="252"/>
      <c r="JPB386" s="252"/>
      <c r="JPC386" s="252"/>
      <c r="JPD386" s="252"/>
      <c r="JPE386" s="252"/>
      <c r="JPF386" s="252"/>
      <c r="JPG386" s="252"/>
      <c r="JPH386" s="252"/>
      <c r="JPI386" s="252"/>
      <c r="JPJ386" s="252"/>
      <c r="JPK386" s="252"/>
      <c r="JPL386" s="252"/>
      <c r="JPM386" s="252"/>
      <c r="JPN386" s="252"/>
      <c r="JPO386" s="252"/>
      <c r="JPP386" s="252"/>
      <c r="JPQ386" s="252"/>
      <c r="JPR386" s="252"/>
      <c r="JPS386" s="252"/>
      <c r="JPT386" s="252"/>
      <c r="JPU386" s="252"/>
      <c r="JPV386" s="252"/>
      <c r="JPW386" s="252"/>
      <c r="JPX386" s="252"/>
      <c r="JPY386" s="252"/>
      <c r="JPZ386" s="252"/>
      <c r="JQA386" s="252"/>
      <c r="JQB386" s="252"/>
      <c r="JQC386" s="252"/>
      <c r="JQD386" s="252"/>
      <c r="JQE386" s="252"/>
      <c r="JQF386" s="252"/>
      <c r="JQG386" s="252"/>
      <c r="JQH386" s="252"/>
      <c r="JQI386" s="252"/>
      <c r="JQJ386" s="252"/>
      <c r="JQK386" s="252"/>
      <c r="JQL386" s="252"/>
      <c r="JQM386" s="252"/>
      <c r="JQN386" s="252"/>
      <c r="JQO386" s="252"/>
      <c r="JQP386" s="252"/>
      <c r="JQQ386" s="252"/>
      <c r="JQR386" s="252"/>
      <c r="JQS386" s="252"/>
      <c r="JQT386" s="252"/>
      <c r="JQU386" s="252"/>
      <c r="JQV386" s="252"/>
      <c r="JQW386" s="252"/>
      <c r="JQX386" s="252"/>
      <c r="JQY386" s="252"/>
      <c r="JQZ386" s="252"/>
      <c r="JRA386" s="252"/>
      <c r="JRB386" s="252"/>
      <c r="JRC386" s="252"/>
      <c r="JRD386" s="252"/>
      <c r="JRE386" s="252"/>
      <c r="JRF386" s="252"/>
      <c r="JRG386" s="252"/>
      <c r="JRH386" s="252"/>
      <c r="JRI386" s="252"/>
      <c r="JRJ386" s="252"/>
      <c r="JRK386" s="252"/>
      <c r="JRL386" s="252"/>
      <c r="JRM386" s="252"/>
      <c r="JRN386" s="252"/>
      <c r="JRO386" s="252"/>
      <c r="JRP386" s="252"/>
      <c r="JRQ386" s="252"/>
      <c r="JRR386" s="252"/>
      <c r="JRS386" s="252"/>
      <c r="JRT386" s="252"/>
      <c r="JRU386" s="252"/>
      <c r="JRV386" s="252"/>
      <c r="JRW386" s="252"/>
      <c r="JRX386" s="252"/>
      <c r="JRY386" s="252"/>
      <c r="JRZ386" s="252"/>
      <c r="JSA386" s="252"/>
      <c r="JSB386" s="252"/>
      <c r="JSC386" s="252"/>
      <c r="JSD386" s="252"/>
      <c r="JSE386" s="252"/>
      <c r="JSF386" s="252"/>
      <c r="JSG386" s="252"/>
      <c r="JSH386" s="252"/>
      <c r="JSI386" s="252"/>
      <c r="JSJ386" s="252"/>
      <c r="JSK386" s="252"/>
      <c r="JSL386" s="252"/>
      <c r="JSM386" s="252"/>
      <c r="JSN386" s="252"/>
      <c r="JSO386" s="252"/>
      <c r="JSP386" s="252"/>
      <c r="JSQ386" s="252"/>
      <c r="JSR386" s="252"/>
      <c r="JSS386" s="252"/>
      <c r="JST386" s="252"/>
      <c r="JSU386" s="252"/>
      <c r="JSV386" s="252"/>
      <c r="JSW386" s="252"/>
      <c r="JSX386" s="252"/>
      <c r="JSY386" s="252"/>
      <c r="JSZ386" s="252"/>
      <c r="JTA386" s="252"/>
      <c r="JTB386" s="252"/>
      <c r="JTC386" s="252"/>
      <c r="JTD386" s="252"/>
      <c r="JTE386" s="252"/>
      <c r="JTF386" s="252"/>
      <c r="JTG386" s="252"/>
      <c r="JTH386" s="252"/>
      <c r="JTI386" s="252"/>
      <c r="JTJ386" s="252"/>
      <c r="JTK386" s="252"/>
      <c r="JTL386" s="252"/>
      <c r="JTM386" s="252"/>
      <c r="JTN386" s="252"/>
      <c r="JTO386" s="252"/>
      <c r="JTP386" s="252"/>
      <c r="JTQ386" s="252"/>
      <c r="JTR386" s="252"/>
      <c r="JTS386" s="252"/>
      <c r="JTT386" s="252"/>
      <c r="JTU386" s="252"/>
      <c r="JTV386" s="252"/>
      <c r="JTW386" s="252"/>
      <c r="JTX386" s="252"/>
      <c r="JTY386" s="252"/>
      <c r="JTZ386" s="252"/>
      <c r="JUA386" s="252"/>
      <c r="JUB386" s="252"/>
      <c r="JUC386" s="252"/>
      <c r="JUD386" s="252"/>
      <c r="JUE386" s="252"/>
      <c r="JUF386" s="252"/>
      <c r="JUG386" s="252"/>
      <c r="JUH386" s="252"/>
      <c r="JUI386" s="252"/>
      <c r="JUJ386" s="252"/>
      <c r="JUK386" s="252"/>
      <c r="JUL386" s="252"/>
      <c r="JUM386" s="252"/>
      <c r="JUN386" s="252"/>
      <c r="JUO386" s="252"/>
      <c r="JUP386" s="252"/>
      <c r="JUQ386" s="252"/>
      <c r="JUR386" s="252"/>
      <c r="JUS386" s="252"/>
      <c r="JUT386" s="252"/>
      <c r="JUU386" s="252"/>
      <c r="JUV386" s="252"/>
      <c r="JUW386" s="252"/>
      <c r="JUX386" s="252"/>
      <c r="JUY386" s="252"/>
      <c r="JUZ386" s="252"/>
      <c r="JVA386" s="252"/>
      <c r="JVB386" s="252"/>
      <c r="JVC386" s="252"/>
      <c r="JVD386" s="252"/>
      <c r="JVE386" s="252"/>
      <c r="JVF386" s="252"/>
      <c r="JVG386" s="252"/>
      <c r="JVH386" s="252"/>
      <c r="JVI386" s="252"/>
      <c r="JVJ386" s="252"/>
      <c r="JVK386" s="252"/>
      <c r="JVL386" s="252"/>
      <c r="JVM386" s="252"/>
      <c r="JVN386" s="252"/>
      <c r="JVO386" s="252"/>
      <c r="JVP386" s="252"/>
      <c r="JVQ386" s="252"/>
      <c r="JVR386" s="252"/>
      <c r="JVS386" s="252"/>
      <c r="JVT386" s="252"/>
      <c r="JVU386" s="252"/>
      <c r="JVV386" s="252"/>
      <c r="JVW386" s="252"/>
      <c r="JVX386" s="252"/>
      <c r="JVY386" s="252"/>
      <c r="JVZ386" s="252"/>
      <c r="JWA386" s="252"/>
      <c r="JWB386" s="252"/>
      <c r="JWC386" s="252"/>
      <c r="JWD386" s="252"/>
      <c r="JWE386" s="252"/>
      <c r="JWF386" s="252"/>
      <c r="JWG386" s="252"/>
      <c r="JWH386" s="252"/>
      <c r="JWI386" s="252"/>
      <c r="JWJ386" s="252"/>
      <c r="JWK386" s="252"/>
      <c r="JWL386" s="252"/>
      <c r="JWM386" s="252"/>
      <c r="JWN386" s="252"/>
      <c r="JWO386" s="252"/>
      <c r="JWP386" s="252"/>
      <c r="JWQ386" s="252"/>
      <c r="JWR386" s="252"/>
      <c r="JWS386" s="252"/>
      <c r="JWT386" s="252"/>
      <c r="JWU386" s="252"/>
      <c r="JWV386" s="252"/>
      <c r="JWW386" s="252"/>
      <c r="JWX386" s="252"/>
      <c r="JWY386" s="252"/>
      <c r="JWZ386" s="252"/>
      <c r="JXA386" s="252"/>
      <c r="JXB386" s="252"/>
      <c r="JXC386" s="252"/>
      <c r="JXD386" s="252"/>
      <c r="JXE386" s="252"/>
      <c r="JXF386" s="252"/>
      <c r="JXG386" s="252"/>
      <c r="JXH386" s="252"/>
      <c r="JXI386" s="252"/>
      <c r="JXJ386" s="252"/>
      <c r="JXK386" s="252"/>
      <c r="JXL386" s="252"/>
      <c r="JXM386" s="252"/>
      <c r="JXN386" s="252"/>
      <c r="JXO386" s="252"/>
      <c r="JXP386" s="252"/>
      <c r="JXQ386" s="252"/>
      <c r="JXR386" s="252"/>
      <c r="JXS386" s="252"/>
      <c r="JXT386" s="252"/>
      <c r="JXU386" s="252"/>
      <c r="JXV386" s="252"/>
      <c r="JXW386" s="252"/>
      <c r="JXX386" s="252"/>
      <c r="JXY386" s="252"/>
      <c r="JXZ386" s="252"/>
      <c r="JYA386" s="252"/>
      <c r="JYB386" s="252"/>
      <c r="JYC386" s="252"/>
      <c r="JYD386" s="252"/>
      <c r="JYE386" s="252"/>
      <c r="JYF386" s="252"/>
      <c r="JYG386" s="252"/>
      <c r="JYH386" s="252"/>
      <c r="JYI386" s="252"/>
      <c r="JYJ386" s="252"/>
      <c r="JYK386" s="252"/>
      <c r="JYL386" s="252"/>
      <c r="JYM386" s="252"/>
      <c r="JYN386" s="252"/>
      <c r="JYO386" s="252"/>
      <c r="JYP386" s="252"/>
      <c r="JYQ386" s="252"/>
      <c r="JYR386" s="252"/>
      <c r="JYS386" s="252"/>
      <c r="JYT386" s="252"/>
      <c r="JYU386" s="252"/>
      <c r="JYV386" s="252"/>
      <c r="JYW386" s="252"/>
      <c r="JYX386" s="252"/>
      <c r="JYY386" s="252"/>
      <c r="JYZ386" s="252"/>
      <c r="JZA386" s="252"/>
      <c r="JZB386" s="252"/>
      <c r="JZC386" s="252"/>
      <c r="JZD386" s="252"/>
      <c r="JZE386" s="252"/>
      <c r="JZF386" s="252"/>
      <c r="JZG386" s="252"/>
      <c r="JZH386" s="252"/>
      <c r="JZI386" s="252"/>
      <c r="JZJ386" s="252"/>
      <c r="JZK386" s="252"/>
      <c r="JZL386" s="252"/>
      <c r="JZM386" s="252"/>
      <c r="JZN386" s="252"/>
      <c r="JZO386" s="252"/>
      <c r="JZP386" s="252"/>
      <c r="JZQ386" s="252"/>
      <c r="JZR386" s="252"/>
      <c r="JZS386" s="252"/>
      <c r="JZT386" s="252"/>
      <c r="JZU386" s="252"/>
      <c r="JZV386" s="252"/>
      <c r="JZW386" s="252"/>
      <c r="JZX386" s="252"/>
      <c r="JZY386" s="252"/>
      <c r="JZZ386" s="252"/>
      <c r="KAA386" s="252"/>
      <c r="KAB386" s="252"/>
      <c r="KAC386" s="252"/>
      <c r="KAD386" s="252"/>
      <c r="KAE386" s="252"/>
      <c r="KAF386" s="252"/>
      <c r="KAG386" s="252"/>
      <c r="KAH386" s="252"/>
      <c r="KAI386" s="252"/>
      <c r="KAJ386" s="252"/>
      <c r="KAK386" s="252"/>
      <c r="KAL386" s="252"/>
      <c r="KAM386" s="252"/>
      <c r="KAN386" s="252"/>
      <c r="KAO386" s="252"/>
      <c r="KAP386" s="252"/>
      <c r="KAQ386" s="252"/>
      <c r="KAR386" s="252"/>
      <c r="KAS386" s="252"/>
      <c r="KAT386" s="252"/>
      <c r="KAU386" s="252"/>
      <c r="KAV386" s="252"/>
      <c r="KAW386" s="252"/>
      <c r="KAX386" s="252"/>
      <c r="KAY386" s="252"/>
      <c r="KAZ386" s="252"/>
      <c r="KBA386" s="252"/>
      <c r="KBB386" s="252"/>
      <c r="KBC386" s="252"/>
      <c r="KBD386" s="252"/>
      <c r="KBE386" s="252"/>
      <c r="KBF386" s="252"/>
      <c r="KBG386" s="252"/>
      <c r="KBH386" s="252"/>
      <c r="KBI386" s="252"/>
      <c r="KBJ386" s="252"/>
      <c r="KBK386" s="252"/>
      <c r="KBL386" s="252"/>
      <c r="KBM386" s="252"/>
      <c r="KBN386" s="252"/>
      <c r="KBO386" s="252"/>
      <c r="KBP386" s="252"/>
      <c r="KBQ386" s="252"/>
      <c r="KBR386" s="252"/>
      <c r="KBS386" s="252"/>
      <c r="KBT386" s="252"/>
      <c r="KBU386" s="252"/>
      <c r="KBV386" s="252"/>
      <c r="KBW386" s="252"/>
      <c r="KBX386" s="252"/>
      <c r="KBY386" s="252"/>
      <c r="KBZ386" s="252"/>
      <c r="KCA386" s="252"/>
      <c r="KCB386" s="252"/>
      <c r="KCC386" s="252"/>
      <c r="KCD386" s="252"/>
      <c r="KCE386" s="252"/>
      <c r="KCF386" s="252"/>
      <c r="KCG386" s="252"/>
      <c r="KCH386" s="252"/>
      <c r="KCI386" s="252"/>
      <c r="KCJ386" s="252"/>
      <c r="KCK386" s="252"/>
      <c r="KCL386" s="252"/>
      <c r="KCM386" s="252"/>
      <c r="KCN386" s="252"/>
      <c r="KCO386" s="252"/>
      <c r="KCP386" s="252"/>
      <c r="KCQ386" s="252"/>
      <c r="KCR386" s="252"/>
      <c r="KCS386" s="252"/>
      <c r="KCT386" s="252"/>
      <c r="KCU386" s="252"/>
      <c r="KCV386" s="252"/>
      <c r="KCW386" s="252"/>
      <c r="KCX386" s="252"/>
      <c r="KCY386" s="252"/>
      <c r="KCZ386" s="252"/>
      <c r="KDA386" s="252"/>
      <c r="KDB386" s="252"/>
      <c r="KDC386" s="252"/>
      <c r="KDD386" s="252"/>
      <c r="KDE386" s="252"/>
      <c r="KDF386" s="252"/>
      <c r="KDG386" s="252"/>
      <c r="KDH386" s="252"/>
      <c r="KDI386" s="252"/>
      <c r="KDJ386" s="252"/>
      <c r="KDK386" s="252"/>
      <c r="KDL386" s="252"/>
      <c r="KDM386" s="252"/>
      <c r="KDN386" s="252"/>
      <c r="KDO386" s="252"/>
      <c r="KDP386" s="252"/>
      <c r="KDQ386" s="252"/>
      <c r="KDR386" s="252"/>
      <c r="KDS386" s="252"/>
      <c r="KDT386" s="252"/>
      <c r="KDU386" s="252"/>
      <c r="KDV386" s="252"/>
      <c r="KDW386" s="252"/>
      <c r="KDX386" s="252"/>
      <c r="KDY386" s="252"/>
      <c r="KDZ386" s="252"/>
      <c r="KEA386" s="252"/>
      <c r="KEB386" s="252"/>
      <c r="KEC386" s="252"/>
      <c r="KED386" s="252"/>
      <c r="KEE386" s="252"/>
      <c r="KEF386" s="252"/>
      <c r="KEG386" s="252"/>
      <c r="KEH386" s="252"/>
      <c r="KEI386" s="252"/>
      <c r="KEJ386" s="252"/>
      <c r="KEK386" s="252"/>
      <c r="KEL386" s="252"/>
      <c r="KEM386" s="252"/>
      <c r="KEN386" s="252"/>
      <c r="KEO386" s="252"/>
      <c r="KEP386" s="252"/>
      <c r="KEQ386" s="252"/>
      <c r="KER386" s="252"/>
      <c r="KES386" s="252"/>
      <c r="KET386" s="252"/>
      <c r="KEU386" s="252"/>
      <c r="KEV386" s="252"/>
      <c r="KEW386" s="252"/>
      <c r="KEX386" s="252"/>
      <c r="KEY386" s="252"/>
      <c r="KEZ386" s="252"/>
      <c r="KFA386" s="252"/>
      <c r="KFB386" s="252"/>
      <c r="KFC386" s="252"/>
      <c r="KFD386" s="252"/>
      <c r="KFE386" s="252"/>
      <c r="KFF386" s="252"/>
      <c r="KFG386" s="252"/>
      <c r="KFH386" s="252"/>
      <c r="KFI386" s="252"/>
      <c r="KFJ386" s="252"/>
      <c r="KFK386" s="252"/>
      <c r="KFL386" s="252"/>
      <c r="KFM386" s="252"/>
      <c r="KFN386" s="252"/>
      <c r="KFO386" s="252"/>
      <c r="KFP386" s="252"/>
      <c r="KFQ386" s="252"/>
      <c r="KFR386" s="252"/>
      <c r="KFS386" s="252"/>
      <c r="KFT386" s="252"/>
      <c r="KFU386" s="252"/>
      <c r="KFV386" s="252"/>
      <c r="KFW386" s="252"/>
      <c r="KFX386" s="252"/>
      <c r="KFY386" s="252"/>
      <c r="KFZ386" s="252"/>
      <c r="KGA386" s="252"/>
      <c r="KGB386" s="252"/>
      <c r="KGC386" s="252"/>
      <c r="KGD386" s="252"/>
      <c r="KGE386" s="252"/>
      <c r="KGF386" s="252"/>
      <c r="KGG386" s="252"/>
      <c r="KGH386" s="252"/>
      <c r="KGI386" s="252"/>
      <c r="KGJ386" s="252"/>
      <c r="KGK386" s="252"/>
      <c r="KGL386" s="252"/>
      <c r="KGM386" s="252"/>
      <c r="KGN386" s="252"/>
      <c r="KGO386" s="252"/>
      <c r="KGP386" s="252"/>
      <c r="KGQ386" s="252"/>
      <c r="KGR386" s="252"/>
      <c r="KGS386" s="252"/>
      <c r="KGT386" s="252"/>
      <c r="KGU386" s="252"/>
      <c r="KGV386" s="252"/>
      <c r="KGW386" s="252"/>
      <c r="KGX386" s="252"/>
      <c r="KGY386" s="252"/>
      <c r="KGZ386" s="252"/>
      <c r="KHA386" s="252"/>
      <c r="KHB386" s="252"/>
      <c r="KHC386" s="252"/>
      <c r="KHD386" s="252"/>
      <c r="KHE386" s="252"/>
      <c r="KHF386" s="252"/>
      <c r="KHG386" s="252"/>
      <c r="KHH386" s="252"/>
      <c r="KHI386" s="252"/>
      <c r="KHJ386" s="252"/>
      <c r="KHK386" s="252"/>
      <c r="KHL386" s="252"/>
      <c r="KHM386" s="252"/>
      <c r="KHN386" s="252"/>
      <c r="KHO386" s="252"/>
      <c r="KHP386" s="252"/>
      <c r="KHQ386" s="252"/>
      <c r="KHR386" s="252"/>
      <c r="KHS386" s="252"/>
      <c r="KHT386" s="252"/>
      <c r="KHU386" s="252"/>
      <c r="KHV386" s="252"/>
      <c r="KHW386" s="252"/>
      <c r="KHX386" s="252"/>
      <c r="KHY386" s="252"/>
      <c r="KHZ386" s="252"/>
      <c r="KIA386" s="252"/>
      <c r="KIB386" s="252"/>
      <c r="KIC386" s="252"/>
      <c r="KID386" s="252"/>
      <c r="KIE386" s="252"/>
      <c r="KIF386" s="252"/>
      <c r="KIG386" s="252"/>
      <c r="KIH386" s="252"/>
      <c r="KII386" s="252"/>
      <c r="KIJ386" s="252"/>
      <c r="KIK386" s="252"/>
      <c r="KIL386" s="252"/>
      <c r="KIM386" s="252"/>
      <c r="KIN386" s="252"/>
      <c r="KIO386" s="252"/>
      <c r="KIP386" s="252"/>
      <c r="KIQ386" s="252"/>
      <c r="KIR386" s="252"/>
      <c r="KIS386" s="252"/>
      <c r="KIT386" s="252"/>
      <c r="KIU386" s="252"/>
      <c r="KIV386" s="252"/>
      <c r="KIW386" s="252"/>
      <c r="KIX386" s="252"/>
      <c r="KIY386" s="252"/>
      <c r="KIZ386" s="252"/>
      <c r="KJA386" s="252"/>
      <c r="KJB386" s="252"/>
      <c r="KJC386" s="252"/>
      <c r="KJD386" s="252"/>
      <c r="KJE386" s="252"/>
      <c r="KJF386" s="252"/>
      <c r="KJG386" s="252"/>
      <c r="KJH386" s="252"/>
      <c r="KJI386" s="252"/>
      <c r="KJJ386" s="252"/>
      <c r="KJK386" s="252"/>
      <c r="KJL386" s="252"/>
      <c r="KJM386" s="252"/>
      <c r="KJN386" s="252"/>
      <c r="KJO386" s="252"/>
      <c r="KJP386" s="252"/>
      <c r="KJQ386" s="252"/>
      <c r="KJR386" s="252"/>
      <c r="KJS386" s="252"/>
      <c r="KJT386" s="252"/>
      <c r="KJU386" s="252"/>
      <c r="KJV386" s="252"/>
      <c r="KJW386" s="252"/>
      <c r="KJX386" s="252"/>
      <c r="KJY386" s="252"/>
      <c r="KJZ386" s="252"/>
      <c r="KKA386" s="252"/>
      <c r="KKB386" s="252"/>
      <c r="KKC386" s="252"/>
      <c r="KKD386" s="252"/>
      <c r="KKE386" s="252"/>
      <c r="KKF386" s="252"/>
      <c r="KKG386" s="252"/>
      <c r="KKH386" s="252"/>
      <c r="KKI386" s="252"/>
      <c r="KKJ386" s="252"/>
      <c r="KKK386" s="252"/>
      <c r="KKL386" s="252"/>
      <c r="KKM386" s="252"/>
      <c r="KKN386" s="252"/>
      <c r="KKO386" s="252"/>
      <c r="KKP386" s="252"/>
      <c r="KKQ386" s="252"/>
      <c r="KKR386" s="252"/>
      <c r="KKS386" s="252"/>
      <c r="KKT386" s="252"/>
      <c r="KKU386" s="252"/>
      <c r="KKV386" s="252"/>
      <c r="KKW386" s="252"/>
      <c r="KKX386" s="252"/>
      <c r="KKY386" s="252"/>
      <c r="KKZ386" s="252"/>
      <c r="KLA386" s="252"/>
      <c r="KLB386" s="252"/>
      <c r="KLC386" s="252"/>
      <c r="KLD386" s="252"/>
      <c r="KLE386" s="252"/>
      <c r="KLF386" s="252"/>
      <c r="KLG386" s="252"/>
      <c r="KLH386" s="252"/>
      <c r="KLI386" s="252"/>
      <c r="KLJ386" s="252"/>
      <c r="KLK386" s="252"/>
      <c r="KLL386" s="252"/>
      <c r="KLM386" s="252"/>
      <c r="KLN386" s="252"/>
      <c r="KLO386" s="252"/>
      <c r="KLP386" s="252"/>
      <c r="KLQ386" s="252"/>
      <c r="KLR386" s="252"/>
      <c r="KLS386" s="252"/>
      <c r="KLT386" s="252"/>
      <c r="KLU386" s="252"/>
      <c r="KLV386" s="252"/>
      <c r="KLW386" s="252"/>
      <c r="KLX386" s="252"/>
      <c r="KLY386" s="252"/>
      <c r="KLZ386" s="252"/>
      <c r="KMA386" s="252"/>
      <c r="KMB386" s="252"/>
      <c r="KMC386" s="252"/>
      <c r="KMD386" s="252"/>
      <c r="KME386" s="252"/>
      <c r="KMF386" s="252"/>
      <c r="KMG386" s="252"/>
      <c r="KMH386" s="252"/>
      <c r="KMI386" s="252"/>
      <c r="KMJ386" s="252"/>
      <c r="KMK386" s="252"/>
      <c r="KML386" s="252"/>
      <c r="KMM386" s="252"/>
      <c r="KMN386" s="252"/>
      <c r="KMO386" s="252"/>
      <c r="KMP386" s="252"/>
      <c r="KMQ386" s="252"/>
      <c r="KMR386" s="252"/>
      <c r="KMS386" s="252"/>
      <c r="KMT386" s="252"/>
      <c r="KMU386" s="252"/>
      <c r="KMV386" s="252"/>
      <c r="KMW386" s="252"/>
      <c r="KMX386" s="252"/>
      <c r="KMY386" s="252"/>
      <c r="KMZ386" s="252"/>
      <c r="KNA386" s="252"/>
      <c r="KNB386" s="252"/>
      <c r="KNC386" s="252"/>
      <c r="KND386" s="252"/>
      <c r="KNE386" s="252"/>
      <c r="KNF386" s="252"/>
      <c r="KNG386" s="252"/>
      <c r="KNH386" s="252"/>
      <c r="KNI386" s="252"/>
      <c r="KNJ386" s="252"/>
      <c r="KNK386" s="252"/>
      <c r="KNL386" s="252"/>
      <c r="KNM386" s="252"/>
      <c r="KNN386" s="252"/>
      <c r="KNO386" s="252"/>
      <c r="KNP386" s="252"/>
      <c r="KNQ386" s="252"/>
      <c r="KNR386" s="252"/>
      <c r="KNS386" s="252"/>
      <c r="KNT386" s="252"/>
      <c r="KNU386" s="252"/>
      <c r="KNV386" s="252"/>
      <c r="KNW386" s="252"/>
      <c r="KNX386" s="252"/>
      <c r="KNY386" s="252"/>
      <c r="KNZ386" s="252"/>
      <c r="KOA386" s="252"/>
      <c r="KOB386" s="252"/>
      <c r="KOC386" s="252"/>
      <c r="KOD386" s="252"/>
      <c r="KOE386" s="252"/>
      <c r="KOF386" s="252"/>
      <c r="KOG386" s="252"/>
      <c r="KOH386" s="252"/>
      <c r="KOI386" s="252"/>
      <c r="KOJ386" s="252"/>
      <c r="KOK386" s="252"/>
      <c r="KOL386" s="252"/>
      <c r="KOM386" s="252"/>
      <c r="KON386" s="252"/>
      <c r="KOO386" s="252"/>
      <c r="KOP386" s="252"/>
      <c r="KOQ386" s="252"/>
      <c r="KOR386" s="252"/>
      <c r="KOS386" s="252"/>
      <c r="KOT386" s="252"/>
      <c r="KOU386" s="252"/>
      <c r="KOV386" s="252"/>
      <c r="KOW386" s="252"/>
      <c r="KOX386" s="252"/>
      <c r="KOY386" s="252"/>
      <c r="KOZ386" s="252"/>
      <c r="KPA386" s="252"/>
      <c r="KPB386" s="252"/>
      <c r="KPC386" s="252"/>
      <c r="KPD386" s="252"/>
      <c r="KPE386" s="252"/>
      <c r="KPF386" s="252"/>
      <c r="KPG386" s="252"/>
      <c r="KPH386" s="252"/>
      <c r="KPI386" s="252"/>
      <c r="KPJ386" s="252"/>
      <c r="KPK386" s="252"/>
      <c r="KPL386" s="252"/>
      <c r="KPM386" s="252"/>
      <c r="KPN386" s="252"/>
      <c r="KPO386" s="252"/>
      <c r="KPP386" s="252"/>
      <c r="KPQ386" s="252"/>
      <c r="KPR386" s="252"/>
      <c r="KPS386" s="252"/>
      <c r="KPT386" s="252"/>
      <c r="KPU386" s="252"/>
      <c r="KPV386" s="252"/>
      <c r="KPW386" s="252"/>
      <c r="KPX386" s="252"/>
      <c r="KPY386" s="252"/>
      <c r="KPZ386" s="252"/>
      <c r="KQA386" s="252"/>
      <c r="KQB386" s="252"/>
      <c r="KQC386" s="252"/>
      <c r="KQD386" s="252"/>
      <c r="KQE386" s="252"/>
      <c r="KQF386" s="252"/>
      <c r="KQG386" s="252"/>
      <c r="KQH386" s="252"/>
      <c r="KQI386" s="252"/>
      <c r="KQJ386" s="252"/>
      <c r="KQK386" s="252"/>
      <c r="KQL386" s="252"/>
      <c r="KQM386" s="252"/>
      <c r="KQN386" s="252"/>
      <c r="KQO386" s="252"/>
      <c r="KQP386" s="252"/>
      <c r="KQQ386" s="252"/>
      <c r="KQR386" s="252"/>
      <c r="KQS386" s="252"/>
      <c r="KQT386" s="252"/>
      <c r="KQU386" s="252"/>
      <c r="KQV386" s="252"/>
      <c r="KQW386" s="252"/>
      <c r="KQX386" s="252"/>
      <c r="KQY386" s="252"/>
      <c r="KQZ386" s="252"/>
      <c r="KRA386" s="252"/>
      <c r="KRB386" s="252"/>
      <c r="KRC386" s="252"/>
      <c r="KRD386" s="252"/>
      <c r="KRE386" s="252"/>
      <c r="KRF386" s="252"/>
      <c r="KRG386" s="252"/>
      <c r="KRH386" s="252"/>
      <c r="KRI386" s="252"/>
      <c r="KRJ386" s="252"/>
      <c r="KRK386" s="252"/>
      <c r="KRL386" s="252"/>
      <c r="KRM386" s="252"/>
      <c r="KRN386" s="252"/>
      <c r="KRO386" s="252"/>
      <c r="KRP386" s="252"/>
      <c r="KRQ386" s="252"/>
      <c r="KRR386" s="252"/>
      <c r="KRS386" s="252"/>
      <c r="KRT386" s="252"/>
      <c r="KRU386" s="252"/>
      <c r="KRV386" s="252"/>
      <c r="KRW386" s="252"/>
      <c r="KRX386" s="252"/>
      <c r="KRY386" s="252"/>
      <c r="KRZ386" s="252"/>
      <c r="KSA386" s="252"/>
      <c r="KSB386" s="252"/>
      <c r="KSC386" s="252"/>
      <c r="KSD386" s="252"/>
      <c r="KSE386" s="252"/>
      <c r="KSF386" s="252"/>
      <c r="KSG386" s="252"/>
      <c r="KSH386" s="252"/>
      <c r="KSI386" s="252"/>
      <c r="KSJ386" s="252"/>
      <c r="KSK386" s="252"/>
      <c r="KSL386" s="252"/>
      <c r="KSM386" s="252"/>
      <c r="KSN386" s="252"/>
      <c r="KSO386" s="252"/>
      <c r="KSP386" s="252"/>
      <c r="KSQ386" s="252"/>
      <c r="KSR386" s="252"/>
      <c r="KSS386" s="252"/>
      <c r="KST386" s="252"/>
      <c r="KSU386" s="252"/>
      <c r="KSV386" s="252"/>
      <c r="KSW386" s="252"/>
      <c r="KSX386" s="252"/>
      <c r="KSY386" s="252"/>
      <c r="KSZ386" s="252"/>
      <c r="KTA386" s="252"/>
      <c r="KTB386" s="252"/>
      <c r="KTC386" s="252"/>
      <c r="KTD386" s="252"/>
      <c r="KTE386" s="252"/>
      <c r="KTF386" s="252"/>
      <c r="KTG386" s="252"/>
      <c r="KTH386" s="252"/>
      <c r="KTI386" s="252"/>
      <c r="KTJ386" s="252"/>
      <c r="KTK386" s="252"/>
      <c r="KTL386" s="252"/>
      <c r="KTM386" s="252"/>
      <c r="KTN386" s="252"/>
      <c r="KTO386" s="252"/>
      <c r="KTP386" s="252"/>
      <c r="KTQ386" s="252"/>
      <c r="KTR386" s="252"/>
      <c r="KTS386" s="252"/>
      <c r="KTT386" s="252"/>
      <c r="KTU386" s="252"/>
      <c r="KTV386" s="252"/>
      <c r="KTW386" s="252"/>
      <c r="KTX386" s="252"/>
      <c r="KTY386" s="252"/>
      <c r="KTZ386" s="252"/>
      <c r="KUA386" s="252"/>
      <c r="KUB386" s="252"/>
      <c r="KUC386" s="252"/>
      <c r="KUD386" s="252"/>
      <c r="KUE386" s="252"/>
      <c r="KUF386" s="252"/>
      <c r="KUG386" s="252"/>
      <c r="KUH386" s="252"/>
      <c r="KUI386" s="252"/>
      <c r="KUJ386" s="252"/>
      <c r="KUK386" s="252"/>
      <c r="KUL386" s="252"/>
      <c r="KUM386" s="252"/>
      <c r="KUN386" s="252"/>
      <c r="KUO386" s="252"/>
      <c r="KUP386" s="252"/>
      <c r="KUQ386" s="252"/>
      <c r="KUR386" s="252"/>
      <c r="KUS386" s="252"/>
      <c r="KUT386" s="252"/>
      <c r="KUU386" s="252"/>
      <c r="KUV386" s="252"/>
      <c r="KUW386" s="252"/>
      <c r="KUX386" s="252"/>
      <c r="KUY386" s="252"/>
      <c r="KUZ386" s="252"/>
      <c r="KVA386" s="252"/>
      <c r="KVB386" s="252"/>
      <c r="KVC386" s="252"/>
      <c r="KVD386" s="252"/>
      <c r="KVE386" s="252"/>
      <c r="KVF386" s="252"/>
      <c r="KVG386" s="252"/>
      <c r="KVH386" s="252"/>
      <c r="KVI386" s="252"/>
      <c r="KVJ386" s="252"/>
      <c r="KVK386" s="252"/>
      <c r="KVL386" s="252"/>
      <c r="KVM386" s="252"/>
      <c r="KVN386" s="252"/>
      <c r="KVO386" s="252"/>
      <c r="KVP386" s="252"/>
      <c r="KVQ386" s="252"/>
      <c r="KVR386" s="252"/>
      <c r="KVS386" s="252"/>
      <c r="KVT386" s="252"/>
      <c r="KVU386" s="252"/>
      <c r="KVV386" s="252"/>
      <c r="KVW386" s="252"/>
      <c r="KVX386" s="252"/>
      <c r="KVY386" s="252"/>
      <c r="KVZ386" s="252"/>
      <c r="KWA386" s="252"/>
      <c r="KWB386" s="252"/>
      <c r="KWC386" s="252"/>
      <c r="KWD386" s="252"/>
      <c r="KWE386" s="252"/>
      <c r="KWF386" s="252"/>
      <c r="KWG386" s="252"/>
      <c r="KWH386" s="252"/>
      <c r="KWI386" s="252"/>
      <c r="KWJ386" s="252"/>
      <c r="KWK386" s="252"/>
      <c r="KWL386" s="252"/>
      <c r="KWM386" s="252"/>
      <c r="KWN386" s="252"/>
      <c r="KWO386" s="252"/>
      <c r="KWP386" s="252"/>
      <c r="KWQ386" s="252"/>
      <c r="KWR386" s="252"/>
      <c r="KWS386" s="252"/>
      <c r="KWT386" s="252"/>
      <c r="KWU386" s="252"/>
      <c r="KWV386" s="252"/>
      <c r="KWW386" s="252"/>
      <c r="KWX386" s="252"/>
      <c r="KWY386" s="252"/>
      <c r="KWZ386" s="252"/>
      <c r="KXA386" s="252"/>
      <c r="KXB386" s="252"/>
      <c r="KXC386" s="252"/>
      <c r="KXD386" s="252"/>
      <c r="KXE386" s="252"/>
      <c r="KXF386" s="252"/>
      <c r="KXG386" s="252"/>
      <c r="KXH386" s="252"/>
      <c r="KXI386" s="252"/>
      <c r="KXJ386" s="252"/>
      <c r="KXK386" s="252"/>
      <c r="KXL386" s="252"/>
      <c r="KXM386" s="252"/>
      <c r="KXN386" s="252"/>
      <c r="KXO386" s="252"/>
      <c r="KXP386" s="252"/>
      <c r="KXQ386" s="252"/>
      <c r="KXR386" s="252"/>
      <c r="KXS386" s="252"/>
      <c r="KXT386" s="252"/>
      <c r="KXU386" s="252"/>
      <c r="KXV386" s="252"/>
      <c r="KXW386" s="252"/>
      <c r="KXX386" s="252"/>
      <c r="KXY386" s="252"/>
      <c r="KXZ386" s="252"/>
      <c r="KYA386" s="252"/>
      <c r="KYB386" s="252"/>
      <c r="KYC386" s="252"/>
      <c r="KYD386" s="252"/>
      <c r="KYE386" s="252"/>
      <c r="KYF386" s="252"/>
      <c r="KYG386" s="252"/>
      <c r="KYH386" s="252"/>
      <c r="KYI386" s="252"/>
      <c r="KYJ386" s="252"/>
      <c r="KYK386" s="252"/>
      <c r="KYL386" s="252"/>
      <c r="KYM386" s="252"/>
      <c r="KYN386" s="252"/>
      <c r="KYO386" s="252"/>
      <c r="KYP386" s="252"/>
      <c r="KYQ386" s="252"/>
      <c r="KYR386" s="252"/>
      <c r="KYS386" s="252"/>
      <c r="KYT386" s="252"/>
      <c r="KYU386" s="252"/>
      <c r="KYV386" s="252"/>
      <c r="KYW386" s="252"/>
      <c r="KYX386" s="252"/>
      <c r="KYY386" s="252"/>
      <c r="KYZ386" s="252"/>
      <c r="KZA386" s="252"/>
      <c r="KZB386" s="252"/>
      <c r="KZC386" s="252"/>
      <c r="KZD386" s="252"/>
      <c r="KZE386" s="252"/>
      <c r="KZF386" s="252"/>
      <c r="KZG386" s="252"/>
      <c r="KZH386" s="252"/>
      <c r="KZI386" s="252"/>
      <c r="KZJ386" s="252"/>
      <c r="KZK386" s="252"/>
      <c r="KZL386" s="252"/>
      <c r="KZM386" s="252"/>
      <c r="KZN386" s="252"/>
      <c r="KZO386" s="252"/>
      <c r="KZP386" s="252"/>
      <c r="KZQ386" s="252"/>
      <c r="KZR386" s="252"/>
      <c r="KZS386" s="252"/>
      <c r="KZT386" s="252"/>
      <c r="KZU386" s="252"/>
      <c r="KZV386" s="252"/>
      <c r="KZW386" s="252"/>
      <c r="KZX386" s="252"/>
      <c r="KZY386" s="252"/>
      <c r="KZZ386" s="252"/>
      <c r="LAA386" s="252"/>
      <c r="LAB386" s="252"/>
      <c r="LAC386" s="252"/>
      <c r="LAD386" s="252"/>
      <c r="LAE386" s="252"/>
      <c r="LAF386" s="252"/>
      <c r="LAG386" s="252"/>
      <c r="LAH386" s="252"/>
      <c r="LAI386" s="252"/>
      <c r="LAJ386" s="252"/>
      <c r="LAK386" s="252"/>
      <c r="LAL386" s="252"/>
      <c r="LAM386" s="252"/>
      <c r="LAN386" s="252"/>
      <c r="LAO386" s="252"/>
      <c r="LAP386" s="252"/>
      <c r="LAQ386" s="252"/>
      <c r="LAR386" s="252"/>
      <c r="LAS386" s="252"/>
      <c r="LAT386" s="252"/>
      <c r="LAU386" s="252"/>
      <c r="LAV386" s="252"/>
      <c r="LAW386" s="252"/>
      <c r="LAX386" s="252"/>
      <c r="LAY386" s="252"/>
      <c r="LAZ386" s="252"/>
      <c r="LBA386" s="252"/>
      <c r="LBB386" s="252"/>
      <c r="LBC386" s="252"/>
      <c r="LBD386" s="252"/>
      <c r="LBE386" s="252"/>
      <c r="LBF386" s="252"/>
      <c r="LBG386" s="252"/>
      <c r="LBH386" s="252"/>
      <c r="LBI386" s="252"/>
      <c r="LBJ386" s="252"/>
      <c r="LBK386" s="252"/>
      <c r="LBL386" s="252"/>
      <c r="LBM386" s="252"/>
      <c r="LBN386" s="252"/>
      <c r="LBO386" s="252"/>
      <c r="LBP386" s="252"/>
      <c r="LBQ386" s="252"/>
      <c r="LBR386" s="252"/>
      <c r="LBS386" s="252"/>
      <c r="LBT386" s="252"/>
      <c r="LBU386" s="252"/>
      <c r="LBV386" s="252"/>
      <c r="LBW386" s="252"/>
      <c r="LBX386" s="252"/>
      <c r="LBY386" s="252"/>
      <c r="LBZ386" s="252"/>
      <c r="LCA386" s="252"/>
      <c r="LCB386" s="252"/>
      <c r="LCC386" s="252"/>
      <c r="LCD386" s="252"/>
      <c r="LCE386" s="252"/>
      <c r="LCF386" s="252"/>
      <c r="LCG386" s="252"/>
      <c r="LCH386" s="252"/>
      <c r="LCI386" s="252"/>
      <c r="LCJ386" s="252"/>
      <c r="LCK386" s="252"/>
      <c r="LCL386" s="252"/>
      <c r="LCM386" s="252"/>
      <c r="LCN386" s="252"/>
      <c r="LCO386" s="252"/>
      <c r="LCP386" s="252"/>
      <c r="LCQ386" s="252"/>
      <c r="LCR386" s="252"/>
      <c r="LCS386" s="252"/>
      <c r="LCT386" s="252"/>
      <c r="LCU386" s="252"/>
      <c r="LCV386" s="252"/>
      <c r="LCW386" s="252"/>
      <c r="LCX386" s="252"/>
      <c r="LCY386" s="252"/>
      <c r="LCZ386" s="252"/>
      <c r="LDA386" s="252"/>
      <c r="LDB386" s="252"/>
      <c r="LDC386" s="252"/>
      <c r="LDD386" s="252"/>
      <c r="LDE386" s="252"/>
      <c r="LDF386" s="252"/>
      <c r="LDG386" s="252"/>
      <c r="LDH386" s="252"/>
      <c r="LDI386" s="252"/>
      <c r="LDJ386" s="252"/>
      <c r="LDK386" s="252"/>
      <c r="LDL386" s="252"/>
      <c r="LDM386" s="252"/>
      <c r="LDN386" s="252"/>
      <c r="LDO386" s="252"/>
      <c r="LDP386" s="252"/>
      <c r="LDQ386" s="252"/>
      <c r="LDR386" s="252"/>
      <c r="LDS386" s="252"/>
      <c r="LDT386" s="252"/>
      <c r="LDU386" s="252"/>
      <c r="LDV386" s="252"/>
      <c r="LDW386" s="252"/>
      <c r="LDX386" s="252"/>
      <c r="LDY386" s="252"/>
      <c r="LDZ386" s="252"/>
      <c r="LEA386" s="252"/>
      <c r="LEB386" s="252"/>
      <c r="LEC386" s="252"/>
      <c r="LED386" s="252"/>
      <c r="LEE386" s="252"/>
      <c r="LEF386" s="252"/>
      <c r="LEG386" s="252"/>
      <c r="LEH386" s="252"/>
      <c r="LEI386" s="252"/>
      <c r="LEJ386" s="252"/>
      <c r="LEK386" s="252"/>
      <c r="LEL386" s="252"/>
      <c r="LEM386" s="252"/>
      <c r="LEN386" s="252"/>
      <c r="LEO386" s="252"/>
      <c r="LEP386" s="252"/>
      <c r="LEQ386" s="252"/>
      <c r="LER386" s="252"/>
      <c r="LES386" s="252"/>
      <c r="LET386" s="252"/>
      <c r="LEU386" s="252"/>
      <c r="LEV386" s="252"/>
      <c r="LEW386" s="252"/>
      <c r="LEX386" s="252"/>
      <c r="LEY386" s="252"/>
      <c r="LEZ386" s="252"/>
      <c r="LFA386" s="252"/>
      <c r="LFB386" s="252"/>
      <c r="LFC386" s="252"/>
      <c r="LFD386" s="252"/>
      <c r="LFE386" s="252"/>
      <c r="LFF386" s="252"/>
      <c r="LFG386" s="252"/>
      <c r="LFH386" s="252"/>
      <c r="LFI386" s="252"/>
      <c r="LFJ386" s="252"/>
      <c r="LFK386" s="252"/>
      <c r="LFL386" s="252"/>
      <c r="LFM386" s="252"/>
      <c r="LFN386" s="252"/>
      <c r="LFO386" s="252"/>
      <c r="LFP386" s="252"/>
      <c r="LFQ386" s="252"/>
      <c r="LFR386" s="252"/>
      <c r="LFS386" s="252"/>
      <c r="LFT386" s="252"/>
      <c r="LFU386" s="252"/>
      <c r="LFV386" s="252"/>
      <c r="LFW386" s="252"/>
      <c r="LFX386" s="252"/>
      <c r="LFY386" s="252"/>
      <c r="LFZ386" s="252"/>
      <c r="LGA386" s="252"/>
      <c r="LGB386" s="252"/>
      <c r="LGC386" s="252"/>
      <c r="LGD386" s="252"/>
      <c r="LGE386" s="252"/>
      <c r="LGF386" s="252"/>
      <c r="LGG386" s="252"/>
      <c r="LGH386" s="252"/>
      <c r="LGI386" s="252"/>
      <c r="LGJ386" s="252"/>
      <c r="LGK386" s="252"/>
      <c r="LGL386" s="252"/>
      <c r="LGM386" s="252"/>
      <c r="LGN386" s="252"/>
      <c r="LGO386" s="252"/>
      <c r="LGP386" s="252"/>
      <c r="LGQ386" s="252"/>
      <c r="LGR386" s="252"/>
      <c r="LGS386" s="252"/>
      <c r="LGT386" s="252"/>
      <c r="LGU386" s="252"/>
      <c r="LGV386" s="252"/>
      <c r="LGW386" s="252"/>
      <c r="LGX386" s="252"/>
      <c r="LGY386" s="252"/>
      <c r="LGZ386" s="252"/>
      <c r="LHA386" s="252"/>
      <c r="LHB386" s="252"/>
      <c r="LHC386" s="252"/>
      <c r="LHD386" s="252"/>
      <c r="LHE386" s="252"/>
      <c r="LHF386" s="252"/>
      <c r="LHG386" s="252"/>
      <c r="LHH386" s="252"/>
      <c r="LHI386" s="252"/>
      <c r="LHJ386" s="252"/>
      <c r="LHK386" s="252"/>
      <c r="LHL386" s="252"/>
      <c r="LHM386" s="252"/>
      <c r="LHN386" s="252"/>
      <c r="LHO386" s="252"/>
      <c r="LHP386" s="252"/>
      <c r="LHQ386" s="252"/>
      <c r="LHR386" s="252"/>
      <c r="LHS386" s="252"/>
      <c r="LHT386" s="252"/>
      <c r="LHU386" s="252"/>
      <c r="LHV386" s="252"/>
      <c r="LHW386" s="252"/>
      <c r="LHX386" s="252"/>
      <c r="LHY386" s="252"/>
      <c r="LHZ386" s="252"/>
      <c r="LIA386" s="252"/>
      <c r="LIB386" s="252"/>
      <c r="LIC386" s="252"/>
      <c r="LID386" s="252"/>
      <c r="LIE386" s="252"/>
      <c r="LIF386" s="252"/>
      <c r="LIG386" s="252"/>
      <c r="LIH386" s="252"/>
      <c r="LII386" s="252"/>
      <c r="LIJ386" s="252"/>
      <c r="LIK386" s="252"/>
      <c r="LIL386" s="252"/>
      <c r="LIM386" s="252"/>
      <c r="LIN386" s="252"/>
      <c r="LIO386" s="252"/>
      <c r="LIP386" s="252"/>
      <c r="LIQ386" s="252"/>
      <c r="LIR386" s="252"/>
      <c r="LIS386" s="252"/>
      <c r="LIT386" s="252"/>
      <c r="LIU386" s="252"/>
      <c r="LIV386" s="252"/>
      <c r="LIW386" s="252"/>
      <c r="LIX386" s="252"/>
      <c r="LIY386" s="252"/>
      <c r="LIZ386" s="252"/>
      <c r="LJA386" s="252"/>
      <c r="LJB386" s="252"/>
      <c r="LJC386" s="252"/>
      <c r="LJD386" s="252"/>
      <c r="LJE386" s="252"/>
      <c r="LJF386" s="252"/>
      <c r="LJG386" s="252"/>
      <c r="LJH386" s="252"/>
      <c r="LJI386" s="252"/>
      <c r="LJJ386" s="252"/>
      <c r="LJK386" s="252"/>
      <c r="LJL386" s="252"/>
      <c r="LJM386" s="252"/>
      <c r="LJN386" s="252"/>
      <c r="LJO386" s="252"/>
      <c r="LJP386" s="252"/>
      <c r="LJQ386" s="252"/>
      <c r="LJR386" s="252"/>
      <c r="LJS386" s="252"/>
      <c r="LJT386" s="252"/>
      <c r="LJU386" s="252"/>
      <c r="LJV386" s="252"/>
      <c r="LJW386" s="252"/>
      <c r="LJX386" s="252"/>
      <c r="LJY386" s="252"/>
      <c r="LJZ386" s="252"/>
      <c r="LKA386" s="252"/>
      <c r="LKB386" s="252"/>
      <c r="LKC386" s="252"/>
      <c r="LKD386" s="252"/>
      <c r="LKE386" s="252"/>
      <c r="LKF386" s="252"/>
      <c r="LKG386" s="252"/>
      <c r="LKH386" s="252"/>
      <c r="LKI386" s="252"/>
      <c r="LKJ386" s="252"/>
      <c r="LKK386" s="252"/>
      <c r="LKL386" s="252"/>
      <c r="LKM386" s="252"/>
      <c r="LKN386" s="252"/>
      <c r="LKO386" s="252"/>
      <c r="LKP386" s="252"/>
      <c r="LKQ386" s="252"/>
      <c r="LKR386" s="252"/>
      <c r="LKS386" s="252"/>
      <c r="LKT386" s="252"/>
      <c r="LKU386" s="252"/>
      <c r="LKV386" s="252"/>
      <c r="LKW386" s="252"/>
      <c r="LKX386" s="252"/>
      <c r="LKY386" s="252"/>
      <c r="LKZ386" s="252"/>
      <c r="LLA386" s="252"/>
      <c r="LLB386" s="252"/>
      <c r="LLC386" s="252"/>
      <c r="LLD386" s="252"/>
      <c r="LLE386" s="252"/>
      <c r="LLF386" s="252"/>
      <c r="LLG386" s="252"/>
      <c r="LLH386" s="252"/>
      <c r="LLI386" s="252"/>
      <c r="LLJ386" s="252"/>
      <c r="LLK386" s="252"/>
      <c r="LLL386" s="252"/>
      <c r="LLM386" s="252"/>
      <c r="LLN386" s="252"/>
      <c r="LLO386" s="252"/>
      <c r="LLP386" s="252"/>
      <c r="LLQ386" s="252"/>
      <c r="LLR386" s="252"/>
      <c r="LLS386" s="252"/>
      <c r="LLT386" s="252"/>
      <c r="LLU386" s="252"/>
      <c r="LLV386" s="252"/>
      <c r="LLW386" s="252"/>
      <c r="LLX386" s="252"/>
      <c r="LLY386" s="252"/>
      <c r="LLZ386" s="252"/>
      <c r="LMA386" s="252"/>
      <c r="LMB386" s="252"/>
      <c r="LMC386" s="252"/>
      <c r="LMD386" s="252"/>
      <c r="LME386" s="252"/>
      <c r="LMF386" s="252"/>
      <c r="LMG386" s="252"/>
      <c r="LMH386" s="252"/>
      <c r="LMI386" s="252"/>
      <c r="LMJ386" s="252"/>
      <c r="LMK386" s="252"/>
      <c r="LML386" s="252"/>
      <c r="LMM386" s="252"/>
      <c r="LMN386" s="252"/>
      <c r="LMO386" s="252"/>
      <c r="LMP386" s="252"/>
      <c r="LMQ386" s="252"/>
      <c r="LMR386" s="252"/>
      <c r="LMS386" s="252"/>
      <c r="LMT386" s="252"/>
      <c r="LMU386" s="252"/>
      <c r="LMV386" s="252"/>
      <c r="LMW386" s="252"/>
      <c r="LMX386" s="252"/>
      <c r="LMY386" s="252"/>
      <c r="LMZ386" s="252"/>
      <c r="LNA386" s="252"/>
      <c r="LNB386" s="252"/>
      <c r="LNC386" s="252"/>
      <c r="LND386" s="252"/>
      <c r="LNE386" s="252"/>
      <c r="LNF386" s="252"/>
      <c r="LNG386" s="252"/>
      <c r="LNH386" s="252"/>
      <c r="LNI386" s="252"/>
      <c r="LNJ386" s="252"/>
      <c r="LNK386" s="252"/>
      <c r="LNL386" s="252"/>
      <c r="LNM386" s="252"/>
      <c r="LNN386" s="252"/>
      <c r="LNO386" s="252"/>
      <c r="LNP386" s="252"/>
      <c r="LNQ386" s="252"/>
      <c r="LNR386" s="252"/>
      <c r="LNS386" s="252"/>
      <c r="LNT386" s="252"/>
      <c r="LNU386" s="252"/>
      <c r="LNV386" s="252"/>
      <c r="LNW386" s="252"/>
      <c r="LNX386" s="252"/>
      <c r="LNY386" s="252"/>
      <c r="LNZ386" s="252"/>
      <c r="LOA386" s="252"/>
      <c r="LOB386" s="252"/>
      <c r="LOC386" s="252"/>
      <c r="LOD386" s="252"/>
      <c r="LOE386" s="252"/>
      <c r="LOF386" s="252"/>
      <c r="LOG386" s="252"/>
      <c r="LOH386" s="252"/>
      <c r="LOI386" s="252"/>
      <c r="LOJ386" s="252"/>
      <c r="LOK386" s="252"/>
      <c r="LOL386" s="252"/>
      <c r="LOM386" s="252"/>
      <c r="LON386" s="252"/>
      <c r="LOO386" s="252"/>
      <c r="LOP386" s="252"/>
      <c r="LOQ386" s="252"/>
      <c r="LOR386" s="252"/>
      <c r="LOS386" s="252"/>
      <c r="LOT386" s="252"/>
      <c r="LOU386" s="252"/>
      <c r="LOV386" s="252"/>
      <c r="LOW386" s="252"/>
      <c r="LOX386" s="252"/>
      <c r="LOY386" s="252"/>
      <c r="LOZ386" s="252"/>
      <c r="LPA386" s="252"/>
      <c r="LPB386" s="252"/>
      <c r="LPC386" s="252"/>
      <c r="LPD386" s="252"/>
      <c r="LPE386" s="252"/>
      <c r="LPF386" s="252"/>
      <c r="LPG386" s="252"/>
      <c r="LPH386" s="252"/>
      <c r="LPI386" s="252"/>
      <c r="LPJ386" s="252"/>
      <c r="LPK386" s="252"/>
      <c r="LPL386" s="252"/>
      <c r="LPM386" s="252"/>
      <c r="LPN386" s="252"/>
      <c r="LPO386" s="252"/>
      <c r="LPP386" s="252"/>
      <c r="LPQ386" s="252"/>
      <c r="LPR386" s="252"/>
      <c r="LPS386" s="252"/>
      <c r="LPT386" s="252"/>
      <c r="LPU386" s="252"/>
      <c r="LPV386" s="252"/>
      <c r="LPW386" s="252"/>
      <c r="LPX386" s="252"/>
      <c r="LPY386" s="252"/>
      <c r="LPZ386" s="252"/>
      <c r="LQA386" s="252"/>
      <c r="LQB386" s="252"/>
      <c r="LQC386" s="252"/>
      <c r="LQD386" s="252"/>
      <c r="LQE386" s="252"/>
      <c r="LQF386" s="252"/>
      <c r="LQG386" s="252"/>
      <c r="LQH386" s="252"/>
      <c r="LQI386" s="252"/>
      <c r="LQJ386" s="252"/>
      <c r="LQK386" s="252"/>
      <c r="LQL386" s="252"/>
      <c r="LQM386" s="252"/>
      <c r="LQN386" s="252"/>
      <c r="LQO386" s="252"/>
      <c r="LQP386" s="252"/>
      <c r="LQQ386" s="252"/>
      <c r="LQR386" s="252"/>
      <c r="LQS386" s="252"/>
      <c r="LQT386" s="252"/>
      <c r="LQU386" s="252"/>
      <c r="LQV386" s="252"/>
      <c r="LQW386" s="252"/>
      <c r="LQX386" s="252"/>
      <c r="LQY386" s="252"/>
      <c r="LQZ386" s="252"/>
      <c r="LRA386" s="252"/>
      <c r="LRB386" s="252"/>
      <c r="LRC386" s="252"/>
      <c r="LRD386" s="252"/>
      <c r="LRE386" s="252"/>
      <c r="LRF386" s="252"/>
      <c r="LRG386" s="252"/>
      <c r="LRH386" s="252"/>
      <c r="LRI386" s="252"/>
      <c r="LRJ386" s="252"/>
      <c r="LRK386" s="252"/>
      <c r="LRL386" s="252"/>
      <c r="LRM386" s="252"/>
      <c r="LRN386" s="252"/>
      <c r="LRO386" s="252"/>
      <c r="LRP386" s="252"/>
      <c r="LRQ386" s="252"/>
      <c r="LRR386" s="252"/>
      <c r="LRS386" s="252"/>
      <c r="LRT386" s="252"/>
      <c r="LRU386" s="252"/>
      <c r="LRV386" s="252"/>
      <c r="LRW386" s="252"/>
      <c r="LRX386" s="252"/>
      <c r="LRY386" s="252"/>
      <c r="LRZ386" s="252"/>
      <c r="LSA386" s="252"/>
      <c r="LSB386" s="252"/>
      <c r="LSC386" s="252"/>
      <c r="LSD386" s="252"/>
      <c r="LSE386" s="252"/>
      <c r="LSF386" s="252"/>
      <c r="LSG386" s="252"/>
      <c r="LSH386" s="252"/>
      <c r="LSI386" s="252"/>
      <c r="LSJ386" s="252"/>
      <c r="LSK386" s="252"/>
      <c r="LSL386" s="252"/>
      <c r="LSM386" s="252"/>
      <c r="LSN386" s="252"/>
      <c r="LSO386" s="252"/>
      <c r="LSP386" s="252"/>
      <c r="LSQ386" s="252"/>
      <c r="LSR386" s="252"/>
      <c r="LSS386" s="252"/>
      <c r="LST386" s="252"/>
      <c r="LSU386" s="252"/>
      <c r="LSV386" s="252"/>
      <c r="LSW386" s="252"/>
      <c r="LSX386" s="252"/>
      <c r="LSY386" s="252"/>
      <c r="LSZ386" s="252"/>
      <c r="LTA386" s="252"/>
      <c r="LTB386" s="252"/>
      <c r="LTC386" s="252"/>
      <c r="LTD386" s="252"/>
      <c r="LTE386" s="252"/>
      <c r="LTF386" s="252"/>
      <c r="LTG386" s="252"/>
      <c r="LTH386" s="252"/>
      <c r="LTI386" s="252"/>
      <c r="LTJ386" s="252"/>
      <c r="LTK386" s="252"/>
      <c r="LTL386" s="252"/>
      <c r="LTM386" s="252"/>
      <c r="LTN386" s="252"/>
      <c r="LTO386" s="252"/>
      <c r="LTP386" s="252"/>
      <c r="LTQ386" s="252"/>
      <c r="LTR386" s="252"/>
      <c r="LTS386" s="252"/>
      <c r="LTT386" s="252"/>
      <c r="LTU386" s="252"/>
      <c r="LTV386" s="252"/>
      <c r="LTW386" s="252"/>
      <c r="LTX386" s="252"/>
      <c r="LTY386" s="252"/>
      <c r="LTZ386" s="252"/>
      <c r="LUA386" s="252"/>
      <c r="LUB386" s="252"/>
      <c r="LUC386" s="252"/>
      <c r="LUD386" s="252"/>
      <c r="LUE386" s="252"/>
      <c r="LUF386" s="252"/>
      <c r="LUG386" s="252"/>
      <c r="LUH386" s="252"/>
      <c r="LUI386" s="252"/>
      <c r="LUJ386" s="252"/>
      <c r="LUK386" s="252"/>
      <c r="LUL386" s="252"/>
      <c r="LUM386" s="252"/>
      <c r="LUN386" s="252"/>
      <c r="LUO386" s="252"/>
      <c r="LUP386" s="252"/>
      <c r="LUQ386" s="252"/>
      <c r="LUR386" s="252"/>
      <c r="LUS386" s="252"/>
      <c r="LUT386" s="252"/>
      <c r="LUU386" s="252"/>
      <c r="LUV386" s="252"/>
      <c r="LUW386" s="252"/>
      <c r="LUX386" s="252"/>
      <c r="LUY386" s="252"/>
      <c r="LUZ386" s="252"/>
      <c r="LVA386" s="252"/>
      <c r="LVB386" s="252"/>
      <c r="LVC386" s="252"/>
      <c r="LVD386" s="252"/>
      <c r="LVE386" s="252"/>
      <c r="LVF386" s="252"/>
      <c r="LVG386" s="252"/>
      <c r="LVH386" s="252"/>
      <c r="LVI386" s="252"/>
      <c r="LVJ386" s="252"/>
      <c r="LVK386" s="252"/>
      <c r="LVL386" s="252"/>
      <c r="LVM386" s="252"/>
      <c r="LVN386" s="252"/>
      <c r="LVO386" s="252"/>
      <c r="LVP386" s="252"/>
      <c r="LVQ386" s="252"/>
      <c r="LVR386" s="252"/>
      <c r="LVS386" s="252"/>
      <c r="LVT386" s="252"/>
      <c r="LVU386" s="252"/>
      <c r="LVV386" s="252"/>
      <c r="LVW386" s="252"/>
      <c r="LVX386" s="252"/>
      <c r="LVY386" s="252"/>
      <c r="LVZ386" s="252"/>
      <c r="LWA386" s="252"/>
      <c r="LWB386" s="252"/>
      <c r="LWC386" s="252"/>
      <c r="LWD386" s="252"/>
      <c r="LWE386" s="252"/>
      <c r="LWF386" s="252"/>
      <c r="LWG386" s="252"/>
      <c r="LWH386" s="252"/>
      <c r="LWI386" s="252"/>
      <c r="LWJ386" s="252"/>
      <c r="LWK386" s="252"/>
      <c r="LWL386" s="252"/>
      <c r="LWM386" s="252"/>
      <c r="LWN386" s="252"/>
      <c r="LWO386" s="252"/>
      <c r="LWP386" s="252"/>
      <c r="LWQ386" s="252"/>
      <c r="LWR386" s="252"/>
      <c r="LWS386" s="252"/>
      <c r="LWT386" s="252"/>
      <c r="LWU386" s="252"/>
      <c r="LWV386" s="252"/>
      <c r="LWW386" s="252"/>
      <c r="LWX386" s="252"/>
      <c r="LWY386" s="252"/>
      <c r="LWZ386" s="252"/>
      <c r="LXA386" s="252"/>
      <c r="LXB386" s="252"/>
      <c r="LXC386" s="252"/>
      <c r="LXD386" s="252"/>
      <c r="LXE386" s="252"/>
      <c r="LXF386" s="252"/>
      <c r="LXG386" s="252"/>
      <c r="LXH386" s="252"/>
      <c r="LXI386" s="252"/>
      <c r="LXJ386" s="252"/>
      <c r="LXK386" s="252"/>
      <c r="LXL386" s="252"/>
      <c r="LXM386" s="252"/>
      <c r="LXN386" s="252"/>
      <c r="LXO386" s="252"/>
      <c r="LXP386" s="252"/>
      <c r="LXQ386" s="252"/>
      <c r="LXR386" s="252"/>
      <c r="LXS386" s="252"/>
      <c r="LXT386" s="252"/>
      <c r="LXU386" s="252"/>
      <c r="LXV386" s="252"/>
      <c r="LXW386" s="252"/>
      <c r="LXX386" s="252"/>
      <c r="LXY386" s="252"/>
      <c r="LXZ386" s="252"/>
      <c r="LYA386" s="252"/>
      <c r="LYB386" s="252"/>
      <c r="LYC386" s="252"/>
      <c r="LYD386" s="252"/>
      <c r="LYE386" s="252"/>
      <c r="LYF386" s="252"/>
      <c r="LYG386" s="252"/>
      <c r="LYH386" s="252"/>
      <c r="LYI386" s="252"/>
      <c r="LYJ386" s="252"/>
      <c r="LYK386" s="252"/>
      <c r="LYL386" s="252"/>
      <c r="LYM386" s="252"/>
      <c r="LYN386" s="252"/>
      <c r="LYO386" s="252"/>
      <c r="LYP386" s="252"/>
      <c r="LYQ386" s="252"/>
      <c r="LYR386" s="252"/>
      <c r="LYS386" s="252"/>
      <c r="LYT386" s="252"/>
      <c r="LYU386" s="252"/>
      <c r="LYV386" s="252"/>
      <c r="LYW386" s="252"/>
      <c r="LYX386" s="252"/>
      <c r="LYY386" s="252"/>
      <c r="LYZ386" s="252"/>
      <c r="LZA386" s="252"/>
      <c r="LZB386" s="252"/>
      <c r="LZC386" s="252"/>
      <c r="LZD386" s="252"/>
      <c r="LZE386" s="252"/>
      <c r="LZF386" s="252"/>
      <c r="LZG386" s="252"/>
      <c r="LZH386" s="252"/>
      <c r="LZI386" s="252"/>
      <c r="LZJ386" s="252"/>
      <c r="LZK386" s="252"/>
      <c r="LZL386" s="252"/>
      <c r="LZM386" s="252"/>
      <c r="LZN386" s="252"/>
      <c r="LZO386" s="252"/>
      <c r="LZP386" s="252"/>
      <c r="LZQ386" s="252"/>
      <c r="LZR386" s="252"/>
      <c r="LZS386" s="252"/>
      <c r="LZT386" s="252"/>
      <c r="LZU386" s="252"/>
      <c r="LZV386" s="252"/>
      <c r="LZW386" s="252"/>
      <c r="LZX386" s="252"/>
      <c r="LZY386" s="252"/>
      <c r="LZZ386" s="252"/>
      <c r="MAA386" s="252"/>
      <c r="MAB386" s="252"/>
      <c r="MAC386" s="252"/>
      <c r="MAD386" s="252"/>
      <c r="MAE386" s="252"/>
      <c r="MAF386" s="252"/>
      <c r="MAG386" s="252"/>
      <c r="MAH386" s="252"/>
      <c r="MAI386" s="252"/>
      <c r="MAJ386" s="252"/>
      <c r="MAK386" s="252"/>
      <c r="MAL386" s="252"/>
      <c r="MAM386" s="252"/>
      <c r="MAN386" s="252"/>
      <c r="MAO386" s="252"/>
      <c r="MAP386" s="252"/>
      <c r="MAQ386" s="252"/>
      <c r="MAR386" s="252"/>
      <c r="MAS386" s="252"/>
      <c r="MAT386" s="252"/>
      <c r="MAU386" s="252"/>
      <c r="MAV386" s="252"/>
      <c r="MAW386" s="252"/>
      <c r="MAX386" s="252"/>
      <c r="MAY386" s="252"/>
      <c r="MAZ386" s="252"/>
      <c r="MBA386" s="252"/>
      <c r="MBB386" s="252"/>
      <c r="MBC386" s="252"/>
      <c r="MBD386" s="252"/>
      <c r="MBE386" s="252"/>
      <c r="MBF386" s="252"/>
      <c r="MBG386" s="252"/>
      <c r="MBH386" s="252"/>
      <c r="MBI386" s="252"/>
      <c r="MBJ386" s="252"/>
      <c r="MBK386" s="252"/>
      <c r="MBL386" s="252"/>
      <c r="MBM386" s="252"/>
      <c r="MBN386" s="252"/>
      <c r="MBO386" s="252"/>
      <c r="MBP386" s="252"/>
      <c r="MBQ386" s="252"/>
      <c r="MBR386" s="252"/>
      <c r="MBS386" s="252"/>
      <c r="MBT386" s="252"/>
      <c r="MBU386" s="252"/>
      <c r="MBV386" s="252"/>
      <c r="MBW386" s="252"/>
      <c r="MBX386" s="252"/>
      <c r="MBY386" s="252"/>
      <c r="MBZ386" s="252"/>
      <c r="MCA386" s="252"/>
      <c r="MCB386" s="252"/>
      <c r="MCC386" s="252"/>
      <c r="MCD386" s="252"/>
      <c r="MCE386" s="252"/>
      <c r="MCF386" s="252"/>
      <c r="MCG386" s="252"/>
      <c r="MCH386" s="252"/>
      <c r="MCI386" s="252"/>
      <c r="MCJ386" s="252"/>
      <c r="MCK386" s="252"/>
      <c r="MCL386" s="252"/>
      <c r="MCM386" s="252"/>
      <c r="MCN386" s="252"/>
      <c r="MCO386" s="252"/>
      <c r="MCP386" s="252"/>
      <c r="MCQ386" s="252"/>
      <c r="MCR386" s="252"/>
      <c r="MCS386" s="252"/>
      <c r="MCT386" s="252"/>
      <c r="MCU386" s="252"/>
      <c r="MCV386" s="252"/>
      <c r="MCW386" s="252"/>
      <c r="MCX386" s="252"/>
      <c r="MCY386" s="252"/>
      <c r="MCZ386" s="252"/>
      <c r="MDA386" s="252"/>
      <c r="MDB386" s="252"/>
      <c r="MDC386" s="252"/>
      <c r="MDD386" s="252"/>
      <c r="MDE386" s="252"/>
      <c r="MDF386" s="252"/>
      <c r="MDG386" s="252"/>
      <c r="MDH386" s="252"/>
      <c r="MDI386" s="252"/>
      <c r="MDJ386" s="252"/>
      <c r="MDK386" s="252"/>
      <c r="MDL386" s="252"/>
      <c r="MDM386" s="252"/>
      <c r="MDN386" s="252"/>
      <c r="MDO386" s="252"/>
      <c r="MDP386" s="252"/>
      <c r="MDQ386" s="252"/>
      <c r="MDR386" s="252"/>
      <c r="MDS386" s="252"/>
      <c r="MDT386" s="252"/>
      <c r="MDU386" s="252"/>
      <c r="MDV386" s="252"/>
      <c r="MDW386" s="252"/>
      <c r="MDX386" s="252"/>
      <c r="MDY386" s="252"/>
      <c r="MDZ386" s="252"/>
      <c r="MEA386" s="252"/>
      <c r="MEB386" s="252"/>
      <c r="MEC386" s="252"/>
      <c r="MED386" s="252"/>
      <c r="MEE386" s="252"/>
      <c r="MEF386" s="252"/>
      <c r="MEG386" s="252"/>
      <c r="MEH386" s="252"/>
      <c r="MEI386" s="252"/>
      <c r="MEJ386" s="252"/>
      <c r="MEK386" s="252"/>
      <c r="MEL386" s="252"/>
      <c r="MEM386" s="252"/>
      <c r="MEN386" s="252"/>
      <c r="MEO386" s="252"/>
      <c r="MEP386" s="252"/>
      <c r="MEQ386" s="252"/>
      <c r="MER386" s="252"/>
      <c r="MES386" s="252"/>
      <c r="MET386" s="252"/>
      <c r="MEU386" s="252"/>
      <c r="MEV386" s="252"/>
      <c r="MEW386" s="252"/>
      <c r="MEX386" s="252"/>
      <c r="MEY386" s="252"/>
      <c r="MEZ386" s="252"/>
      <c r="MFA386" s="252"/>
      <c r="MFB386" s="252"/>
      <c r="MFC386" s="252"/>
      <c r="MFD386" s="252"/>
      <c r="MFE386" s="252"/>
      <c r="MFF386" s="252"/>
      <c r="MFG386" s="252"/>
      <c r="MFH386" s="252"/>
      <c r="MFI386" s="252"/>
      <c r="MFJ386" s="252"/>
      <c r="MFK386" s="252"/>
      <c r="MFL386" s="252"/>
      <c r="MFM386" s="252"/>
      <c r="MFN386" s="252"/>
      <c r="MFO386" s="252"/>
      <c r="MFP386" s="252"/>
      <c r="MFQ386" s="252"/>
      <c r="MFR386" s="252"/>
      <c r="MFS386" s="252"/>
      <c r="MFT386" s="252"/>
      <c r="MFU386" s="252"/>
      <c r="MFV386" s="252"/>
      <c r="MFW386" s="252"/>
      <c r="MFX386" s="252"/>
      <c r="MFY386" s="252"/>
      <c r="MFZ386" s="252"/>
      <c r="MGA386" s="252"/>
      <c r="MGB386" s="252"/>
      <c r="MGC386" s="252"/>
      <c r="MGD386" s="252"/>
      <c r="MGE386" s="252"/>
      <c r="MGF386" s="252"/>
      <c r="MGG386" s="252"/>
      <c r="MGH386" s="252"/>
      <c r="MGI386" s="252"/>
      <c r="MGJ386" s="252"/>
      <c r="MGK386" s="252"/>
      <c r="MGL386" s="252"/>
      <c r="MGM386" s="252"/>
      <c r="MGN386" s="252"/>
      <c r="MGO386" s="252"/>
      <c r="MGP386" s="252"/>
      <c r="MGQ386" s="252"/>
      <c r="MGR386" s="252"/>
      <c r="MGS386" s="252"/>
      <c r="MGT386" s="252"/>
      <c r="MGU386" s="252"/>
      <c r="MGV386" s="252"/>
      <c r="MGW386" s="252"/>
      <c r="MGX386" s="252"/>
      <c r="MGY386" s="252"/>
      <c r="MGZ386" s="252"/>
      <c r="MHA386" s="252"/>
      <c r="MHB386" s="252"/>
      <c r="MHC386" s="252"/>
      <c r="MHD386" s="252"/>
      <c r="MHE386" s="252"/>
      <c r="MHF386" s="252"/>
      <c r="MHG386" s="252"/>
      <c r="MHH386" s="252"/>
      <c r="MHI386" s="252"/>
      <c r="MHJ386" s="252"/>
      <c r="MHK386" s="252"/>
      <c r="MHL386" s="252"/>
      <c r="MHM386" s="252"/>
      <c r="MHN386" s="252"/>
      <c r="MHO386" s="252"/>
      <c r="MHP386" s="252"/>
      <c r="MHQ386" s="252"/>
      <c r="MHR386" s="252"/>
      <c r="MHS386" s="252"/>
      <c r="MHT386" s="252"/>
      <c r="MHU386" s="252"/>
      <c r="MHV386" s="252"/>
      <c r="MHW386" s="252"/>
      <c r="MHX386" s="252"/>
      <c r="MHY386" s="252"/>
      <c r="MHZ386" s="252"/>
      <c r="MIA386" s="252"/>
      <c r="MIB386" s="252"/>
      <c r="MIC386" s="252"/>
      <c r="MID386" s="252"/>
      <c r="MIE386" s="252"/>
      <c r="MIF386" s="252"/>
      <c r="MIG386" s="252"/>
      <c r="MIH386" s="252"/>
      <c r="MII386" s="252"/>
      <c r="MIJ386" s="252"/>
      <c r="MIK386" s="252"/>
      <c r="MIL386" s="252"/>
      <c r="MIM386" s="252"/>
      <c r="MIN386" s="252"/>
      <c r="MIO386" s="252"/>
      <c r="MIP386" s="252"/>
      <c r="MIQ386" s="252"/>
      <c r="MIR386" s="252"/>
      <c r="MIS386" s="252"/>
      <c r="MIT386" s="252"/>
      <c r="MIU386" s="252"/>
      <c r="MIV386" s="252"/>
      <c r="MIW386" s="252"/>
      <c r="MIX386" s="252"/>
      <c r="MIY386" s="252"/>
      <c r="MIZ386" s="252"/>
      <c r="MJA386" s="252"/>
      <c r="MJB386" s="252"/>
      <c r="MJC386" s="252"/>
      <c r="MJD386" s="252"/>
      <c r="MJE386" s="252"/>
      <c r="MJF386" s="252"/>
      <c r="MJG386" s="252"/>
      <c r="MJH386" s="252"/>
      <c r="MJI386" s="252"/>
      <c r="MJJ386" s="252"/>
      <c r="MJK386" s="252"/>
      <c r="MJL386" s="252"/>
      <c r="MJM386" s="252"/>
      <c r="MJN386" s="252"/>
      <c r="MJO386" s="252"/>
      <c r="MJP386" s="252"/>
      <c r="MJQ386" s="252"/>
      <c r="MJR386" s="252"/>
      <c r="MJS386" s="252"/>
      <c r="MJT386" s="252"/>
      <c r="MJU386" s="252"/>
      <c r="MJV386" s="252"/>
      <c r="MJW386" s="252"/>
      <c r="MJX386" s="252"/>
      <c r="MJY386" s="252"/>
      <c r="MJZ386" s="252"/>
      <c r="MKA386" s="252"/>
      <c r="MKB386" s="252"/>
      <c r="MKC386" s="252"/>
      <c r="MKD386" s="252"/>
      <c r="MKE386" s="252"/>
      <c r="MKF386" s="252"/>
      <c r="MKG386" s="252"/>
      <c r="MKH386" s="252"/>
      <c r="MKI386" s="252"/>
      <c r="MKJ386" s="252"/>
      <c r="MKK386" s="252"/>
      <c r="MKL386" s="252"/>
      <c r="MKM386" s="252"/>
      <c r="MKN386" s="252"/>
      <c r="MKO386" s="252"/>
      <c r="MKP386" s="252"/>
      <c r="MKQ386" s="252"/>
      <c r="MKR386" s="252"/>
      <c r="MKS386" s="252"/>
      <c r="MKT386" s="252"/>
      <c r="MKU386" s="252"/>
      <c r="MKV386" s="252"/>
      <c r="MKW386" s="252"/>
      <c r="MKX386" s="252"/>
      <c r="MKY386" s="252"/>
      <c r="MKZ386" s="252"/>
      <c r="MLA386" s="252"/>
      <c r="MLB386" s="252"/>
      <c r="MLC386" s="252"/>
      <c r="MLD386" s="252"/>
      <c r="MLE386" s="252"/>
      <c r="MLF386" s="252"/>
      <c r="MLG386" s="252"/>
      <c r="MLH386" s="252"/>
      <c r="MLI386" s="252"/>
      <c r="MLJ386" s="252"/>
      <c r="MLK386" s="252"/>
      <c r="MLL386" s="252"/>
      <c r="MLM386" s="252"/>
      <c r="MLN386" s="252"/>
      <c r="MLO386" s="252"/>
      <c r="MLP386" s="252"/>
      <c r="MLQ386" s="252"/>
      <c r="MLR386" s="252"/>
      <c r="MLS386" s="252"/>
      <c r="MLT386" s="252"/>
      <c r="MLU386" s="252"/>
      <c r="MLV386" s="252"/>
      <c r="MLW386" s="252"/>
      <c r="MLX386" s="252"/>
      <c r="MLY386" s="252"/>
      <c r="MLZ386" s="252"/>
      <c r="MMA386" s="252"/>
      <c r="MMB386" s="252"/>
      <c r="MMC386" s="252"/>
      <c r="MMD386" s="252"/>
      <c r="MME386" s="252"/>
      <c r="MMF386" s="252"/>
      <c r="MMG386" s="252"/>
      <c r="MMH386" s="252"/>
      <c r="MMI386" s="252"/>
      <c r="MMJ386" s="252"/>
      <c r="MMK386" s="252"/>
      <c r="MML386" s="252"/>
      <c r="MMM386" s="252"/>
      <c r="MMN386" s="252"/>
      <c r="MMO386" s="252"/>
      <c r="MMP386" s="252"/>
      <c r="MMQ386" s="252"/>
      <c r="MMR386" s="252"/>
      <c r="MMS386" s="252"/>
      <c r="MMT386" s="252"/>
      <c r="MMU386" s="252"/>
      <c r="MMV386" s="252"/>
      <c r="MMW386" s="252"/>
      <c r="MMX386" s="252"/>
      <c r="MMY386" s="252"/>
      <c r="MMZ386" s="252"/>
      <c r="MNA386" s="252"/>
      <c r="MNB386" s="252"/>
      <c r="MNC386" s="252"/>
      <c r="MND386" s="252"/>
      <c r="MNE386" s="252"/>
      <c r="MNF386" s="252"/>
      <c r="MNG386" s="252"/>
      <c r="MNH386" s="252"/>
      <c r="MNI386" s="252"/>
      <c r="MNJ386" s="252"/>
      <c r="MNK386" s="252"/>
      <c r="MNL386" s="252"/>
      <c r="MNM386" s="252"/>
      <c r="MNN386" s="252"/>
      <c r="MNO386" s="252"/>
      <c r="MNP386" s="252"/>
      <c r="MNQ386" s="252"/>
      <c r="MNR386" s="252"/>
      <c r="MNS386" s="252"/>
      <c r="MNT386" s="252"/>
      <c r="MNU386" s="252"/>
      <c r="MNV386" s="252"/>
      <c r="MNW386" s="252"/>
      <c r="MNX386" s="252"/>
      <c r="MNY386" s="252"/>
      <c r="MNZ386" s="252"/>
      <c r="MOA386" s="252"/>
      <c r="MOB386" s="252"/>
      <c r="MOC386" s="252"/>
      <c r="MOD386" s="252"/>
      <c r="MOE386" s="252"/>
      <c r="MOF386" s="252"/>
      <c r="MOG386" s="252"/>
      <c r="MOH386" s="252"/>
      <c r="MOI386" s="252"/>
      <c r="MOJ386" s="252"/>
      <c r="MOK386" s="252"/>
      <c r="MOL386" s="252"/>
      <c r="MOM386" s="252"/>
      <c r="MON386" s="252"/>
      <c r="MOO386" s="252"/>
      <c r="MOP386" s="252"/>
      <c r="MOQ386" s="252"/>
      <c r="MOR386" s="252"/>
      <c r="MOS386" s="252"/>
      <c r="MOT386" s="252"/>
      <c r="MOU386" s="252"/>
      <c r="MOV386" s="252"/>
      <c r="MOW386" s="252"/>
      <c r="MOX386" s="252"/>
      <c r="MOY386" s="252"/>
      <c r="MOZ386" s="252"/>
      <c r="MPA386" s="252"/>
      <c r="MPB386" s="252"/>
      <c r="MPC386" s="252"/>
      <c r="MPD386" s="252"/>
      <c r="MPE386" s="252"/>
      <c r="MPF386" s="252"/>
      <c r="MPG386" s="252"/>
      <c r="MPH386" s="252"/>
      <c r="MPI386" s="252"/>
      <c r="MPJ386" s="252"/>
      <c r="MPK386" s="252"/>
      <c r="MPL386" s="252"/>
      <c r="MPM386" s="252"/>
      <c r="MPN386" s="252"/>
      <c r="MPO386" s="252"/>
      <c r="MPP386" s="252"/>
      <c r="MPQ386" s="252"/>
      <c r="MPR386" s="252"/>
      <c r="MPS386" s="252"/>
      <c r="MPT386" s="252"/>
      <c r="MPU386" s="252"/>
      <c r="MPV386" s="252"/>
      <c r="MPW386" s="252"/>
      <c r="MPX386" s="252"/>
      <c r="MPY386" s="252"/>
      <c r="MPZ386" s="252"/>
      <c r="MQA386" s="252"/>
      <c r="MQB386" s="252"/>
      <c r="MQC386" s="252"/>
      <c r="MQD386" s="252"/>
      <c r="MQE386" s="252"/>
      <c r="MQF386" s="252"/>
      <c r="MQG386" s="252"/>
      <c r="MQH386" s="252"/>
      <c r="MQI386" s="252"/>
      <c r="MQJ386" s="252"/>
      <c r="MQK386" s="252"/>
      <c r="MQL386" s="252"/>
      <c r="MQM386" s="252"/>
      <c r="MQN386" s="252"/>
      <c r="MQO386" s="252"/>
      <c r="MQP386" s="252"/>
      <c r="MQQ386" s="252"/>
      <c r="MQR386" s="252"/>
      <c r="MQS386" s="252"/>
      <c r="MQT386" s="252"/>
      <c r="MQU386" s="252"/>
      <c r="MQV386" s="252"/>
      <c r="MQW386" s="252"/>
      <c r="MQX386" s="252"/>
      <c r="MQY386" s="252"/>
      <c r="MQZ386" s="252"/>
      <c r="MRA386" s="252"/>
      <c r="MRB386" s="252"/>
      <c r="MRC386" s="252"/>
      <c r="MRD386" s="252"/>
      <c r="MRE386" s="252"/>
      <c r="MRF386" s="252"/>
      <c r="MRG386" s="252"/>
      <c r="MRH386" s="252"/>
      <c r="MRI386" s="252"/>
      <c r="MRJ386" s="252"/>
      <c r="MRK386" s="252"/>
      <c r="MRL386" s="252"/>
      <c r="MRM386" s="252"/>
      <c r="MRN386" s="252"/>
      <c r="MRO386" s="252"/>
      <c r="MRP386" s="252"/>
      <c r="MRQ386" s="252"/>
      <c r="MRR386" s="252"/>
      <c r="MRS386" s="252"/>
      <c r="MRT386" s="252"/>
      <c r="MRU386" s="252"/>
      <c r="MRV386" s="252"/>
      <c r="MRW386" s="252"/>
      <c r="MRX386" s="252"/>
      <c r="MRY386" s="252"/>
      <c r="MRZ386" s="252"/>
      <c r="MSA386" s="252"/>
      <c r="MSB386" s="252"/>
      <c r="MSC386" s="252"/>
      <c r="MSD386" s="252"/>
      <c r="MSE386" s="252"/>
      <c r="MSF386" s="252"/>
      <c r="MSG386" s="252"/>
      <c r="MSH386" s="252"/>
      <c r="MSI386" s="252"/>
      <c r="MSJ386" s="252"/>
      <c r="MSK386" s="252"/>
      <c r="MSL386" s="252"/>
      <c r="MSM386" s="252"/>
      <c r="MSN386" s="252"/>
      <c r="MSO386" s="252"/>
      <c r="MSP386" s="252"/>
      <c r="MSQ386" s="252"/>
      <c r="MSR386" s="252"/>
      <c r="MSS386" s="252"/>
      <c r="MST386" s="252"/>
      <c r="MSU386" s="252"/>
      <c r="MSV386" s="252"/>
      <c r="MSW386" s="252"/>
      <c r="MSX386" s="252"/>
      <c r="MSY386" s="252"/>
      <c r="MSZ386" s="252"/>
      <c r="MTA386" s="252"/>
      <c r="MTB386" s="252"/>
      <c r="MTC386" s="252"/>
      <c r="MTD386" s="252"/>
      <c r="MTE386" s="252"/>
      <c r="MTF386" s="252"/>
      <c r="MTG386" s="252"/>
      <c r="MTH386" s="252"/>
      <c r="MTI386" s="252"/>
      <c r="MTJ386" s="252"/>
      <c r="MTK386" s="252"/>
      <c r="MTL386" s="252"/>
      <c r="MTM386" s="252"/>
      <c r="MTN386" s="252"/>
      <c r="MTO386" s="252"/>
      <c r="MTP386" s="252"/>
      <c r="MTQ386" s="252"/>
      <c r="MTR386" s="252"/>
      <c r="MTS386" s="252"/>
      <c r="MTT386" s="252"/>
      <c r="MTU386" s="252"/>
      <c r="MTV386" s="252"/>
      <c r="MTW386" s="252"/>
      <c r="MTX386" s="252"/>
      <c r="MTY386" s="252"/>
      <c r="MTZ386" s="252"/>
      <c r="MUA386" s="252"/>
      <c r="MUB386" s="252"/>
      <c r="MUC386" s="252"/>
      <c r="MUD386" s="252"/>
      <c r="MUE386" s="252"/>
      <c r="MUF386" s="252"/>
      <c r="MUG386" s="252"/>
      <c r="MUH386" s="252"/>
      <c r="MUI386" s="252"/>
      <c r="MUJ386" s="252"/>
      <c r="MUK386" s="252"/>
      <c r="MUL386" s="252"/>
      <c r="MUM386" s="252"/>
      <c r="MUN386" s="252"/>
      <c r="MUO386" s="252"/>
      <c r="MUP386" s="252"/>
      <c r="MUQ386" s="252"/>
      <c r="MUR386" s="252"/>
      <c r="MUS386" s="252"/>
      <c r="MUT386" s="252"/>
      <c r="MUU386" s="252"/>
      <c r="MUV386" s="252"/>
      <c r="MUW386" s="252"/>
      <c r="MUX386" s="252"/>
      <c r="MUY386" s="252"/>
      <c r="MUZ386" s="252"/>
      <c r="MVA386" s="252"/>
      <c r="MVB386" s="252"/>
      <c r="MVC386" s="252"/>
      <c r="MVD386" s="252"/>
      <c r="MVE386" s="252"/>
      <c r="MVF386" s="252"/>
      <c r="MVG386" s="252"/>
      <c r="MVH386" s="252"/>
      <c r="MVI386" s="252"/>
      <c r="MVJ386" s="252"/>
      <c r="MVK386" s="252"/>
      <c r="MVL386" s="252"/>
      <c r="MVM386" s="252"/>
      <c r="MVN386" s="252"/>
      <c r="MVO386" s="252"/>
      <c r="MVP386" s="252"/>
      <c r="MVQ386" s="252"/>
      <c r="MVR386" s="252"/>
      <c r="MVS386" s="252"/>
      <c r="MVT386" s="252"/>
      <c r="MVU386" s="252"/>
      <c r="MVV386" s="252"/>
      <c r="MVW386" s="252"/>
      <c r="MVX386" s="252"/>
      <c r="MVY386" s="252"/>
      <c r="MVZ386" s="252"/>
      <c r="MWA386" s="252"/>
      <c r="MWB386" s="252"/>
      <c r="MWC386" s="252"/>
      <c r="MWD386" s="252"/>
      <c r="MWE386" s="252"/>
      <c r="MWF386" s="252"/>
      <c r="MWG386" s="252"/>
      <c r="MWH386" s="252"/>
      <c r="MWI386" s="252"/>
      <c r="MWJ386" s="252"/>
      <c r="MWK386" s="252"/>
      <c r="MWL386" s="252"/>
      <c r="MWM386" s="252"/>
      <c r="MWN386" s="252"/>
      <c r="MWO386" s="252"/>
      <c r="MWP386" s="252"/>
      <c r="MWQ386" s="252"/>
      <c r="MWR386" s="252"/>
      <c r="MWS386" s="252"/>
      <c r="MWT386" s="252"/>
      <c r="MWU386" s="252"/>
      <c r="MWV386" s="252"/>
      <c r="MWW386" s="252"/>
      <c r="MWX386" s="252"/>
      <c r="MWY386" s="252"/>
      <c r="MWZ386" s="252"/>
      <c r="MXA386" s="252"/>
      <c r="MXB386" s="252"/>
      <c r="MXC386" s="252"/>
      <c r="MXD386" s="252"/>
      <c r="MXE386" s="252"/>
      <c r="MXF386" s="252"/>
      <c r="MXG386" s="252"/>
      <c r="MXH386" s="252"/>
      <c r="MXI386" s="252"/>
      <c r="MXJ386" s="252"/>
      <c r="MXK386" s="252"/>
      <c r="MXL386" s="252"/>
      <c r="MXM386" s="252"/>
      <c r="MXN386" s="252"/>
      <c r="MXO386" s="252"/>
      <c r="MXP386" s="252"/>
      <c r="MXQ386" s="252"/>
      <c r="MXR386" s="252"/>
      <c r="MXS386" s="252"/>
      <c r="MXT386" s="252"/>
      <c r="MXU386" s="252"/>
      <c r="MXV386" s="252"/>
      <c r="MXW386" s="252"/>
      <c r="MXX386" s="252"/>
      <c r="MXY386" s="252"/>
      <c r="MXZ386" s="252"/>
      <c r="MYA386" s="252"/>
      <c r="MYB386" s="252"/>
      <c r="MYC386" s="252"/>
      <c r="MYD386" s="252"/>
      <c r="MYE386" s="252"/>
      <c r="MYF386" s="252"/>
      <c r="MYG386" s="252"/>
      <c r="MYH386" s="252"/>
      <c r="MYI386" s="252"/>
      <c r="MYJ386" s="252"/>
      <c r="MYK386" s="252"/>
      <c r="MYL386" s="252"/>
      <c r="MYM386" s="252"/>
      <c r="MYN386" s="252"/>
      <c r="MYO386" s="252"/>
      <c r="MYP386" s="252"/>
      <c r="MYQ386" s="252"/>
      <c r="MYR386" s="252"/>
      <c r="MYS386" s="252"/>
      <c r="MYT386" s="252"/>
      <c r="MYU386" s="252"/>
      <c r="MYV386" s="252"/>
      <c r="MYW386" s="252"/>
      <c r="MYX386" s="252"/>
      <c r="MYY386" s="252"/>
      <c r="MYZ386" s="252"/>
      <c r="MZA386" s="252"/>
      <c r="MZB386" s="252"/>
      <c r="MZC386" s="252"/>
      <c r="MZD386" s="252"/>
      <c r="MZE386" s="252"/>
      <c r="MZF386" s="252"/>
      <c r="MZG386" s="252"/>
      <c r="MZH386" s="252"/>
      <c r="MZI386" s="252"/>
      <c r="MZJ386" s="252"/>
      <c r="MZK386" s="252"/>
      <c r="MZL386" s="252"/>
      <c r="MZM386" s="252"/>
      <c r="MZN386" s="252"/>
      <c r="MZO386" s="252"/>
      <c r="MZP386" s="252"/>
      <c r="MZQ386" s="252"/>
      <c r="MZR386" s="252"/>
      <c r="MZS386" s="252"/>
      <c r="MZT386" s="252"/>
      <c r="MZU386" s="252"/>
      <c r="MZV386" s="252"/>
      <c r="MZW386" s="252"/>
      <c r="MZX386" s="252"/>
      <c r="MZY386" s="252"/>
      <c r="MZZ386" s="252"/>
      <c r="NAA386" s="252"/>
      <c r="NAB386" s="252"/>
      <c r="NAC386" s="252"/>
      <c r="NAD386" s="252"/>
      <c r="NAE386" s="252"/>
      <c r="NAF386" s="252"/>
      <c r="NAG386" s="252"/>
      <c r="NAH386" s="252"/>
      <c r="NAI386" s="252"/>
      <c r="NAJ386" s="252"/>
      <c r="NAK386" s="252"/>
      <c r="NAL386" s="252"/>
      <c r="NAM386" s="252"/>
      <c r="NAN386" s="252"/>
      <c r="NAO386" s="252"/>
      <c r="NAP386" s="252"/>
      <c r="NAQ386" s="252"/>
      <c r="NAR386" s="252"/>
      <c r="NAS386" s="252"/>
      <c r="NAT386" s="252"/>
      <c r="NAU386" s="252"/>
      <c r="NAV386" s="252"/>
      <c r="NAW386" s="252"/>
      <c r="NAX386" s="252"/>
      <c r="NAY386" s="252"/>
      <c r="NAZ386" s="252"/>
      <c r="NBA386" s="252"/>
      <c r="NBB386" s="252"/>
      <c r="NBC386" s="252"/>
      <c r="NBD386" s="252"/>
      <c r="NBE386" s="252"/>
      <c r="NBF386" s="252"/>
      <c r="NBG386" s="252"/>
      <c r="NBH386" s="252"/>
      <c r="NBI386" s="252"/>
      <c r="NBJ386" s="252"/>
      <c r="NBK386" s="252"/>
      <c r="NBL386" s="252"/>
      <c r="NBM386" s="252"/>
      <c r="NBN386" s="252"/>
      <c r="NBO386" s="252"/>
      <c r="NBP386" s="252"/>
      <c r="NBQ386" s="252"/>
      <c r="NBR386" s="252"/>
      <c r="NBS386" s="252"/>
      <c r="NBT386" s="252"/>
      <c r="NBU386" s="252"/>
      <c r="NBV386" s="252"/>
      <c r="NBW386" s="252"/>
      <c r="NBX386" s="252"/>
      <c r="NBY386" s="252"/>
      <c r="NBZ386" s="252"/>
      <c r="NCA386" s="252"/>
      <c r="NCB386" s="252"/>
      <c r="NCC386" s="252"/>
      <c r="NCD386" s="252"/>
      <c r="NCE386" s="252"/>
      <c r="NCF386" s="252"/>
      <c r="NCG386" s="252"/>
      <c r="NCH386" s="252"/>
      <c r="NCI386" s="252"/>
      <c r="NCJ386" s="252"/>
      <c r="NCK386" s="252"/>
      <c r="NCL386" s="252"/>
      <c r="NCM386" s="252"/>
      <c r="NCN386" s="252"/>
      <c r="NCO386" s="252"/>
      <c r="NCP386" s="252"/>
      <c r="NCQ386" s="252"/>
      <c r="NCR386" s="252"/>
      <c r="NCS386" s="252"/>
      <c r="NCT386" s="252"/>
      <c r="NCU386" s="252"/>
      <c r="NCV386" s="252"/>
      <c r="NCW386" s="252"/>
      <c r="NCX386" s="252"/>
      <c r="NCY386" s="252"/>
      <c r="NCZ386" s="252"/>
      <c r="NDA386" s="252"/>
      <c r="NDB386" s="252"/>
      <c r="NDC386" s="252"/>
      <c r="NDD386" s="252"/>
      <c r="NDE386" s="252"/>
      <c r="NDF386" s="252"/>
      <c r="NDG386" s="252"/>
      <c r="NDH386" s="252"/>
      <c r="NDI386" s="252"/>
      <c r="NDJ386" s="252"/>
      <c r="NDK386" s="252"/>
      <c r="NDL386" s="252"/>
      <c r="NDM386" s="252"/>
      <c r="NDN386" s="252"/>
      <c r="NDO386" s="252"/>
      <c r="NDP386" s="252"/>
      <c r="NDQ386" s="252"/>
      <c r="NDR386" s="252"/>
      <c r="NDS386" s="252"/>
      <c r="NDT386" s="252"/>
      <c r="NDU386" s="252"/>
      <c r="NDV386" s="252"/>
      <c r="NDW386" s="252"/>
      <c r="NDX386" s="252"/>
      <c r="NDY386" s="252"/>
      <c r="NDZ386" s="252"/>
      <c r="NEA386" s="252"/>
      <c r="NEB386" s="252"/>
      <c r="NEC386" s="252"/>
      <c r="NED386" s="252"/>
      <c r="NEE386" s="252"/>
      <c r="NEF386" s="252"/>
      <c r="NEG386" s="252"/>
      <c r="NEH386" s="252"/>
      <c r="NEI386" s="252"/>
      <c r="NEJ386" s="252"/>
      <c r="NEK386" s="252"/>
      <c r="NEL386" s="252"/>
      <c r="NEM386" s="252"/>
      <c r="NEN386" s="252"/>
      <c r="NEO386" s="252"/>
      <c r="NEP386" s="252"/>
      <c r="NEQ386" s="252"/>
      <c r="NER386" s="252"/>
      <c r="NES386" s="252"/>
      <c r="NET386" s="252"/>
      <c r="NEU386" s="252"/>
      <c r="NEV386" s="252"/>
      <c r="NEW386" s="252"/>
      <c r="NEX386" s="252"/>
      <c r="NEY386" s="252"/>
      <c r="NEZ386" s="252"/>
      <c r="NFA386" s="252"/>
      <c r="NFB386" s="252"/>
      <c r="NFC386" s="252"/>
      <c r="NFD386" s="252"/>
      <c r="NFE386" s="252"/>
      <c r="NFF386" s="252"/>
      <c r="NFG386" s="252"/>
      <c r="NFH386" s="252"/>
      <c r="NFI386" s="252"/>
      <c r="NFJ386" s="252"/>
      <c r="NFK386" s="252"/>
      <c r="NFL386" s="252"/>
      <c r="NFM386" s="252"/>
      <c r="NFN386" s="252"/>
      <c r="NFO386" s="252"/>
      <c r="NFP386" s="252"/>
      <c r="NFQ386" s="252"/>
      <c r="NFR386" s="252"/>
      <c r="NFS386" s="252"/>
      <c r="NFT386" s="252"/>
      <c r="NFU386" s="252"/>
      <c r="NFV386" s="252"/>
      <c r="NFW386" s="252"/>
      <c r="NFX386" s="252"/>
      <c r="NFY386" s="252"/>
      <c r="NFZ386" s="252"/>
      <c r="NGA386" s="252"/>
      <c r="NGB386" s="252"/>
      <c r="NGC386" s="252"/>
      <c r="NGD386" s="252"/>
      <c r="NGE386" s="252"/>
      <c r="NGF386" s="252"/>
      <c r="NGG386" s="252"/>
      <c r="NGH386" s="252"/>
      <c r="NGI386" s="252"/>
      <c r="NGJ386" s="252"/>
      <c r="NGK386" s="252"/>
      <c r="NGL386" s="252"/>
      <c r="NGM386" s="252"/>
      <c r="NGN386" s="252"/>
      <c r="NGO386" s="252"/>
      <c r="NGP386" s="252"/>
      <c r="NGQ386" s="252"/>
      <c r="NGR386" s="252"/>
      <c r="NGS386" s="252"/>
      <c r="NGT386" s="252"/>
      <c r="NGU386" s="252"/>
      <c r="NGV386" s="252"/>
      <c r="NGW386" s="252"/>
      <c r="NGX386" s="252"/>
      <c r="NGY386" s="252"/>
      <c r="NGZ386" s="252"/>
      <c r="NHA386" s="252"/>
      <c r="NHB386" s="252"/>
      <c r="NHC386" s="252"/>
      <c r="NHD386" s="252"/>
      <c r="NHE386" s="252"/>
      <c r="NHF386" s="252"/>
      <c r="NHG386" s="252"/>
      <c r="NHH386" s="252"/>
      <c r="NHI386" s="252"/>
      <c r="NHJ386" s="252"/>
      <c r="NHK386" s="252"/>
      <c r="NHL386" s="252"/>
      <c r="NHM386" s="252"/>
      <c r="NHN386" s="252"/>
      <c r="NHO386" s="252"/>
      <c r="NHP386" s="252"/>
      <c r="NHQ386" s="252"/>
      <c r="NHR386" s="252"/>
      <c r="NHS386" s="252"/>
      <c r="NHT386" s="252"/>
      <c r="NHU386" s="252"/>
      <c r="NHV386" s="252"/>
      <c r="NHW386" s="252"/>
      <c r="NHX386" s="252"/>
      <c r="NHY386" s="252"/>
      <c r="NHZ386" s="252"/>
      <c r="NIA386" s="252"/>
      <c r="NIB386" s="252"/>
      <c r="NIC386" s="252"/>
      <c r="NID386" s="252"/>
      <c r="NIE386" s="252"/>
      <c r="NIF386" s="252"/>
      <c r="NIG386" s="252"/>
      <c r="NIH386" s="252"/>
      <c r="NII386" s="252"/>
      <c r="NIJ386" s="252"/>
      <c r="NIK386" s="252"/>
      <c r="NIL386" s="252"/>
      <c r="NIM386" s="252"/>
      <c r="NIN386" s="252"/>
      <c r="NIO386" s="252"/>
      <c r="NIP386" s="252"/>
      <c r="NIQ386" s="252"/>
      <c r="NIR386" s="252"/>
      <c r="NIS386" s="252"/>
      <c r="NIT386" s="252"/>
      <c r="NIU386" s="252"/>
      <c r="NIV386" s="252"/>
      <c r="NIW386" s="252"/>
      <c r="NIX386" s="252"/>
      <c r="NIY386" s="252"/>
      <c r="NIZ386" s="252"/>
      <c r="NJA386" s="252"/>
      <c r="NJB386" s="252"/>
      <c r="NJC386" s="252"/>
      <c r="NJD386" s="252"/>
      <c r="NJE386" s="252"/>
      <c r="NJF386" s="252"/>
      <c r="NJG386" s="252"/>
      <c r="NJH386" s="252"/>
      <c r="NJI386" s="252"/>
      <c r="NJJ386" s="252"/>
      <c r="NJK386" s="252"/>
      <c r="NJL386" s="252"/>
      <c r="NJM386" s="252"/>
      <c r="NJN386" s="252"/>
      <c r="NJO386" s="252"/>
      <c r="NJP386" s="252"/>
      <c r="NJQ386" s="252"/>
      <c r="NJR386" s="252"/>
      <c r="NJS386" s="252"/>
      <c r="NJT386" s="252"/>
      <c r="NJU386" s="252"/>
      <c r="NJV386" s="252"/>
      <c r="NJW386" s="252"/>
      <c r="NJX386" s="252"/>
      <c r="NJY386" s="252"/>
      <c r="NJZ386" s="252"/>
      <c r="NKA386" s="252"/>
      <c r="NKB386" s="252"/>
      <c r="NKC386" s="252"/>
      <c r="NKD386" s="252"/>
      <c r="NKE386" s="252"/>
      <c r="NKF386" s="252"/>
      <c r="NKG386" s="252"/>
      <c r="NKH386" s="252"/>
      <c r="NKI386" s="252"/>
      <c r="NKJ386" s="252"/>
      <c r="NKK386" s="252"/>
      <c r="NKL386" s="252"/>
      <c r="NKM386" s="252"/>
      <c r="NKN386" s="252"/>
      <c r="NKO386" s="252"/>
      <c r="NKP386" s="252"/>
      <c r="NKQ386" s="252"/>
      <c r="NKR386" s="252"/>
      <c r="NKS386" s="252"/>
      <c r="NKT386" s="252"/>
      <c r="NKU386" s="252"/>
      <c r="NKV386" s="252"/>
      <c r="NKW386" s="252"/>
      <c r="NKX386" s="252"/>
      <c r="NKY386" s="252"/>
      <c r="NKZ386" s="252"/>
      <c r="NLA386" s="252"/>
      <c r="NLB386" s="252"/>
      <c r="NLC386" s="252"/>
      <c r="NLD386" s="252"/>
      <c r="NLE386" s="252"/>
      <c r="NLF386" s="252"/>
      <c r="NLG386" s="252"/>
      <c r="NLH386" s="252"/>
      <c r="NLI386" s="252"/>
      <c r="NLJ386" s="252"/>
      <c r="NLK386" s="252"/>
      <c r="NLL386" s="252"/>
      <c r="NLM386" s="252"/>
      <c r="NLN386" s="252"/>
      <c r="NLO386" s="252"/>
      <c r="NLP386" s="252"/>
      <c r="NLQ386" s="252"/>
      <c r="NLR386" s="252"/>
      <c r="NLS386" s="252"/>
      <c r="NLT386" s="252"/>
      <c r="NLU386" s="252"/>
      <c r="NLV386" s="252"/>
      <c r="NLW386" s="252"/>
      <c r="NLX386" s="252"/>
      <c r="NLY386" s="252"/>
      <c r="NLZ386" s="252"/>
      <c r="NMA386" s="252"/>
      <c r="NMB386" s="252"/>
      <c r="NMC386" s="252"/>
      <c r="NMD386" s="252"/>
      <c r="NME386" s="252"/>
      <c r="NMF386" s="252"/>
      <c r="NMG386" s="252"/>
      <c r="NMH386" s="252"/>
      <c r="NMI386" s="252"/>
      <c r="NMJ386" s="252"/>
      <c r="NMK386" s="252"/>
      <c r="NML386" s="252"/>
      <c r="NMM386" s="252"/>
      <c r="NMN386" s="252"/>
      <c r="NMO386" s="252"/>
      <c r="NMP386" s="252"/>
      <c r="NMQ386" s="252"/>
      <c r="NMR386" s="252"/>
      <c r="NMS386" s="252"/>
      <c r="NMT386" s="252"/>
      <c r="NMU386" s="252"/>
      <c r="NMV386" s="252"/>
      <c r="NMW386" s="252"/>
      <c r="NMX386" s="252"/>
      <c r="NMY386" s="252"/>
      <c r="NMZ386" s="252"/>
      <c r="NNA386" s="252"/>
      <c r="NNB386" s="252"/>
      <c r="NNC386" s="252"/>
      <c r="NND386" s="252"/>
      <c r="NNE386" s="252"/>
      <c r="NNF386" s="252"/>
      <c r="NNG386" s="252"/>
      <c r="NNH386" s="252"/>
      <c r="NNI386" s="252"/>
      <c r="NNJ386" s="252"/>
      <c r="NNK386" s="252"/>
      <c r="NNL386" s="252"/>
      <c r="NNM386" s="252"/>
      <c r="NNN386" s="252"/>
      <c r="NNO386" s="252"/>
      <c r="NNP386" s="252"/>
      <c r="NNQ386" s="252"/>
      <c r="NNR386" s="252"/>
      <c r="NNS386" s="252"/>
      <c r="NNT386" s="252"/>
      <c r="NNU386" s="252"/>
      <c r="NNV386" s="252"/>
      <c r="NNW386" s="252"/>
      <c r="NNX386" s="252"/>
      <c r="NNY386" s="252"/>
      <c r="NNZ386" s="252"/>
      <c r="NOA386" s="252"/>
      <c r="NOB386" s="252"/>
      <c r="NOC386" s="252"/>
      <c r="NOD386" s="252"/>
      <c r="NOE386" s="252"/>
      <c r="NOF386" s="252"/>
      <c r="NOG386" s="252"/>
      <c r="NOH386" s="252"/>
      <c r="NOI386" s="252"/>
      <c r="NOJ386" s="252"/>
      <c r="NOK386" s="252"/>
      <c r="NOL386" s="252"/>
      <c r="NOM386" s="252"/>
      <c r="NON386" s="252"/>
      <c r="NOO386" s="252"/>
      <c r="NOP386" s="252"/>
      <c r="NOQ386" s="252"/>
      <c r="NOR386" s="252"/>
      <c r="NOS386" s="252"/>
      <c r="NOT386" s="252"/>
      <c r="NOU386" s="252"/>
      <c r="NOV386" s="252"/>
      <c r="NOW386" s="252"/>
      <c r="NOX386" s="252"/>
      <c r="NOY386" s="252"/>
      <c r="NOZ386" s="252"/>
      <c r="NPA386" s="252"/>
      <c r="NPB386" s="252"/>
      <c r="NPC386" s="252"/>
      <c r="NPD386" s="252"/>
      <c r="NPE386" s="252"/>
      <c r="NPF386" s="252"/>
      <c r="NPG386" s="252"/>
      <c r="NPH386" s="252"/>
      <c r="NPI386" s="252"/>
      <c r="NPJ386" s="252"/>
      <c r="NPK386" s="252"/>
      <c r="NPL386" s="252"/>
      <c r="NPM386" s="252"/>
      <c r="NPN386" s="252"/>
      <c r="NPO386" s="252"/>
      <c r="NPP386" s="252"/>
      <c r="NPQ386" s="252"/>
      <c r="NPR386" s="252"/>
      <c r="NPS386" s="252"/>
      <c r="NPT386" s="252"/>
      <c r="NPU386" s="252"/>
      <c r="NPV386" s="252"/>
      <c r="NPW386" s="252"/>
      <c r="NPX386" s="252"/>
      <c r="NPY386" s="252"/>
      <c r="NPZ386" s="252"/>
      <c r="NQA386" s="252"/>
      <c r="NQB386" s="252"/>
      <c r="NQC386" s="252"/>
      <c r="NQD386" s="252"/>
      <c r="NQE386" s="252"/>
      <c r="NQF386" s="252"/>
      <c r="NQG386" s="252"/>
      <c r="NQH386" s="252"/>
      <c r="NQI386" s="252"/>
      <c r="NQJ386" s="252"/>
      <c r="NQK386" s="252"/>
      <c r="NQL386" s="252"/>
      <c r="NQM386" s="252"/>
      <c r="NQN386" s="252"/>
      <c r="NQO386" s="252"/>
      <c r="NQP386" s="252"/>
      <c r="NQQ386" s="252"/>
      <c r="NQR386" s="252"/>
      <c r="NQS386" s="252"/>
      <c r="NQT386" s="252"/>
      <c r="NQU386" s="252"/>
      <c r="NQV386" s="252"/>
      <c r="NQW386" s="252"/>
      <c r="NQX386" s="252"/>
      <c r="NQY386" s="252"/>
      <c r="NQZ386" s="252"/>
      <c r="NRA386" s="252"/>
      <c r="NRB386" s="252"/>
      <c r="NRC386" s="252"/>
      <c r="NRD386" s="252"/>
      <c r="NRE386" s="252"/>
      <c r="NRF386" s="252"/>
      <c r="NRG386" s="252"/>
      <c r="NRH386" s="252"/>
      <c r="NRI386" s="252"/>
      <c r="NRJ386" s="252"/>
      <c r="NRK386" s="252"/>
      <c r="NRL386" s="252"/>
      <c r="NRM386" s="252"/>
      <c r="NRN386" s="252"/>
      <c r="NRO386" s="252"/>
      <c r="NRP386" s="252"/>
      <c r="NRQ386" s="252"/>
      <c r="NRR386" s="252"/>
      <c r="NRS386" s="252"/>
      <c r="NRT386" s="252"/>
      <c r="NRU386" s="252"/>
      <c r="NRV386" s="252"/>
      <c r="NRW386" s="252"/>
      <c r="NRX386" s="252"/>
      <c r="NRY386" s="252"/>
      <c r="NRZ386" s="252"/>
      <c r="NSA386" s="252"/>
      <c r="NSB386" s="252"/>
      <c r="NSC386" s="252"/>
      <c r="NSD386" s="252"/>
      <c r="NSE386" s="252"/>
      <c r="NSF386" s="252"/>
      <c r="NSG386" s="252"/>
      <c r="NSH386" s="252"/>
      <c r="NSI386" s="252"/>
      <c r="NSJ386" s="252"/>
      <c r="NSK386" s="252"/>
      <c r="NSL386" s="252"/>
      <c r="NSM386" s="252"/>
      <c r="NSN386" s="252"/>
      <c r="NSO386" s="252"/>
      <c r="NSP386" s="252"/>
      <c r="NSQ386" s="252"/>
      <c r="NSR386" s="252"/>
      <c r="NSS386" s="252"/>
      <c r="NST386" s="252"/>
      <c r="NSU386" s="252"/>
      <c r="NSV386" s="252"/>
      <c r="NSW386" s="252"/>
      <c r="NSX386" s="252"/>
      <c r="NSY386" s="252"/>
      <c r="NSZ386" s="252"/>
      <c r="NTA386" s="252"/>
      <c r="NTB386" s="252"/>
      <c r="NTC386" s="252"/>
      <c r="NTD386" s="252"/>
      <c r="NTE386" s="252"/>
      <c r="NTF386" s="252"/>
      <c r="NTG386" s="252"/>
      <c r="NTH386" s="252"/>
      <c r="NTI386" s="252"/>
      <c r="NTJ386" s="252"/>
      <c r="NTK386" s="252"/>
      <c r="NTL386" s="252"/>
      <c r="NTM386" s="252"/>
      <c r="NTN386" s="252"/>
      <c r="NTO386" s="252"/>
      <c r="NTP386" s="252"/>
      <c r="NTQ386" s="252"/>
      <c r="NTR386" s="252"/>
      <c r="NTS386" s="252"/>
      <c r="NTT386" s="252"/>
      <c r="NTU386" s="252"/>
      <c r="NTV386" s="252"/>
      <c r="NTW386" s="252"/>
      <c r="NTX386" s="252"/>
      <c r="NTY386" s="252"/>
      <c r="NTZ386" s="252"/>
      <c r="NUA386" s="252"/>
      <c r="NUB386" s="252"/>
      <c r="NUC386" s="252"/>
      <c r="NUD386" s="252"/>
      <c r="NUE386" s="252"/>
      <c r="NUF386" s="252"/>
      <c r="NUG386" s="252"/>
      <c r="NUH386" s="252"/>
      <c r="NUI386" s="252"/>
      <c r="NUJ386" s="252"/>
      <c r="NUK386" s="252"/>
      <c r="NUL386" s="252"/>
      <c r="NUM386" s="252"/>
      <c r="NUN386" s="252"/>
      <c r="NUO386" s="252"/>
      <c r="NUP386" s="252"/>
      <c r="NUQ386" s="252"/>
      <c r="NUR386" s="252"/>
      <c r="NUS386" s="252"/>
      <c r="NUT386" s="252"/>
      <c r="NUU386" s="252"/>
      <c r="NUV386" s="252"/>
      <c r="NUW386" s="252"/>
      <c r="NUX386" s="252"/>
      <c r="NUY386" s="252"/>
      <c r="NUZ386" s="252"/>
      <c r="NVA386" s="252"/>
      <c r="NVB386" s="252"/>
      <c r="NVC386" s="252"/>
      <c r="NVD386" s="252"/>
      <c r="NVE386" s="252"/>
      <c r="NVF386" s="252"/>
      <c r="NVG386" s="252"/>
      <c r="NVH386" s="252"/>
      <c r="NVI386" s="252"/>
      <c r="NVJ386" s="252"/>
      <c r="NVK386" s="252"/>
      <c r="NVL386" s="252"/>
      <c r="NVM386" s="252"/>
      <c r="NVN386" s="252"/>
      <c r="NVO386" s="252"/>
      <c r="NVP386" s="252"/>
      <c r="NVQ386" s="252"/>
      <c r="NVR386" s="252"/>
      <c r="NVS386" s="252"/>
      <c r="NVT386" s="252"/>
      <c r="NVU386" s="252"/>
      <c r="NVV386" s="252"/>
      <c r="NVW386" s="252"/>
      <c r="NVX386" s="252"/>
      <c r="NVY386" s="252"/>
      <c r="NVZ386" s="252"/>
      <c r="NWA386" s="252"/>
      <c r="NWB386" s="252"/>
      <c r="NWC386" s="252"/>
      <c r="NWD386" s="252"/>
      <c r="NWE386" s="252"/>
      <c r="NWF386" s="252"/>
      <c r="NWG386" s="252"/>
      <c r="NWH386" s="252"/>
      <c r="NWI386" s="252"/>
      <c r="NWJ386" s="252"/>
      <c r="NWK386" s="252"/>
      <c r="NWL386" s="252"/>
      <c r="NWM386" s="252"/>
      <c r="NWN386" s="252"/>
      <c r="NWO386" s="252"/>
      <c r="NWP386" s="252"/>
      <c r="NWQ386" s="252"/>
      <c r="NWR386" s="252"/>
      <c r="NWS386" s="252"/>
      <c r="NWT386" s="252"/>
      <c r="NWU386" s="252"/>
      <c r="NWV386" s="252"/>
      <c r="NWW386" s="252"/>
      <c r="NWX386" s="252"/>
      <c r="NWY386" s="252"/>
      <c r="NWZ386" s="252"/>
      <c r="NXA386" s="252"/>
      <c r="NXB386" s="252"/>
      <c r="NXC386" s="252"/>
      <c r="NXD386" s="252"/>
      <c r="NXE386" s="252"/>
      <c r="NXF386" s="252"/>
      <c r="NXG386" s="252"/>
      <c r="NXH386" s="252"/>
      <c r="NXI386" s="252"/>
      <c r="NXJ386" s="252"/>
      <c r="NXK386" s="252"/>
      <c r="NXL386" s="252"/>
      <c r="NXM386" s="252"/>
      <c r="NXN386" s="252"/>
      <c r="NXO386" s="252"/>
      <c r="NXP386" s="252"/>
      <c r="NXQ386" s="252"/>
      <c r="NXR386" s="252"/>
      <c r="NXS386" s="252"/>
      <c r="NXT386" s="252"/>
      <c r="NXU386" s="252"/>
      <c r="NXV386" s="252"/>
      <c r="NXW386" s="252"/>
      <c r="NXX386" s="252"/>
      <c r="NXY386" s="252"/>
      <c r="NXZ386" s="252"/>
      <c r="NYA386" s="252"/>
      <c r="NYB386" s="252"/>
      <c r="NYC386" s="252"/>
      <c r="NYD386" s="252"/>
      <c r="NYE386" s="252"/>
      <c r="NYF386" s="252"/>
      <c r="NYG386" s="252"/>
      <c r="NYH386" s="252"/>
      <c r="NYI386" s="252"/>
      <c r="NYJ386" s="252"/>
      <c r="NYK386" s="252"/>
      <c r="NYL386" s="252"/>
      <c r="NYM386" s="252"/>
      <c r="NYN386" s="252"/>
      <c r="NYO386" s="252"/>
      <c r="NYP386" s="252"/>
      <c r="NYQ386" s="252"/>
      <c r="NYR386" s="252"/>
      <c r="NYS386" s="252"/>
      <c r="NYT386" s="252"/>
      <c r="NYU386" s="252"/>
      <c r="NYV386" s="252"/>
      <c r="NYW386" s="252"/>
      <c r="NYX386" s="252"/>
      <c r="NYY386" s="252"/>
      <c r="NYZ386" s="252"/>
      <c r="NZA386" s="252"/>
      <c r="NZB386" s="252"/>
      <c r="NZC386" s="252"/>
      <c r="NZD386" s="252"/>
      <c r="NZE386" s="252"/>
      <c r="NZF386" s="252"/>
      <c r="NZG386" s="252"/>
      <c r="NZH386" s="252"/>
      <c r="NZI386" s="252"/>
      <c r="NZJ386" s="252"/>
      <c r="NZK386" s="252"/>
      <c r="NZL386" s="252"/>
      <c r="NZM386" s="252"/>
      <c r="NZN386" s="252"/>
      <c r="NZO386" s="252"/>
      <c r="NZP386" s="252"/>
      <c r="NZQ386" s="252"/>
      <c r="NZR386" s="252"/>
      <c r="NZS386" s="252"/>
      <c r="NZT386" s="252"/>
      <c r="NZU386" s="252"/>
      <c r="NZV386" s="252"/>
      <c r="NZW386" s="252"/>
      <c r="NZX386" s="252"/>
      <c r="NZY386" s="252"/>
      <c r="NZZ386" s="252"/>
      <c r="OAA386" s="252"/>
      <c r="OAB386" s="252"/>
      <c r="OAC386" s="252"/>
      <c r="OAD386" s="252"/>
      <c r="OAE386" s="252"/>
      <c r="OAF386" s="252"/>
      <c r="OAG386" s="252"/>
      <c r="OAH386" s="252"/>
      <c r="OAI386" s="252"/>
      <c r="OAJ386" s="252"/>
      <c r="OAK386" s="252"/>
      <c r="OAL386" s="252"/>
      <c r="OAM386" s="252"/>
      <c r="OAN386" s="252"/>
      <c r="OAO386" s="252"/>
      <c r="OAP386" s="252"/>
      <c r="OAQ386" s="252"/>
      <c r="OAR386" s="252"/>
      <c r="OAS386" s="252"/>
      <c r="OAT386" s="252"/>
      <c r="OAU386" s="252"/>
      <c r="OAV386" s="252"/>
      <c r="OAW386" s="252"/>
      <c r="OAX386" s="252"/>
      <c r="OAY386" s="252"/>
      <c r="OAZ386" s="252"/>
      <c r="OBA386" s="252"/>
      <c r="OBB386" s="252"/>
      <c r="OBC386" s="252"/>
      <c r="OBD386" s="252"/>
      <c r="OBE386" s="252"/>
      <c r="OBF386" s="252"/>
      <c r="OBG386" s="252"/>
      <c r="OBH386" s="252"/>
      <c r="OBI386" s="252"/>
      <c r="OBJ386" s="252"/>
      <c r="OBK386" s="252"/>
      <c r="OBL386" s="252"/>
      <c r="OBM386" s="252"/>
      <c r="OBN386" s="252"/>
      <c r="OBO386" s="252"/>
      <c r="OBP386" s="252"/>
      <c r="OBQ386" s="252"/>
      <c r="OBR386" s="252"/>
      <c r="OBS386" s="252"/>
      <c r="OBT386" s="252"/>
      <c r="OBU386" s="252"/>
      <c r="OBV386" s="252"/>
      <c r="OBW386" s="252"/>
      <c r="OBX386" s="252"/>
      <c r="OBY386" s="252"/>
      <c r="OBZ386" s="252"/>
      <c r="OCA386" s="252"/>
      <c r="OCB386" s="252"/>
      <c r="OCC386" s="252"/>
      <c r="OCD386" s="252"/>
      <c r="OCE386" s="252"/>
      <c r="OCF386" s="252"/>
      <c r="OCG386" s="252"/>
      <c r="OCH386" s="252"/>
      <c r="OCI386" s="252"/>
      <c r="OCJ386" s="252"/>
      <c r="OCK386" s="252"/>
      <c r="OCL386" s="252"/>
      <c r="OCM386" s="252"/>
      <c r="OCN386" s="252"/>
      <c r="OCO386" s="252"/>
      <c r="OCP386" s="252"/>
      <c r="OCQ386" s="252"/>
      <c r="OCR386" s="252"/>
      <c r="OCS386" s="252"/>
      <c r="OCT386" s="252"/>
      <c r="OCU386" s="252"/>
      <c r="OCV386" s="252"/>
      <c r="OCW386" s="252"/>
      <c r="OCX386" s="252"/>
      <c r="OCY386" s="252"/>
      <c r="OCZ386" s="252"/>
      <c r="ODA386" s="252"/>
      <c r="ODB386" s="252"/>
      <c r="ODC386" s="252"/>
      <c r="ODD386" s="252"/>
      <c r="ODE386" s="252"/>
      <c r="ODF386" s="252"/>
      <c r="ODG386" s="252"/>
      <c r="ODH386" s="252"/>
      <c r="ODI386" s="252"/>
      <c r="ODJ386" s="252"/>
      <c r="ODK386" s="252"/>
      <c r="ODL386" s="252"/>
      <c r="ODM386" s="252"/>
      <c r="ODN386" s="252"/>
      <c r="ODO386" s="252"/>
      <c r="ODP386" s="252"/>
      <c r="ODQ386" s="252"/>
      <c r="ODR386" s="252"/>
      <c r="ODS386" s="252"/>
      <c r="ODT386" s="252"/>
      <c r="ODU386" s="252"/>
      <c r="ODV386" s="252"/>
      <c r="ODW386" s="252"/>
      <c r="ODX386" s="252"/>
      <c r="ODY386" s="252"/>
      <c r="ODZ386" s="252"/>
      <c r="OEA386" s="252"/>
      <c r="OEB386" s="252"/>
      <c r="OEC386" s="252"/>
      <c r="OED386" s="252"/>
      <c r="OEE386" s="252"/>
      <c r="OEF386" s="252"/>
      <c r="OEG386" s="252"/>
      <c r="OEH386" s="252"/>
      <c r="OEI386" s="252"/>
      <c r="OEJ386" s="252"/>
      <c r="OEK386" s="252"/>
      <c r="OEL386" s="252"/>
      <c r="OEM386" s="252"/>
      <c r="OEN386" s="252"/>
      <c r="OEO386" s="252"/>
      <c r="OEP386" s="252"/>
      <c r="OEQ386" s="252"/>
      <c r="OER386" s="252"/>
      <c r="OES386" s="252"/>
      <c r="OET386" s="252"/>
      <c r="OEU386" s="252"/>
      <c r="OEV386" s="252"/>
      <c r="OEW386" s="252"/>
      <c r="OEX386" s="252"/>
      <c r="OEY386" s="252"/>
      <c r="OEZ386" s="252"/>
      <c r="OFA386" s="252"/>
      <c r="OFB386" s="252"/>
      <c r="OFC386" s="252"/>
      <c r="OFD386" s="252"/>
      <c r="OFE386" s="252"/>
      <c r="OFF386" s="252"/>
      <c r="OFG386" s="252"/>
      <c r="OFH386" s="252"/>
      <c r="OFI386" s="252"/>
      <c r="OFJ386" s="252"/>
      <c r="OFK386" s="252"/>
      <c r="OFL386" s="252"/>
      <c r="OFM386" s="252"/>
      <c r="OFN386" s="252"/>
      <c r="OFO386" s="252"/>
      <c r="OFP386" s="252"/>
      <c r="OFQ386" s="252"/>
      <c r="OFR386" s="252"/>
      <c r="OFS386" s="252"/>
      <c r="OFT386" s="252"/>
      <c r="OFU386" s="252"/>
      <c r="OFV386" s="252"/>
      <c r="OFW386" s="252"/>
      <c r="OFX386" s="252"/>
      <c r="OFY386" s="252"/>
      <c r="OFZ386" s="252"/>
      <c r="OGA386" s="252"/>
      <c r="OGB386" s="252"/>
      <c r="OGC386" s="252"/>
      <c r="OGD386" s="252"/>
      <c r="OGE386" s="252"/>
      <c r="OGF386" s="252"/>
      <c r="OGG386" s="252"/>
      <c r="OGH386" s="252"/>
      <c r="OGI386" s="252"/>
      <c r="OGJ386" s="252"/>
      <c r="OGK386" s="252"/>
      <c r="OGL386" s="252"/>
      <c r="OGM386" s="252"/>
      <c r="OGN386" s="252"/>
      <c r="OGO386" s="252"/>
      <c r="OGP386" s="252"/>
      <c r="OGQ386" s="252"/>
      <c r="OGR386" s="252"/>
      <c r="OGS386" s="252"/>
      <c r="OGT386" s="252"/>
      <c r="OGU386" s="252"/>
      <c r="OGV386" s="252"/>
      <c r="OGW386" s="252"/>
      <c r="OGX386" s="252"/>
      <c r="OGY386" s="252"/>
      <c r="OGZ386" s="252"/>
      <c r="OHA386" s="252"/>
      <c r="OHB386" s="252"/>
      <c r="OHC386" s="252"/>
      <c r="OHD386" s="252"/>
      <c r="OHE386" s="252"/>
      <c r="OHF386" s="252"/>
      <c r="OHG386" s="252"/>
      <c r="OHH386" s="252"/>
      <c r="OHI386" s="252"/>
      <c r="OHJ386" s="252"/>
      <c r="OHK386" s="252"/>
      <c r="OHL386" s="252"/>
      <c r="OHM386" s="252"/>
      <c r="OHN386" s="252"/>
      <c r="OHO386" s="252"/>
      <c r="OHP386" s="252"/>
      <c r="OHQ386" s="252"/>
      <c r="OHR386" s="252"/>
      <c r="OHS386" s="252"/>
      <c r="OHT386" s="252"/>
      <c r="OHU386" s="252"/>
      <c r="OHV386" s="252"/>
      <c r="OHW386" s="252"/>
      <c r="OHX386" s="252"/>
      <c r="OHY386" s="252"/>
      <c r="OHZ386" s="252"/>
      <c r="OIA386" s="252"/>
      <c r="OIB386" s="252"/>
      <c r="OIC386" s="252"/>
      <c r="OID386" s="252"/>
      <c r="OIE386" s="252"/>
      <c r="OIF386" s="252"/>
      <c r="OIG386" s="252"/>
      <c r="OIH386" s="252"/>
      <c r="OII386" s="252"/>
      <c r="OIJ386" s="252"/>
      <c r="OIK386" s="252"/>
      <c r="OIL386" s="252"/>
      <c r="OIM386" s="252"/>
      <c r="OIN386" s="252"/>
      <c r="OIO386" s="252"/>
      <c r="OIP386" s="252"/>
      <c r="OIQ386" s="252"/>
      <c r="OIR386" s="252"/>
      <c r="OIS386" s="252"/>
      <c r="OIT386" s="252"/>
      <c r="OIU386" s="252"/>
      <c r="OIV386" s="252"/>
      <c r="OIW386" s="252"/>
      <c r="OIX386" s="252"/>
      <c r="OIY386" s="252"/>
      <c r="OIZ386" s="252"/>
      <c r="OJA386" s="252"/>
      <c r="OJB386" s="252"/>
      <c r="OJC386" s="252"/>
      <c r="OJD386" s="252"/>
      <c r="OJE386" s="252"/>
      <c r="OJF386" s="252"/>
      <c r="OJG386" s="252"/>
      <c r="OJH386" s="252"/>
      <c r="OJI386" s="252"/>
      <c r="OJJ386" s="252"/>
      <c r="OJK386" s="252"/>
      <c r="OJL386" s="252"/>
      <c r="OJM386" s="252"/>
      <c r="OJN386" s="252"/>
      <c r="OJO386" s="252"/>
      <c r="OJP386" s="252"/>
      <c r="OJQ386" s="252"/>
      <c r="OJR386" s="252"/>
      <c r="OJS386" s="252"/>
      <c r="OJT386" s="252"/>
      <c r="OJU386" s="252"/>
      <c r="OJV386" s="252"/>
      <c r="OJW386" s="252"/>
      <c r="OJX386" s="252"/>
      <c r="OJY386" s="252"/>
      <c r="OJZ386" s="252"/>
      <c r="OKA386" s="252"/>
      <c r="OKB386" s="252"/>
      <c r="OKC386" s="252"/>
      <c r="OKD386" s="252"/>
      <c r="OKE386" s="252"/>
      <c r="OKF386" s="252"/>
      <c r="OKG386" s="252"/>
      <c r="OKH386" s="252"/>
      <c r="OKI386" s="252"/>
      <c r="OKJ386" s="252"/>
      <c r="OKK386" s="252"/>
      <c r="OKL386" s="252"/>
      <c r="OKM386" s="252"/>
      <c r="OKN386" s="252"/>
      <c r="OKO386" s="252"/>
      <c r="OKP386" s="252"/>
      <c r="OKQ386" s="252"/>
      <c r="OKR386" s="252"/>
      <c r="OKS386" s="252"/>
      <c r="OKT386" s="252"/>
      <c r="OKU386" s="252"/>
      <c r="OKV386" s="252"/>
      <c r="OKW386" s="252"/>
      <c r="OKX386" s="252"/>
      <c r="OKY386" s="252"/>
      <c r="OKZ386" s="252"/>
      <c r="OLA386" s="252"/>
      <c r="OLB386" s="252"/>
      <c r="OLC386" s="252"/>
      <c r="OLD386" s="252"/>
      <c r="OLE386" s="252"/>
      <c r="OLF386" s="252"/>
      <c r="OLG386" s="252"/>
      <c r="OLH386" s="252"/>
      <c r="OLI386" s="252"/>
      <c r="OLJ386" s="252"/>
      <c r="OLK386" s="252"/>
      <c r="OLL386" s="252"/>
      <c r="OLM386" s="252"/>
      <c r="OLN386" s="252"/>
      <c r="OLO386" s="252"/>
      <c r="OLP386" s="252"/>
      <c r="OLQ386" s="252"/>
      <c r="OLR386" s="252"/>
      <c r="OLS386" s="252"/>
      <c r="OLT386" s="252"/>
      <c r="OLU386" s="252"/>
      <c r="OLV386" s="252"/>
      <c r="OLW386" s="252"/>
      <c r="OLX386" s="252"/>
      <c r="OLY386" s="252"/>
      <c r="OLZ386" s="252"/>
      <c r="OMA386" s="252"/>
      <c r="OMB386" s="252"/>
      <c r="OMC386" s="252"/>
      <c r="OMD386" s="252"/>
      <c r="OME386" s="252"/>
      <c r="OMF386" s="252"/>
      <c r="OMG386" s="252"/>
      <c r="OMH386" s="252"/>
      <c r="OMI386" s="252"/>
      <c r="OMJ386" s="252"/>
      <c r="OMK386" s="252"/>
      <c r="OML386" s="252"/>
      <c r="OMM386" s="252"/>
      <c r="OMN386" s="252"/>
      <c r="OMO386" s="252"/>
      <c r="OMP386" s="252"/>
      <c r="OMQ386" s="252"/>
      <c r="OMR386" s="252"/>
      <c r="OMS386" s="252"/>
      <c r="OMT386" s="252"/>
      <c r="OMU386" s="252"/>
      <c r="OMV386" s="252"/>
      <c r="OMW386" s="252"/>
      <c r="OMX386" s="252"/>
      <c r="OMY386" s="252"/>
      <c r="OMZ386" s="252"/>
      <c r="ONA386" s="252"/>
      <c r="ONB386" s="252"/>
      <c r="ONC386" s="252"/>
      <c r="OND386" s="252"/>
      <c r="ONE386" s="252"/>
      <c r="ONF386" s="252"/>
      <c r="ONG386" s="252"/>
      <c r="ONH386" s="252"/>
      <c r="ONI386" s="252"/>
      <c r="ONJ386" s="252"/>
      <c r="ONK386" s="252"/>
      <c r="ONL386" s="252"/>
      <c r="ONM386" s="252"/>
      <c r="ONN386" s="252"/>
      <c r="ONO386" s="252"/>
      <c r="ONP386" s="252"/>
      <c r="ONQ386" s="252"/>
      <c r="ONR386" s="252"/>
      <c r="ONS386" s="252"/>
      <c r="ONT386" s="252"/>
      <c r="ONU386" s="252"/>
      <c r="ONV386" s="252"/>
      <c r="ONW386" s="252"/>
      <c r="ONX386" s="252"/>
      <c r="ONY386" s="252"/>
      <c r="ONZ386" s="252"/>
      <c r="OOA386" s="252"/>
      <c r="OOB386" s="252"/>
      <c r="OOC386" s="252"/>
      <c r="OOD386" s="252"/>
      <c r="OOE386" s="252"/>
      <c r="OOF386" s="252"/>
      <c r="OOG386" s="252"/>
      <c r="OOH386" s="252"/>
      <c r="OOI386" s="252"/>
      <c r="OOJ386" s="252"/>
      <c r="OOK386" s="252"/>
      <c r="OOL386" s="252"/>
      <c r="OOM386" s="252"/>
      <c r="OON386" s="252"/>
      <c r="OOO386" s="252"/>
      <c r="OOP386" s="252"/>
      <c r="OOQ386" s="252"/>
      <c r="OOR386" s="252"/>
      <c r="OOS386" s="252"/>
      <c r="OOT386" s="252"/>
      <c r="OOU386" s="252"/>
      <c r="OOV386" s="252"/>
      <c r="OOW386" s="252"/>
      <c r="OOX386" s="252"/>
      <c r="OOY386" s="252"/>
      <c r="OOZ386" s="252"/>
      <c r="OPA386" s="252"/>
      <c r="OPB386" s="252"/>
      <c r="OPC386" s="252"/>
      <c r="OPD386" s="252"/>
      <c r="OPE386" s="252"/>
      <c r="OPF386" s="252"/>
      <c r="OPG386" s="252"/>
      <c r="OPH386" s="252"/>
      <c r="OPI386" s="252"/>
      <c r="OPJ386" s="252"/>
      <c r="OPK386" s="252"/>
      <c r="OPL386" s="252"/>
      <c r="OPM386" s="252"/>
      <c r="OPN386" s="252"/>
      <c r="OPO386" s="252"/>
      <c r="OPP386" s="252"/>
      <c r="OPQ386" s="252"/>
      <c r="OPR386" s="252"/>
      <c r="OPS386" s="252"/>
      <c r="OPT386" s="252"/>
      <c r="OPU386" s="252"/>
      <c r="OPV386" s="252"/>
      <c r="OPW386" s="252"/>
      <c r="OPX386" s="252"/>
      <c r="OPY386" s="252"/>
      <c r="OPZ386" s="252"/>
      <c r="OQA386" s="252"/>
      <c r="OQB386" s="252"/>
      <c r="OQC386" s="252"/>
      <c r="OQD386" s="252"/>
      <c r="OQE386" s="252"/>
      <c r="OQF386" s="252"/>
      <c r="OQG386" s="252"/>
      <c r="OQH386" s="252"/>
      <c r="OQI386" s="252"/>
      <c r="OQJ386" s="252"/>
      <c r="OQK386" s="252"/>
      <c r="OQL386" s="252"/>
      <c r="OQM386" s="252"/>
      <c r="OQN386" s="252"/>
      <c r="OQO386" s="252"/>
      <c r="OQP386" s="252"/>
      <c r="OQQ386" s="252"/>
      <c r="OQR386" s="252"/>
      <c r="OQS386" s="252"/>
      <c r="OQT386" s="252"/>
      <c r="OQU386" s="252"/>
      <c r="OQV386" s="252"/>
      <c r="OQW386" s="252"/>
      <c r="OQX386" s="252"/>
      <c r="OQY386" s="252"/>
      <c r="OQZ386" s="252"/>
      <c r="ORA386" s="252"/>
      <c r="ORB386" s="252"/>
      <c r="ORC386" s="252"/>
      <c r="ORD386" s="252"/>
      <c r="ORE386" s="252"/>
      <c r="ORF386" s="252"/>
      <c r="ORG386" s="252"/>
      <c r="ORH386" s="252"/>
      <c r="ORI386" s="252"/>
      <c r="ORJ386" s="252"/>
      <c r="ORK386" s="252"/>
      <c r="ORL386" s="252"/>
      <c r="ORM386" s="252"/>
      <c r="ORN386" s="252"/>
      <c r="ORO386" s="252"/>
      <c r="ORP386" s="252"/>
      <c r="ORQ386" s="252"/>
      <c r="ORR386" s="252"/>
      <c r="ORS386" s="252"/>
      <c r="ORT386" s="252"/>
      <c r="ORU386" s="252"/>
      <c r="ORV386" s="252"/>
      <c r="ORW386" s="252"/>
      <c r="ORX386" s="252"/>
      <c r="ORY386" s="252"/>
      <c r="ORZ386" s="252"/>
      <c r="OSA386" s="252"/>
      <c r="OSB386" s="252"/>
      <c r="OSC386" s="252"/>
      <c r="OSD386" s="252"/>
      <c r="OSE386" s="252"/>
      <c r="OSF386" s="252"/>
      <c r="OSG386" s="252"/>
      <c r="OSH386" s="252"/>
      <c r="OSI386" s="252"/>
      <c r="OSJ386" s="252"/>
      <c r="OSK386" s="252"/>
      <c r="OSL386" s="252"/>
      <c r="OSM386" s="252"/>
      <c r="OSN386" s="252"/>
      <c r="OSO386" s="252"/>
      <c r="OSP386" s="252"/>
      <c r="OSQ386" s="252"/>
      <c r="OSR386" s="252"/>
      <c r="OSS386" s="252"/>
      <c r="OST386" s="252"/>
      <c r="OSU386" s="252"/>
      <c r="OSV386" s="252"/>
      <c r="OSW386" s="252"/>
      <c r="OSX386" s="252"/>
      <c r="OSY386" s="252"/>
      <c r="OSZ386" s="252"/>
      <c r="OTA386" s="252"/>
      <c r="OTB386" s="252"/>
      <c r="OTC386" s="252"/>
      <c r="OTD386" s="252"/>
      <c r="OTE386" s="252"/>
      <c r="OTF386" s="252"/>
      <c r="OTG386" s="252"/>
      <c r="OTH386" s="252"/>
      <c r="OTI386" s="252"/>
      <c r="OTJ386" s="252"/>
      <c r="OTK386" s="252"/>
      <c r="OTL386" s="252"/>
      <c r="OTM386" s="252"/>
      <c r="OTN386" s="252"/>
      <c r="OTO386" s="252"/>
      <c r="OTP386" s="252"/>
      <c r="OTQ386" s="252"/>
      <c r="OTR386" s="252"/>
      <c r="OTS386" s="252"/>
      <c r="OTT386" s="252"/>
      <c r="OTU386" s="252"/>
      <c r="OTV386" s="252"/>
      <c r="OTW386" s="252"/>
      <c r="OTX386" s="252"/>
      <c r="OTY386" s="252"/>
      <c r="OTZ386" s="252"/>
      <c r="OUA386" s="252"/>
      <c r="OUB386" s="252"/>
      <c r="OUC386" s="252"/>
      <c r="OUD386" s="252"/>
      <c r="OUE386" s="252"/>
      <c r="OUF386" s="252"/>
      <c r="OUG386" s="252"/>
      <c r="OUH386" s="252"/>
      <c r="OUI386" s="252"/>
      <c r="OUJ386" s="252"/>
      <c r="OUK386" s="252"/>
      <c r="OUL386" s="252"/>
      <c r="OUM386" s="252"/>
      <c r="OUN386" s="252"/>
      <c r="OUO386" s="252"/>
      <c r="OUP386" s="252"/>
      <c r="OUQ386" s="252"/>
      <c r="OUR386" s="252"/>
      <c r="OUS386" s="252"/>
      <c r="OUT386" s="252"/>
      <c r="OUU386" s="252"/>
      <c r="OUV386" s="252"/>
      <c r="OUW386" s="252"/>
      <c r="OUX386" s="252"/>
      <c r="OUY386" s="252"/>
      <c r="OUZ386" s="252"/>
      <c r="OVA386" s="252"/>
      <c r="OVB386" s="252"/>
      <c r="OVC386" s="252"/>
      <c r="OVD386" s="252"/>
      <c r="OVE386" s="252"/>
      <c r="OVF386" s="252"/>
      <c r="OVG386" s="252"/>
      <c r="OVH386" s="252"/>
      <c r="OVI386" s="252"/>
      <c r="OVJ386" s="252"/>
      <c r="OVK386" s="252"/>
      <c r="OVL386" s="252"/>
      <c r="OVM386" s="252"/>
      <c r="OVN386" s="252"/>
      <c r="OVO386" s="252"/>
      <c r="OVP386" s="252"/>
      <c r="OVQ386" s="252"/>
      <c r="OVR386" s="252"/>
      <c r="OVS386" s="252"/>
      <c r="OVT386" s="252"/>
      <c r="OVU386" s="252"/>
      <c r="OVV386" s="252"/>
      <c r="OVW386" s="252"/>
      <c r="OVX386" s="252"/>
      <c r="OVY386" s="252"/>
      <c r="OVZ386" s="252"/>
      <c r="OWA386" s="252"/>
      <c r="OWB386" s="252"/>
      <c r="OWC386" s="252"/>
      <c r="OWD386" s="252"/>
      <c r="OWE386" s="252"/>
      <c r="OWF386" s="252"/>
      <c r="OWG386" s="252"/>
      <c r="OWH386" s="252"/>
      <c r="OWI386" s="252"/>
      <c r="OWJ386" s="252"/>
      <c r="OWK386" s="252"/>
      <c r="OWL386" s="252"/>
      <c r="OWM386" s="252"/>
      <c r="OWN386" s="252"/>
      <c r="OWO386" s="252"/>
      <c r="OWP386" s="252"/>
      <c r="OWQ386" s="252"/>
      <c r="OWR386" s="252"/>
      <c r="OWS386" s="252"/>
      <c r="OWT386" s="252"/>
      <c r="OWU386" s="252"/>
      <c r="OWV386" s="252"/>
      <c r="OWW386" s="252"/>
      <c r="OWX386" s="252"/>
      <c r="OWY386" s="252"/>
      <c r="OWZ386" s="252"/>
      <c r="OXA386" s="252"/>
      <c r="OXB386" s="252"/>
      <c r="OXC386" s="252"/>
      <c r="OXD386" s="252"/>
      <c r="OXE386" s="252"/>
      <c r="OXF386" s="252"/>
      <c r="OXG386" s="252"/>
      <c r="OXH386" s="252"/>
      <c r="OXI386" s="252"/>
      <c r="OXJ386" s="252"/>
      <c r="OXK386" s="252"/>
      <c r="OXL386" s="252"/>
      <c r="OXM386" s="252"/>
      <c r="OXN386" s="252"/>
      <c r="OXO386" s="252"/>
      <c r="OXP386" s="252"/>
      <c r="OXQ386" s="252"/>
      <c r="OXR386" s="252"/>
      <c r="OXS386" s="252"/>
      <c r="OXT386" s="252"/>
      <c r="OXU386" s="252"/>
      <c r="OXV386" s="252"/>
      <c r="OXW386" s="252"/>
      <c r="OXX386" s="252"/>
      <c r="OXY386" s="252"/>
      <c r="OXZ386" s="252"/>
      <c r="OYA386" s="252"/>
      <c r="OYB386" s="252"/>
      <c r="OYC386" s="252"/>
      <c r="OYD386" s="252"/>
      <c r="OYE386" s="252"/>
      <c r="OYF386" s="252"/>
      <c r="OYG386" s="252"/>
      <c r="OYH386" s="252"/>
      <c r="OYI386" s="252"/>
      <c r="OYJ386" s="252"/>
      <c r="OYK386" s="252"/>
      <c r="OYL386" s="252"/>
      <c r="OYM386" s="252"/>
      <c r="OYN386" s="252"/>
      <c r="OYO386" s="252"/>
      <c r="OYP386" s="252"/>
      <c r="OYQ386" s="252"/>
      <c r="OYR386" s="252"/>
      <c r="OYS386" s="252"/>
      <c r="OYT386" s="252"/>
      <c r="OYU386" s="252"/>
      <c r="OYV386" s="252"/>
      <c r="OYW386" s="252"/>
      <c r="OYX386" s="252"/>
      <c r="OYY386" s="252"/>
      <c r="OYZ386" s="252"/>
      <c r="OZA386" s="252"/>
      <c r="OZB386" s="252"/>
      <c r="OZC386" s="252"/>
      <c r="OZD386" s="252"/>
      <c r="OZE386" s="252"/>
      <c r="OZF386" s="252"/>
      <c r="OZG386" s="252"/>
      <c r="OZH386" s="252"/>
      <c r="OZI386" s="252"/>
      <c r="OZJ386" s="252"/>
      <c r="OZK386" s="252"/>
      <c r="OZL386" s="252"/>
      <c r="OZM386" s="252"/>
      <c r="OZN386" s="252"/>
      <c r="OZO386" s="252"/>
      <c r="OZP386" s="252"/>
      <c r="OZQ386" s="252"/>
      <c r="OZR386" s="252"/>
      <c r="OZS386" s="252"/>
      <c r="OZT386" s="252"/>
      <c r="OZU386" s="252"/>
      <c r="OZV386" s="252"/>
      <c r="OZW386" s="252"/>
      <c r="OZX386" s="252"/>
      <c r="OZY386" s="252"/>
      <c r="OZZ386" s="252"/>
      <c r="PAA386" s="252"/>
      <c r="PAB386" s="252"/>
      <c r="PAC386" s="252"/>
      <c r="PAD386" s="252"/>
      <c r="PAE386" s="252"/>
      <c r="PAF386" s="252"/>
      <c r="PAG386" s="252"/>
      <c r="PAH386" s="252"/>
      <c r="PAI386" s="252"/>
      <c r="PAJ386" s="252"/>
      <c r="PAK386" s="252"/>
      <c r="PAL386" s="252"/>
      <c r="PAM386" s="252"/>
      <c r="PAN386" s="252"/>
      <c r="PAO386" s="252"/>
      <c r="PAP386" s="252"/>
      <c r="PAQ386" s="252"/>
      <c r="PAR386" s="252"/>
      <c r="PAS386" s="252"/>
      <c r="PAT386" s="252"/>
      <c r="PAU386" s="252"/>
      <c r="PAV386" s="252"/>
      <c r="PAW386" s="252"/>
      <c r="PAX386" s="252"/>
      <c r="PAY386" s="252"/>
      <c r="PAZ386" s="252"/>
      <c r="PBA386" s="252"/>
      <c r="PBB386" s="252"/>
      <c r="PBC386" s="252"/>
      <c r="PBD386" s="252"/>
      <c r="PBE386" s="252"/>
      <c r="PBF386" s="252"/>
      <c r="PBG386" s="252"/>
      <c r="PBH386" s="252"/>
      <c r="PBI386" s="252"/>
      <c r="PBJ386" s="252"/>
      <c r="PBK386" s="252"/>
      <c r="PBL386" s="252"/>
      <c r="PBM386" s="252"/>
      <c r="PBN386" s="252"/>
      <c r="PBO386" s="252"/>
      <c r="PBP386" s="252"/>
      <c r="PBQ386" s="252"/>
      <c r="PBR386" s="252"/>
      <c r="PBS386" s="252"/>
      <c r="PBT386" s="252"/>
      <c r="PBU386" s="252"/>
      <c r="PBV386" s="252"/>
      <c r="PBW386" s="252"/>
      <c r="PBX386" s="252"/>
      <c r="PBY386" s="252"/>
      <c r="PBZ386" s="252"/>
      <c r="PCA386" s="252"/>
      <c r="PCB386" s="252"/>
      <c r="PCC386" s="252"/>
      <c r="PCD386" s="252"/>
      <c r="PCE386" s="252"/>
      <c r="PCF386" s="252"/>
      <c r="PCG386" s="252"/>
      <c r="PCH386" s="252"/>
      <c r="PCI386" s="252"/>
      <c r="PCJ386" s="252"/>
      <c r="PCK386" s="252"/>
      <c r="PCL386" s="252"/>
      <c r="PCM386" s="252"/>
      <c r="PCN386" s="252"/>
      <c r="PCO386" s="252"/>
      <c r="PCP386" s="252"/>
      <c r="PCQ386" s="252"/>
      <c r="PCR386" s="252"/>
      <c r="PCS386" s="252"/>
      <c r="PCT386" s="252"/>
      <c r="PCU386" s="252"/>
      <c r="PCV386" s="252"/>
      <c r="PCW386" s="252"/>
      <c r="PCX386" s="252"/>
      <c r="PCY386" s="252"/>
      <c r="PCZ386" s="252"/>
      <c r="PDA386" s="252"/>
      <c r="PDB386" s="252"/>
      <c r="PDC386" s="252"/>
      <c r="PDD386" s="252"/>
      <c r="PDE386" s="252"/>
      <c r="PDF386" s="252"/>
      <c r="PDG386" s="252"/>
      <c r="PDH386" s="252"/>
      <c r="PDI386" s="252"/>
      <c r="PDJ386" s="252"/>
      <c r="PDK386" s="252"/>
      <c r="PDL386" s="252"/>
      <c r="PDM386" s="252"/>
      <c r="PDN386" s="252"/>
      <c r="PDO386" s="252"/>
      <c r="PDP386" s="252"/>
      <c r="PDQ386" s="252"/>
      <c r="PDR386" s="252"/>
      <c r="PDS386" s="252"/>
      <c r="PDT386" s="252"/>
      <c r="PDU386" s="252"/>
      <c r="PDV386" s="252"/>
      <c r="PDW386" s="252"/>
      <c r="PDX386" s="252"/>
      <c r="PDY386" s="252"/>
      <c r="PDZ386" s="252"/>
      <c r="PEA386" s="252"/>
      <c r="PEB386" s="252"/>
      <c r="PEC386" s="252"/>
      <c r="PED386" s="252"/>
      <c r="PEE386" s="252"/>
      <c r="PEF386" s="252"/>
      <c r="PEG386" s="252"/>
      <c r="PEH386" s="252"/>
      <c r="PEI386" s="252"/>
      <c r="PEJ386" s="252"/>
      <c r="PEK386" s="252"/>
      <c r="PEL386" s="252"/>
      <c r="PEM386" s="252"/>
      <c r="PEN386" s="252"/>
      <c r="PEO386" s="252"/>
      <c r="PEP386" s="252"/>
      <c r="PEQ386" s="252"/>
      <c r="PER386" s="252"/>
      <c r="PES386" s="252"/>
      <c r="PET386" s="252"/>
      <c r="PEU386" s="252"/>
      <c r="PEV386" s="252"/>
      <c r="PEW386" s="252"/>
      <c r="PEX386" s="252"/>
      <c r="PEY386" s="252"/>
      <c r="PEZ386" s="252"/>
      <c r="PFA386" s="252"/>
      <c r="PFB386" s="252"/>
      <c r="PFC386" s="252"/>
      <c r="PFD386" s="252"/>
      <c r="PFE386" s="252"/>
      <c r="PFF386" s="252"/>
      <c r="PFG386" s="252"/>
      <c r="PFH386" s="252"/>
      <c r="PFI386" s="252"/>
      <c r="PFJ386" s="252"/>
      <c r="PFK386" s="252"/>
      <c r="PFL386" s="252"/>
      <c r="PFM386" s="252"/>
      <c r="PFN386" s="252"/>
      <c r="PFO386" s="252"/>
      <c r="PFP386" s="252"/>
      <c r="PFQ386" s="252"/>
      <c r="PFR386" s="252"/>
      <c r="PFS386" s="252"/>
      <c r="PFT386" s="252"/>
      <c r="PFU386" s="252"/>
      <c r="PFV386" s="252"/>
      <c r="PFW386" s="252"/>
      <c r="PFX386" s="252"/>
      <c r="PFY386" s="252"/>
      <c r="PFZ386" s="252"/>
      <c r="PGA386" s="252"/>
      <c r="PGB386" s="252"/>
      <c r="PGC386" s="252"/>
      <c r="PGD386" s="252"/>
      <c r="PGE386" s="252"/>
      <c r="PGF386" s="252"/>
      <c r="PGG386" s="252"/>
      <c r="PGH386" s="252"/>
      <c r="PGI386" s="252"/>
      <c r="PGJ386" s="252"/>
      <c r="PGK386" s="252"/>
      <c r="PGL386" s="252"/>
      <c r="PGM386" s="252"/>
      <c r="PGN386" s="252"/>
      <c r="PGO386" s="252"/>
      <c r="PGP386" s="252"/>
      <c r="PGQ386" s="252"/>
      <c r="PGR386" s="252"/>
      <c r="PGS386" s="252"/>
      <c r="PGT386" s="252"/>
      <c r="PGU386" s="252"/>
      <c r="PGV386" s="252"/>
      <c r="PGW386" s="252"/>
      <c r="PGX386" s="252"/>
      <c r="PGY386" s="252"/>
      <c r="PGZ386" s="252"/>
      <c r="PHA386" s="252"/>
      <c r="PHB386" s="252"/>
      <c r="PHC386" s="252"/>
      <c r="PHD386" s="252"/>
      <c r="PHE386" s="252"/>
      <c r="PHF386" s="252"/>
      <c r="PHG386" s="252"/>
      <c r="PHH386" s="252"/>
      <c r="PHI386" s="252"/>
      <c r="PHJ386" s="252"/>
      <c r="PHK386" s="252"/>
      <c r="PHL386" s="252"/>
      <c r="PHM386" s="252"/>
      <c r="PHN386" s="252"/>
      <c r="PHO386" s="252"/>
      <c r="PHP386" s="252"/>
      <c r="PHQ386" s="252"/>
      <c r="PHR386" s="252"/>
      <c r="PHS386" s="252"/>
      <c r="PHT386" s="252"/>
      <c r="PHU386" s="252"/>
      <c r="PHV386" s="252"/>
      <c r="PHW386" s="252"/>
      <c r="PHX386" s="252"/>
      <c r="PHY386" s="252"/>
      <c r="PHZ386" s="252"/>
      <c r="PIA386" s="252"/>
      <c r="PIB386" s="252"/>
      <c r="PIC386" s="252"/>
      <c r="PID386" s="252"/>
      <c r="PIE386" s="252"/>
      <c r="PIF386" s="252"/>
      <c r="PIG386" s="252"/>
      <c r="PIH386" s="252"/>
      <c r="PII386" s="252"/>
      <c r="PIJ386" s="252"/>
      <c r="PIK386" s="252"/>
      <c r="PIL386" s="252"/>
      <c r="PIM386" s="252"/>
      <c r="PIN386" s="252"/>
      <c r="PIO386" s="252"/>
      <c r="PIP386" s="252"/>
      <c r="PIQ386" s="252"/>
      <c r="PIR386" s="252"/>
      <c r="PIS386" s="252"/>
      <c r="PIT386" s="252"/>
      <c r="PIU386" s="252"/>
      <c r="PIV386" s="252"/>
      <c r="PIW386" s="252"/>
      <c r="PIX386" s="252"/>
      <c r="PIY386" s="252"/>
      <c r="PIZ386" s="252"/>
      <c r="PJA386" s="252"/>
      <c r="PJB386" s="252"/>
      <c r="PJC386" s="252"/>
      <c r="PJD386" s="252"/>
      <c r="PJE386" s="252"/>
      <c r="PJF386" s="252"/>
      <c r="PJG386" s="252"/>
      <c r="PJH386" s="252"/>
      <c r="PJI386" s="252"/>
      <c r="PJJ386" s="252"/>
      <c r="PJK386" s="252"/>
      <c r="PJL386" s="252"/>
      <c r="PJM386" s="252"/>
      <c r="PJN386" s="252"/>
      <c r="PJO386" s="252"/>
      <c r="PJP386" s="252"/>
      <c r="PJQ386" s="252"/>
      <c r="PJR386" s="252"/>
      <c r="PJS386" s="252"/>
      <c r="PJT386" s="252"/>
      <c r="PJU386" s="252"/>
      <c r="PJV386" s="252"/>
      <c r="PJW386" s="252"/>
      <c r="PJX386" s="252"/>
      <c r="PJY386" s="252"/>
      <c r="PJZ386" s="252"/>
      <c r="PKA386" s="252"/>
      <c r="PKB386" s="252"/>
      <c r="PKC386" s="252"/>
      <c r="PKD386" s="252"/>
      <c r="PKE386" s="252"/>
      <c r="PKF386" s="252"/>
      <c r="PKG386" s="252"/>
      <c r="PKH386" s="252"/>
      <c r="PKI386" s="252"/>
      <c r="PKJ386" s="252"/>
      <c r="PKK386" s="252"/>
      <c r="PKL386" s="252"/>
      <c r="PKM386" s="252"/>
      <c r="PKN386" s="252"/>
      <c r="PKO386" s="252"/>
      <c r="PKP386" s="252"/>
      <c r="PKQ386" s="252"/>
      <c r="PKR386" s="252"/>
      <c r="PKS386" s="252"/>
      <c r="PKT386" s="252"/>
      <c r="PKU386" s="252"/>
      <c r="PKV386" s="252"/>
      <c r="PKW386" s="252"/>
      <c r="PKX386" s="252"/>
      <c r="PKY386" s="252"/>
      <c r="PKZ386" s="252"/>
      <c r="PLA386" s="252"/>
      <c r="PLB386" s="252"/>
      <c r="PLC386" s="252"/>
      <c r="PLD386" s="252"/>
      <c r="PLE386" s="252"/>
      <c r="PLF386" s="252"/>
      <c r="PLG386" s="252"/>
      <c r="PLH386" s="252"/>
      <c r="PLI386" s="252"/>
      <c r="PLJ386" s="252"/>
      <c r="PLK386" s="252"/>
      <c r="PLL386" s="252"/>
      <c r="PLM386" s="252"/>
      <c r="PLN386" s="252"/>
      <c r="PLO386" s="252"/>
      <c r="PLP386" s="252"/>
      <c r="PLQ386" s="252"/>
      <c r="PLR386" s="252"/>
      <c r="PLS386" s="252"/>
      <c r="PLT386" s="252"/>
      <c r="PLU386" s="252"/>
      <c r="PLV386" s="252"/>
      <c r="PLW386" s="252"/>
      <c r="PLX386" s="252"/>
      <c r="PLY386" s="252"/>
      <c r="PLZ386" s="252"/>
      <c r="PMA386" s="252"/>
      <c r="PMB386" s="252"/>
      <c r="PMC386" s="252"/>
      <c r="PMD386" s="252"/>
      <c r="PME386" s="252"/>
      <c r="PMF386" s="252"/>
      <c r="PMG386" s="252"/>
      <c r="PMH386" s="252"/>
      <c r="PMI386" s="252"/>
      <c r="PMJ386" s="252"/>
      <c r="PMK386" s="252"/>
      <c r="PML386" s="252"/>
      <c r="PMM386" s="252"/>
      <c r="PMN386" s="252"/>
      <c r="PMO386" s="252"/>
      <c r="PMP386" s="252"/>
      <c r="PMQ386" s="252"/>
      <c r="PMR386" s="252"/>
      <c r="PMS386" s="252"/>
      <c r="PMT386" s="252"/>
      <c r="PMU386" s="252"/>
      <c r="PMV386" s="252"/>
      <c r="PMW386" s="252"/>
      <c r="PMX386" s="252"/>
      <c r="PMY386" s="252"/>
      <c r="PMZ386" s="252"/>
      <c r="PNA386" s="252"/>
      <c r="PNB386" s="252"/>
      <c r="PNC386" s="252"/>
      <c r="PND386" s="252"/>
      <c r="PNE386" s="252"/>
      <c r="PNF386" s="252"/>
      <c r="PNG386" s="252"/>
      <c r="PNH386" s="252"/>
      <c r="PNI386" s="252"/>
      <c r="PNJ386" s="252"/>
      <c r="PNK386" s="252"/>
      <c r="PNL386" s="252"/>
      <c r="PNM386" s="252"/>
      <c r="PNN386" s="252"/>
      <c r="PNO386" s="252"/>
      <c r="PNP386" s="252"/>
      <c r="PNQ386" s="252"/>
      <c r="PNR386" s="252"/>
      <c r="PNS386" s="252"/>
      <c r="PNT386" s="252"/>
      <c r="PNU386" s="252"/>
      <c r="PNV386" s="252"/>
      <c r="PNW386" s="252"/>
      <c r="PNX386" s="252"/>
      <c r="PNY386" s="252"/>
      <c r="PNZ386" s="252"/>
      <c r="POA386" s="252"/>
      <c r="POB386" s="252"/>
      <c r="POC386" s="252"/>
      <c r="POD386" s="252"/>
      <c r="POE386" s="252"/>
      <c r="POF386" s="252"/>
      <c r="POG386" s="252"/>
      <c r="POH386" s="252"/>
      <c r="POI386" s="252"/>
      <c r="POJ386" s="252"/>
      <c r="POK386" s="252"/>
      <c r="POL386" s="252"/>
      <c r="POM386" s="252"/>
      <c r="PON386" s="252"/>
      <c r="POO386" s="252"/>
      <c r="POP386" s="252"/>
      <c r="POQ386" s="252"/>
      <c r="POR386" s="252"/>
      <c r="POS386" s="252"/>
      <c r="POT386" s="252"/>
      <c r="POU386" s="252"/>
      <c r="POV386" s="252"/>
      <c r="POW386" s="252"/>
      <c r="POX386" s="252"/>
      <c r="POY386" s="252"/>
      <c r="POZ386" s="252"/>
      <c r="PPA386" s="252"/>
      <c r="PPB386" s="252"/>
      <c r="PPC386" s="252"/>
      <c r="PPD386" s="252"/>
      <c r="PPE386" s="252"/>
      <c r="PPF386" s="252"/>
      <c r="PPG386" s="252"/>
      <c r="PPH386" s="252"/>
      <c r="PPI386" s="252"/>
      <c r="PPJ386" s="252"/>
      <c r="PPK386" s="252"/>
      <c r="PPL386" s="252"/>
      <c r="PPM386" s="252"/>
      <c r="PPN386" s="252"/>
      <c r="PPO386" s="252"/>
      <c r="PPP386" s="252"/>
      <c r="PPQ386" s="252"/>
      <c r="PPR386" s="252"/>
      <c r="PPS386" s="252"/>
      <c r="PPT386" s="252"/>
      <c r="PPU386" s="252"/>
      <c r="PPV386" s="252"/>
      <c r="PPW386" s="252"/>
      <c r="PPX386" s="252"/>
      <c r="PPY386" s="252"/>
      <c r="PPZ386" s="252"/>
      <c r="PQA386" s="252"/>
      <c r="PQB386" s="252"/>
      <c r="PQC386" s="252"/>
      <c r="PQD386" s="252"/>
      <c r="PQE386" s="252"/>
      <c r="PQF386" s="252"/>
      <c r="PQG386" s="252"/>
      <c r="PQH386" s="252"/>
      <c r="PQI386" s="252"/>
      <c r="PQJ386" s="252"/>
      <c r="PQK386" s="252"/>
      <c r="PQL386" s="252"/>
      <c r="PQM386" s="252"/>
      <c r="PQN386" s="252"/>
      <c r="PQO386" s="252"/>
      <c r="PQP386" s="252"/>
      <c r="PQQ386" s="252"/>
      <c r="PQR386" s="252"/>
      <c r="PQS386" s="252"/>
      <c r="PQT386" s="252"/>
      <c r="PQU386" s="252"/>
      <c r="PQV386" s="252"/>
      <c r="PQW386" s="252"/>
      <c r="PQX386" s="252"/>
      <c r="PQY386" s="252"/>
      <c r="PQZ386" s="252"/>
      <c r="PRA386" s="252"/>
      <c r="PRB386" s="252"/>
      <c r="PRC386" s="252"/>
      <c r="PRD386" s="252"/>
      <c r="PRE386" s="252"/>
      <c r="PRF386" s="252"/>
      <c r="PRG386" s="252"/>
      <c r="PRH386" s="252"/>
      <c r="PRI386" s="252"/>
      <c r="PRJ386" s="252"/>
      <c r="PRK386" s="252"/>
      <c r="PRL386" s="252"/>
      <c r="PRM386" s="252"/>
      <c r="PRN386" s="252"/>
      <c r="PRO386" s="252"/>
      <c r="PRP386" s="252"/>
      <c r="PRQ386" s="252"/>
      <c r="PRR386" s="252"/>
      <c r="PRS386" s="252"/>
      <c r="PRT386" s="252"/>
      <c r="PRU386" s="252"/>
      <c r="PRV386" s="252"/>
      <c r="PRW386" s="252"/>
      <c r="PRX386" s="252"/>
      <c r="PRY386" s="252"/>
      <c r="PRZ386" s="252"/>
      <c r="PSA386" s="252"/>
      <c r="PSB386" s="252"/>
      <c r="PSC386" s="252"/>
      <c r="PSD386" s="252"/>
      <c r="PSE386" s="252"/>
      <c r="PSF386" s="252"/>
      <c r="PSG386" s="252"/>
      <c r="PSH386" s="252"/>
      <c r="PSI386" s="252"/>
      <c r="PSJ386" s="252"/>
      <c r="PSK386" s="252"/>
      <c r="PSL386" s="252"/>
      <c r="PSM386" s="252"/>
      <c r="PSN386" s="252"/>
      <c r="PSO386" s="252"/>
      <c r="PSP386" s="252"/>
      <c r="PSQ386" s="252"/>
      <c r="PSR386" s="252"/>
      <c r="PSS386" s="252"/>
      <c r="PST386" s="252"/>
      <c r="PSU386" s="252"/>
      <c r="PSV386" s="252"/>
      <c r="PSW386" s="252"/>
      <c r="PSX386" s="252"/>
      <c r="PSY386" s="252"/>
      <c r="PSZ386" s="252"/>
      <c r="PTA386" s="252"/>
      <c r="PTB386" s="252"/>
      <c r="PTC386" s="252"/>
      <c r="PTD386" s="252"/>
      <c r="PTE386" s="252"/>
      <c r="PTF386" s="252"/>
      <c r="PTG386" s="252"/>
      <c r="PTH386" s="252"/>
      <c r="PTI386" s="252"/>
      <c r="PTJ386" s="252"/>
      <c r="PTK386" s="252"/>
      <c r="PTL386" s="252"/>
      <c r="PTM386" s="252"/>
      <c r="PTN386" s="252"/>
      <c r="PTO386" s="252"/>
      <c r="PTP386" s="252"/>
      <c r="PTQ386" s="252"/>
      <c r="PTR386" s="252"/>
      <c r="PTS386" s="252"/>
      <c r="PTT386" s="252"/>
      <c r="PTU386" s="252"/>
      <c r="PTV386" s="252"/>
      <c r="PTW386" s="252"/>
      <c r="PTX386" s="252"/>
      <c r="PTY386" s="252"/>
      <c r="PTZ386" s="252"/>
      <c r="PUA386" s="252"/>
      <c r="PUB386" s="252"/>
      <c r="PUC386" s="252"/>
      <c r="PUD386" s="252"/>
      <c r="PUE386" s="252"/>
      <c r="PUF386" s="252"/>
      <c r="PUG386" s="252"/>
      <c r="PUH386" s="252"/>
      <c r="PUI386" s="252"/>
      <c r="PUJ386" s="252"/>
      <c r="PUK386" s="252"/>
      <c r="PUL386" s="252"/>
      <c r="PUM386" s="252"/>
      <c r="PUN386" s="252"/>
      <c r="PUO386" s="252"/>
      <c r="PUP386" s="252"/>
      <c r="PUQ386" s="252"/>
      <c r="PUR386" s="252"/>
      <c r="PUS386" s="252"/>
      <c r="PUT386" s="252"/>
      <c r="PUU386" s="252"/>
      <c r="PUV386" s="252"/>
      <c r="PUW386" s="252"/>
      <c r="PUX386" s="252"/>
      <c r="PUY386" s="252"/>
      <c r="PUZ386" s="252"/>
      <c r="PVA386" s="252"/>
      <c r="PVB386" s="252"/>
      <c r="PVC386" s="252"/>
      <c r="PVD386" s="252"/>
      <c r="PVE386" s="252"/>
      <c r="PVF386" s="252"/>
      <c r="PVG386" s="252"/>
      <c r="PVH386" s="252"/>
      <c r="PVI386" s="252"/>
      <c r="PVJ386" s="252"/>
      <c r="PVK386" s="252"/>
      <c r="PVL386" s="252"/>
      <c r="PVM386" s="252"/>
      <c r="PVN386" s="252"/>
      <c r="PVO386" s="252"/>
      <c r="PVP386" s="252"/>
      <c r="PVQ386" s="252"/>
      <c r="PVR386" s="252"/>
      <c r="PVS386" s="252"/>
      <c r="PVT386" s="252"/>
      <c r="PVU386" s="252"/>
      <c r="PVV386" s="252"/>
      <c r="PVW386" s="252"/>
      <c r="PVX386" s="252"/>
      <c r="PVY386" s="252"/>
      <c r="PVZ386" s="252"/>
      <c r="PWA386" s="252"/>
      <c r="PWB386" s="252"/>
      <c r="PWC386" s="252"/>
      <c r="PWD386" s="252"/>
      <c r="PWE386" s="252"/>
      <c r="PWF386" s="252"/>
      <c r="PWG386" s="252"/>
      <c r="PWH386" s="252"/>
      <c r="PWI386" s="252"/>
      <c r="PWJ386" s="252"/>
      <c r="PWK386" s="252"/>
      <c r="PWL386" s="252"/>
      <c r="PWM386" s="252"/>
      <c r="PWN386" s="252"/>
      <c r="PWO386" s="252"/>
      <c r="PWP386" s="252"/>
      <c r="PWQ386" s="252"/>
      <c r="PWR386" s="252"/>
      <c r="PWS386" s="252"/>
      <c r="PWT386" s="252"/>
      <c r="PWU386" s="252"/>
      <c r="PWV386" s="252"/>
      <c r="PWW386" s="252"/>
      <c r="PWX386" s="252"/>
      <c r="PWY386" s="252"/>
      <c r="PWZ386" s="252"/>
      <c r="PXA386" s="252"/>
      <c r="PXB386" s="252"/>
      <c r="PXC386" s="252"/>
      <c r="PXD386" s="252"/>
      <c r="PXE386" s="252"/>
      <c r="PXF386" s="252"/>
      <c r="PXG386" s="252"/>
      <c r="PXH386" s="252"/>
      <c r="PXI386" s="252"/>
      <c r="PXJ386" s="252"/>
      <c r="PXK386" s="252"/>
      <c r="PXL386" s="252"/>
      <c r="PXM386" s="252"/>
      <c r="PXN386" s="252"/>
      <c r="PXO386" s="252"/>
      <c r="PXP386" s="252"/>
      <c r="PXQ386" s="252"/>
      <c r="PXR386" s="252"/>
      <c r="PXS386" s="252"/>
      <c r="PXT386" s="252"/>
      <c r="PXU386" s="252"/>
      <c r="PXV386" s="252"/>
      <c r="PXW386" s="252"/>
      <c r="PXX386" s="252"/>
      <c r="PXY386" s="252"/>
      <c r="PXZ386" s="252"/>
      <c r="PYA386" s="252"/>
      <c r="PYB386" s="252"/>
      <c r="PYC386" s="252"/>
      <c r="PYD386" s="252"/>
      <c r="PYE386" s="252"/>
      <c r="PYF386" s="252"/>
      <c r="PYG386" s="252"/>
      <c r="PYH386" s="252"/>
      <c r="PYI386" s="252"/>
      <c r="PYJ386" s="252"/>
      <c r="PYK386" s="252"/>
      <c r="PYL386" s="252"/>
      <c r="PYM386" s="252"/>
      <c r="PYN386" s="252"/>
      <c r="PYO386" s="252"/>
      <c r="PYP386" s="252"/>
      <c r="PYQ386" s="252"/>
      <c r="PYR386" s="252"/>
      <c r="PYS386" s="252"/>
      <c r="PYT386" s="252"/>
      <c r="PYU386" s="252"/>
      <c r="PYV386" s="252"/>
      <c r="PYW386" s="252"/>
      <c r="PYX386" s="252"/>
      <c r="PYY386" s="252"/>
      <c r="PYZ386" s="252"/>
      <c r="PZA386" s="252"/>
      <c r="PZB386" s="252"/>
      <c r="PZC386" s="252"/>
      <c r="PZD386" s="252"/>
      <c r="PZE386" s="252"/>
      <c r="PZF386" s="252"/>
      <c r="PZG386" s="252"/>
      <c r="PZH386" s="252"/>
      <c r="PZI386" s="252"/>
      <c r="PZJ386" s="252"/>
      <c r="PZK386" s="252"/>
      <c r="PZL386" s="252"/>
      <c r="PZM386" s="252"/>
      <c r="PZN386" s="252"/>
      <c r="PZO386" s="252"/>
      <c r="PZP386" s="252"/>
      <c r="PZQ386" s="252"/>
      <c r="PZR386" s="252"/>
      <c r="PZS386" s="252"/>
      <c r="PZT386" s="252"/>
      <c r="PZU386" s="252"/>
      <c r="PZV386" s="252"/>
      <c r="PZW386" s="252"/>
      <c r="PZX386" s="252"/>
      <c r="PZY386" s="252"/>
      <c r="PZZ386" s="252"/>
      <c r="QAA386" s="252"/>
      <c r="QAB386" s="252"/>
      <c r="QAC386" s="252"/>
      <c r="QAD386" s="252"/>
      <c r="QAE386" s="252"/>
      <c r="QAF386" s="252"/>
      <c r="QAG386" s="252"/>
      <c r="QAH386" s="252"/>
      <c r="QAI386" s="252"/>
      <c r="QAJ386" s="252"/>
      <c r="QAK386" s="252"/>
      <c r="QAL386" s="252"/>
      <c r="QAM386" s="252"/>
      <c r="QAN386" s="252"/>
      <c r="QAO386" s="252"/>
      <c r="QAP386" s="252"/>
      <c r="QAQ386" s="252"/>
      <c r="QAR386" s="252"/>
      <c r="QAS386" s="252"/>
      <c r="QAT386" s="252"/>
      <c r="QAU386" s="252"/>
      <c r="QAV386" s="252"/>
      <c r="QAW386" s="252"/>
      <c r="QAX386" s="252"/>
      <c r="QAY386" s="252"/>
      <c r="QAZ386" s="252"/>
      <c r="QBA386" s="252"/>
      <c r="QBB386" s="252"/>
      <c r="QBC386" s="252"/>
      <c r="QBD386" s="252"/>
      <c r="QBE386" s="252"/>
      <c r="QBF386" s="252"/>
      <c r="QBG386" s="252"/>
      <c r="QBH386" s="252"/>
      <c r="QBI386" s="252"/>
      <c r="QBJ386" s="252"/>
      <c r="QBK386" s="252"/>
      <c r="QBL386" s="252"/>
      <c r="QBM386" s="252"/>
      <c r="QBN386" s="252"/>
      <c r="QBO386" s="252"/>
      <c r="QBP386" s="252"/>
      <c r="QBQ386" s="252"/>
      <c r="QBR386" s="252"/>
      <c r="QBS386" s="252"/>
      <c r="QBT386" s="252"/>
      <c r="QBU386" s="252"/>
      <c r="QBV386" s="252"/>
      <c r="QBW386" s="252"/>
      <c r="QBX386" s="252"/>
      <c r="QBY386" s="252"/>
      <c r="QBZ386" s="252"/>
      <c r="QCA386" s="252"/>
      <c r="QCB386" s="252"/>
      <c r="QCC386" s="252"/>
      <c r="QCD386" s="252"/>
      <c r="QCE386" s="252"/>
      <c r="QCF386" s="252"/>
      <c r="QCG386" s="252"/>
      <c r="QCH386" s="252"/>
      <c r="QCI386" s="252"/>
      <c r="QCJ386" s="252"/>
      <c r="QCK386" s="252"/>
      <c r="QCL386" s="252"/>
      <c r="QCM386" s="252"/>
      <c r="QCN386" s="252"/>
      <c r="QCO386" s="252"/>
      <c r="QCP386" s="252"/>
      <c r="QCQ386" s="252"/>
      <c r="QCR386" s="252"/>
      <c r="QCS386" s="252"/>
      <c r="QCT386" s="252"/>
      <c r="QCU386" s="252"/>
      <c r="QCV386" s="252"/>
      <c r="QCW386" s="252"/>
      <c r="QCX386" s="252"/>
      <c r="QCY386" s="252"/>
      <c r="QCZ386" s="252"/>
      <c r="QDA386" s="252"/>
      <c r="QDB386" s="252"/>
      <c r="QDC386" s="252"/>
      <c r="QDD386" s="252"/>
      <c r="QDE386" s="252"/>
      <c r="QDF386" s="252"/>
      <c r="QDG386" s="252"/>
      <c r="QDH386" s="252"/>
      <c r="QDI386" s="252"/>
      <c r="QDJ386" s="252"/>
      <c r="QDK386" s="252"/>
      <c r="QDL386" s="252"/>
      <c r="QDM386" s="252"/>
      <c r="QDN386" s="252"/>
      <c r="QDO386" s="252"/>
      <c r="QDP386" s="252"/>
      <c r="QDQ386" s="252"/>
      <c r="QDR386" s="252"/>
      <c r="QDS386" s="252"/>
      <c r="QDT386" s="252"/>
      <c r="QDU386" s="252"/>
      <c r="QDV386" s="252"/>
      <c r="QDW386" s="252"/>
      <c r="QDX386" s="252"/>
      <c r="QDY386" s="252"/>
      <c r="QDZ386" s="252"/>
      <c r="QEA386" s="252"/>
      <c r="QEB386" s="252"/>
      <c r="QEC386" s="252"/>
      <c r="QED386" s="252"/>
      <c r="QEE386" s="252"/>
      <c r="QEF386" s="252"/>
      <c r="QEG386" s="252"/>
      <c r="QEH386" s="252"/>
      <c r="QEI386" s="252"/>
      <c r="QEJ386" s="252"/>
      <c r="QEK386" s="252"/>
      <c r="QEL386" s="252"/>
      <c r="QEM386" s="252"/>
      <c r="QEN386" s="252"/>
      <c r="QEO386" s="252"/>
      <c r="QEP386" s="252"/>
      <c r="QEQ386" s="252"/>
      <c r="QER386" s="252"/>
      <c r="QES386" s="252"/>
      <c r="QET386" s="252"/>
      <c r="QEU386" s="252"/>
      <c r="QEV386" s="252"/>
      <c r="QEW386" s="252"/>
      <c r="QEX386" s="252"/>
      <c r="QEY386" s="252"/>
      <c r="QEZ386" s="252"/>
      <c r="QFA386" s="252"/>
      <c r="QFB386" s="252"/>
      <c r="QFC386" s="252"/>
      <c r="QFD386" s="252"/>
      <c r="QFE386" s="252"/>
      <c r="QFF386" s="252"/>
      <c r="QFG386" s="252"/>
      <c r="QFH386" s="252"/>
      <c r="QFI386" s="252"/>
      <c r="QFJ386" s="252"/>
      <c r="QFK386" s="252"/>
      <c r="QFL386" s="252"/>
      <c r="QFM386" s="252"/>
      <c r="QFN386" s="252"/>
      <c r="QFO386" s="252"/>
      <c r="QFP386" s="252"/>
      <c r="QFQ386" s="252"/>
      <c r="QFR386" s="252"/>
      <c r="QFS386" s="252"/>
      <c r="QFT386" s="252"/>
      <c r="QFU386" s="252"/>
      <c r="QFV386" s="252"/>
      <c r="QFW386" s="252"/>
      <c r="QFX386" s="252"/>
      <c r="QFY386" s="252"/>
      <c r="QFZ386" s="252"/>
      <c r="QGA386" s="252"/>
      <c r="QGB386" s="252"/>
      <c r="QGC386" s="252"/>
      <c r="QGD386" s="252"/>
      <c r="QGE386" s="252"/>
      <c r="QGF386" s="252"/>
      <c r="QGG386" s="252"/>
      <c r="QGH386" s="252"/>
      <c r="QGI386" s="252"/>
      <c r="QGJ386" s="252"/>
      <c r="QGK386" s="252"/>
      <c r="QGL386" s="252"/>
      <c r="QGM386" s="252"/>
      <c r="QGN386" s="252"/>
      <c r="QGO386" s="252"/>
      <c r="QGP386" s="252"/>
      <c r="QGQ386" s="252"/>
      <c r="QGR386" s="252"/>
      <c r="QGS386" s="252"/>
      <c r="QGT386" s="252"/>
      <c r="QGU386" s="252"/>
      <c r="QGV386" s="252"/>
      <c r="QGW386" s="252"/>
      <c r="QGX386" s="252"/>
      <c r="QGY386" s="252"/>
      <c r="QGZ386" s="252"/>
      <c r="QHA386" s="252"/>
      <c r="QHB386" s="252"/>
      <c r="QHC386" s="252"/>
      <c r="QHD386" s="252"/>
      <c r="QHE386" s="252"/>
      <c r="QHF386" s="252"/>
      <c r="QHG386" s="252"/>
      <c r="QHH386" s="252"/>
      <c r="QHI386" s="252"/>
      <c r="QHJ386" s="252"/>
      <c r="QHK386" s="252"/>
      <c r="QHL386" s="252"/>
      <c r="QHM386" s="252"/>
      <c r="QHN386" s="252"/>
      <c r="QHO386" s="252"/>
      <c r="QHP386" s="252"/>
      <c r="QHQ386" s="252"/>
      <c r="QHR386" s="252"/>
      <c r="QHS386" s="252"/>
      <c r="QHT386" s="252"/>
      <c r="QHU386" s="252"/>
      <c r="QHV386" s="252"/>
      <c r="QHW386" s="252"/>
      <c r="QHX386" s="252"/>
      <c r="QHY386" s="252"/>
      <c r="QHZ386" s="252"/>
      <c r="QIA386" s="252"/>
      <c r="QIB386" s="252"/>
      <c r="QIC386" s="252"/>
      <c r="QID386" s="252"/>
      <c r="QIE386" s="252"/>
      <c r="QIF386" s="252"/>
      <c r="QIG386" s="252"/>
      <c r="QIH386" s="252"/>
      <c r="QII386" s="252"/>
      <c r="QIJ386" s="252"/>
      <c r="QIK386" s="252"/>
      <c r="QIL386" s="252"/>
      <c r="QIM386" s="252"/>
      <c r="QIN386" s="252"/>
      <c r="QIO386" s="252"/>
      <c r="QIP386" s="252"/>
      <c r="QIQ386" s="252"/>
      <c r="QIR386" s="252"/>
      <c r="QIS386" s="252"/>
      <c r="QIT386" s="252"/>
      <c r="QIU386" s="252"/>
      <c r="QIV386" s="252"/>
      <c r="QIW386" s="252"/>
      <c r="QIX386" s="252"/>
      <c r="QIY386" s="252"/>
      <c r="QIZ386" s="252"/>
      <c r="QJA386" s="252"/>
      <c r="QJB386" s="252"/>
      <c r="QJC386" s="252"/>
      <c r="QJD386" s="252"/>
      <c r="QJE386" s="252"/>
      <c r="QJF386" s="252"/>
      <c r="QJG386" s="252"/>
      <c r="QJH386" s="252"/>
      <c r="QJI386" s="252"/>
      <c r="QJJ386" s="252"/>
      <c r="QJK386" s="252"/>
      <c r="QJL386" s="252"/>
      <c r="QJM386" s="252"/>
      <c r="QJN386" s="252"/>
      <c r="QJO386" s="252"/>
      <c r="QJP386" s="252"/>
      <c r="QJQ386" s="252"/>
      <c r="QJR386" s="252"/>
      <c r="QJS386" s="252"/>
      <c r="QJT386" s="252"/>
      <c r="QJU386" s="252"/>
      <c r="QJV386" s="252"/>
      <c r="QJW386" s="252"/>
      <c r="QJX386" s="252"/>
      <c r="QJY386" s="252"/>
      <c r="QJZ386" s="252"/>
      <c r="QKA386" s="252"/>
      <c r="QKB386" s="252"/>
      <c r="QKC386" s="252"/>
      <c r="QKD386" s="252"/>
      <c r="QKE386" s="252"/>
      <c r="QKF386" s="252"/>
      <c r="QKG386" s="252"/>
      <c r="QKH386" s="252"/>
      <c r="QKI386" s="252"/>
      <c r="QKJ386" s="252"/>
      <c r="QKK386" s="252"/>
      <c r="QKL386" s="252"/>
      <c r="QKM386" s="252"/>
      <c r="QKN386" s="252"/>
      <c r="QKO386" s="252"/>
      <c r="QKP386" s="252"/>
      <c r="QKQ386" s="252"/>
      <c r="QKR386" s="252"/>
      <c r="QKS386" s="252"/>
      <c r="QKT386" s="252"/>
      <c r="QKU386" s="252"/>
      <c r="QKV386" s="252"/>
      <c r="QKW386" s="252"/>
      <c r="QKX386" s="252"/>
      <c r="QKY386" s="252"/>
      <c r="QKZ386" s="252"/>
      <c r="QLA386" s="252"/>
      <c r="QLB386" s="252"/>
      <c r="QLC386" s="252"/>
      <c r="QLD386" s="252"/>
      <c r="QLE386" s="252"/>
      <c r="QLF386" s="252"/>
      <c r="QLG386" s="252"/>
      <c r="QLH386" s="252"/>
      <c r="QLI386" s="252"/>
      <c r="QLJ386" s="252"/>
      <c r="QLK386" s="252"/>
      <c r="QLL386" s="252"/>
      <c r="QLM386" s="252"/>
      <c r="QLN386" s="252"/>
      <c r="QLO386" s="252"/>
      <c r="QLP386" s="252"/>
      <c r="QLQ386" s="252"/>
      <c r="QLR386" s="252"/>
      <c r="QLS386" s="252"/>
      <c r="QLT386" s="252"/>
      <c r="QLU386" s="252"/>
      <c r="QLV386" s="252"/>
      <c r="QLW386" s="252"/>
      <c r="QLX386" s="252"/>
      <c r="QLY386" s="252"/>
      <c r="QLZ386" s="252"/>
      <c r="QMA386" s="252"/>
      <c r="QMB386" s="252"/>
      <c r="QMC386" s="252"/>
      <c r="QMD386" s="252"/>
      <c r="QME386" s="252"/>
      <c r="QMF386" s="252"/>
      <c r="QMG386" s="252"/>
      <c r="QMH386" s="252"/>
      <c r="QMI386" s="252"/>
      <c r="QMJ386" s="252"/>
      <c r="QMK386" s="252"/>
      <c r="QML386" s="252"/>
      <c r="QMM386" s="252"/>
      <c r="QMN386" s="252"/>
      <c r="QMO386" s="252"/>
      <c r="QMP386" s="252"/>
      <c r="QMQ386" s="252"/>
      <c r="QMR386" s="252"/>
      <c r="QMS386" s="252"/>
      <c r="QMT386" s="252"/>
      <c r="QMU386" s="252"/>
      <c r="QMV386" s="252"/>
      <c r="QMW386" s="252"/>
      <c r="QMX386" s="252"/>
      <c r="QMY386" s="252"/>
      <c r="QMZ386" s="252"/>
      <c r="QNA386" s="252"/>
      <c r="QNB386" s="252"/>
      <c r="QNC386" s="252"/>
      <c r="QND386" s="252"/>
      <c r="QNE386" s="252"/>
      <c r="QNF386" s="252"/>
      <c r="QNG386" s="252"/>
      <c r="QNH386" s="252"/>
      <c r="QNI386" s="252"/>
      <c r="QNJ386" s="252"/>
      <c r="QNK386" s="252"/>
      <c r="QNL386" s="252"/>
      <c r="QNM386" s="252"/>
      <c r="QNN386" s="252"/>
      <c r="QNO386" s="252"/>
      <c r="QNP386" s="252"/>
      <c r="QNQ386" s="252"/>
      <c r="QNR386" s="252"/>
      <c r="QNS386" s="252"/>
      <c r="QNT386" s="252"/>
      <c r="QNU386" s="252"/>
      <c r="QNV386" s="252"/>
      <c r="QNW386" s="252"/>
      <c r="QNX386" s="252"/>
      <c r="QNY386" s="252"/>
      <c r="QNZ386" s="252"/>
      <c r="QOA386" s="252"/>
      <c r="QOB386" s="252"/>
      <c r="QOC386" s="252"/>
      <c r="QOD386" s="252"/>
      <c r="QOE386" s="252"/>
      <c r="QOF386" s="252"/>
      <c r="QOG386" s="252"/>
      <c r="QOH386" s="252"/>
      <c r="QOI386" s="252"/>
      <c r="QOJ386" s="252"/>
      <c r="QOK386" s="252"/>
      <c r="QOL386" s="252"/>
      <c r="QOM386" s="252"/>
      <c r="QON386" s="252"/>
      <c r="QOO386" s="252"/>
      <c r="QOP386" s="252"/>
      <c r="QOQ386" s="252"/>
      <c r="QOR386" s="252"/>
      <c r="QOS386" s="252"/>
      <c r="QOT386" s="252"/>
      <c r="QOU386" s="252"/>
      <c r="QOV386" s="252"/>
      <c r="QOW386" s="252"/>
      <c r="QOX386" s="252"/>
      <c r="QOY386" s="252"/>
      <c r="QOZ386" s="252"/>
      <c r="QPA386" s="252"/>
      <c r="QPB386" s="252"/>
      <c r="QPC386" s="252"/>
      <c r="QPD386" s="252"/>
      <c r="QPE386" s="252"/>
      <c r="QPF386" s="252"/>
      <c r="QPG386" s="252"/>
      <c r="QPH386" s="252"/>
      <c r="QPI386" s="252"/>
      <c r="QPJ386" s="252"/>
      <c r="QPK386" s="252"/>
      <c r="QPL386" s="252"/>
      <c r="QPM386" s="252"/>
      <c r="QPN386" s="252"/>
      <c r="QPO386" s="252"/>
      <c r="QPP386" s="252"/>
      <c r="QPQ386" s="252"/>
      <c r="QPR386" s="252"/>
      <c r="QPS386" s="252"/>
      <c r="QPT386" s="252"/>
      <c r="QPU386" s="252"/>
      <c r="QPV386" s="252"/>
      <c r="QPW386" s="252"/>
      <c r="QPX386" s="252"/>
      <c r="QPY386" s="252"/>
      <c r="QPZ386" s="252"/>
      <c r="QQA386" s="252"/>
      <c r="QQB386" s="252"/>
      <c r="QQC386" s="252"/>
      <c r="QQD386" s="252"/>
      <c r="QQE386" s="252"/>
      <c r="QQF386" s="252"/>
      <c r="QQG386" s="252"/>
      <c r="QQH386" s="252"/>
      <c r="QQI386" s="252"/>
      <c r="QQJ386" s="252"/>
      <c r="QQK386" s="252"/>
      <c r="QQL386" s="252"/>
      <c r="QQM386" s="252"/>
      <c r="QQN386" s="252"/>
      <c r="QQO386" s="252"/>
      <c r="QQP386" s="252"/>
      <c r="QQQ386" s="252"/>
      <c r="QQR386" s="252"/>
      <c r="QQS386" s="252"/>
      <c r="QQT386" s="252"/>
      <c r="QQU386" s="252"/>
      <c r="QQV386" s="252"/>
      <c r="QQW386" s="252"/>
      <c r="QQX386" s="252"/>
      <c r="QQY386" s="252"/>
      <c r="QQZ386" s="252"/>
      <c r="QRA386" s="252"/>
      <c r="QRB386" s="252"/>
      <c r="QRC386" s="252"/>
      <c r="QRD386" s="252"/>
      <c r="QRE386" s="252"/>
      <c r="QRF386" s="252"/>
      <c r="QRG386" s="252"/>
      <c r="QRH386" s="252"/>
      <c r="QRI386" s="252"/>
      <c r="QRJ386" s="252"/>
      <c r="QRK386" s="252"/>
      <c r="QRL386" s="252"/>
      <c r="QRM386" s="252"/>
      <c r="QRN386" s="252"/>
      <c r="QRO386" s="252"/>
      <c r="QRP386" s="252"/>
      <c r="QRQ386" s="252"/>
      <c r="QRR386" s="252"/>
      <c r="QRS386" s="252"/>
      <c r="QRT386" s="252"/>
      <c r="QRU386" s="252"/>
      <c r="QRV386" s="252"/>
      <c r="QRW386" s="252"/>
      <c r="QRX386" s="252"/>
      <c r="QRY386" s="252"/>
      <c r="QRZ386" s="252"/>
      <c r="QSA386" s="252"/>
      <c r="QSB386" s="252"/>
      <c r="QSC386" s="252"/>
      <c r="QSD386" s="252"/>
      <c r="QSE386" s="252"/>
      <c r="QSF386" s="252"/>
      <c r="QSG386" s="252"/>
      <c r="QSH386" s="252"/>
      <c r="QSI386" s="252"/>
      <c r="QSJ386" s="252"/>
      <c r="QSK386" s="252"/>
      <c r="QSL386" s="252"/>
      <c r="QSM386" s="252"/>
      <c r="QSN386" s="252"/>
      <c r="QSO386" s="252"/>
      <c r="QSP386" s="252"/>
      <c r="QSQ386" s="252"/>
      <c r="QSR386" s="252"/>
      <c r="QSS386" s="252"/>
      <c r="QST386" s="252"/>
      <c r="QSU386" s="252"/>
      <c r="QSV386" s="252"/>
      <c r="QSW386" s="252"/>
      <c r="QSX386" s="252"/>
      <c r="QSY386" s="252"/>
      <c r="QSZ386" s="252"/>
      <c r="QTA386" s="252"/>
      <c r="QTB386" s="252"/>
      <c r="QTC386" s="252"/>
      <c r="QTD386" s="252"/>
      <c r="QTE386" s="252"/>
      <c r="QTF386" s="252"/>
      <c r="QTG386" s="252"/>
      <c r="QTH386" s="252"/>
      <c r="QTI386" s="252"/>
      <c r="QTJ386" s="252"/>
      <c r="QTK386" s="252"/>
      <c r="QTL386" s="252"/>
      <c r="QTM386" s="252"/>
      <c r="QTN386" s="252"/>
      <c r="QTO386" s="252"/>
      <c r="QTP386" s="252"/>
      <c r="QTQ386" s="252"/>
      <c r="QTR386" s="252"/>
      <c r="QTS386" s="252"/>
      <c r="QTT386" s="252"/>
      <c r="QTU386" s="252"/>
      <c r="QTV386" s="252"/>
      <c r="QTW386" s="252"/>
      <c r="QTX386" s="252"/>
      <c r="QTY386" s="252"/>
      <c r="QTZ386" s="252"/>
      <c r="QUA386" s="252"/>
      <c r="QUB386" s="252"/>
      <c r="QUC386" s="252"/>
      <c r="QUD386" s="252"/>
      <c r="QUE386" s="252"/>
      <c r="QUF386" s="252"/>
      <c r="QUG386" s="252"/>
      <c r="QUH386" s="252"/>
      <c r="QUI386" s="252"/>
      <c r="QUJ386" s="252"/>
      <c r="QUK386" s="252"/>
      <c r="QUL386" s="252"/>
      <c r="QUM386" s="252"/>
      <c r="QUN386" s="252"/>
      <c r="QUO386" s="252"/>
      <c r="QUP386" s="252"/>
      <c r="QUQ386" s="252"/>
      <c r="QUR386" s="252"/>
      <c r="QUS386" s="252"/>
      <c r="QUT386" s="252"/>
      <c r="QUU386" s="252"/>
      <c r="QUV386" s="252"/>
      <c r="QUW386" s="252"/>
      <c r="QUX386" s="252"/>
      <c r="QUY386" s="252"/>
      <c r="QUZ386" s="252"/>
      <c r="QVA386" s="252"/>
      <c r="QVB386" s="252"/>
      <c r="QVC386" s="252"/>
      <c r="QVD386" s="252"/>
      <c r="QVE386" s="252"/>
      <c r="QVF386" s="252"/>
      <c r="QVG386" s="252"/>
      <c r="QVH386" s="252"/>
      <c r="QVI386" s="252"/>
      <c r="QVJ386" s="252"/>
      <c r="QVK386" s="252"/>
      <c r="QVL386" s="252"/>
      <c r="QVM386" s="252"/>
      <c r="QVN386" s="252"/>
      <c r="QVO386" s="252"/>
      <c r="QVP386" s="252"/>
      <c r="QVQ386" s="252"/>
      <c r="QVR386" s="252"/>
      <c r="QVS386" s="252"/>
      <c r="QVT386" s="252"/>
      <c r="QVU386" s="252"/>
      <c r="QVV386" s="252"/>
      <c r="QVW386" s="252"/>
      <c r="QVX386" s="252"/>
      <c r="QVY386" s="252"/>
      <c r="QVZ386" s="252"/>
      <c r="QWA386" s="252"/>
      <c r="QWB386" s="252"/>
      <c r="QWC386" s="252"/>
      <c r="QWD386" s="252"/>
      <c r="QWE386" s="252"/>
      <c r="QWF386" s="252"/>
      <c r="QWG386" s="252"/>
      <c r="QWH386" s="252"/>
      <c r="QWI386" s="252"/>
      <c r="QWJ386" s="252"/>
      <c r="QWK386" s="252"/>
      <c r="QWL386" s="252"/>
      <c r="QWM386" s="252"/>
      <c r="QWN386" s="252"/>
      <c r="QWO386" s="252"/>
      <c r="QWP386" s="252"/>
      <c r="QWQ386" s="252"/>
      <c r="QWR386" s="252"/>
      <c r="QWS386" s="252"/>
      <c r="QWT386" s="252"/>
      <c r="QWU386" s="252"/>
      <c r="QWV386" s="252"/>
      <c r="QWW386" s="252"/>
      <c r="QWX386" s="252"/>
      <c r="QWY386" s="252"/>
      <c r="QWZ386" s="252"/>
      <c r="QXA386" s="252"/>
      <c r="QXB386" s="252"/>
      <c r="QXC386" s="252"/>
      <c r="QXD386" s="252"/>
      <c r="QXE386" s="252"/>
      <c r="QXF386" s="252"/>
      <c r="QXG386" s="252"/>
      <c r="QXH386" s="252"/>
      <c r="QXI386" s="252"/>
      <c r="QXJ386" s="252"/>
      <c r="QXK386" s="252"/>
      <c r="QXL386" s="252"/>
      <c r="QXM386" s="252"/>
      <c r="QXN386" s="252"/>
      <c r="QXO386" s="252"/>
      <c r="QXP386" s="252"/>
      <c r="QXQ386" s="252"/>
      <c r="QXR386" s="252"/>
      <c r="QXS386" s="252"/>
      <c r="QXT386" s="252"/>
      <c r="QXU386" s="252"/>
      <c r="QXV386" s="252"/>
      <c r="QXW386" s="252"/>
      <c r="QXX386" s="252"/>
      <c r="QXY386" s="252"/>
      <c r="QXZ386" s="252"/>
      <c r="QYA386" s="252"/>
      <c r="QYB386" s="252"/>
      <c r="QYC386" s="252"/>
      <c r="QYD386" s="252"/>
      <c r="QYE386" s="252"/>
      <c r="QYF386" s="252"/>
      <c r="QYG386" s="252"/>
      <c r="QYH386" s="252"/>
      <c r="QYI386" s="252"/>
      <c r="QYJ386" s="252"/>
      <c r="QYK386" s="252"/>
      <c r="QYL386" s="252"/>
      <c r="QYM386" s="252"/>
      <c r="QYN386" s="252"/>
      <c r="QYO386" s="252"/>
      <c r="QYP386" s="252"/>
      <c r="QYQ386" s="252"/>
      <c r="QYR386" s="252"/>
      <c r="QYS386" s="252"/>
      <c r="QYT386" s="252"/>
      <c r="QYU386" s="252"/>
      <c r="QYV386" s="252"/>
      <c r="QYW386" s="252"/>
      <c r="QYX386" s="252"/>
      <c r="QYY386" s="252"/>
      <c r="QYZ386" s="252"/>
      <c r="QZA386" s="252"/>
      <c r="QZB386" s="252"/>
      <c r="QZC386" s="252"/>
      <c r="QZD386" s="252"/>
      <c r="QZE386" s="252"/>
      <c r="QZF386" s="252"/>
      <c r="QZG386" s="252"/>
      <c r="QZH386" s="252"/>
      <c r="QZI386" s="252"/>
      <c r="QZJ386" s="252"/>
      <c r="QZK386" s="252"/>
      <c r="QZL386" s="252"/>
      <c r="QZM386" s="252"/>
      <c r="QZN386" s="252"/>
      <c r="QZO386" s="252"/>
      <c r="QZP386" s="252"/>
      <c r="QZQ386" s="252"/>
      <c r="QZR386" s="252"/>
      <c r="QZS386" s="252"/>
      <c r="QZT386" s="252"/>
      <c r="QZU386" s="252"/>
      <c r="QZV386" s="252"/>
      <c r="QZW386" s="252"/>
      <c r="QZX386" s="252"/>
      <c r="QZY386" s="252"/>
      <c r="QZZ386" s="252"/>
      <c r="RAA386" s="252"/>
      <c r="RAB386" s="252"/>
      <c r="RAC386" s="252"/>
      <c r="RAD386" s="252"/>
      <c r="RAE386" s="252"/>
      <c r="RAF386" s="252"/>
      <c r="RAG386" s="252"/>
      <c r="RAH386" s="252"/>
      <c r="RAI386" s="252"/>
      <c r="RAJ386" s="252"/>
      <c r="RAK386" s="252"/>
      <c r="RAL386" s="252"/>
      <c r="RAM386" s="252"/>
      <c r="RAN386" s="252"/>
      <c r="RAO386" s="252"/>
      <c r="RAP386" s="252"/>
      <c r="RAQ386" s="252"/>
      <c r="RAR386" s="252"/>
      <c r="RAS386" s="252"/>
      <c r="RAT386" s="252"/>
      <c r="RAU386" s="252"/>
      <c r="RAV386" s="252"/>
      <c r="RAW386" s="252"/>
      <c r="RAX386" s="252"/>
      <c r="RAY386" s="252"/>
      <c r="RAZ386" s="252"/>
      <c r="RBA386" s="252"/>
      <c r="RBB386" s="252"/>
      <c r="RBC386" s="252"/>
      <c r="RBD386" s="252"/>
      <c r="RBE386" s="252"/>
      <c r="RBF386" s="252"/>
      <c r="RBG386" s="252"/>
      <c r="RBH386" s="252"/>
      <c r="RBI386" s="252"/>
      <c r="RBJ386" s="252"/>
      <c r="RBK386" s="252"/>
      <c r="RBL386" s="252"/>
      <c r="RBM386" s="252"/>
      <c r="RBN386" s="252"/>
      <c r="RBO386" s="252"/>
      <c r="RBP386" s="252"/>
      <c r="RBQ386" s="252"/>
      <c r="RBR386" s="252"/>
      <c r="RBS386" s="252"/>
      <c r="RBT386" s="252"/>
      <c r="RBU386" s="252"/>
      <c r="RBV386" s="252"/>
      <c r="RBW386" s="252"/>
      <c r="RBX386" s="252"/>
      <c r="RBY386" s="252"/>
      <c r="RBZ386" s="252"/>
      <c r="RCA386" s="252"/>
      <c r="RCB386" s="252"/>
      <c r="RCC386" s="252"/>
      <c r="RCD386" s="252"/>
      <c r="RCE386" s="252"/>
      <c r="RCF386" s="252"/>
      <c r="RCG386" s="252"/>
      <c r="RCH386" s="252"/>
      <c r="RCI386" s="252"/>
      <c r="RCJ386" s="252"/>
      <c r="RCK386" s="252"/>
      <c r="RCL386" s="252"/>
      <c r="RCM386" s="252"/>
      <c r="RCN386" s="252"/>
      <c r="RCO386" s="252"/>
      <c r="RCP386" s="252"/>
      <c r="RCQ386" s="252"/>
      <c r="RCR386" s="252"/>
      <c r="RCS386" s="252"/>
      <c r="RCT386" s="252"/>
      <c r="RCU386" s="252"/>
      <c r="RCV386" s="252"/>
      <c r="RCW386" s="252"/>
      <c r="RCX386" s="252"/>
      <c r="RCY386" s="252"/>
      <c r="RCZ386" s="252"/>
      <c r="RDA386" s="252"/>
      <c r="RDB386" s="252"/>
      <c r="RDC386" s="252"/>
      <c r="RDD386" s="252"/>
      <c r="RDE386" s="252"/>
      <c r="RDF386" s="252"/>
      <c r="RDG386" s="252"/>
      <c r="RDH386" s="252"/>
      <c r="RDI386" s="252"/>
      <c r="RDJ386" s="252"/>
      <c r="RDK386" s="252"/>
      <c r="RDL386" s="252"/>
      <c r="RDM386" s="252"/>
      <c r="RDN386" s="252"/>
      <c r="RDO386" s="252"/>
      <c r="RDP386" s="252"/>
      <c r="RDQ386" s="252"/>
      <c r="RDR386" s="252"/>
      <c r="RDS386" s="252"/>
      <c r="RDT386" s="252"/>
      <c r="RDU386" s="252"/>
      <c r="RDV386" s="252"/>
      <c r="RDW386" s="252"/>
      <c r="RDX386" s="252"/>
      <c r="RDY386" s="252"/>
      <c r="RDZ386" s="252"/>
      <c r="REA386" s="252"/>
      <c r="REB386" s="252"/>
      <c r="REC386" s="252"/>
      <c r="RED386" s="252"/>
      <c r="REE386" s="252"/>
      <c r="REF386" s="252"/>
      <c r="REG386" s="252"/>
      <c r="REH386" s="252"/>
      <c r="REI386" s="252"/>
      <c r="REJ386" s="252"/>
      <c r="REK386" s="252"/>
      <c r="REL386" s="252"/>
      <c r="REM386" s="252"/>
      <c r="REN386" s="252"/>
      <c r="REO386" s="252"/>
      <c r="REP386" s="252"/>
      <c r="REQ386" s="252"/>
      <c r="RER386" s="252"/>
      <c r="RES386" s="252"/>
      <c r="RET386" s="252"/>
      <c r="REU386" s="252"/>
      <c r="REV386" s="252"/>
      <c r="REW386" s="252"/>
      <c r="REX386" s="252"/>
      <c r="REY386" s="252"/>
      <c r="REZ386" s="252"/>
      <c r="RFA386" s="252"/>
      <c r="RFB386" s="252"/>
      <c r="RFC386" s="252"/>
      <c r="RFD386" s="252"/>
      <c r="RFE386" s="252"/>
      <c r="RFF386" s="252"/>
      <c r="RFG386" s="252"/>
      <c r="RFH386" s="252"/>
      <c r="RFI386" s="252"/>
      <c r="RFJ386" s="252"/>
      <c r="RFK386" s="252"/>
      <c r="RFL386" s="252"/>
      <c r="RFM386" s="252"/>
      <c r="RFN386" s="252"/>
      <c r="RFO386" s="252"/>
      <c r="RFP386" s="252"/>
      <c r="RFQ386" s="252"/>
      <c r="RFR386" s="252"/>
      <c r="RFS386" s="252"/>
      <c r="RFT386" s="252"/>
      <c r="RFU386" s="252"/>
      <c r="RFV386" s="252"/>
      <c r="RFW386" s="252"/>
      <c r="RFX386" s="252"/>
      <c r="RFY386" s="252"/>
      <c r="RFZ386" s="252"/>
      <c r="RGA386" s="252"/>
      <c r="RGB386" s="252"/>
      <c r="RGC386" s="252"/>
      <c r="RGD386" s="252"/>
      <c r="RGE386" s="252"/>
      <c r="RGF386" s="252"/>
      <c r="RGG386" s="252"/>
      <c r="RGH386" s="252"/>
      <c r="RGI386" s="252"/>
      <c r="RGJ386" s="252"/>
      <c r="RGK386" s="252"/>
      <c r="RGL386" s="252"/>
      <c r="RGM386" s="252"/>
      <c r="RGN386" s="252"/>
      <c r="RGO386" s="252"/>
      <c r="RGP386" s="252"/>
      <c r="RGQ386" s="252"/>
      <c r="RGR386" s="252"/>
      <c r="RGS386" s="252"/>
      <c r="RGT386" s="252"/>
      <c r="RGU386" s="252"/>
      <c r="RGV386" s="252"/>
      <c r="RGW386" s="252"/>
      <c r="RGX386" s="252"/>
      <c r="RGY386" s="252"/>
      <c r="RGZ386" s="252"/>
      <c r="RHA386" s="252"/>
      <c r="RHB386" s="252"/>
      <c r="RHC386" s="252"/>
      <c r="RHD386" s="252"/>
      <c r="RHE386" s="252"/>
      <c r="RHF386" s="252"/>
      <c r="RHG386" s="252"/>
      <c r="RHH386" s="252"/>
      <c r="RHI386" s="252"/>
      <c r="RHJ386" s="252"/>
      <c r="RHK386" s="252"/>
      <c r="RHL386" s="252"/>
      <c r="RHM386" s="252"/>
      <c r="RHN386" s="252"/>
      <c r="RHO386" s="252"/>
      <c r="RHP386" s="252"/>
      <c r="RHQ386" s="252"/>
      <c r="RHR386" s="252"/>
      <c r="RHS386" s="252"/>
      <c r="RHT386" s="252"/>
      <c r="RHU386" s="252"/>
      <c r="RHV386" s="252"/>
      <c r="RHW386" s="252"/>
      <c r="RHX386" s="252"/>
      <c r="RHY386" s="252"/>
      <c r="RHZ386" s="252"/>
      <c r="RIA386" s="252"/>
      <c r="RIB386" s="252"/>
      <c r="RIC386" s="252"/>
      <c r="RID386" s="252"/>
      <c r="RIE386" s="252"/>
      <c r="RIF386" s="252"/>
      <c r="RIG386" s="252"/>
      <c r="RIH386" s="252"/>
      <c r="RII386" s="252"/>
      <c r="RIJ386" s="252"/>
      <c r="RIK386" s="252"/>
      <c r="RIL386" s="252"/>
      <c r="RIM386" s="252"/>
      <c r="RIN386" s="252"/>
      <c r="RIO386" s="252"/>
      <c r="RIP386" s="252"/>
      <c r="RIQ386" s="252"/>
      <c r="RIR386" s="252"/>
      <c r="RIS386" s="252"/>
      <c r="RIT386" s="252"/>
      <c r="RIU386" s="252"/>
      <c r="RIV386" s="252"/>
      <c r="RIW386" s="252"/>
      <c r="RIX386" s="252"/>
      <c r="RIY386" s="252"/>
      <c r="RIZ386" s="252"/>
      <c r="RJA386" s="252"/>
      <c r="RJB386" s="252"/>
      <c r="RJC386" s="252"/>
      <c r="RJD386" s="252"/>
      <c r="RJE386" s="252"/>
      <c r="RJF386" s="252"/>
      <c r="RJG386" s="252"/>
      <c r="RJH386" s="252"/>
      <c r="RJI386" s="252"/>
      <c r="RJJ386" s="252"/>
      <c r="RJK386" s="252"/>
      <c r="RJL386" s="252"/>
      <c r="RJM386" s="252"/>
      <c r="RJN386" s="252"/>
      <c r="RJO386" s="252"/>
      <c r="RJP386" s="252"/>
      <c r="RJQ386" s="252"/>
      <c r="RJR386" s="252"/>
      <c r="RJS386" s="252"/>
      <c r="RJT386" s="252"/>
      <c r="RJU386" s="252"/>
      <c r="RJV386" s="252"/>
      <c r="RJW386" s="252"/>
      <c r="RJX386" s="252"/>
      <c r="RJY386" s="252"/>
      <c r="RJZ386" s="252"/>
      <c r="RKA386" s="252"/>
      <c r="RKB386" s="252"/>
      <c r="RKC386" s="252"/>
      <c r="RKD386" s="252"/>
      <c r="RKE386" s="252"/>
      <c r="RKF386" s="252"/>
      <c r="RKG386" s="252"/>
      <c r="RKH386" s="252"/>
      <c r="RKI386" s="252"/>
      <c r="RKJ386" s="252"/>
      <c r="RKK386" s="252"/>
      <c r="RKL386" s="252"/>
      <c r="RKM386" s="252"/>
      <c r="RKN386" s="252"/>
      <c r="RKO386" s="252"/>
      <c r="RKP386" s="252"/>
      <c r="RKQ386" s="252"/>
      <c r="RKR386" s="252"/>
      <c r="RKS386" s="252"/>
      <c r="RKT386" s="252"/>
      <c r="RKU386" s="252"/>
      <c r="RKV386" s="252"/>
      <c r="RKW386" s="252"/>
      <c r="RKX386" s="252"/>
      <c r="RKY386" s="252"/>
      <c r="RKZ386" s="252"/>
      <c r="RLA386" s="252"/>
      <c r="RLB386" s="252"/>
      <c r="RLC386" s="252"/>
      <c r="RLD386" s="252"/>
      <c r="RLE386" s="252"/>
      <c r="RLF386" s="252"/>
      <c r="RLG386" s="252"/>
      <c r="RLH386" s="252"/>
      <c r="RLI386" s="252"/>
      <c r="RLJ386" s="252"/>
      <c r="RLK386" s="252"/>
      <c r="RLL386" s="252"/>
      <c r="RLM386" s="252"/>
      <c r="RLN386" s="252"/>
      <c r="RLO386" s="252"/>
      <c r="RLP386" s="252"/>
      <c r="RLQ386" s="252"/>
      <c r="RLR386" s="252"/>
      <c r="RLS386" s="252"/>
      <c r="RLT386" s="252"/>
      <c r="RLU386" s="252"/>
      <c r="RLV386" s="252"/>
      <c r="RLW386" s="252"/>
      <c r="RLX386" s="252"/>
      <c r="RLY386" s="252"/>
      <c r="RLZ386" s="252"/>
      <c r="RMA386" s="252"/>
      <c r="RMB386" s="252"/>
      <c r="RMC386" s="252"/>
      <c r="RMD386" s="252"/>
      <c r="RME386" s="252"/>
      <c r="RMF386" s="252"/>
      <c r="RMG386" s="252"/>
      <c r="RMH386" s="252"/>
      <c r="RMI386" s="252"/>
      <c r="RMJ386" s="252"/>
      <c r="RMK386" s="252"/>
      <c r="RML386" s="252"/>
      <c r="RMM386" s="252"/>
      <c r="RMN386" s="252"/>
      <c r="RMO386" s="252"/>
      <c r="RMP386" s="252"/>
      <c r="RMQ386" s="252"/>
      <c r="RMR386" s="252"/>
      <c r="RMS386" s="252"/>
      <c r="RMT386" s="252"/>
      <c r="RMU386" s="252"/>
      <c r="RMV386" s="252"/>
      <c r="RMW386" s="252"/>
      <c r="RMX386" s="252"/>
      <c r="RMY386" s="252"/>
      <c r="RMZ386" s="252"/>
      <c r="RNA386" s="252"/>
      <c r="RNB386" s="252"/>
      <c r="RNC386" s="252"/>
      <c r="RND386" s="252"/>
      <c r="RNE386" s="252"/>
      <c r="RNF386" s="252"/>
      <c r="RNG386" s="252"/>
      <c r="RNH386" s="252"/>
      <c r="RNI386" s="252"/>
      <c r="RNJ386" s="252"/>
      <c r="RNK386" s="252"/>
      <c r="RNL386" s="252"/>
      <c r="RNM386" s="252"/>
      <c r="RNN386" s="252"/>
      <c r="RNO386" s="252"/>
      <c r="RNP386" s="252"/>
      <c r="RNQ386" s="252"/>
      <c r="RNR386" s="252"/>
      <c r="RNS386" s="252"/>
      <c r="RNT386" s="252"/>
      <c r="RNU386" s="252"/>
      <c r="RNV386" s="252"/>
      <c r="RNW386" s="252"/>
      <c r="RNX386" s="252"/>
      <c r="RNY386" s="252"/>
      <c r="RNZ386" s="252"/>
      <c r="ROA386" s="252"/>
      <c r="ROB386" s="252"/>
      <c r="ROC386" s="252"/>
      <c r="ROD386" s="252"/>
      <c r="ROE386" s="252"/>
      <c r="ROF386" s="252"/>
      <c r="ROG386" s="252"/>
      <c r="ROH386" s="252"/>
      <c r="ROI386" s="252"/>
      <c r="ROJ386" s="252"/>
      <c r="ROK386" s="252"/>
      <c r="ROL386" s="252"/>
      <c r="ROM386" s="252"/>
      <c r="RON386" s="252"/>
      <c r="ROO386" s="252"/>
      <c r="ROP386" s="252"/>
      <c r="ROQ386" s="252"/>
      <c r="ROR386" s="252"/>
      <c r="ROS386" s="252"/>
      <c r="ROT386" s="252"/>
      <c r="ROU386" s="252"/>
      <c r="ROV386" s="252"/>
      <c r="ROW386" s="252"/>
      <c r="ROX386" s="252"/>
      <c r="ROY386" s="252"/>
      <c r="ROZ386" s="252"/>
      <c r="RPA386" s="252"/>
      <c r="RPB386" s="252"/>
      <c r="RPC386" s="252"/>
      <c r="RPD386" s="252"/>
      <c r="RPE386" s="252"/>
      <c r="RPF386" s="252"/>
      <c r="RPG386" s="252"/>
      <c r="RPH386" s="252"/>
      <c r="RPI386" s="252"/>
      <c r="RPJ386" s="252"/>
      <c r="RPK386" s="252"/>
      <c r="RPL386" s="252"/>
      <c r="RPM386" s="252"/>
      <c r="RPN386" s="252"/>
      <c r="RPO386" s="252"/>
      <c r="RPP386" s="252"/>
      <c r="RPQ386" s="252"/>
      <c r="RPR386" s="252"/>
      <c r="RPS386" s="252"/>
      <c r="RPT386" s="252"/>
      <c r="RPU386" s="252"/>
      <c r="RPV386" s="252"/>
      <c r="RPW386" s="252"/>
      <c r="RPX386" s="252"/>
      <c r="RPY386" s="252"/>
      <c r="RPZ386" s="252"/>
      <c r="RQA386" s="252"/>
      <c r="RQB386" s="252"/>
      <c r="RQC386" s="252"/>
      <c r="RQD386" s="252"/>
      <c r="RQE386" s="252"/>
      <c r="RQF386" s="252"/>
      <c r="RQG386" s="252"/>
      <c r="RQH386" s="252"/>
      <c r="RQI386" s="252"/>
      <c r="RQJ386" s="252"/>
      <c r="RQK386" s="252"/>
      <c r="RQL386" s="252"/>
      <c r="RQM386" s="252"/>
      <c r="RQN386" s="252"/>
      <c r="RQO386" s="252"/>
      <c r="RQP386" s="252"/>
      <c r="RQQ386" s="252"/>
      <c r="RQR386" s="252"/>
      <c r="RQS386" s="252"/>
      <c r="RQT386" s="252"/>
      <c r="RQU386" s="252"/>
      <c r="RQV386" s="252"/>
      <c r="RQW386" s="252"/>
      <c r="RQX386" s="252"/>
      <c r="RQY386" s="252"/>
      <c r="RQZ386" s="252"/>
      <c r="RRA386" s="252"/>
      <c r="RRB386" s="252"/>
      <c r="RRC386" s="252"/>
      <c r="RRD386" s="252"/>
      <c r="RRE386" s="252"/>
      <c r="RRF386" s="252"/>
      <c r="RRG386" s="252"/>
      <c r="RRH386" s="252"/>
      <c r="RRI386" s="252"/>
      <c r="RRJ386" s="252"/>
      <c r="RRK386" s="252"/>
      <c r="RRL386" s="252"/>
      <c r="RRM386" s="252"/>
      <c r="RRN386" s="252"/>
      <c r="RRO386" s="252"/>
      <c r="RRP386" s="252"/>
      <c r="RRQ386" s="252"/>
      <c r="RRR386" s="252"/>
      <c r="RRS386" s="252"/>
      <c r="RRT386" s="252"/>
      <c r="RRU386" s="252"/>
      <c r="RRV386" s="252"/>
      <c r="RRW386" s="252"/>
      <c r="RRX386" s="252"/>
      <c r="RRY386" s="252"/>
      <c r="RRZ386" s="252"/>
      <c r="RSA386" s="252"/>
      <c r="RSB386" s="252"/>
      <c r="RSC386" s="252"/>
      <c r="RSD386" s="252"/>
      <c r="RSE386" s="252"/>
      <c r="RSF386" s="252"/>
      <c r="RSG386" s="252"/>
      <c r="RSH386" s="252"/>
      <c r="RSI386" s="252"/>
      <c r="RSJ386" s="252"/>
      <c r="RSK386" s="252"/>
      <c r="RSL386" s="252"/>
      <c r="RSM386" s="252"/>
      <c r="RSN386" s="252"/>
      <c r="RSO386" s="252"/>
      <c r="RSP386" s="252"/>
      <c r="RSQ386" s="252"/>
      <c r="RSR386" s="252"/>
      <c r="RSS386" s="252"/>
      <c r="RST386" s="252"/>
      <c r="RSU386" s="252"/>
      <c r="RSV386" s="252"/>
      <c r="RSW386" s="252"/>
      <c r="RSX386" s="252"/>
      <c r="RSY386" s="252"/>
      <c r="RSZ386" s="252"/>
      <c r="RTA386" s="252"/>
      <c r="RTB386" s="252"/>
      <c r="RTC386" s="252"/>
      <c r="RTD386" s="252"/>
      <c r="RTE386" s="252"/>
      <c r="RTF386" s="252"/>
      <c r="RTG386" s="252"/>
      <c r="RTH386" s="252"/>
      <c r="RTI386" s="252"/>
      <c r="RTJ386" s="252"/>
      <c r="RTK386" s="252"/>
      <c r="RTL386" s="252"/>
      <c r="RTM386" s="252"/>
      <c r="RTN386" s="252"/>
      <c r="RTO386" s="252"/>
      <c r="RTP386" s="252"/>
      <c r="RTQ386" s="252"/>
      <c r="RTR386" s="252"/>
      <c r="RTS386" s="252"/>
      <c r="RTT386" s="252"/>
      <c r="RTU386" s="252"/>
      <c r="RTV386" s="252"/>
      <c r="RTW386" s="252"/>
      <c r="RTX386" s="252"/>
      <c r="RTY386" s="252"/>
      <c r="RTZ386" s="252"/>
      <c r="RUA386" s="252"/>
      <c r="RUB386" s="252"/>
      <c r="RUC386" s="252"/>
      <c r="RUD386" s="252"/>
      <c r="RUE386" s="252"/>
      <c r="RUF386" s="252"/>
      <c r="RUG386" s="252"/>
      <c r="RUH386" s="252"/>
      <c r="RUI386" s="252"/>
      <c r="RUJ386" s="252"/>
      <c r="RUK386" s="252"/>
      <c r="RUL386" s="252"/>
      <c r="RUM386" s="252"/>
      <c r="RUN386" s="252"/>
      <c r="RUO386" s="252"/>
      <c r="RUP386" s="252"/>
      <c r="RUQ386" s="252"/>
      <c r="RUR386" s="252"/>
      <c r="RUS386" s="252"/>
      <c r="RUT386" s="252"/>
      <c r="RUU386" s="252"/>
      <c r="RUV386" s="252"/>
      <c r="RUW386" s="252"/>
      <c r="RUX386" s="252"/>
      <c r="RUY386" s="252"/>
      <c r="RUZ386" s="252"/>
      <c r="RVA386" s="252"/>
      <c r="RVB386" s="252"/>
      <c r="RVC386" s="252"/>
      <c r="RVD386" s="252"/>
      <c r="RVE386" s="252"/>
      <c r="RVF386" s="252"/>
      <c r="RVG386" s="252"/>
      <c r="RVH386" s="252"/>
      <c r="RVI386" s="252"/>
      <c r="RVJ386" s="252"/>
      <c r="RVK386" s="252"/>
      <c r="RVL386" s="252"/>
      <c r="RVM386" s="252"/>
      <c r="RVN386" s="252"/>
      <c r="RVO386" s="252"/>
      <c r="RVP386" s="252"/>
      <c r="RVQ386" s="252"/>
      <c r="RVR386" s="252"/>
      <c r="RVS386" s="252"/>
      <c r="RVT386" s="252"/>
      <c r="RVU386" s="252"/>
      <c r="RVV386" s="252"/>
      <c r="RVW386" s="252"/>
      <c r="RVX386" s="252"/>
      <c r="RVY386" s="252"/>
      <c r="RVZ386" s="252"/>
      <c r="RWA386" s="252"/>
      <c r="RWB386" s="252"/>
      <c r="RWC386" s="252"/>
      <c r="RWD386" s="252"/>
      <c r="RWE386" s="252"/>
      <c r="RWF386" s="252"/>
      <c r="RWG386" s="252"/>
      <c r="RWH386" s="252"/>
      <c r="RWI386" s="252"/>
      <c r="RWJ386" s="252"/>
      <c r="RWK386" s="252"/>
      <c r="RWL386" s="252"/>
      <c r="RWM386" s="252"/>
      <c r="RWN386" s="252"/>
      <c r="RWO386" s="252"/>
      <c r="RWP386" s="252"/>
      <c r="RWQ386" s="252"/>
      <c r="RWR386" s="252"/>
      <c r="RWS386" s="252"/>
      <c r="RWT386" s="252"/>
      <c r="RWU386" s="252"/>
      <c r="RWV386" s="252"/>
      <c r="RWW386" s="252"/>
      <c r="RWX386" s="252"/>
      <c r="RWY386" s="252"/>
      <c r="RWZ386" s="252"/>
      <c r="RXA386" s="252"/>
      <c r="RXB386" s="252"/>
      <c r="RXC386" s="252"/>
      <c r="RXD386" s="252"/>
      <c r="RXE386" s="252"/>
      <c r="RXF386" s="252"/>
      <c r="RXG386" s="252"/>
      <c r="RXH386" s="252"/>
      <c r="RXI386" s="252"/>
      <c r="RXJ386" s="252"/>
      <c r="RXK386" s="252"/>
      <c r="RXL386" s="252"/>
      <c r="RXM386" s="252"/>
      <c r="RXN386" s="252"/>
      <c r="RXO386" s="252"/>
      <c r="RXP386" s="252"/>
      <c r="RXQ386" s="252"/>
      <c r="RXR386" s="252"/>
      <c r="RXS386" s="252"/>
      <c r="RXT386" s="252"/>
      <c r="RXU386" s="252"/>
      <c r="RXV386" s="252"/>
      <c r="RXW386" s="252"/>
      <c r="RXX386" s="252"/>
      <c r="RXY386" s="252"/>
      <c r="RXZ386" s="252"/>
      <c r="RYA386" s="252"/>
      <c r="RYB386" s="252"/>
      <c r="RYC386" s="252"/>
      <c r="RYD386" s="252"/>
      <c r="RYE386" s="252"/>
      <c r="RYF386" s="252"/>
      <c r="RYG386" s="252"/>
      <c r="RYH386" s="252"/>
      <c r="RYI386" s="252"/>
      <c r="RYJ386" s="252"/>
      <c r="RYK386" s="252"/>
      <c r="RYL386" s="252"/>
      <c r="RYM386" s="252"/>
      <c r="RYN386" s="252"/>
      <c r="RYO386" s="252"/>
      <c r="RYP386" s="252"/>
      <c r="RYQ386" s="252"/>
      <c r="RYR386" s="252"/>
      <c r="RYS386" s="252"/>
      <c r="RYT386" s="252"/>
      <c r="RYU386" s="252"/>
      <c r="RYV386" s="252"/>
      <c r="RYW386" s="252"/>
      <c r="RYX386" s="252"/>
      <c r="RYY386" s="252"/>
      <c r="RYZ386" s="252"/>
      <c r="RZA386" s="252"/>
      <c r="RZB386" s="252"/>
      <c r="RZC386" s="252"/>
      <c r="RZD386" s="252"/>
      <c r="RZE386" s="252"/>
      <c r="RZF386" s="252"/>
      <c r="RZG386" s="252"/>
      <c r="RZH386" s="252"/>
      <c r="RZI386" s="252"/>
      <c r="RZJ386" s="252"/>
      <c r="RZK386" s="252"/>
      <c r="RZL386" s="252"/>
      <c r="RZM386" s="252"/>
      <c r="RZN386" s="252"/>
      <c r="RZO386" s="252"/>
      <c r="RZP386" s="252"/>
      <c r="RZQ386" s="252"/>
      <c r="RZR386" s="252"/>
      <c r="RZS386" s="252"/>
      <c r="RZT386" s="252"/>
      <c r="RZU386" s="252"/>
      <c r="RZV386" s="252"/>
      <c r="RZW386" s="252"/>
      <c r="RZX386" s="252"/>
      <c r="RZY386" s="252"/>
      <c r="RZZ386" s="252"/>
      <c r="SAA386" s="252"/>
      <c r="SAB386" s="252"/>
      <c r="SAC386" s="252"/>
      <c r="SAD386" s="252"/>
      <c r="SAE386" s="252"/>
      <c r="SAF386" s="252"/>
      <c r="SAG386" s="252"/>
      <c r="SAH386" s="252"/>
      <c r="SAI386" s="252"/>
      <c r="SAJ386" s="252"/>
      <c r="SAK386" s="252"/>
      <c r="SAL386" s="252"/>
      <c r="SAM386" s="252"/>
      <c r="SAN386" s="252"/>
      <c r="SAO386" s="252"/>
      <c r="SAP386" s="252"/>
      <c r="SAQ386" s="252"/>
      <c r="SAR386" s="252"/>
      <c r="SAS386" s="252"/>
      <c r="SAT386" s="252"/>
      <c r="SAU386" s="252"/>
      <c r="SAV386" s="252"/>
      <c r="SAW386" s="252"/>
      <c r="SAX386" s="252"/>
      <c r="SAY386" s="252"/>
      <c r="SAZ386" s="252"/>
      <c r="SBA386" s="252"/>
      <c r="SBB386" s="252"/>
      <c r="SBC386" s="252"/>
      <c r="SBD386" s="252"/>
      <c r="SBE386" s="252"/>
      <c r="SBF386" s="252"/>
      <c r="SBG386" s="252"/>
      <c r="SBH386" s="252"/>
      <c r="SBI386" s="252"/>
      <c r="SBJ386" s="252"/>
      <c r="SBK386" s="252"/>
      <c r="SBL386" s="252"/>
      <c r="SBM386" s="252"/>
      <c r="SBN386" s="252"/>
      <c r="SBO386" s="252"/>
      <c r="SBP386" s="252"/>
      <c r="SBQ386" s="252"/>
      <c r="SBR386" s="252"/>
      <c r="SBS386" s="252"/>
      <c r="SBT386" s="252"/>
      <c r="SBU386" s="252"/>
      <c r="SBV386" s="252"/>
      <c r="SBW386" s="252"/>
      <c r="SBX386" s="252"/>
      <c r="SBY386" s="252"/>
      <c r="SBZ386" s="252"/>
      <c r="SCA386" s="252"/>
      <c r="SCB386" s="252"/>
      <c r="SCC386" s="252"/>
      <c r="SCD386" s="252"/>
      <c r="SCE386" s="252"/>
      <c r="SCF386" s="252"/>
      <c r="SCG386" s="252"/>
      <c r="SCH386" s="252"/>
      <c r="SCI386" s="252"/>
      <c r="SCJ386" s="252"/>
      <c r="SCK386" s="252"/>
      <c r="SCL386" s="252"/>
      <c r="SCM386" s="252"/>
      <c r="SCN386" s="252"/>
      <c r="SCO386" s="252"/>
      <c r="SCP386" s="252"/>
      <c r="SCQ386" s="252"/>
      <c r="SCR386" s="252"/>
      <c r="SCS386" s="252"/>
      <c r="SCT386" s="252"/>
      <c r="SCU386" s="252"/>
      <c r="SCV386" s="252"/>
      <c r="SCW386" s="252"/>
      <c r="SCX386" s="252"/>
      <c r="SCY386" s="252"/>
      <c r="SCZ386" s="252"/>
      <c r="SDA386" s="252"/>
      <c r="SDB386" s="252"/>
      <c r="SDC386" s="252"/>
      <c r="SDD386" s="252"/>
      <c r="SDE386" s="252"/>
      <c r="SDF386" s="252"/>
      <c r="SDG386" s="252"/>
      <c r="SDH386" s="252"/>
      <c r="SDI386" s="252"/>
      <c r="SDJ386" s="252"/>
      <c r="SDK386" s="252"/>
      <c r="SDL386" s="252"/>
      <c r="SDM386" s="252"/>
      <c r="SDN386" s="252"/>
      <c r="SDO386" s="252"/>
      <c r="SDP386" s="252"/>
      <c r="SDQ386" s="252"/>
      <c r="SDR386" s="252"/>
      <c r="SDS386" s="252"/>
      <c r="SDT386" s="252"/>
      <c r="SDU386" s="252"/>
      <c r="SDV386" s="252"/>
      <c r="SDW386" s="252"/>
      <c r="SDX386" s="252"/>
      <c r="SDY386" s="252"/>
      <c r="SDZ386" s="252"/>
      <c r="SEA386" s="252"/>
      <c r="SEB386" s="252"/>
      <c r="SEC386" s="252"/>
      <c r="SED386" s="252"/>
      <c r="SEE386" s="252"/>
      <c r="SEF386" s="252"/>
      <c r="SEG386" s="252"/>
      <c r="SEH386" s="252"/>
      <c r="SEI386" s="252"/>
      <c r="SEJ386" s="252"/>
      <c r="SEK386" s="252"/>
      <c r="SEL386" s="252"/>
      <c r="SEM386" s="252"/>
      <c r="SEN386" s="252"/>
      <c r="SEO386" s="252"/>
      <c r="SEP386" s="252"/>
      <c r="SEQ386" s="252"/>
      <c r="SER386" s="252"/>
      <c r="SES386" s="252"/>
      <c r="SET386" s="252"/>
      <c r="SEU386" s="252"/>
      <c r="SEV386" s="252"/>
      <c r="SEW386" s="252"/>
      <c r="SEX386" s="252"/>
      <c r="SEY386" s="252"/>
      <c r="SEZ386" s="252"/>
      <c r="SFA386" s="252"/>
      <c r="SFB386" s="252"/>
      <c r="SFC386" s="252"/>
      <c r="SFD386" s="252"/>
      <c r="SFE386" s="252"/>
      <c r="SFF386" s="252"/>
      <c r="SFG386" s="252"/>
      <c r="SFH386" s="252"/>
      <c r="SFI386" s="252"/>
      <c r="SFJ386" s="252"/>
      <c r="SFK386" s="252"/>
      <c r="SFL386" s="252"/>
      <c r="SFM386" s="252"/>
      <c r="SFN386" s="252"/>
      <c r="SFO386" s="252"/>
      <c r="SFP386" s="252"/>
      <c r="SFQ386" s="252"/>
      <c r="SFR386" s="252"/>
      <c r="SFS386" s="252"/>
      <c r="SFT386" s="252"/>
      <c r="SFU386" s="252"/>
      <c r="SFV386" s="252"/>
      <c r="SFW386" s="252"/>
      <c r="SFX386" s="252"/>
      <c r="SFY386" s="252"/>
      <c r="SFZ386" s="252"/>
      <c r="SGA386" s="252"/>
      <c r="SGB386" s="252"/>
      <c r="SGC386" s="252"/>
      <c r="SGD386" s="252"/>
      <c r="SGE386" s="252"/>
      <c r="SGF386" s="252"/>
      <c r="SGG386" s="252"/>
      <c r="SGH386" s="252"/>
      <c r="SGI386" s="252"/>
      <c r="SGJ386" s="252"/>
      <c r="SGK386" s="252"/>
      <c r="SGL386" s="252"/>
      <c r="SGM386" s="252"/>
      <c r="SGN386" s="252"/>
      <c r="SGO386" s="252"/>
      <c r="SGP386" s="252"/>
      <c r="SGQ386" s="252"/>
      <c r="SGR386" s="252"/>
      <c r="SGS386" s="252"/>
      <c r="SGT386" s="252"/>
      <c r="SGU386" s="252"/>
      <c r="SGV386" s="252"/>
      <c r="SGW386" s="252"/>
      <c r="SGX386" s="252"/>
      <c r="SGY386" s="252"/>
      <c r="SGZ386" s="252"/>
      <c r="SHA386" s="252"/>
      <c r="SHB386" s="252"/>
      <c r="SHC386" s="252"/>
      <c r="SHD386" s="252"/>
      <c r="SHE386" s="252"/>
      <c r="SHF386" s="252"/>
      <c r="SHG386" s="252"/>
      <c r="SHH386" s="252"/>
      <c r="SHI386" s="252"/>
      <c r="SHJ386" s="252"/>
      <c r="SHK386" s="252"/>
      <c r="SHL386" s="252"/>
      <c r="SHM386" s="252"/>
      <c r="SHN386" s="252"/>
      <c r="SHO386" s="252"/>
      <c r="SHP386" s="252"/>
      <c r="SHQ386" s="252"/>
      <c r="SHR386" s="252"/>
      <c r="SHS386" s="252"/>
      <c r="SHT386" s="252"/>
      <c r="SHU386" s="252"/>
      <c r="SHV386" s="252"/>
      <c r="SHW386" s="252"/>
      <c r="SHX386" s="252"/>
      <c r="SHY386" s="252"/>
      <c r="SHZ386" s="252"/>
      <c r="SIA386" s="252"/>
      <c r="SIB386" s="252"/>
      <c r="SIC386" s="252"/>
      <c r="SID386" s="252"/>
      <c r="SIE386" s="252"/>
      <c r="SIF386" s="252"/>
      <c r="SIG386" s="252"/>
      <c r="SIH386" s="252"/>
      <c r="SII386" s="252"/>
      <c r="SIJ386" s="252"/>
      <c r="SIK386" s="252"/>
      <c r="SIL386" s="252"/>
      <c r="SIM386" s="252"/>
      <c r="SIN386" s="252"/>
      <c r="SIO386" s="252"/>
      <c r="SIP386" s="252"/>
      <c r="SIQ386" s="252"/>
      <c r="SIR386" s="252"/>
      <c r="SIS386" s="252"/>
      <c r="SIT386" s="252"/>
      <c r="SIU386" s="252"/>
      <c r="SIV386" s="252"/>
      <c r="SIW386" s="252"/>
      <c r="SIX386" s="252"/>
      <c r="SIY386" s="252"/>
      <c r="SIZ386" s="252"/>
      <c r="SJA386" s="252"/>
      <c r="SJB386" s="252"/>
      <c r="SJC386" s="252"/>
      <c r="SJD386" s="252"/>
      <c r="SJE386" s="252"/>
      <c r="SJF386" s="252"/>
      <c r="SJG386" s="252"/>
      <c r="SJH386" s="252"/>
      <c r="SJI386" s="252"/>
      <c r="SJJ386" s="252"/>
      <c r="SJK386" s="252"/>
      <c r="SJL386" s="252"/>
      <c r="SJM386" s="252"/>
      <c r="SJN386" s="252"/>
      <c r="SJO386" s="252"/>
      <c r="SJP386" s="252"/>
      <c r="SJQ386" s="252"/>
      <c r="SJR386" s="252"/>
      <c r="SJS386" s="252"/>
      <c r="SJT386" s="252"/>
      <c r="SJU386" s="252"/>
      <c r="SJV386" s="252"/>
      <c r="SJW386" s="252"/>
      <c r="SJX386" s="252"/>
      <c r="SJY386" s="252"/>
      <c r="SJZ386" s="252"/>
      <c r="SKA386" s="252"/>
      <c r="SKB386" s="252"/>
      <c r="SKC386" s="252"/>
      <c r="SKD386" s="252"/>
      <c r="SKE386" s="252"/>
      <c r="SKF386" s="252"/>
      <c r="SKG386" s="252"/>
      <c r="SKH386" s="252"/>
      <c r="SKI386" s="252"/>
      <c r="SKJ386" s="252"/>
      <c r="SKK386" s="252"/>
      <c r="SKL386" s="252"/>
      <c r="SKM386" s="252"/>
      <c r="SKN386" s="252"/>
      <c r="SKO386" s="252"/>
      <c r="SKP386" s="252"/>
      <c r="SKQ386" s="252"/>
      <c r="SKR386" s="252"/>
      <c r="SKS386" s="252"/>
      <c r="SKT386" s="252"/>
      <c r="SKU386" s="252"/>
      <c r="SKV386" s="252"/>
      <c r="SKW386" s="252"/>
      <c r="SKX386" s="252"/>
      <c r="SKY386" s="252"/>
      <c r="SKZ386" s="252"/>
      <c r="SLA386" s="252"/>
      <c r="SLB386" s="252"/>
      <c r="SLC386" s="252"/>
      <c r="SLD386" s="252"/>
      <c r="SLE386" s="252"/>
      <c r="SLF386" s="252"/>
      <c r="SLG386" s="252"/>
      <c r="SLH386" s="252"/>
      <c r="SLI386" s="252"/>
      <c r="SLJ386" s="252"/>
      <c r="SLK386" s="252"/>
      <c r="SLL386" s="252"/>
      <c r="SLM386" s="252"/>
      <c r="SLN386" s="252"/>
      <c r="SLO386" s="252"/>
      <c r="SLP386" s="252"/>
      <c r="SLQ386" s="252"/>
      <c r="SLR386" s="252"/>
      <c r="SLS386" s="252"/>
      <c r="SLT386" s="252"/>
      <c r="SLU386" s="252"/>
      <c r="SLV386" s="252"/>
      <c r="SLW386" s="252"/>
      <c r="SLX386" s="252"/>
      <c r="SLY386" s="252"/>
      <c r="SLZ386" s="252"/>
      <c r="SMA386" s="252"/>
      <c r="SMB386" s="252"/>
      <c r="SMC386" s="252"/>
      <c r="SMD386" s="252"/>
      <c r="SME386" s="252"/>
      <c r="SMF386" s="252"/>
      <c r="SMG386" s="252"/>
      <c r="SMH386" s="252"/>
      <c r="SMI386" s="252"/>
      <c r="SMJ386" s="252"/>
      <c r="SMK386" s="252"/>
      <c r="SML386" s="252"/>
      <c r="SMM386" s="252"/>
      <c r="SMN386" s="252"/>
      <c r="SMO386" s="252"/>
      <c r="SMP386" s="252"/>
      <c r="SMQ386" s="252"/>
      <c r="SMR386" s="252"/>
      <c r="SMS386" s="252"/>
      <c r="SMT386" s="252"/>
      <c r="SMU386" s="252"/>
      <c r="SMV386" s="252"/>
      <c r="SMW386" s="252"/>
      <c r="SMX386" s="252"/>
      <c r="SMY386" s="252"/>
      <c r="SMZ386" s="252"/>
      <c r="SNA386" s="252"/>
      <c r="SNB386" s="252"/>
      <c r="SNC386" s="252"/>
      <c r="SND386" s="252"/>
      <c r="SNE386" s="252"/>
      <c r="SNF386" s="252"/>
      <c r="SNG386" s="252"/>
      <c r="SNH386" s="252"/>
      <c r="SNI386" s="252"/>
      <c r="SNJ386" s="252"/>
      <c r="SNK386" s="252"/>
      <c r="SNL386" s="252"/>
      <c r="SNM386" s="252"/>
      <c r="SNN386" s="252"/>
      <c r="SNO386" s="252"/>
      <c r="SNP386" s="252"/>
      <c r="SNQ386" s="252"/>
      <c r="SNR386" s="252"/>
      <c r="SNS386" s="252"/>
      <c r="SNT386" s="252"/>
      <c r="SNU386" s="252"/>
      <c r="SNV386" s="252"/>
      <c r="SNW386" s="252"/>
      <c r="SNX386" s="252"/>
      <c r="SNY386" s="252"/>
      <c r="SNZ386" s="252"/>
      <c r="SOA386" s="252"/>
      <c r="SOB386" s="252"/>
      <c r="SOC386" s="252"/>
      <c r="SOD386" s="252"/>
      <c r="SOE386" s="252"/>
      <c r="SOF386" s="252"/>
      <c r="SOG386" s="252"/>
      <c r="SOH386" s="252"/>
      <c r="SOI386" s="252"/>
      <c r="SOJ386" s="252"/>
      <c r="SOK386" s="252"/>
      <c r="SOL386" s="252"/>
      <c r="SOM386" s="252"/>
      <c r="SON386" s="252"/>
      <c r="SOO386" s="252"/>
      <c r="SOP386" s="252"/>
      <c r="SOQ386" s="252"/>
      <c r="SOR386" s="252"/>
      <c r="SOS386" s="252"/>
      <c r="SOT386" s="252"/>
      <c r="SOU386" s="252"/>
      <c r="SOV386" s="252"/>
      <c r="SOW386" s="252"/>
      <c r="SOX386" s="252"/>
      <c r="SOY386" s="252"/>
      <c r="SOZ386" s="252"/>
      <c r="SPA386" s="252"/>
      <c r="SPB386" s="252"/>
      <c r="SPC386" s="252"/>
      <c r="SPD386" s="252"/>
      <c r="SPE386" s="252"/>
      <c r="SPF386" s="252"/>
      <c r="SPG386" s="252"/>
      <c r="SPH386" s="252"/>
      <c r="SPI386" s="252"/>
      <c r="SPJ386" s="252"/>
      <c r="SPK386" s="252"/>
      <c r="SPL386" s="252"/>
      <c r="SPM386" s="252"/>
      <c r="SPN386" s="252"/>
      <c r="SPO386" s="252"/>
      <c r="SPP386" s="252"/>
      <c r="SPQ386" s="252"/>
      <c r="SPR386" s="252"/>
      <c r="SPS386" s="252"/>
      <c r="SPT386" s="252"/>
      <c r="SPU386" s="252"/>
      <c r="SPV386" s="252"/>
      <c r="SPW386" s="252"/>
      <c r="SPX386" s="252"/>
      <c r="SPY386" s="252"/>
      <c r="SPZ386" s="252"/>
      <c r="SQA386" s="252"/>
      <c r="SQB386" s="252"/>
      <c r="SQC386" s="252"/>
      <c r="SQD386" s="252"/>
      <c r="SQE386" s="252"/>
      <c r="SQF386" s="252"/>
      <c r="SQG386" s="252"/>
      <c r="SQH386" s="252"/>
      <c r="SQI386" s="252"/>
      <c r="SQJ386" s="252"/>
      <c r="SQK386" s="252"/>
      <c r="SQL386" s="252"/>
      <c r="SQM386" s="252"/>
      <c r="SQN386" s="252"/>
      <c r="SQO386" s="252"/>
      <c r="SQP386" s="252"/>
      <c r="SQQ386" s="252"/>
      <c r="SQR386" s="252"/>
      <c r="SQS386" s="252"/>
      <c r="SQT386" s="252"/>
      <c r="SQU386" s="252"/>
      <c r="SQV386" s="252"/>
      <c r="SQW386" s="252"/>
      <c r="SQX386" s="252"/>
      <c r="SQY386" s="252"/>
      <c r="SQZ386" s="252"/>
      <c r="SRA386" s="252"/>
      <c r="SRB386" s="252"/>
      <c r="SRC386" s="252"/>
      <c r="SRD386" s="252"/>
      <c r="SRE386" s="252"/>
      <c r="SRF386" s="252"/>
      <c r="SRG386" s="252"/>
      <c r="SRH386" s="252"/>
      <c r="SRI386" s="252"/>
      <c r="SRJ386" s="252"/>
      <c r="SRK386" s="252"/>
      <c r="SRL386" s="252"/>
      <c r="SRM386" s="252"/>
      <c r="SRN386" s="252"/>
      <c r="SRO386" s="252"/>
      <c r="SRP386" s="252"/>
      <c r="SRQ386" s="252"/>
      <c r="SRR386" s="252"/>
      <c r="SRS386" s="252"/>
      <c r="SRT386" s="252"/>
      <c r="SRU386" s="252"/>
      <c r="SRV386" s="252"/>
      <c r="SRW386" s="252"/>
      <c r="SRX386" s="252"/>
      <c r="SRY386" s="252"/>
      <c r="SRZ386" s="252"/>
      <c r="SSA386" s="252"/>
      <c r="SSB386" s="252"/>
      <c r="SSC386" s="252"/>
      <c r="SSD386" s="252"/>
      <c r="SSE386" s="252"/>
      <c r="SSF386" s="252"/>
      <c r="SSG386" s="252"/>
      <c r="SSH386" s="252"/>
      <c r="SSI386" s="252"/>
      <c r="SSJ386" s="252"/>
      <c r="SSK386" s="252"/>
      <c r="SSL386" s="252"/>
      <c r="SSM386" s="252"/>
      <c r="SSN386" s="252"/>
      <c r="SSO386" s="252"/>
      <c r="SSP386" s="252"/>
      <c r="SSQ386" s="252"/>
      <c r="SSR386" s="252"/>
      <c r="SSS386" s="252"/>
      <c r="SST386" s="252"/>
      <c r="SSU386" s="252"/>
      <c r="SSV386" s="252"/>
      <c r="SSW386" s="252"/>
      <c r="SSX386" s="252"/>
      <c r="SSY386" s="252"/>
      <c r="SSZ386" s="252"/>
      <c r="STA386" s="252"/>
      <c r="STB386" s="252"/>
      <c r="STC386" s="252"/>
      <c r="STD386" s="252"/>
      <c r="STE386" s="252"/>
      <c r="STF386" s="252"/>
      <c r="STG386" s="252"/>
      <c r="STH386" s="252"/>
      <c r="STI386" s="252"/>
      <c r="STJ386" s="252"/>
      <c r="STK386" s="252"/>
      <c r="STL386" s="252"/>
      <c r="STM386" s="252"/>
      <c r="STN386" s="252"/>
      <c r="STO386" s="252"/>
      <c r="STP386" s="252"/>
      <c r="STQ386" s="252"/>
      <c r="STR386" s="252"/>
      <c r="STS386" s="252"/>
      <c r="STT386" s="252"/>
      <c r="STU386" s="252"/>
      <c r="STV386" s="252"/>
      <c r="STW386" s="252"/>
      <c r="STX386" s="252"/>
      <c r="STY386" s="252"/>
      <c r="STZ386" s="252"/>
      <c r="SUA386" s="252"/>
      <c r="SUB386" s="252"/>
      <c r="SUC386" s="252"/>
      <c r="SUD386" s="252"/>
      <c r="SUE386" s="252"/>
      <c r="SUF386" s="252"/>
      <c r="SUG386" s="252"/>
      <c r="SUH386" s="252"/>
      <c r="SUI386" s="252"/>
      <c r="SUJ386" s="252"/>
      <c r="SUK386" s="252"/>
      <c r="SUL386" s="252"/>
      <c r="SUM386" s="252"/>
      <c r="SUN386" s="252"/>
      <c r="SUO386" s="252"/>
      <c r="SUP386" s="252"/>
      <c r="SUQ386" s="252"/>
      <c r="SUR386" s="252"/>
      <c r="SUS386" s="252"/>
      <c r="SUT386" s="252"/>
      <c r="SUU386" s="252"/>
      <c r="SUV386" s="252"/>
      <c r="SUW386" s="252"/>
      <c r="SUX386" s="252"/>
      <c r="SUY386" s="252"/>
      <c r="SUZ386" s="252"/>
      <c r="SVA386" s="252"/>
      <c r="SVB386" s="252"/>
      <c r="SVC386" s="252"/>
      <c r="SVD386" s="252"/>
      <c r="SVE386" s="252"/>
      <c r="SVF386" s="252"/>
      <c r="SVG386" s="252"/>
      <c r="SVH386" s="252"/>
      <c r="SVI386" s="252"/>
      <c r="SVJ386" s="252"/>
      <c r="SVK386" s="252"/>
      <c r="SVL386" s="252"/>
      <c r="SVM386" s="252"/>
      <c r="SVN386" s="252"/>
      <c r="SVO386" s="252"/>
      <c r="SVP386" s="252"/>
      <c r="SVQ386" s="252"/>
      <c r="SVR386" s="252"/>
      <c r="SVS386" s="252"/>
      <c r="SVT386" s="252"/>
      <c r="SVU386" s="252"/>
      <c r="SVV386" s="252"/>
      <c r="SVW386" s="252"/>
      <c r="SVX386" s="252"/>
      <c r="SVY386" s="252"/>
      <c r="SVZ386" s="252"/>
      <c r="SWA386" s="252"/>
      <c r="SWB386" s="252"/>
      <c r="SWC386" s="252"/>
      <c r="SWD386" s="252"/>
      <c r="SWE386" s="252"/>
      <c r="SWF386" s="252"/>
      <c r="SWG386" s="252"/>
      <c r="SWH386" s="252"/>
      <c r="SWI386" s="252"/>
      <c r="SWJ386" s="252"/>
      <c r="SWK386" s="252"/>
      <c r="SWL386" s="252"/>
      <c r="SWM386" s="252"/>
      <c r="SWN386" s="252"/>
      <c r="SWO386" s="252"/>
      <c r="SWP386" s="252"/>
      <c r="SWQ386" s="252"/>
      <c r="SWR386" s="252"/>
      <c r="SWS386" s="252"/>
      <c r="SWT386" s="252"/>
      <c r="SWU386" s="252"/>
      <c r="SWV386" s="252"/>
      <c r="SWW386" s="252"/>
      <c r="SWX386" s="252"/>
      <c r="SWY386" s="252"/>
      <c r="SWZ386" s="252"/>
      <c r="SXA386" s="252"/>
      <c r="SXB386" s="252"/>
      <c r="SXC386" s="252"/>
      <c r="SXD386" s="252"/>
      <c r="SXE386" s="252"/>
      <c r="SXF386" s="252"/>
      <c r="SXG386" s="252"/>
      <c r="SXH386" s="252"/>
      <c r="SXI386" s="252"/>
      <c r="SXJ386" s="252"/>
      <c r="SXK386" s="252"/>
      <c r="SXL386" s="252"/>
      <c r="SXM386" s="252"/>
      <c r="SXN386" s="252"/>
      <c r="SXO386" s="252"/>
      <c r="SXP386" s="252"/>
      <c r="SXQ386" s="252"/>
      <c r="SXR386" s="252"/>
      <c r="SXS386" s="252"/>
      <c r="SXT386" s="252"/>
      <c r="SXU386" s="252"/>
      <c r="SXV386" s="252"/>
      <c r="SXW386" s="252"/>
      <c r="SXX386" s="252"/>
      <c r="SXY386" s="252"/>
      <c r="SXZ386" s="252"/>
      <c r="SYA386" s="252"/>
      <c r="SYB386" s="252"/>
      <c r="SYC386" s="252"/>
      <c r="SYD386" s="252"/>
      <c r="SYE386" s="252"/>
      <c r="SYF386" s="252"/>
      <c r="SYG386" s="252"/>
      <c r="SYH386" s="252"/>
      <c r="SYI386" s="252"/>
      <c r="SYJ386" s="252"/>
      <c r="SYK386" s="252"/>
      <c r="SYL386" s="252"/>
      <c r="SYM386" s="252"/>
      <c r="SYN386" s="252"/>
      <c r="SYO386" s="252"/>
      <c r="SYP386" s="252"/>
      <c r="SYQ386" s="252"/>
      <c r="SYR386" s="252"/>
      <c r="SYS386" s="252"/>
      <c r="SYT386" s="252"/>
      <c r="SYU386" s="252"/>
      <c r="SYV386" s="252"/>
      <c r="SYW386" s="252"/>
      <c r="SYX386" s="252"/>
      <c r="SYY386" s="252"/>
      <c r="SYZ386" s="252"/>
      <c r="SZA386" s="252"/>
      <c r="SZB386" s="252"/>
      <c r="SZC386" s="252"/>
      <c r="SZD386" s="252"/>
      <c r="SZE386" s="252"/>
      <c r="SZF386" s="252"/>
      <c r="SZG386" s="252"/>
      <c r="SZH386" s="252"/>
      <c r="SZI386" s="252"/>
      <c r="SZJ386" s="252"/>
      <c r="SZK386" s="252"/>
      <c r="SZL386" s="252"/>
      <c r="SZM386" s="252"/>
      <c r="SZN386" s="252"/>
      <c r="SZO386" s="252"/>
      <c r="SZP386" s="252"/>
      <c r="SZQ386" s="252"/>
      <c r="SZR386" s="252"/>
      <c r="SZS386" s="252"/>
      <c r="SZT386" s="252"/>
      <c r="SZU386" s="252"/>
      <c r="SZV386" s="252"/>
      <c r="SZW386" s="252"/>
      <c r="SZX386" s="252"/>
      <c r="SZY386" s="252"/>
      <c r="SZZ386" s="252"/>
      <c r="TAA386" s="252"/>
      <c r="TAB386" s="252"/>
      <c r="TAC386" s="252"/>
      <c r="TAD386" s="252"/>
      <c r="TAE386" s="252"/>
      <c r="TAF386" s="252"/>
      <c r="TAG386" s="252"/>
      <c r="TAH386" s="252"/>
      <c r="TAI386" s="252"/>
      <c r="TAJ386" s="252"/>
      <c r="TAK386" s="252"/>
      <c r="TAL386" s="252"/>
      <c r="TAM386" s="252"/>
      <c r="TAN386" s="252"/>
      <c r="TAO386" s="252"/>
      <c r="TAP386" s="252"/>
      <c r="TAQ386" s="252"/>
      <c r="TAR386" s="252"/>
      <c r="TAS386" s="252"/>
      <c r="TAT386" s="252"/>
      <c r="TAU386" s="252"/>
      <c r="TAV386" s="252"/>
      <c r="TAW386" s="252"/>
      <c r="TAX386" s="252"/>
      <c r="TAY386" s="252"/>
      <c r="TAZ386" s="252"/>
      <c r="TBA386" s="252"/>
      <c r="TBB386" s="252"/>
      <c r="TBC386" s="252"/>
      <c r="TBD386" s="252"/>
      <c r="TBE386" s="252"/>
      <c r="TBF386" s="252"/>
      <c r="TBG386" s="252"/>
      <c r="TBH386" s="252"/>
      <c r="TBI386" s="252"/>
      <c r="TBJ386" s="252"/>
      <c r="TBK386" s="252"/>
      <c r="TBL386" s="252"/>
      <c r="TBM386" s="252"/>
      <c r="TBN386" s="252"/>
      <c r="TBO386" s="252"/>
      <c r="TBP386" s="252"/>
      <c r="TBQ386" s="252"/>
      <c r="TBR386" s="252"/>
      <c r="TBS386" s="252"/>
      <c r="TBT386" s="252"/>
      <c r="TBU386" s="252"/>
      <c r="TBV386" s="252"/>
      <c r="TBW386" s="252"/>
      <c r="TBX386" s="252"/>
      <c r="TBY386" s="252"/>
      <c r="TBZ386" s="252"/>
      <c r="TCA386" s="252"/>
      <c r="TCB386" s="252"/>
      <c r="TCC386" s="252"/>
      <c r="TCD386" s="252"/>
      <c r="TCE386" s="252"/>
      <c r="TCF386" s="252"/>
      <c r="TCG386" s="252"/>
      <c r="TCH386" s="252"/>
      <c r="TCI386" s="252"/>
      <c r="TCJ386" s="252"/>
      <c r="TCK386" s="252"/>
      <c r="TCL386" s="252"/>
      <c r="TCM386" s="252"/>
      <c r="TCN386" s="252"/>
      <c r="TCO386" s="252"/>
      <c r="TCP386" s="252"/>
      <c r="TCQ386" s="252"/>
      <c r="TCR386" s="252"/>
      <c r="TCS386" s="252"/>
      <c r="TCT386" s="252"/>
      <c r="TCU386" s="252"/>
      <c r="TCV386" s="252"/>
      <c r="TCW386" s="252"/>
      <c r="TCX386" s="252"/>
      <c r="TCY386" s="252"/>
      <c r="TCZ386" s="252"/>
      <c r="TDA386" s="252"/>
      <c r="TDB386" s="252"/>
      <c r="TDC386" s="252"/>
      <c r="TDD386" s="252"/>
      <c r="TDE386" s="252"/>
      <c r="TDF386" s="252"/>
      <c r="TDG386" s="252"/>
      <c r="TDH386" s="252"/>
      <c r="TDI386" s="252"/>
      <c r="TDJ386" s="252"/>
      <c r="TDK386" s="252"/>
      <c r="TDL386" s="252"/>
      <c r="TDM386" s="252"/>
      <c r="TDN386" s="252"/>
      <c r="TDO386" s="252"/>
      <c r="TDP386" s="252"/>
      <c r="TDQ386" s="252"/>
      <c r="TDR386" s="252"/>
      <c r="TDS386" s="252"/>
      <c r="TDT386" s="252"/>
      <c r="TDU386" s="252"/>
      <c r="TDV386" s="252"/>
      <c r="TDW386" s="252"/>
      <c r="TDX386" s="252"/>
      <c r="TDY386" s="252"/>
      <c r="TDZ386" s="252"/>
      <c r="TEA386" s="252"/>
      <c r="TEB386" s="252"/>
      <c r="TEC386" s="252"/>
      <c r="TED386" s="252"/>
      <c r="TEE386" s="252"/>
      <c r="TEF386" s="252"/>
      <c r="TEG386" s="252"/>
      <c r="TEH386" s="252"/>
      <c r="TEI386" s="252"/>
      <c r="TEJ386" s="252"/>
      <c r="TEK386" s="252"/>
      <c r="TEL386" s="252"/>
      <c r="TEM386" s="252"/>
      <c r="TEN386" s="252"/>
      <c r="TEO386" s="252"/>
      <c r="TEP386" s="252"/>
      <c r="TEQ386" s="252"/>
      <c r="TER386" s="252"/>
      <c r="TES386" s="252"/>
      <c r="TET386" s="252"/>
      <c r="TEU386" s="252"/>
      <c r="TEV386" s="252"/>
      <c r="TEW386" s="252"/>
      <c r="TEX386" s="252"/>
      <c r="TEY386" s="252"/>
      <c r="TEZ386" s="252"/>
      <c r="TFA386" s="252"/>
      <c r="TFB386" s="252"/>
      <c r="TFC386" s="252"/>
      <c r="TFD386" s="252"/>
      <c r="TFE386" s="252"/>
      <c r="TFF386" s="252"/>
      <c r="TFG386" s="252"/>
      <c r="TFH386" s="252"/>
      <c r="TFI386" s="252"/>
      <c r="TFJ386" s="252"/>
      <c r="TFK386" s="252"/>
      <c r="TFL386" s="252"/>
      <c r="TFM386" s="252"/>
      <c r="TFN386" s="252"/>
      <c r="TFO386" s="252"/>
      <c r="TFP386" s="252"/>
      <c r="TFQ386" s="252"/>
      <c r="TFR386" s="252"/>
      <c r="TFS386" s="252"/>
      <c r="TFT386" s="252"/>
      <c r="TFU386" s="252"/>
      <c r="TFV386" s="252"/>
      <c r="TFW386" s="252"/>
      <c r="TFX386" s="252"/>
      <c r="TFY386" s="252"/>
      <c r="TFZ386" s="252"/>
      <c r="TGA386" s="252"/>
      <c r="TGB386" s="252"/>
      <c r="TGC386" s="252"/>
      <c r="TGD386" s="252"/>
      <c r="TGE386" s="252"/>
      <c r="TGF386" s="252"/>
      <c r="TGG386" s="252"/>
      <c r="TGH386" s="252"/>
      <c r="TGI386" s="252"/>
      <c r="TGJ386" s="252"/>
      <c r="TGK386" s="252"/>
      <c r="TGL386" s="252"/>
      <c r="TGM386" s="252"/>
      <c r="TGN386" s="252"/>
      <c r="TGO386" s="252"/>
      <c r="TGP386" s="252"/>
      <c r="TGQ386" s="252"/>
      <c r="TGR386" s="252"/>
      <c r="TGS386" s="252"/>
      <c r="TGT386" s="252"/>
      <c r="TGU386" s="252"/>
      <c r="TGV386" s="252"/>
      <c r="TGW386" s="252"/>
      <c r="TGX386" s="252"/>
      <c r="TGY386" s="252"/>
      <c r="TGZ386" s="252"/>
      <c r="THA386" s="252"/>
      <c r="THB386" s="252"/>
      <c r="THC386" s="252"/>
      <c r="THD386" s="252"/>
      <c r="THE386" s="252"/>
      <c r="THF386" s="252"/>
      <c r="THG386" s="252"/>
      <c r="THH386" s="252"/>
      <c r="THI386" s="252"/>
      <c r="THJ386" s="252"/>
      <c r="THK386" s="252"/>
      <c r="THL386" s="252"/>
      <c r="THM386" s="252"/>
      <c r="THN386" s="252"/>
      <c r="THO386" s="252"/>
      <c r="THP386" s="252"/>
      <c r="THQ386" s="252"/>
      <c r="THR386" s="252"/>
      <c r="THS386" s="252"/>
      <c r="THT386" s="252"/>
      <c r="THU386" s="252"/>
      <c r="THV386" s="252"/>
      <c r="THW386" s="252"/>
      <c r="THX386" s="252"/>
      <c r="THY386" s="252"/>
      <c r="THZ386" s="252"/>
      <c r="TIA386" s="252"/>
      <c r="TIB386" s="252"/>
      <c r="TIC386" s="252"/>
      <c r="TID386" s="252"/>
      <c r="TIE386" s="252"/>
      <c r="TIF386" s="252"/>
      <c r="TIG386" s="252"/>
      <c r="TIH386" s="252"/>
      <c r="TII386" s="252"/>
      <c r="TIJ386" s="252"/>
      <c r="TIK386" s="252"/>
      <c r="TIL386" s="252"/>
      <c r="TIM386" s="252"/>
      <c r="TIN386" s="252"/>
      <c r="TIO386" s="252"/>
      <c r="TIP386" s="252"/>
      <c r="TIQ386" s="252"/>
      <c r="TIR386" s="252"/>
      <c r="TIS386" s="252"/>
      <c r="TIT386" s="252"/>
      <c r="TIU386" s="252"/>
      <c r="TIV386" s="252"/>
      <c r="TIW386" s="252"/>
      <c r="TIX386" s="252"/>
      <c r="TIY386" s="252"/>
      <c r="TIZ386" s="252"/>
      <c r="TJA386" s="252"/>
      <c r="TJB386" s="252"/>
      <c r="TJC386" s="252"/>
      <c r="TJD386" s="252"/>
      <c r="TJE386" s="252"/>
      <c r="TJF386" s="252"/>
      <c r="TJG386" s="252"/>
      <c r="TJH386" s="252"/>
      <c r="TJI386" s="252"/>
      <c r="TJJ386" s="252"/>
      <c r="TJK386" s="252"/>
      <c r="TJL386" s="252"/>
      <c r="TJM386" s="252"/>
      <c r="TJN386" s="252"/>
      <c r="TJO386" s="252"/>
      <c r="TJP386" s="252"/>
      <c r="TJQ386" s="252"/>
      <c r="TJR386" s="252"/>
      <c r="TJS386" s="252"/>
      <c r="TJT386" s="252"/>
      <c r="TJU386" s="252"/>
      <c r="TJV386" s="252"/>
      <c r="TJW386" s="252"/>
      <c r="TJX386" s="252"/>
      <c r="TJY386" s="252"/>
      <c r="TJZ386" s="252"/>
      <c r="TKA386" s="252"/>
      <c r="TKB386" s="252"/>
      <c r="TKC386" s="252"/>
      <c r="TKD386" s="252"/>
      <c r="TKE386" s="252"/>
      <c r="TKF386" s="252"/>
      <c r="TKG386" s="252"/>
      <c r="TKH386" s="252"/>
      <c r="TKI386" s="252"/>
      <c r="TKJ386" s="252"/>
      <c r="TKK386" s="252"/>
      <c r="TKL386" s="252"/>
      <c r="TKM386" s="252"/>
      <c r="TKN386" s="252"/>
      <c r="TKO386" s="252"/>
      <c r="TKP386" s="252"/>
      <c r="TKQ386" s="252"/>
      <c r="TKR386" s="252"/>
      <c r="TKS386" s="252"/>
      <c r="TKT386" s="252"/>
      <c r="TKU386" s="252"/>
      <c r="TKV386" s="252"/>
      <c r="TKW386" s="252"/>
      <c r="TKX386" s="252"/>
      <c r="TKY386" s="252"/>
      <c r="TKZ386" s="252"/>
      <c r="TLA386" s="252"/>
      <c r="TLB386" s="252"/>
      <c r="TLC386" s="252"/>
      <c r="TLD386" s="252"/>
      <c r="TLE386" s="252"/>
      <c r="TLF386" s="252"/>
      <c r="TLG386" s="252"/>
      <c r="TLH386" s="252"/>
      <c r="TLI386" s="252"/>
      <c r="TLJ386" s="252"/>
      <c r="TLK386" s="252"/>
      <c r="TLL386" s="252"/>
      <c r="TLM386" s="252"/>
      <c r="TLN386" s="252"/>
      <c r="TLO386" s="252"/>
      <c r="TLP386" s="252"/>
      <c r="TLQ386" s="252"/>
      <c r="TLR386" s="252"/>
      <c r="TLS386" s="252"/>
      <c r="TLT386" s="252"/>
      <c r="TLU386" s="252"/>
      <c r="TLV386" s="252"/>
      <c r="TLW386" s="252"/>
      <c r="TLX386" s="252"/>
      <c r="TLY386" s="252"/>
      <c r="TLZ386" s="252"/>
      <c r="TMA386" s="252"/>
      <c r="TMB386" s="252"/>
      <c r="TMC386" s="252"/>
      <c r="TMD386" s="252"/>
      <c r="TME386" s="252"/>
      <c r="TMF386" s="252"/>
      <c r="TMG386" s="252"/>
      <c r="TMH386" s="252"/>
      <c r="TMI386" s="252"/>
      <c r="TMJ386" s="252"/>
      <c r="TMK386" s="252"/>
      <c r="TML386" s="252"/>
      <c r="TMM386" s="252"/>
      <c r="TMN386" s="252"/>
      <c r="TMO386" s="252"/>
      <c r="TMP386" s="252"/>
      <c r="TMQ386" s="252"/>
      <c r="TMR386" s="252"/>
      <c r="TMS386" s="252"/>
      <c r="TMT386" s="252"/>
      <c r="TMU386" s="252"/>
      <c r="TMV386" s="252"/>
      <c r="TMW386" s="252"/>
      <c r="TMX386" s="252"/>
      <c r="TMY386" s="252"/>
      <c r="TMZ386" s="252"/>
      <c r="TNA386" s="252"/>
      <c r="TNB386" s="252"/>
      <c r="TNC386" s="252"/>
      <c r="TND386" s="252"/>
      <c r="TNE386" s="252"/>
      <c r="TNF386" s="252"/>
      <c r="TNG386" s="252"/>
      <c r="TNH386" s="252"/>
      <c r="TNI386" s="252"/>
      <c r="TNJ386" s="252"/>
      <c r="TNK386" s="252"/>
      <c r="TNL386" s="252"/>
      <c r="TNM386" s="252"/>
      <c r="TNN386" s="252"/>
      <c r="TNO386" s="252"/>
      <c r="TNP386" s="252"/>
      <c r="TNQ386" s="252"/>
      <c r="TNR386" s="252"/>
      <c r="TNS386" s="252"/>
      <c r="TNT386" s="252"/>
      <c r="TNU386" s="252"/>
      <c r="TNV386" s="252"/>
      <c r="TNW386" s="252"/>
      <c r="TNX386" s="252"/>
      <c r="TNY386" s="252"/>
      <c r="TNZ386" s="252"/>
      <c r="TOA386" s="252"/>
      <c r="TOB386" s="252"/>
      <c r="TOC386" s="252"/>
      <c r="TOD386" s="252"/>
      <c r="TOE386" s="252"/>
      <c r="TOF386" s="252"/>
      <c r="TOG386" s="252"/>
      <c r="TOH386" s="252"/>
      <c r="TOI386" s="252"/>
      <c r="TOJ386" s="252"/>
      <c r="TOK386" s="252"/>
      <c r="TOL386" s="252"/>
      <c r="TOM386" s="252"/>
      <c r="TON386" s="252"/>
      <c r="TOO386" s="252"/>
      <c r="TOP386" s="252"/>
      <c r="TOQ386" s="252"/>
      <c r="TOR386" s="252"/>
      <c r="TOS386" s="252"/>
      <c r="TOT386" s="252"/>
      <c r="TOU386" s="252"/>
      <c r="TOV386" s="252"/>
      <c r="TOW386" s="252"/>
      <c r="TOX386" s="252"/>
      <c r="TOY386" s="252"/>
      <c r="TOZ386" s="252"/>
      <c r="TPA386" s="252"/>
      <c r="TPB386" s="252"/>
      <c r="TPC386" s="252"/>
      <c r="TPD386" s="252"/>
      <c r="TPE386" s="252"/>
      <c r="TPF386" s="252"/>
      <c r="TPG386" s="252"/>
      <c r="TPH386" s="252"/>
      <c r="TPI386" s="252"/>
      <c r="TPJ386" s="252"/>
      <c r="TPK386" s="252"/>
      <c r="TPL386" s="252"/>
      <c r="TPM386" s="252"/>
      <c r="TPN386" s="252"/>
      <c r="TPO386" s="252"/>
      <c r="TPP386" s="252"/>
      <c r="TPQ386" s="252"/>
      <c r="TPR386" s="252"/>
      <c r="TPS386" s="252"/>
      <c r="TPT386" s="252"/>
      <c r="TPU386" s="252"/>
      <c r="TPV386" s="252"/>
      <c r="TPW386" s="252"/>
      <c r="TPX386" s="252"/>
      <c r="TPY386" s="252"/>
      <c r="TPZ386" s="252"/>
      <c r="TQA386" s="252"/>
      <c r="TQB386" s="252"/>
      <c r="TQC386" s="252"/>
      <c r="TQD386" s="252"/>
      <c r="TQE386" s="252"/>
      <c r="TQF386" s="252"/>
      <c r="TQG386" s="252"/>
      <c r="TQH386" s="252"/>
      <c r="TQI386" s="252"/>
      <c r="TQJ386" s="252"/>
      <c r="TQK386" s="252"/>
      <c r="TQL386" s="252"/>
      <c r="TQM386" s="252"/>
      <c r="TQN386" s="252"/>
      <c r="TQO386" s="252"/>
      <c r="TQP386" s="252"/>
      <c r="TQQ386" s="252"/>
      <c r="TQR386" s="252"/>
      <c r="TQS386" s="252"/>
      <c r="TQT386" s="252"/>
      <c r="TQU386" s="252"/>
      <c r="TQV386" s="252"/>
      <c r="TQW386" s="252"/>
      <c r="TQX386" s="252"/>
      <c r="TQY386" s="252"/>
      <c r="TQZ386" s="252"/>
      <c r="TRA386" s="252"/>
      <c r="TRB386" s="252"/>
      <c r="TRC386" s="252"/>
      <c r="TRD386" s="252"/>
      <c r="TRE386" s="252"/>
      <c r="TRF386" s="252"/>
      <c r="TRG386" s="252"/>
      <c r="TRH386" s="252"/>
      <c r="TRI386" s="252"/>
      <c r="TRJ386" s="252"/>
      <c r="TRK386" s="252"/>
      <c r="TRL386" s="252"/>
      <c r="TRM386" s="252"/>
      <c r="TRN386" s="252"/>
      <c r="TRO386" s="252"/>
      <c r="TRP386" s="252"/>
      <c r="TRQ386" s="252"/>
      <c r="TRR386" s="252"/>
      <c r="TRS386" s="252"/>
      <c r="TRT386" s="252"/>
      <c r="TRU386" s="252"/>
      <c r="TRV386" s="252"/>
      <c r="TRW386" s="252"/>
      <c r="TRX386" s="252"/>
      <c r="TRY386" s="252"/>
      <c r="TRZ386" s="252"/>
      <c r="TSA386" s="252"/>
      <c r="TSB386" s="252"/>
      <c r="TSC386" s="252"/>
      <c r="TSD386" s="252"/>
      <c r="TSE386" s="252"/>
      <c r="TSF386" s="252"/>
      <c r="TSG386" s="252"/>
      <c r="TSH386" s="252"/>
      <c r="TSI386" s="252"/>
      <c r="TSJ386" s="252"/>
      <c r="TSK386" s="252"/>
      <c r="TSL386" s="252"/>
      <c r="TSM386" s="252"/>
      <c r="TSN386" s="252"/>
      <c r="TSO386" s="252"/>
      <c r="TSP386" s="252"/>
      <c r="TSQ386" s="252"/>
      <c r="TSR386" s="252"/>
      <c r="TSS386" s="252"/>
      <c r="TST386" s="252"/>
      <c r="TSU386" s="252"/>
      <c r="TSV386" s="252"/>
      <c r="TSW386" s="252"/>
      <c r="TSX386" s="252"/>
      <c r="TSY386" s="252"/>
      <c r="TSZ386" s="252"/>
      <c r="TTA386" s="252"/>
      <c r="TTB386" s="252"/>
      <c r="TTC386" s="252"/>
      <c r="TTD386" s="252"/>
      <c r="TTE386" s="252"/>
      <c r="TTF386" s="252"/>
      <c r="TTG386" s="252"/>
      <c r="TTH386" s="252"/>
      <c r="TTI386" s="252"/>
      <c r="TTJ386" s="252"/>
      <c r="TTK386" s="252"/>
      <c r="TTL386" s="252"/>
      <c r="TTM386" s="252"/>
      <c r="TTN386" s="252"/>
      <c r="TTO386" s="252"/>
      <c r="TTP386" s="252"/>
      <c r="TTQ386" s="252"/>
      <c r="TTR386" s="252"/>
      <c r="TTS386" s="252"/>
      <c r="TTT386" s="252"/>
      <c r="TTU386" s="252"/>
      <c r="TTV386" s="252"/>
      <c r="TTW386" s="252"/>
      <c r="TTX386" s="252"/>
      <c r="TTY386" s="252"/>
      <c r="TTZ386" s="252"/>
      <c r="TUA386" s="252"/>
      <c r="TUB386" s="252"/>
      <c r="TUC386" s="252"/>
      <c r="TUD386" s="252"/>
      <c r="TUE386" s="252"/>
      <c r="TUF386" s="252"/>
      <c r="TUG386" s="252"/>
      <c r="TUH386" s="252"/>
      <c r="TUI386" s="252"/>
      <c r="TUJ386" s="252"/>
      <c r="TUK386" s="252"/>
      <c r="TUL386" s="252"/>
      <c r="TUM386" s="252"/>
      <c r="TUN386" s="252"/>
      <c r="TUO386" s="252"/>
      <c r="TUP386" s="252"/>
      <c r="TUQ386" s="252"/>
      <c r="TUR386" s="252"/>
      <c r="TUS386" s="252"/>
      <c r="TUT386" s="252"/>
      <c r="TUU386" s="252"/>
      <c r="TUV386" s="252"/>
      <c r="TUW386" s="252"/>
      <c r="TUX386" s="252"/>
      <c r="TUY386" s="252"/>
      <c r="TUZ386" s="252"/>
      <c r="TVA386" s="252"/>
      <c r="TVB386" s="252"/>
      <c r="TVC386" s="252"/>
      <c r="TVD386" s="252"/>
      <c r="TVE386" s="252"/>
      <c r="TVF386" s="252"/>
      <c r="TVG386" s="252"/>
      <c r="TVH386" s="252"/>
      <c r="TVI386" s="252"/>
      <c r="TVJ386" s="252"/>
      <c r="TVK386" s="252"/>
      <c r="TVL386" s="252"/>
      <c r="TVM386" s="252"/>
      <c r="TVN386" s="252"/>
      <c r="TVO386" s="252"/>
      <c r="TVP386" s="252"/>
      <c r="TVQ386" s="252"/>
      <c r="TVR386" s="252"/>
      <c r="TVS386" s="252"/>
      <c r="TVT386" s="252"/>
      <c r="TVU386" s="252"/>
      <c r="TVV386" s="252"/>
      <c r="TVW386" s="252"/>
      <c r="TVX386" s="252"/>
      <c r="TVY386" s="252"/>
      <c r="TVZ386" s="252"/>
      <c r="TWA386" s="252"/>
      <c r="TWB386" s="252"/>
      <c r="TWC386" s="252"/>
      <c r="TWD386" s="252"/>
      <c r="TWE386" s="252"/>
      <c r="TWF386" s="252"/>
      <c r="TWG386" s="252"/>
      <c r="TWH386" s="252"/>
      <c r="TWI386" s="252"/>
      <c r="TWJ386" s="252"/>
      <c r="TWK386" s="252"/>
      <c r="TWL386" s="252"/>
      <c r="TWM386" s="252"/>
      <c r="TWN386" s="252"/>
      <c r="TWO386" s="252"/>
      <c r="TWP386" s="252"/>
      <c r="TWQ386" s="252"/>
      <c r="TWR386" s="252"/>
      <c r="TWS386" s="252"/>
      <c r="TWT386" s="252"/>
      <c r="TWU386" s="252"/>
      <c r="TWV386" s="252"/>
      <c r="TWW386" s="252"/>
      <c r="TWX386" s="252"/>
      <c r="TWY386" s="252"/>
      <c r="TWZ386" s="252"/>
      <c r="TXA386" s="252"/>
      <c r="TXB386" s="252"/>
      <c r="TXC386" s="252"/>
      <c r="TXD386" s="252"/>
      <c r="TXE386" s="252"/>
      <c r="TXF386" s="252"/>
      <c r="TXG386" s="252"/>
      <c r="TXH386" s="252"/>
      <c r="TXI386" s="252"/>
      <c r="TXJ386" s="252"/>
      <c r="TXK386" s="252"/>
      <c r="TXL386" s="252"/>
      <c r="TXM386" s="252"/>
      <c r="TXN386" s="252"/>
      <c r="TXO386" s="252"/>
      <c r="TXP386" s="252"/>
      <c r="TXQ386" s="252"/>
      <c r="TXR386" s="252"/>
      <c r="TXS386" s="252"/>
      <c r="TXT386" s="252"/>
      <c r="TXU386" s="252"/>
      <c r="TXV386" s="252"/>
      <c r="TXW386" s="252"/>
      <c r="TXX386" s="252"/>
      <c r="TXY386" s="252"/>
      <c r="TXZ386" s="252"/>
      <c r="TYA386" s="252"/>
      <c r="TYB386" s="252"/>
      <c r="TYC386" s="252"/>
      <c r="TYD386" s="252"/>
      <c r="TYE386" s="252"/>
      <c r="TYF386" s="252"/>
      <c r="TYG386" s="252"/>
      <c r="TYH386" s="252"/>
      <c r="TYI386" s="252"/>
      <c r="TYJ386" s="252"/>
      <c r="TYK386" s="252"/>
      <c r="TYL386" s="252"/>
      <c r="TYM386" s="252"/>
      <c r="TYN386" s="252"/>
      <c r="TYO386" s="252"/>
      <c r="TYP386" s="252"/>
      <c r="TYQ386" s="252"/>
      <c r="TYR386" s="252"/>
      <c r="TYS386" s="252"/>
      <c r="TYT386" s="252"/>
      <c r="TYU386" s="252"/>
      <c r="TYV386" s="252"/>
      <c r="TYW386" s="252"/>
      <c r="TYX386" s="252"/>
      <c r="TYY386" s="252"/>
      <c r="TYZ386" s="252"/>
      <c r="TZA386" s="252"/>
      <c r="TZB386" s="252"/>
      <c r="TZC386" s="252"/>
      <c r="TZD386" s="252"/>
      <c r="TZE386" s="252"/>
      <c r="TZF386" s="252"/>
      <c r="TZG386" s="252"/>
      <c r="TZH386" s="252"/>
      <c r="TZI386" s="252"/>
      <c r="TZJ386" s="252"/>
      <c r="TZK386" s="252"/>
      <c r="TZL386" s="252"/>
      <c r="TZM386" s="252"/>
      <c r="TZN386" s="252"/>
      <c r="TZO386" s="252"/>
      <c r="TZP386" s="252"/>
      <c r="TZQ386" s="252"/>
      <c r="TZR386" s="252"/>
      <c r="TZS386" s="252"/>
      <c r="TZT386" s="252"/>
      <c r="TZU386" s="252"/>
      <c r="TZV386" s="252"/>
      <c r="TZW386" s="252"/>
      <c r="TZX386" s="252"/>
      <c r="TZY386" s="252"/>
      <c r="TZZ386" s="252"/>
      <c r="UAA386" s="252"/>
      <c r="UAB386" s="252"/>
      <c r="UAC386" s="252"/>
      <c r="UAD386" s="252"/>
      <c r="UAE386" s="252"/>
      <c r="UAF386" s="252"/>
      <c r="UAG386" s="252"/>
      <c r="UAH386" s="252"/>
      <c r="UAI386" s="252"/>
      <c r="UAJ386" s="252"/>
      <c r="UAK386" s="252"/>
      <c r="UAL386" s="252"/>
      <c r="UAM386" s="252"/>
      <c r="UAN386" s="252"/>
      <c r="UAO386" s="252"/>
      <c r="UAP386" s="252"/>
      <c r="UAQ386" s="252"/>
      <c r="UAR386" s="252"/>
      <c r="UAS386" s="252"/>
      <c r="UAT386" s="252"/>
      <c r="UAU386" s="252"/>
      <c r="UAV386" s="252"/>
      <c r="UAW386" s="252"/>
      <c r="UAX386" s="252"/>
      <c r="UAY386" s="252"/>
      <c r="UAZ386" s="252"/>
      <c r="UBA386" s="252"/>
      <c r="UBB386" s="252"/>
      <c r="UBC386" s="252"/>
      <c r="UBD386" s="252"/>
      <c r="UBE386" s="252"/>
      <c r="UBF386" s="252"/>
      <c r="UBG386" s="252"/>
      <c r="UBH386" s="252"/>
      <c r="UBI386" s="252"/>
      <c r="UBJ386" s="252"/>
      <c r="UBK386" s="252"/>
      <c r="UBL386" s="252"/>
      <c r="UBM386" s="252"/>
      <c r="UBN386" s="252"/>
      <c r="UBO386" s="252"/>
      <c r="UBP386" s="252"/>
      <c r="UBQ386" s="252"/>
      <c r="UBR386" s="252"/>
      <c r="UBS386" s="252"/>
      <c r="UBT386" s="252"/>
      <c r="UBU386" s="252"/>
      <c r="UBV386" s="252"/>
      <c r="UBW386" s="252"/>
      <c r="UBX386" s="252"/>
      <c r="UBY386" s="252"/>
      <c r="UBZ386" s="252"/>
      <c r="UCA386" s="252"/>
      <c r="UCB386" s="252"/>
      <c r="UCC386" s="252"/>
      <c r="UCD386" s="252"/>
      <c r="UCE386" s="252"/>
      <c r="UCF386" s="252"/>
      <c r="UCG386" s="252"/>
      <c r="UCH386" s="252"/>
      <c r="UCI386" s="252"/>
      <c r="UCJ386" s="252"/>
      <c r="UCK386" s="252"/>
      <c r="UCL386" s="252"/>
      <c r="UCM386" s="252"/>
      <c r="UCN386" s="252"/>
      <c r="UCO386" s="252"/>
      <c r="UCP386" s="252"/>
      <c r="UCQ386" s="252"/>
      <c r="UCR386" s="252"/>
      <c r="UCS386" s="252"/>
      <c r="UCT386" s="252"/>
      <c r="UCU386" s="252"/>
      <c r="UCV386" s="252"/>
      <c r="UCW386" s="252"/>
      <c r="UCX386" s="252"/>
      <c r="UCY386" s="252"/>
      <c r="UCZ386" s="252"/>
      <c r="UDA386" s="252"/>
      <c r="UDB386" s="252"/>
      <c r="UDC386" s="252"/>
      <c r="UDD386" s="252"/>
      <c r="UDE386" s="252"/>
      <c r="UDF386" s="252"/>
      <c r="UDG386" s="252"/>
      <c r="UDH386" s="252"/>
      <c r="UDI386" s="252"/>
      <c r="UDJ386" s="252"/>
      <c r="UDK386" s="252"/>
      <c r="UDL386" s="252"/>
      <c r="UDM386" s="252"/>
      <c r="UDN386" s="252"/>
      <c r="UDO386" s="252"/>
      <c r="UDP386" s="252"/>
      <c r="UDQ386" s="252"/>
      <c r="UDR386" s="252"/>
      <c r="UDS386" s="252"/>
      <c r="UDT386" s="252"/>
      <c r="UDU386" s="252"/>
      <c r="UDV386" s="252"/>
      <c r="UDW386" s="252"/>
      <c r="UDX386" s="252"/>
      <c r="UDY386" s="252"/>
      <c r="UDZ386" s="252"/>
      <c r="UEA386" s="252"/>
      <c r="UEB386" s="252"/>
      <c r="UEC386" s="252"/>
      <c r="UED386" s="252"/>
      <c r="UEE386" s="252"/>
      <c r="UEF386" s="252"/>
      <c r="UEG386" s="252"/>
      <c r="UEH386" s="252"/>
      <c r="UEI386" s="252"/>
      <c r="UEJ386" s="252"/>
      <c r="UEK386" s="252"/>
      <c r="UEL386" s="252"/>
      <c r="UEM386" s="252"/>
      <c r="UEN386" s="252"/>
      <c r="UEO386" s="252"/>
      <c r="UEP386" s="252"/>
      <c r="UEQ386" s="252"/>
      <c r="UER386" s="252"/>
      <c r="UES386" s="252"/>
      <c r="UET386" s="252"/>
      <c r="UEU386" s="252"/>
      <c r="UEV386" s="252"/>
      <c r="UEW386" s="252"/>
      <c r="UEX386" s="252"/>
      <c r="UEY386" s="252"/>
      <c r="UEZ386" s="252"/>
      <c r="UFA386" s="252"/>
      <c r="UFB386" s="252"/>
      <c r="UFC386" s="252"/>
      <c r="UFD386" s="252"/>
      <c r="UFE386" s="252"/>
      <c r="UFF386" s="252"/>
      <c r="UFG386" s="252"/>
      <c r="UFH386" s="252"/>
      <c r="UFI386" s="252"/>
      <c r="UFJ386" s="252"/>
      <c r="UFK386" s="252"/>
      <c r="UFL386" s="252"/>
      <c r="UFM386" s="252"/>
      <c r="UFN386" s="252"/>
      <c r="UFO386" s="252"/>
      <c r="UFP386" s="252"/>
      <c r="UFQ386" s="252"/>
      <c r="UFR386" s="252"/>
      <c r="UFS386" s="252"/>
      <c r="UFT386" s="252"/>
      <c r="UFU386" s="252"/>
      <c r="UFV386" s="252"/>
      <c r="UFW386" s="252"/>
      <c r="UFX386" s="252"/>
      <c r="UFY386" s="252"/>
      <c r="UFZ386" s="252"/>
      <c r="UGA386" s="252"/>
      <c r="UGB386" s="252"/>
      <c r="UGC386" s="252"/>
      <c r="UGD386" s="252"/>
      <c r="UGE386" s="252"/>
      <c r="UGF386" s="252"/>
      <c r="UGG386" s="252"/>
      <c r="UGH386" s="252"/>
      <c r="UGI386" s="252"/>
      <c r="UGJ386" s="252"/>
      <c r="UGK386" s="252"/>
      <c r="UGL386" s="252"/>
      <c r="UGM386" s="252"/>
      <c r="UGN386" s="252"/>
      <c r="UGO386" s="252"/>
      <c r="UGP386" s="252"/>
      <c r="UGQ386" s="252"/>
      <c r="UGR386" s="252"/>
      <c r="UGS386" s="252"/>
      <c r="UGT386" s="252"/>
      <c r="UGU386" s="252"/>
      <c r="UGV386" s="252"/>
      <c r="UGW386" s="252"/>
      <c r="UGX386" s="252"/>
      <c r="UGY386" s="252"/>
      <c r="UGZ386" s="252"/>
      <c r="UHA386" s="252"/>
      <c r="UHB386" s="252"/>
      <c r="UHC386" s="252"/>
      <c r="UHD386" s="252"/>
      <c r="UHE386" s="252"/>
      <c r="UHF386" s="252"/>
      <c r="UHG386" s="252"/>
      <c r="UHH386" s="252"/>
      <c r="UHI386" s="252"/>
      <c r="UHJ386" s="252"/>
      <c r="UHK386" s="252"/>
      <c r="UHL386" s="252"/>
      <c r="UHM386" s="252"/>
      <c r="UHN386" s="252"/>
      <c r="UHO386" s="252"/>
      <c r="UHP386" s="252"/>
      <c r="UHQ386" s="252"/>
      <c r="UHR386" s="252"/>
      <c r="UHS386" s="252"/>
      <c r="UHT386" s="252"/>
      <c r="UHU386" s="252"/>
      <c r="UHV386" s="252"/>
      <c r="UHW386" s="252"/>
      <c r="UHX386" s="252"/>
      <c r="UHY386" s="252"/>
      <c r="UHZ386" s="252"/>
      <c r="UIA386" s="252"/>
      <c r="UIB386" s="252"/>
      <c r="UIC386" s="252"/>
      <c r="UID386" s="252"/>
      <c r="UIE386" s="252"/>
      <c r="UIF386" s="252"/>
      <c r="UIG386" s="252"/>
      <c r="UIH386" s="252"/>
      <c r="UII386" s="252"/>
      <c r="UIJ386" s="252"/>
      <c r="UIK386" s="252"/>
      <c r="UIL386" s="252"/>
      <c r="UIM386" s="252"/>
      <c r="UIN386" s="252"/>
      <c r="UIO386" s="252"/>
      <c r="UIP386" s="252"/>
      <c r="UIQ386" s="252"/>
      <c r="UIR386" s="252"/>
      <c r="UIS386" s="252"/>
      <c r="UIT386" s="252"/>
      <c r="UIU386" s="252"/>
      <c r="UIV386" s="252"/>
      <c r="UIW386" s="252"/>
      <c r="UIX386" s="252"/>
      <c r="UIY386" s="252"/>
      <c r="UIZ386" s="252"/>
      <c r="UJA386" s="252"/>
      <c r="UJB386" s="252"/>
      <c r="UJC386" s="252"/>
      <c r="UJD386" s="252"/>
      <c r="UJE386" s="252"/>
      <c r="UJF386" s="252"/>
      <c r="UJG386" s="252"/>
      <c r="UJH386" s="252"/>
      <c r="UJI386" s="252"/>
      <c r="UJJ386" s="252"/>
      <c r="UJK386" s="252"/>
      <c r="UJL386" s="252"/>
      <c r="UJM386" s="252"/>
      <c r="UJN386" s="252"/>
      <c r="UJO386" s="252"/>
      <c r="UJP386" s="252"/>
      <c r="UJQ386" s="252"/>
      <c r="UJR386" s="252"/>
      <c r="UJS386" s="252"/>
      <c r="UJT386" s="252"/>
      <c r="UJU386" s="252"/>
      <c r="UJV386" s="252"/>
      <c r="UJW386" s="252"/>
      <c r="UJX386" s="252"/>
      <c r="UJY386" s="252"/>
      <c r="UJZ386" s="252"/>
      <c r="UKA386" s="252"/>
      <c r="UKB386" s="252"/>
      <c r="UKC386" s="252"/>
      <c r="UKD386" s="252"/>
      <c r="UKE386" s="252"/>
      <c r="UKF386" s="252"/>
      <c r="UKG386" s="252"/>
      <c r="UKH386" s="252"/>
      <c r="UKI386" s="252"/>
      <c r="UKJ386" s="252"/>
      <c r="UKK386" s="252"/>
      <c r="UKL386" s="252"/>
      <c r="UKM386" s="252"/>
      <c r="UKN386" s="252"/>
      <c r="UKO386" s="252"/>
      <c r="UKP386" s="252"/>
      <c r="UKQ386" s="252"/>
      <c r="UKR386" s="252"/>
      <c r="UKS386" s="252"/>
      <c r="UKT386" s="252"/>
      <c r="UKU386" s="252"/>
      <c r="UKV386" s="252"/>
      <c r="UKW386" s="252"/>
      <c r="UKX386" s="252"/>
      <c r="UKY386" s="252"/>
      <c r="UKZ386" s="252"/>
      <c r="ULA386" s="252"/>
      <c r="ULB386" s="252"/>
      <c r="ULC386" s="252"/>
      <c r="ULD386" s="252"/>
      <c r="ULE386" s="252"/>
      <c r="ULF386" s="252"/>
      <c r="ULG386" s="252"/>
      <c r="ULH386" s="252"/>
      <c r="ULI386" s="252"/>
      <c r="ULJ386" s="252"/>
      <c r="ULK386" s="252"/>
      <c r="ULL386" s="252"/>
      <c r="ULM386" s="252"/>
      <c r="ULN386" s="252"/>
      <c r="ULO386" s="252"/>
      <c r="ULP386" s="252"/>
      <c r="ULQ386" s="252"/>
      <c r="ULR386" s="252"/>
      <c r="ULS386" s="252"/>
      <c r="ULT386" s="252"/>
      <c r="ULU386" s="252"/>
      <c r="ULV386" s="252"/>
      <c r="ULW386" s="252"/>
      <c r="ULX386" s="252"/>
      <c r="ULY386" s="252"/>
      <c r="ULZ386" s="252"/>
      <c r="UMA386" s="252"/>
      <c r="UMB386" s="252"/>
      <c r="UMC386" s="252"/>
      <c r="UMD386" s="252"/>
      <c r="UME386" s="252"/>
      <c r="UMF386" s="252"/>
      <c r="UMG386" s="252"/>
      <c r="UMH386" s="252"/>
      <c r="UMI386" s="252"/>
      <c r="UMJ386" s="252"/>
      <c r="UMK386" s="252"/>
      <c r="UML386" s="252"/>
      <c r="UMM386" s="252"/>
      <c r="UMN386" s="252"/>
      <c r="UMO386" s="252"/>
      <c r="UMP386" s="252"/>
      <c r="UMQ386" s="252"/>
      <c r="UMR386" s="252"/>
      <c r="UMS386" s="252"/>
      <c r="UMT386" s="252"/>
      <c r="UMU386" s="252"/>
      <c r="UMV386" s="252"/>
      <c r="UMW386" s="252"/>
      <c r="UMX386" s="252"/>
      <c r="UMY386" s="252"/>
      <c r="UMZ386" s="252"/>
      <c r="UNA386" s="252"/>
      <c r="UNB386" s="252"/>
      <c r="UNC386" s="252"/>
      <c r="UND386" s="252"/>
      <c r="UNE386" s="252"/>
      <c r="UNF386" s="252"/>
      <c r="UNG386" s="252"/>
      <c r="UNH386" s="252"/>
      <c r="UNI386" s="252"/>
      <c r="UNJ386" s="252"/>
      <c r="UNK386" s="252"/>
      <c r="UNL386" s="252"/>
      <c r="UNM386" s="252"/>
      <c r="UNN386" s="252"/>
      <c r="UNO386" s="252"/>
      <c r="UNP386" s="252"/>
      <c r="UNQ386" s="252"/>
      <c r="UNR386" s="252"/>
      <c r="UNS386" s="252"/>
      <c r="UNT386" s="252"/>
      <c r="UNU386" s="252"/>
      <c r="UNV386" s="252"/>
      <c r="UNW386" s="252"/>
      <c r="UNX386" s="252"/>
      <c r="UNY386" s="252"/>
      <c r="UNZ386" s="252"/>
      <c r="UOA386" s="252"/>
      <c r="UOB386" s="252"/>
      <c r="UOC386" s="252"/>
      <c r="UOD386" s="252"/>
      <c r="UOE386" s="252"/>
      <c r="UOF386" s="252"/>
      <c r="UOG386" s="252"/>
      <c r="UOH386" s="252"/>
      <c r="UOI386" s="252"/>
      <c r="UOJ386" s="252"/>
      <c r="UOK386" s="252"/>
      <c r="UOL386" s="252"/>
      <c r="UOM386" s="252"/>
      <c r="UON386" s="252"/>
      <c r="UOO386" s="252"/>
      <c r="UOP386" s="252"/>
      <c r="UOQ386" s="252"/>
      <c r="UOR386" s="252"/>
      <c r="UOS386" s="252"/>
      <c r="UOT386" s="252"/>
      <c r="UOU386" s="252"/>
      <c r="UOV386" s="252"/>
      <c r="UOW386" s="252"/>
      <c r="UOX386" s="252"/>
      <c r="UOY386" s="252"/>
      <c r="UOZ386" s="252"/>
      <c r="UPA386" s="252"/>
      <c r="UPB386" s="252"/>
      <c r="UPC386" s="252"/>
      <c r="UPD386" s="252"/>
      <c r="UPE386" s="252"/>
      <c r="UPF386" s="252"/>
      <c r="UPG386" s="252"/>
      <c r="UPH386" s="252"/>
      <c r="UPI386" s="252"/>
      <c r="UPJ386" s="252"/>
      <c r="UPK386" s="252"/>
      <c r="UPL386" s="252"/>
      <c r="UPM386" s="252"/>
      <c r="UPN386" s="252"/>
      <c r="UPO386" s="252"/>
      <c r="UPP386" s="252"/>
      <c r="UPQ386" s="252"/>
      <c r="UPR386" s="252"/>
      <c r="UPS386" s="252"/>
      <c r="UPT386" s="252"/>
      <c r="UPU386" s="252"/>
      <c r="UPV386" s="252"/>
      <c r="UPW386" s="252"/>
      <c r="UPX386" s="252"/>
      <c r="UPY386" s="252"/>
      <c r="UPZ386" s="252"/>
      <c r="UQA386" s="252"/>
      <c r="UQB386" s="252"/>
      <c r="UQC386" s="252"/>
      <c r="UQD386" s="252"/>
      <c r="UQE386" s="252"/>
      <c r="UQF386" s="252"/>
      <c r="UQG386" s="252"/>
      <c r="UQH386" s="252"/>
      <c r="UQI386" s="252"/>
      <c r="UQJ386" s="252"/>
      <c r="UQK386" s="252"/>
      <c r="UQL386" s="252"/>
      <c r="UQM386" s="252"/>
      <c r="UQN386" s="252"/>
      <c r="UQO386" s="252"/>
      <c r="UQP386" s="252"/>
      <c r="UQQ386" s="252"/>
      <c r="UQR386" s="252"/>
      <c r="UQS386" s="252"/>
      <c r="UQT386" s="252"/>
      <c r="UQU386" s="252"/>
      <c r="UQV386" s="252"/>
      <c r="UQW386" s="252"/>
      <c r="UQX386" s="252"/>
      <c r="UQY386" s="252"/>
      <c r="UQZ386" s="252"/>
      <c r="URA386" s="252"/>
      <c r="URB386" s="252"/>
      <c r="URC386" s="252"/>
      <c r="URD386" s="252"/>
      <c r="URE386" s="252"/>
      <c r="URF386" s="252"/>
      <c r="URG386" s="252"/>
      <c r="URH386" s="252"/>
      <c r="URI386" s="252"/>
      <c r="URJ386" s="252"/>
      <c r="URK386" s="252"/>
      <c r="URL386" s="252"/>
      <c r="URM386" s="252"/>
      <c r="URN386" s="252"/>
      <c r="URO386" s="252"/>
      <c r="URP386" s="252"/>
      <c r="URQ386" s="252"/>
      <c r="URR386" s="252"/>
      <c r="URS386" s="252"/>
      <c r="URT386" s="252"/>
      <c r="URU386" s="252"/>
      <c r="URV386" s="252"/>
      <c r="URW386" s="252"/>
      <c r="URX386" s="252"/>
      <c r="URY386" s="252"/>
      <c r="URZ386" s="252"/>
      <c r="USA386" s="252"/>
      <c r="USB386" s="252"/>
      <c r="USC386" s="252"/>
      <c r="USD386" s="252"/>
      <c r="USE386" s="252"/>
      <c r="USF386" s="252"/>
      <c r="USG386" s="252"/>
      <c r="USH386" s="252"/>
      <c r="USI386" s="252"/>
      <c r="USJ386" s="252"/>
      <c r="USK386" s="252"/>
      <c r="USL386" s="252"/>
      <c r="USM386" s="252"/>
      <c r="USN386" s="252"/>
      <c r="USO386" s="252"/>
      <c r="USP386" s="252"/>
      <c r="USQ386" s="252"/>
      <c r="USR386" s="252"/>
      <c r="USS386" s="252"/>
      <c r="UST386" s="252"/>
      <c r="USU386" s="252"/>
      <c r="USV386" s="252"/>
      <c r="USW386" s="252"/>
      <c r="USX386" s="252"/>
      <c r="USY386" s="252"/>
      <c r="USZ386" s="252"/>
      <c r="UTA386" s="252"/>
      <c r="UTB386" s="252"/>
      <c r="UTC386" s="252"/>
      <c r="UTD386" s="252"/>
      <c r="UTE386" s="252"/>
      <c r="UTF386" s="252"/>
      <c r="UTG386" s="252"/>
      <c r="UTH386" s="252"/>
      <c r="UTI386" s="252"/>
      <c r="UTJ386" s="252"/>
      <c r="UTK386" s="252"/>
      <c r="UTL386" s="252"/>
      <c r="UTM386" s="252"/>
      <c r="UTN386" s="252"/>
      <c r="UTO386" s="252"/>
      <c r="UTP386" s="252"/>
      <c r="UTQ386" s="252"/>
      <c r="UTR386" s="252"/>
      <c r="UTS386" s="252"/>
      <c r="UTT386" s="252"/>
      <c r="UTU386" s="252"/>
      <c r="UTV386" s="252"/>
      <c r="UTW386" s="252"/>
      <c r="UTX386" s="252"/>
      <c r="UTY386" s="252"/>
      <c r="UTZ386" s="252"/>
      <c r="UUA386" s="252"/>
      <c r="UUB386" s="252"/>
      <c r="UUC386" s="252"/>
      <c r="UUD386" s="252"/>
      <c r="UUE386" s="252"/>
      <c r="UUF386" s="252"/>
      <c r="UUG386" s="252"/>
      <c r="UUH386" s="252"/>
      <c r="UUI386" s="252"/>
      <c r="UUJ386" s="252"/>
      <c r="UUK386" s="252"/>
      <c r="UUL386" s="252"/>
      <c r="UUM386" s="252"/>
      <c r="UUN386" s="252"/>
      <c r="UUO386" s="252"/>
      <c r="UUP386" s="252"/>
      <c r="UUQ386" s="252"/>
      <c r="UUR386" s="252"/>
      <c r="UUS386" s="252"/>
      <c r="UUT386" s="252"/>
      <c r="UUU386" s="252"/>
      <c r="UUV386" s="252"/>
      <c r="UUW386" s="252"/>
      <c r="UUX386" s="252"/>
      <c r="UUY386" s="252"/>
      <c r="UUZ386" s="252"/>
      <c r="UVA386" s="252"/>
      <c r="UVB386" s="252"/>
      <c r="UVC386" s="252"/>
      <c r="UVD386" s="252"/>
      <c r="UVE386" s="252"/>
      <c r="UVF386" s="252"/>
      <c r="UVG386" s="252"/>
      <c r="UVH386" s="252"/>
      <c r="UVI386" s="252"/>
      <c r="UVJ386" s="252"/>
      <c r="UVK386" s="252"/>
      <c r="UVL386" s="252"/>
      <c r="UVM386" s="252"/>
      <c r="UVN386" s="252"/>
      <c r="UVO386" s="252"/>
      <c r="UVP386" s="252"/>
      <c r="UVQ386" s="252"/>
      <c r="UVR386" s="252"/>
      <c r="UVS386" s="252"/>
      <c r="UVT386" s="252"/>
      <c r="UVU386" s="252"/>
      <c r="UVV386" s="252"/>
      <c r="UVW386" s="252"/>
      <c r="UVX386" s="252"/>
      <c r="UVY386" s="252"/>
      <c r="UVZ386" s="252"/>
      <c r="UWA386" s="252"/>
      <c r="UWB386" s="252"/>
      <c r="UWC386" s="252"/>
      <c r="UWD386" s="252"/>
      <c r="UWE386" s="252"/>
      <c r="UWF386" s="252"/>
      <c r="UWG386" s="252"/>
      <c r="UWH386" s="252"/>
      <c r="UWI386" s="252"/>
      <c r="UWJ386" s="252"/>
      <c r="UWK386" s="252"/>
      <c r="UWL386" s="252"/>
      <c r="UWM386" s="252"/>
      <c r="UWN386" s="252"/>
      <c r="UWO386" s="252"/>
      <c r="UWP386" s="252"/>
      <c r="UWQ386" s="252"/>
      <c r="UWR386" s="252"/>
      <c r="UWS386" s="252"/>
      <c r="UWT386" s="252"/>
      <c r="UWU386" s="252"/>
      <c r="UWV386" s="252"/>
      <c r="UWW386" s="252"/>
      <c r="UWX386" s="252"/>
      <c r="UWY386" s="252"/>
      <c r="UWZ386" s="252"/>
      <c r="UXA386" s="252"/>
      <c r="UXB386" s="252"/>
      <c r="UXC386" s="252"/>
      <c r="UXD386" s="252"/>
      <c r="UXE386" s="252"/>
      <c r="UXF386" s="252"/>
      <c r="UXG386" s="252"/>
      <c r="UXH386" s="252"/>
      <c r="UXI386" s="252"/>
      <c r="UXJ386" s="252"/>
      <c r="UXK386" s="252"/>
      <c r="UXL386" s="252"/>
      <c r="UXM386" s="252"/>
      <c r="UXN386" s="252"/>
      <c r="UXO386" s="252"/>
      <c r="UXP386" s="252"/>
      <c r="UXQ386" s="252"/>
      <c r="UXR386" s="252"/>
      <c r="UXS386" s="252"/>
      <c r="UXT386" s="252"/>
      <c r="UXU386" s="252"/>
      <c r="UXV386" s="252"/>
      <c r="UXW386" s="252"/>
      <c r="UXX386" s="252"/>
      <c r="UXY386" s="252"/>
      <c r="UXZ386" s="252"/>
      <c r="UYA386" s="252"/>
      <c r="UYB386" s="252"/>
      <c r="UYC386" s="252"/>
      <c r="UYD386" s="252"/>
      <c r="UYE386" s="252"/>
      <c r="UYF386" s="252"/>
      <c r="UYG386" s="252"/>
      <c r="UYH386" s="252"/>
      <c r="UYI386" s="252"/>
      <c r="UYJ386" s="252"/>
      <c r="UYK386" s="252"/>
      <c r="UYL386" s="252"/>
      <c r="UYM386" s="252"/>
      <c r="UYN386" s="252"/>
      <c r="UYO386" s="252"/>
      <c r="UYP386" s="252"/>
      <c r="UYQ386" s="252"/>
      <c r="UYR386" s="252"/>
      <c r="UYS386" s="252"/>
      <c r="UYT386" s="252"/>
      <c r="UYU386" s="252"/>
      <c r="UYV386" s="252"/>
      <c r="UYW386" s="252"/>
      <c r="UYX386" s="252"/>
      <c r="UYY386" s="252"/>
      <c r="UYZ386" s="252"/>
      <c r="UZA386" s="252"/>
      <c r="UZB386" s="252"/>
      <c r="UZC386" s="252"/>
      <c r="UZD386" s="252"/>
      <c r="UZE386" s="252"/>
      <c r="UZF386" s="252"/>
      <c r="UZG386" s="252"/>
      <c r="UZH386" s="252"/>
      <c r="UZI386" s="252"/>
      <c r="UZJ386" s="252"/>
      <c r="UZK386" s="252"/>
      <c r="UZL386" s="252"/>
      <c r="UZM386" s="252"/>
      <c r="UZN386" s="252"/>
      <c r="UZO386" s="252"/>
      <c r="UZP386" s="252"/>
      <c r="UZQ386" s="252"/>
      <c r="UZR386" s="252"/>
      <c r="UZS386" s="252"/>
      <c r="UZT386" s="252"/>
      <c r="UZU386" s="252"/>
      <c r="UZV386" s="252"/>
      <c r="UZW386" s="252"/>
      <c r="UZX386" s="252"/>
      <c r="UZY386" s="252"/>
      <c r="UZZ386" s="252"/>
      <c r="VAA386" s="252"/>
      <c r="VAB386" s="252"/>
      <c r="VAC386" s="252"/>
      <c r="VAD386" s="252"/>
      <c r="VAE386" s="252"/>
      <c r="VAF386" s="252"/>
      <c r="VAG386" s="252"/>
      <c r="VAH386" s="252"/>
      <c r="VAI386" s="252"/>
      <c r="VAJ386" s="252"/>
      <c r="VAK386" s="252"/>
      <c r="VAL386" s="252"/>
      <c r="VAM386" s="252"/>
      <c r="VAN386" s="252"/>
      <c r="VAO386" s="252"/>
      <c r="VAP386" s="252"/>
      <c r="VAQ386" s="252"/>
      <c r="VAR386" s="252"/>
      <c r="VAS386" s="252"/>
      <c r="VAT386" s="252"/>
      <c r="VAU386" s="252"/>
      <c r="VAV386" s="252"/>
      <c r="VAW386" s="252"/>
      <c r="VAX386" s="252"/>
      <c r="VAY386" s="252"/>
      <c r="VAZ386" s="252"/>
      <c r="VBA386" s="252"/>
      <c r="VBB386" s="252"/>
      <c r="VBC386" s="252"/>
      <c r="VBD386" s="252"/>
      <c r="VBE386" s="252"/>
      <c r="VBF386" s="252"/>
      <c r="VBG386" s="252"/>
      <c r="VBH386" s="252"/>
      <c r="VBI386" s="252"/>
      <c r="VBJ386" s="252"/>
      <c r="VBK386" s="252"/>
      <c r="VBL386" s="252"/>
      <c r="VBM386" s="252"/>
      <c r="VBN386" s="252"/>
      <c r="VBO386" s="252"/>
      <c r="VBP386" s="252"/>
      <c r="VBQ386" s="252"/>
      <c r="VBR386" s="252"/>
      <c r="VBS386" s="252"/>
      <c r="VBT386" s="252"/>
      <c r="VBU386" s="252"/>
      <c r="VBV386" s="252"/>
      <c r="VBW386" s="252"/>
      <c r="VBX386" s="252"/>
      <c r="VBY386" s="252"/>
      <c r="VBZ386" s="252"/>
      <c r="VCA386" s="252"/>
      <c r="VCB386" s="252"/>
      <c r="VCC386" s="252"/>
      <c r="VCD386" s="252"/>
      <c r="VCE386" s="252"/>
      <c r="VCF386" s="252"/>
      <c r="VCG386" s="252"/>
      <c r="VCH386" s="252"/>
      <c r="VCI386" s="252"/>
      <c r="VCJ386" s="252"/>
      <c r="VCK386" s="252"/>
      <c r="VCL386" s="252"/>
      <c r="VCM386" s="252"/>
      <c r="VCN386" s="252"/>
      <c r="VCO386" s="252"/>
      <c r="VCP386" s="252"/>
      <c r="VCQ386" s="252"/>
      <c r="VCR386" s="252"/>
      <c r="VCS386" s="252"/>
      <c r="VCT386" s="252"/>
      <c r="VCU386" s="252"/>
      <c r="VCV386" s="252"/>
      <c r="VCW386" s="252"/>
      <c r="VCX386" s="252"/>
      <c r="VCY386" s="252"/>
      <c r="VCZ386" s="252"/>
      <c r="VDA386" s="252"/>
      <c r="VDB386" s="252"/>
      <c r="VDC386" s="252"/>
      <c r="VDD386" s="252"/>
      <c r="VDE386" s="252"/>
      <c r="VDF386" s="252"/>
      <c r="VDG386" s="252"/>
      <c r="VDH386" s="252"/>
      <c r="VDI386" s="252"/>
      <c r="VDJ386" s="252"/>
      <c r="VDK386" s="252"/>
      <c r="VDL386" s="252"/>
      <c r="VDM386" s="252"/>
      <c r="VDN386" s="252"/>
      <c r="VDO386" s="252"/>
      <c r="VDP386" s="252"/>
      <c r="VDQ386" s="252"/>
      <c r="VDR386" s="252"/>
      <c r="VDS386" s="252"/>
      <c r="VDT386" s="252"/>
      <c r="VDU386" s="252"/>
      <c r="VDV386" s="252"/>
      <c r="VDW386" s="252"/>
      <c r="VDX386" s="252"/>
      <c r="VDY386" s="252"/>
      <c r="VDZ386" s="252"/>
      <c r="VEA386" s="252"/>
      <c r="VEB386" s="252"/>
      <c r="VEC386" s="252"/>
      <c r="VED386" s="252"/>
      <c r="VEE386" s="252"/>
      <c r="VEF386" s="252"/>
      <c r="VEG386" s="252"/>
      <c r="VEH386" s="252"/>
      <c r="VEI386" s="252"/>
      <c r="VEJ386" s="252"/>
      <c r="VEK386" s="252"/>
      <c r="VEL386" s="252"/>
      <c r="VEM386" s="252"/>
      <c r="VEN386" s="252"/>
      <c r="VEO386" s="252"/>
      <c r="VEP386" s="252"/>
      <c r="VEQ386" s="252"/>
      <c r="VER386" s="252"/>
      <c r="VES386" s="252"/>
      <c r="VET386" s="252"/>
      <c r="VEU386" s="252"/>
      <c r="VEV386" s="252"/>
      <c r="VEW386" s="252"/>
      <c r="VEX386" s="252"/>
      <c r="VEY386" s="252"/>
      <c r="VEZ386" s="252"/>
      <c r="VFA386" s="252"/>
      <c r="VFB386" s="252"/>
      <c r="VFC386" s="252"/>
      <c r="VFD386" s="252"/>
      <c r="VFE386" s="252"/>
      <c r="VFF386" s="252"/>
      <c r="VFG386" s="252"/>
      <c r="VFH386" s="252"/>
      <c r="VFI386" s="252"/>
      <c r="VFJ386" s="252"/>
      <c r="VFK386" s="252"/>
      <c r="VFL386" s="252"/>
      <c r="VFM386" s="252"/>
      <c r="VFN386" s="252"/>
      <c r="VFO386" s="252"/>
      <c r="VFP386" s="252"/>
      <c r="VFQ386" s="252"/>
      <c r="VFR386" s="252"/>
      <c r="VFS386" s="252"/>
      <c r="VFT386" s="252"/>
      <c r="VFU386" s="252"/>
      <c r="VFV386" s="252"/>
      <c r="VFW386" s="252"/>
      <c r="VFX386" s="252"/>
      <c r="VFY386" s="252"/>
      <c r="VFZ386" s="252"/>
      <c r="VGA386" s="252"/>
      <c r="VGB386" s="252"/>
      <c r="VGC386" s="252"/>
      <c r="VGD386" s="252"/>
      <c r="VGE386" s="252"/>
      <c r="VGF386" s="252"/>
      <c r="VGG386" s="252"/>
      <c r="VGH386" s="252"/>
      <c r="VGI386" s="252"/>
      <c r="VGJ386" s="252"/>
      <c r="VGK386" s="252"/>
      <c r="VGL386" s="252"/>
      <c r="VGM386" s="252"/>
      <c r="VGN386" s="252"/>
      <c r="VGO386" s="252"/>
      <c r="VGP386" s="252"/>
      <c r="VGQ386" s="252"/>
      <c r="VGR386" s="252"/>
      <c r="VGS386" s="252"/>
      <c r="VGT386" s="252"/>
      <c r="VGU386" s="252"/>
      <c r="VGV386" s="252"/>
      <c r="VGW386" s="252"/>
      <c r="VGX386" s="252"/>
      <c r="VGY386" s="252"/>
      <c r="VGZ386" s="252"/>
      <c r="VHA386" s="252"/>
      <c r="VHB386" s="252"/>
      <c r="VHC386" s="252"/>
      <c r="VHD386" s="252"/>
      <c r="VHE386" s="252"/>
      <c r="VHF386" s="252"/>
      <c r="VHG386" s="252"/>
      <c r="VHH386" s="252"/>
      <c r="VHI386" s="252"/>
      <c r="VHJ386" s="252"/>
      <c r="VHK386" s="252"/>
      <c r="VHL386" s="252"/>
      <c r="VHM386" s="252"/>
      <c r="VHN386" s="252"/>
      <c r="VHO386" s="252"/>
      <c r="VHP386" s="252"/>
      <c r="VHQ386" s="252"/>
      <c r="VHR386" s="252"/>
      <c r="VHS386" s="252"/>
      <c r="VHT386" s="252"/>
      <c r="VHU386" s="252"/>
      <c r="VHV386" s="252"/>
      <c r="VHW386" s="252"/>
      <c r="VHX386" s="252"/>
      <c r="VHY386" s="252"/>
      <c r="VHZ386" s="252"/>
      <c r="VIA386" s="252"/>
      <c r="VIB386" s="252"/>
      <c r="VIC386" s="252"/>
      <c r="VID386" s="252"/>
      <c r="VIE386" s="252"/>
      <c r="VIF386" s="252"/>
      <c r="VIG386" s="252"/>
      <c r="VIH386" s="252"/>
      <c r="VII386" s="252"/>
      <c r="VIJ386" s="252"/>
      <c r="VIK386" s="252"/>
      <c r="VIL386" s="252"/>
      <c r="VIM386" s="252"/>
      <c r="VIN386" s="252"/>
      <c r="VIO386" s="252"/>
      <c r="VIP386" s="252"/>
      <c r="VIQ386" s="252"/>
      <c r="VIR386" s="252"/>
      <c r="VIS386" s="252"/>
      <c r="VIT386" s="252"/>
      <c r="VIU386" s="252"/>
      <c r="VIV386" s="252"/>
      <c r="VIW386" s="252"/>
      <c r="VIX386" s="252"/>
      <c r="VIY386" s="252"/>
      <c r="VIZ386" s="252"/>
      <c r="VJA386" s="252"/>
      <c r="VJB386" s="252"/>
      <c r="VJC386" s="252"/>
      <c r="VJD386" s="252"/>
      <c r="VJE386" s="252"/>
      <c r="VJF386" s="252"/>
      <c r="VJG386" s="252"/>
      <c r="VJH386" s="252"/>
      <c r="VJI386" s="252"/>
      <c r="VJJ386" s="252"/>
      <c r="VJK386" s="252"/>
      <c r="VJL386" s="252"/>
      <c r="VJM386" s="252"/>
      <c r="VJN386" s="252"/>
      <c r="VJO386" s="252"/>
      <c r="VJP386" s="252"/>
      <c r="VJQ386" s="252"/>
      <c r="VJR386" s="252"/>
      <c r="VJS386" s="252"/>
      <c r="VJT386" s="252"/>
      <c r="VJU386" s="252"/>
      <c r="VJV386" s="252"/>
      <c r="VJW386" s="252"/>
      <c r="VJX386" s="252"/>
      <c r="VJY386" s="252"/>
      <c r="VJZ386" s="252"/>
      <c r="VKA386" s="252"/>
      <c r="VKB386" s="252"/>
      <c r="VKC386" s="252"/>
      <c r="VKD386" s="252"/>
      <c r="VKE386" s="252"/>
      <c r="VKF386" s="252"/>
      <c r="VKG386" s="252"/>
      <c r="VKH386" s="252"/>
      <c r="VKI386" s="252"/>
      <c r="VKJ386" s="252"/>
      <c r="VKK386" s="252"/>
      <c r="VKL386" s="252"/>
      <c r="VKM386" s="252"/>
      <c r="VKN386" s="252"/>
      <c r="VKO386" s="252"/>
      <c r="VKP386" s="252"/>
      <c r="VKQ386" s="252"/>
      <c r="VKR386" s="252"/>
      <c r="VKS386" s="252"/>
      <c r="VKT386" s="252"/>
      <c r="VKU386" s="252"/>
      <c r="VKV386" s="252"/>
      <c r="VKW386" s="252"/>
      <c r="VKX386" s="252"/>
      <c r="VKY386" s="252"/>
      <c r="VKZ386" s="252"/>
      <c r="VLA386" s="252"/>
      <c r="VLB386" s="252"/>
      <c r="VLC386" s="252"/>
      <c r="VLD386" s="252"/>
      <c r="VLE386" s="252"/>
      <c r="VLF386" s="252"/>
      <c r="VLG386" s="252"/>
      <c r="VLH386" s="252"/>
      <c r="VLI386" s="252"/>
      <c r="VLJ386" s="252"/>
      <c r="VLK386" s="252"/>
      <c r="VLL386" s="252"/>
      <c r="VLM386" s="252"/>
      <c r="VLN386" s="252"/>
      <c r="VLO386" s="252"/>
      <c r="VLP386" s="252"/>
      <c r="VLQ386" s="252"/>
      <c r="VLR386" s="252"/>
      <c r="VLS386" s="252"/>
      <c r="VLT386" s="252"/>
      <c r="VLU386" s="252"/>
      <c r="VLV386" s="252"/>
      <c r="VLW386" s="252"/>
      <c r="VLX386" s="252"/>
      <c r="VLY386" s="252"/>
      <c r="VLZ386" s="252"/>
      <c r="VMA386" s="252"/>
      <c r="VMB386" s="252"/>
      <c r="VMC386" s="252"/>
      <c r="VMD386" s="252"/>
      <c r="VME386" s="252"/>
      <c r="VMF386" s="252"/>
      <c r="VMG386" s="252"/>
      <c r="VMH386" s="252"/>
      <c r="VMI386" s="252"/>
      <c r="VMJ386" s="252"/>
      <c r="VMK386" s="252"/>
      <c r="VML386" s="252"/>
      <c r="VMM386" s="252"/>
      <c r="VMN386" s="252"/>
      <c r="VMO386" s="252"/>
      <c r="VMP386" s="252"/>
      <c r="VMQ386" s="252"/>
      <c r="VMR386" s="252"/>
      <c r="VMS386" s="252"/>
      <c r="VMT386" s="252"/>
      <c r="VMU386" s="252"/>
      <c r="VMV386" s="252"/>
      <c r="VMW386" s="252"/>
      <c r="VMX386" s="252"/>
      <c r="VMY386" s="252"/>
      <c r="VMZ386" s="252"/>
      <c r="VNA386" s="252"/>
      <c r="VNB386" s="252"/>
      <c r="VNC386" s="252"/>
      <c r="VND386" s="252"/>
      <c r="VNE386" s="252"/>
      <c r="VNF386" s="252"/>
      <c r="VNG386" s="252"/>
      <c r="VNH386" s="252"/>
      <c r="VNI386" s="252"/>
      <c r="VNJ386" s="252"/>
      <c r="VNK386" s="252"/>
      <c r="VNL386" s="252"/>
      <c r="VNM386" s="252"/>
      <c r="VNN386" s="252"/>
      <c r="VNO386" s="252"/>
      <c r="VNP386" s="252"/>
      <c r="VNQ386" s="252"/>
      <c r="VNR386" s="252"/>
      <c r="VNS386" s="252"/>
      <c r="VNT386" s="252"/>
      <c r="VNU386" s="252"/>
      <c r="VNV386" s="252"/>
      <c r="VNW386" s="252"/>
      <c r="VNX386" s="252"/>
      <c r="VNY386" s="252"/>
      <c r="VNZ386" s="252"/>
      <c r="VOA386" s="252"/>
      <c r="VOB386" s="252"/>
      <c r="VOC386" s="252"/>
      <c r="VOD386" s="252"/>
      <c r="VOE386" s="252"/>
      <c r="VOF386" s="252"/>
      <c r="VOG386" s="252"/>
      <c r="VOH386" s="252"/>
      <c r="VOI386" s="252"/>
      <c r="VOJ386" s="252"/>
      <c r="VOK386" s="252"/>
      <c r="VOL386" s="252"/>
      <c r="VOM386" s="252"/>
      <c r="VON386" s="252"/>
      <c r="VOO386" s="252"/>
      <c r="VOP386" s="252"/>
      <c r="VOQ386" s="252"/>
      <c r="VOR386" s="252"/>
      <c r="VOS386" s="252"/>
      <c r="VOT386" s="252"/>
      <c r="VOU386" s="252"/>
      <c r="VOV386" s="252"/>
      <c r="VOW386" s="252"/>
      <c r="VOX386" s="252"/>
      <c r="VOY386" s="252"/>
      <c r="VOZ386" s="252"/>
      <c r="VPA386" s="252"/>
      <c r="VPB386" s="252"/>
      <c r="VPC386" s="252"/>
      <c r="VPD386" s="252"/>
      <c r="VPE386" s="252"/>
      <c r="VPF386" s="252"/>
      <c r="VPG386" s="252"/>
      <c r="VPH386" s="252"/>
      <c r="VPI386" s="252"/>
      <c r="VPJ386" s="252"/>
      <c r="VPK386" s="252"/>
      <c r="VPL386" s="252"/>
      <c r="VPM386" s="252"/>
      <c r="VPN386" s="252"/>
      <c r="VPO386" s="252"/>
      <c r="VPP386" s="252"/>
      <c r="VPQ386" s="252"/>
      <c r="VPR386" s="252"/>
      <c r="VPS386" s="252"/>
      <c r="VPT386" s="252"/>
      <c r="VPU386" s="252"/>
      <c r="VPV386" s="252"/>
      <c r="VPW386" s="252"/>
      <c r="VPX386" s="252"/>
      <c r="VPY386" s="252"/>
      <c r="VPZ386" s="252"/>
      <c r="VQA386" s="252"/>
      <c r="VQB386" s="252"/>
      <c r="VQC386" s="252"/>
      <c r="VQD386" s="252"/>
      <c r="VQE386" s="252"/>
      <c r="VQF386" s="252"/>
      <c r="VQG386" s="252"/>
      <c r="VQH386" s="252"/>
      <c r="VQI386" s="252"/>
      <c r="VQJ386" s="252"/>
      <c r="VQK386" s="252"/>
      <c r="VQL386" s="252"/>
      <c r="VQM386" s="252"/>
      <c r="VQN386" s="252"/>
      <c r="VQO386" s="252"/>
      <c r="VQP386" s="252"/>
      <c r="VQQ386" s="252"/>
      <c r="VQR386" s="252"/>
      <c r="VQS386" s="252"/>
      <c r="VQT386" s="252"/>
      <c r="VQU386" s="252"/>
      <c r="VQV386" s="252"/>
      <c r="VQW386" s="252"/>
      <c r="VQX386" s="252"/>
      <c r="VQY386" s="252"/>
      <c r="VQZ386" s="252"/>
      <c r="VRA386" s="252"/>
      <c r="VRB386" s="252"/>
      <c r="VRC386" s="252"/>
      <c r="VRD386" s="252"/>
      <c r="VRE386" s="252"/>
      <c r="VRF386" s="252"/>
      <c r="VRG386" s="252"/>
      <c r="VRH386" s="252"/>
      <c r="VRI386" s="252"/>
      <c r="VRJ386" s="252"/>
      <c r="VRK386" s="252"/>
      <c r="VRL386" s="252"/>
      <c r="VRM386" s="252"/>
      <c r="VRN386" s="252"/>
      <c r="VRO386" s="252"/>
      <c r="VRP386" s="252"/>
      <c r="VRQ386" s="252"/>
      <c r="VRR386" s="252"/>
      <c r="VRS386" s="252"/>
      <c r="VRT386" s="252"/>
      <c r="VRU386" s="252"/>
      <c r="VRV386" s="252"/>
      <c r="VRW386" s="252"/>
      <c r="VRX386" s="252"/>
      <c r="VRY386" s="252"/>
      <c r="VRZ386" s="252"/>
      <c r="VSA386" s="252"/>
      <c r="VSB386" s="252"/>
      <c r="VSC386" s="252"/>
      <c r="VSD386" s="252"/>
      <c r="VSE386" s="252"/>
      <c r="VSF386" s="252"/>
      <c r="VSG386" s="252"/>
      <c r="VSH386" s="252"/>
      <c r="VSI386" s="252"/>
      <c r="VSJ386" s="252"/>
      <c r="VSK386" s="252"/>
      <c r="VSL386" s="252"/>
      <c r="VSM386" s="252"/>
      <c r="VSN386" s="252"/>
      <c r="VSO386" s="252"/>
      <c r="VSP386" s="252"/>
      <c r="VSQ386" s="252"/>
      <c r="VSR386" s="252"/>
      <c r="VSS386" s="252"/>
      <c r="VST386" s="252"/>
      <c r="VSU386" s="252"/>
      <c r="VSV386" s="252"/>
      <c r="VSW386" s="252"/>
      <c r="VSX386" s="252"/>
      <c r="VSY386" s="252"/>
      <c r="VSZ386" s="252"/>
      <c r="VTA386" s="252"/>
      <c r="VTB386" s="252"/>
      <c r="VTC386" s="252"/>
      <c r="VTD386" s="252"/>
      <c r="VTE386" s="252"/>
      <c r="VTF386" s="252"/>
      <c r="VTG386" s="252"/>
      <c r="VTH386" s="252"/>
      <c r="VTI386" s="252"/>
      <c r="VTJ386" s="252"/>
      <c r="VTK386" s="252"/>
      <c r="VTL386" s="252"/>
      <c r="VTM386" s="252"/>
      <c r="VTN386" s="252"/>
      <c r="VTO386" s="252"/>
      <c r="VTP386" s="252"/>
      <c r="VTQ386" s="252"/>
      <c r="VTR386" s="252"/>
      <c r="VTS386" s="252"/>
      <c r="VTT386" s="252"/>
      <c r="VTU386" s="252"/>
      <c r="VTV386" s="252"/>
      <c r="VTW386" s="252"/>
      <c r="VTX386" s="252"/>
      <c r="VTY386" s="252"/>
      <c r="VTZ386" s="252"/>
      <c r="VUA386" s="252"/>
      <c r="VUB386" s="252"/>
      <c r="VUC386" s="252"/>
      <c r="VUD386" s="252"/>
      <c r="VUE386" s="252"/>
      <c r="VUF386" s="252"/>
      <c r="VUG386" s="252"/>
      <c r="VUH386" s="252"/>
      <c r="VUI386" s="252"/>
      <c r="VUJ386" s="252"/>
      <c r="VUK386" s="252"/>
      <c r="VUL386" s="252"/>
      <c r="VUM386" s="252"/>
      <c r="VUN386" s="252"/>
      <c r="VUO386" s="252"/>
      <c r="VUP386" s="252"/>
      <c r="VUQ386" s="252"/>
      <c r="VUR386" s="252"/>
      <c r="VUS386" s="252"/>
      <c r="VUT386" s="252"/>
      <c r="VUU386" s="252"/>
      <c r="VUV386" s="252"/>
      <c r="VUW386" s="252"/>
      <c r="VUX386" s="252"/>
      <c r="VUY386" s="252"/>
      <c r="VUZ386" s="252"/>
      <c r="VVA386" s="252"/>
      <c r="VVB386" s="252"/>
      <c r="VVC386" s="252"/>
      <c r="VVD386" s="252"/>
      <c r="VVE386" s="252"/>
      <c r="VVF386" s="252"/>
      <c r="VVG386" s="252"/>
      <c r="VVH386" s="252"/>
      <c r="VVI386" s="252"/>
      <c r="VVJ386" s="252"/>
      <c r="VVK386" s="252"/>
      <c r="VVL386" s="252"/>
      <c r="VVM386" s="252"/>
      <c r="VVN386" s="252"/>
      <c r="VVO386" s="252"/>
      <c r="VVP386" s="252"/>
      <c r="VVQ386" s="252"/>
      <c r="VVR386" s="252"/>
      <c r="VVS386" s="252"/>
      <c r="VVT386" s="252"/>
      <c r="VVU386" s="252"/>
      <c r="VVV386" s="252"/>
      <c r="VVW386" s="252"/>
      <c r="VVX386" s="252"/>
      <c r="VVY386" s="252"/>
      <c r="VVZ386" s="252"/>
      <c r="VWA386" s="252"/>
      <c r="VWB386" s="252"/>
      <c r="VWC386" s="252"/>
      <c r="VWD386" s="252"/>
      <c r="VWE386" s="252"/>
      <c r="VWF386" s="252"/>
      <c r="VWG386" s="252"/>
      <c r="VWH386" s="252"/>
      <c r="VWI386" s="252"/>
      <c r="VWJ386" s="252"/>
      <c r="VWK386" s="252"/>
      <c r="VWL386" s="252"/>
      <c r="VWM386" s="252"/>
      <c r="VWN386" s="252"/>
      <c r="VWO386" s="252"/>
      <c r="VWP386" s="252"/>
      <c r="VWQ386" s="252"/>
      <c r="VWR386" s="252"/>
      <c r="VWS386" s="252"/>
      <c r="VWT386" s="252"/>
      <c r="VWU386" s="252"/>
      <c r="VWV386" s="252"/>
      <c r="VWW386" s="252"/>
      <c r="VWX386" s="252"/>
      <c r="VWY386" s="252"/>
      <c r="VWZ386" s="252"/>
      <c r="VXA386" s="252"/>
      <c r="VXB386" s="252"/>
      <c r="VXC386" s="252"/>
      <c r="VXD386" s="252"/>
      <c r="VXE386" s="252"/>
      <c r="VXF386" s="252"/>
      <c r="VXG386" s="252"/>
      <c r="VXH386" s="252"/>
      <c r="VXI386" s="252"/>
      <c r="VXJ386" s="252"/>
      <c r="VXK386" s="252"/>
      <c r="VXL386" s="252"/>
      <c r="VXM386" s="252"/>
      <c r="VXN386" s="252"/>
      <c r="VXO386" s="252"/>
      <c r="VXP386" s="252"/>
      <c r="VXQ386" s="252"/>
      <c r="VXR386" s="252"/>
      <c r="VXS386" s="252"/>
      <c r="VXT386" s="252"/>
      <c r="VXU386" s="252"/>
      <c r="VXV386" s="252"/>
      <c r="VXW386" s="252"/>
      <c r="VXX386" s="252"/>
      <c r="VXY386" s="252"/>
      <c r="VXZ386" s="252"/>
      <c r="VYA386" s="252"/>
      <c r="VYB386" s="252"/>
      <c r="VYC386" s="252"/>
      <c r="VYD386" s="252"/>
      <c r="VYE386" s="252"/>
      <c r="VYF386" s="252"/>
      <c r="VYG386" s="252"/>
      <c r="VYH386" s="252"/>
      <c r="VYI386" s="252"/>
      <c r="VYJ386" s="252"/>
      <c r="VYK386" s="252"/>
      <c r="VYL386" s="252"/>
      <c r="VYM386" s="252"/>
      <c r="VYN386" s="252"/>
      <c r="VYO386" s="252"/>
      <c r="VYP386" s="252"/>
      <c r="VYQ386" s="252"/>
      <c r="VYR386" s="252"/>
      <c r="VYS386" s="252"/>
      <c r="VYT386" s="252"/>
      <c r="VYU386" s="252"/>
      <c r="VYV386" s="252"/>
      <c r="VYW386" s="252"/>
      <c r="VYX386" s="252"/>
      <c r="VYY386" s="252"/>
      <c r="VYZ386" s="252"/>
      <c r="VZA386" s="252"/>
      <c r="VZB386" s="252"/>
      <c r="VZC386" s="252"/>
      <c r="VZD386" s="252"/>
      <c r="VZE386" s="252"/>
      <c r="VZF386" s="252"/>
      <c r="VZG386" s="252"/>
      <c r="VZH386" s="252"/>
      <c r="VZI386" s="252"/>
      <c r="VZJ386" s="252"/>
      <c r="VZK386" s="252"/>
      <c r="VZL386" s="252"/>
      <c r="VZM386" s="252"/>
      <c r="VZN386" s="252"/>
      <c r="VZO386" s="252"/>
      <c r="VZP386" s="252"/>
      <c r="VZQ386" s="252"/>
      <c r="VZR386" s="252"/>
      <c r="VZS386" s="252"/>
      <c r="VZT386" s="252"/>
      <c r="VZU386" s="252"/>
      <c r="VZV386" s="252"/>
      <c r="VZW386" s="252"/>
      <c r="VZX386" s="252"/>
      <c r="VZY386" s="252"/>
      <c r="VZZ386" s="252"/>
      <c r="WAA386" s="252"/>
      <c r="WAB386" s="252"/>
      <c r="WAC386" s="252"/>
      <c r="WAD386" s="252"/>
      <c r="WAE386" s="252"/>
      <c r="WAF386" s="252"/>
      <c r="WAG386" s="252"/>
      <c r="WAH386" s="252"/>
      <c r="WAI386" s="252"/>
      <c r="WAJ386" s="252"/>
      <c r="WAK386" s="252"/>
      <c r="WAL386" s="252"/>
      <c r="WAM386" s="252"/>
      <c r="WAN386" s="252"/>
      <c r="WAO386" s="252"/>
      <c r="WAP386" s="252"/>
      <c r="WAQ386" s="252"/>
      <c r="WAR386" s="252"/>
      <c r="WAS386" s="252"/>
      <c r="WAT386" s="252"/>
      <c r="WAU386" s="252"/>
      <c r="WAV386" s="252"/>
      <c r="WAW386" s="252"/>
      <c r="WAX386" s="252"/>
      <c r="WAY386" s="252"/>
      <c r="WAZ386" s="252"/>
      <c r="WBA386" s="252"/>
      <c r="WBB386" s="252"/>
      <c r="WBC386" s="252"/>
      <c r="WBD386" s="252"/>
      <c r="WBE386" s="252"/>
      <c r="WBF386" s="252"/>
      <c r="WBG386" s="252"/>
      <c r="WBH386" s="252"/>
      <c r="WBI386" s="252"/>
      <c r="WBJ386" s="252"/>
      <c r="WBK386" s="252"/>
      <c r="WBL386" s="252"/>
      <c r="WBM386" s="252"/>
      <c r="WBN386" s="252"/>
      <c r="WBO386" s="252"/>
      <c r="WBP386" s="252"/>
      <c r="WBQ386" s="252"/>
      <c r="WBR386" s="252"/>
      <c r="WBS386" s="252"/>
      <c r="WBT386" s="252"/>
      <c r="WBU386" s="252"/>
      <c r="WBV386" s="252"/>
      <c r="WBW386" s="252"/>
      <c r="WBX386" s="252"/>
      <c r="WBY386" s="252"/>
      <c r="WBZ386" s="252"/>
      <c r="WCA386" s="252"/>
      <c r="WCB386" s="252"/>
      <c r="WCC386" s="252"/>
      <c r="WCD386" s="252"/>
      <c r="WCE386" s="252"/>
      <c r="WCF386" s="252"/>
      <c r="WCG386" s="252"/>
      <c r="WCH386" s="252"/>
      <c r="WCI386" s="252"/>
      <c r="WCJ386" s="252"/>
      <c r="WCK386" s="252"/>
      <c r="WCL386" s="252"/>
      <c r="WCM386" s="252"/>
      <c r="WCN386" s="252"/>
      <c r="WCO386" s="252"/>
      <c r="WCP386" s="252"/>
      <c r="WCQ386" s="252"/>
      <c r="WCR386" s="252"/>
      <c r="WCS386" s="252"/>
      <c r="WCT386" s="252"/>
      <c r="WCU386" s="252"/>
      <c r="WCV386" s="252"/>
      <c r="WCW386" s="252"/>
      <c r="WCX386" s="252"/>
      <c r="WCY386" s="252"/>
      <c r="WCZ386" s="252"/>
      <c r="WDA386" s="252"/>
      <c r="WDB386" s="252"/>
      <c r="WDC386" s="252"/>
      <c r="WDD386" s="252"/>
      <c r="WDE386" s="252"/>
      <c r="WDF386" s="252"/>
      <c r="WDG386" s="252"/>
      <c r="WDH386" s="252"/>
      <c r="WDI386" s="252"/>
      <c r="WDJ386" s="252"/>
      <c r="WDK386" s="252"/>
      <c r="WDL386" s="252"/>
      <c r="WDM386" s="252"/>
      <c r="WDN386" s="252"/>
      <c r="WDO386" s="252"/>
      <c r="WDP386" s="252"/>
      <c r="WDQ386" s="252"/>
      <c r="WDR386" s="252"/>
      <c r="WDS386" s="252"/>
      <c r="WDT386" s="252"/>
      <c r="WDU386" s="252"/>
      <c r="WDV386" s="252"/>
      <c r="WDW386" s="252"/>
      <c r="WDX386" s="252"/>
      <c r="WDY386" s="252"/>
      <c r="WDZ386" s="252"/>
      <c r="WEA386" s="252"/>
      <c r="WEB386" s="252"/>
      <c r="WEC386" s="252"/>
      <c r="WED386" s="252"/>
      <c r="WEE386" s="252"/>
      <c r="WEF386" s="252"/>
      <c r="WEG386" s="252"/>
      <c r="WEH386" s="252"/>
      <c r="WEI386" s="252"/>
      <c r="WEJ386" s="252"/>
      <c r="WEK386" s="252"/>
      <c r="WEL386" s="252"/>
      <c r="WEM386" s="252"/>
      <c r="WEN386" s="252"/>
      <c r="WEO386" s="252"/>
      <c r="WEP386" s="252"/>
      <c r="WEQ386" s="252"/>
      <c r="WER386" s="252"/>
      <c r="WES386" s="252"/>
      <c r="WET386" s="252"/>
      <c r="WEU386" s="252"/>
      <c r="WEV386" s="252"/>
      <c r="WEW386" s="252"/>
      <c r="WEX386" s="252"/>
      <c r="WEY386" s="252"/>
      <c r="WEZ386" s="252"/>
      <c r="WFA386" s="252"/>
      <c r="WFB386" s="252"/>
      <c r="WFC386" s="252"/>
      <c r="WFD386" s="252"/>
      <c r="WFE386" s="252"/>
      <c r="WFF386" s="252"/>
      <c r="WFG386" s="252"/>
      <c r="WFH386" s="252"/>
      <c r="WFI386" s="252"/>
      <c r="WFJ386" s="252"/>
      <c r="WFK386" s="252"/>
      <c r="WFL386" s="252"/>
      <c r="WFM386" s="252"/>
      <c r="WFN386" s="252"/>
      <c r="WFO386" s="252"/>
      <c r="WFP386" s="252"/>
      <c r="WFQ386" s="252"/>
      <c r="WFR386" s="252"/>
      <c r="WFS386" s="252"/>
      <c r="WFT386" s="252"/>
      <c r="WFU386" s="252"/>
      <c r="WFV386" s="252"/>
      <c r="WFW386" s="252"/>
      <c r="WFX386" s="252"/>
      <c r="WFY386" s="252"/>
      <c r="WFZ386" s="252"/>
      <c r="WGA386" s="252"/>
      <c r="WGB386" s="252"/>
      <c r="WGC386" s="252"/>
      <c r="WGD386" s="252"/>
      <c r="WGE386" s="252"/>
      <c r="WGF386" s="252"/>
      <c r="WGG386" s="252"/>
      <c r="WGH386" s="252"/>
      <c r="WGI386" s="252"/>
      <c r="WGJ386" s="252"/>
      <c r="WGK386" s="252"/>
      <c r="WGL386" s="252"/>
      <c r="WGM386" s="252"/>
      <c r="WGN386" s="252"/>
      <c r="WGO386" s="252"/>
      <c r="WGP386" s="252"/>
      <c r="WGQ386" s="252"/>
      <c r="WGR386" s="252"/>
      <c r="WGS386" s="252"/>
      <c r="WGT386" s="252"/>
      <c r="WGU386" s="252"/>
      <c r="WGV386" s="252"/>
      <c r="WGW386" s="252"/>
      <c r="WGX386" s="252"/>
      <c r="WGY386" s="252"/>
      <c r="WGZ386" s="252"/>
      <c r="WHA386" s="252"/>
      <c r="WHB386" s="252"/>
      <c r="WHC386" s="252"/>
      <c r="WHD386" s="252"/>
      <c r="WHE386" s="252"/>
      <c r="WHF386" s="252"/>
      <c r="WHG386" s="252"/>
      <c r="WHH386" s="252"/>
      <c r="WHI386" s="252"/>
      <c r="WHJ386" s="252"/>
      <c r="WHK386" s="252"/>
      <c r="WHL386" s="252"/>
      <c r="WHM386" s="252"/>
      <c r="WHN386" s="252"/>
      <c r="WHO386" s="252"/>
      <c r="WHP386" s="252"/>
      <c r="WHQ386" s="252"/>
      <c r="WHR386" s="252"/>
      <c r="WHS386" s="252"/>
      <c r="WHT386" s="252"/>
      <c r="WHU386" s="252"/>
      <c r="WHV386" s="252"/>
      <c r="WHW386" s="252"/>
      <c r="WHX386" s="252"/>
      <c r="WHY386" s="252"/>
      <c r="WHZ386" s="252"/>
      <c r="WIA386" s="252"/>
      <c r="WIB386" s="252"/>
      <c r="WIC386" s="252"/>
      <c r="WID386" s="252"/>
      <c r="WIE386" s="252"/>
      <c r="WIF386" s="252"/>
      <c r="WIG386" s="252"/>
      <c r="WIH386" s="252"/>
      <c r="WII386" s="252"/>
      <c r="WIJ386" s="252"/>
      <c r="WIK386" s="252"/>
      <c r="WIL386" s="252"/>
      <c r="WIM386" s="252"/>
      <c r="WIN386" s="252"/>
      <c r="WIO386" s="252"/>
      <c r="WIP386" s="252"/>
      <c r="WIQ386" s="252"/>
      <c r="WIR386" s="252"/>
      <c r="WIS386" s="252"/>
      <c r="WIT386" s="252"/>
      <c r="WIU386" s="252"/>
      <c r="WIV386" s="252"/>
      <c r="WIW386" s="252"/>
      <c r="WIX386" s="252"/>
      <c r="WIY386" s="252"/>
      <c r="WIZ386" s="252"/>
      <c r="WJA386" s="252"/>
      <c r="WJB386" s="252"/>
      <c r="WJC386" s="252"/>
      <c r="WJD386" s="252"/>
      <c r="WJE386" s="252"/>
      <c r="WJF386" s="252"/>
      <c r="WJG386" s="252"/>
      <c r="WJH386" s="252"/>
      <c r="WJI386" s="252"/>
      <c r="WJJ386" s="252"/>
      <c r="WJK386" s="252"/>
      <c r="WJL386" s="252"/>
      <c r="WJM386" s="252"/>
      <c r="WJN386" s="252"/>
      <c r="WJO386" s="252"/>
      <c r="WJP386" s="252"/>
      <c r="WJQ386" s="252"/>
      <c r="WJR386" s="252"/>
      <c r="WJS386" s="252"/>
      <c r="WJT386" s="252"/>
      <c r="WJU386" s="252"/>
      <c r="WJV386" s="252"/>
      <c r="WJW386" s="252"/>
      <c r="WJX386" s="252"/>
      <c r="WJY386" s="252"/>
      <c r="WJZ386" s="252"/>
      <c r="WKA386" s="252"/>
      <c r="WKB386" s="252"/>
      <c r="WKC386" s="252"/>
      <c r="WKD386" s="252"/>
      <c r="WKE386" s="252"/>
      <c r="WKF386" s="252"/>
      <c r="WKG386" s="252"/>
      <c r="WKH386" s="252"/>
      <c r="WKI386" s="252"/>
      <c r="WKJ386" s="252"/>
      <c r="WKK386" s="252"/>
      <c r="WKL386" s="252"/>
      <c r="WKM386" s="252"/>
      <c r="WKN386" s="252"/>
      <c r="WKO386" s="252"/>
      <c r="WKP386" s="252"/>
      <c r="WKQ386" s="252"/>
      <c r="WKR386" s="252"/>
      <c r="WKS386" s="252"/>
      <c r="WKT386" s="252"/>
      <c r="WKU386" s="252"/>
      <c r="WKV386" s="252"/>
      <c r="WKW386" s="252"/>
      <c r="WKX386" s="252"/>
      <c r="WKY386" s="252"/>
      <c r="WKZ386" s="252"/>
      <c r="WLA386" s="252"/>
      <c r="WLB386" s="252"/>
      <c r="WLC386" s="252"/>
      <c r="WLD386" s="252"/>
      <c r="WLE386" s="252"/>
      <c r="WLF386" s="252"/>
      <c r="WLG386" s="252"/>
      <c r="WLH386" s="252"/>
      <c r="WLI386" s="252"/>
      <c r="WLJ386" s="252"/>
      <c r="WLK386" s="252"/>
      <c r="WLL386" s="252"/>
      <c r="WLM386" s="252"/>
      <c r="WLN386" s="252"/>
      <c r="WLO386" s="252"/>
      <c r="WLP386" s="252"/>
      <c r="WLQ386" s="252"/>
      <c r="WLR386" s="252"/>
      <c r="WLS386" s="252"/>
      <c r="WLT386" s="252"/>
      <c r="WLU386" s="252"/>
      <c r="WLV386" s="252"/>
      <c r="WLW386" s="252"/>
      <c r="WLX386" s="252"/>
      <c r="WLY386" s="252"/>
      <c r="WLZ386" s="252"/>
      <c r="WMA386" s="252"/>
      <c r="WMB386" s="252"/>
      <c r="WMC386" s="252"/>
      <c r="WMD386" s="252"/>
      <c r="WME386" s="252"/>
      <c r="WMF386" s="252"/>
      <c r="WMG386" s="252"/>
      <c r="WMH386" s="252"/>
      <c r="WMI386" s="252"/>
      <c r="WMJ386" s="252"/>
      <c r="WMK386" s="252"/>
      <c r="WML386" s="252"/>
      <c r="WMM386" s="252"/>
      <c r="WMN386" s="252"/>
      <c r="WMO386" s="252"/>
      <c r="WMP386" s="252"/>
      <c r="WMQ386" s="252"/>
      <c r="WMR386" s="252"/>
      <c r="WMS386" s="252"/>
      <c r="WMT386" s="252"/>
      <c r="WMU386" s="252"/>
      <c r="WMV386" s="252"/>
      <c r="WMW386" s="252"/>
      <c r="WMX386" s="252"/>
      <c r="WMY386" s="252"/>
      <c r="WMZ386" s="252"/>
      <c r="WNA386" s="252"/>
      <c r="WNB386" s="252"/>
      <c r="WNC386" s="252"/>
      <c r="WND386" s="252"/>
      <c r="WNE386" s="252"/>
      <c r="WNF386" s="252"/>
      <c r="WNG386" s="252"/>
      <c r="WNH386" s="252"/>
      <c r="WNI386" s="252"/>
      <c r="WNJ386" s="252"/>
      <c r="WNK386" s="252"/>
      <c r="WNL386" s="252"/>
      <c r="WNM386" s="252"/>
      <c r="WNN386" s="252"/>
      <c r="WNO386" s="252"/>
      <c r="WNP386" s="252"/>
      <c r="WNQ386" s="252"/>
      <c r="WNR386" s="252"/>
      <c r="WNS386" s="252"/>
      <c r="WNT386" s="252"/>
      <c r="WNU386" s="252"/>
      <c r="WNV386" s="252"/>
      <c r="WNW386" s="252"/>
      <c r="WNX386" s="252"/>
      <c r="WNY386" s="252"/>
      <c r="WNZ386" s="252"/>
      <c r="WOA386" s="252"/>
      <c r="WOB386" s="252"/>
      <c r="WOC386" s="252"/>
      <c r="WOD386" s="252"/>
      <c r="WOE386" s="252"/>
      <c r="WOF386" s="252"/>
      <c r="WOG386" s="252"/>
      <c r="WOH386" s="252"/>
      <c r="WOI386" s="252"/>
      <c r="WOJ386" s="252"/>
      <c r="WOK386" s="252"/>
      <c r="WOL386" s="252"/>
      <c r="WOM386" s="252"/>
      <c r="WON386" s="252"/>
      <c r="WOO386" s="252"/>
      <c r="WOP386" s="252"/>
      <c r="WOQ386" s="252"/>
      <c r="WOR386" s="252"/>
      <c r="WOS386" s="252"/>
      <c r="WOT386" s="252"/>
      <c r="WOU386" s="252"/>
      <c r="WOV386" s="252"/>
      <c r="WOW386" s="252"/>
      <c r="WOX386" s="252"/>
      <c r="WOY386" s="252"/>
      <c r="WOZ386" s="252"/>
      <c r="WPA386" s="252"/>
      <c r="WPB386" s="252"/>
      <c r="WPC386" s="252"/>
      <c r="WPD386" s="252"/>
      <c r="WPE386" s="252"/>
      <c r="WPF386" s="252"/>
      <c r="WPG386" s="252"/>
      <c r="WPH386" s="252"/>
      <c r="WPI386" s="252"/>
      <c r="WPJ386" s="252"/>
      <c r="WPK386" s="252"/>
      <c r="WPL386" s="252"/>
      <c r="WPM386" s="252"/>
      <c r="WPN386" s="252"/>
      <c r="WPO386" s="252"/>
      <c r="WPP386" s="252"/>
      <c r="WPQ386" s="252"/>
      <c r="WPR386" s="252"/>
      <c r="WPS386" s="252"/>
      <c r="WPT386" s="252"/>
      <c r="WPU386" s="252"/>
      <c r="WPV386" s="252"/>
      <c r="WPW386" s="252"/>
      <c r="WPX386" s="252"/>
      <c r="WPY386" s="252"/>
      <c r="WPZ386" s="252"/>
      <c r="WQA386" s="252"/>
      <c r="WQB386" s="252"/>
      <c r="WQC386" s="252"/>
      <c r="WQD386" s="252"/>
      <c r="WQE386" s="252"/>
      <c r="WQF386" s="252"/>
      <c r="WQG386" s="252"/>
      <c r="WQH386" s="252"/>
      <c r="WQI386" s="252"/>
      <c r="WQJ386" s="252"/>
      <c r="WQK386" s="252"/>
      <c r="WQL386" s="252"/>
      <c r="WQM386" s="252"/>
      <c r="WQN386" s="252"/>
      <c r="WQO386" s="252"/>
      <c r="WQP386" s="252"/>
      <c r="WQQ386" s="252"/>
      <c r="WQR386" s="252"/>
      <c r="WQS386" s="252"/>
      <c r="WQT386" s="252"/>
      <c r="WQU386" s="252"/>
      <c r="WQV386" s="252"/>
      <c r="WQW386" s="252"/>
      <c r="WQX386" s="252"/>
      <c r="WQY386" s="252"/>
      <c r="WQZ386" s="252"/>
      <c r="WRA386" s="252"/>
      <c r="WRB386" s="252"/>
      <c r="WRC386" s="252"/>
      <c r="WRD386" s="252"/>
      <c r="WRE386" s="252"/>
      <c r="WRF386" s="252"/>
      <c r="WRG386" s="252"/>
      <c r="WRH386" s="252"/>
      <c r="WRI386" s="252"/>
      <c r="WRJ386" s="252"/>
      <c r="WRK386" s="252"/>
      <c r="WRL386" s="252"/>
      <c r="WRM386" s="252"/>
      <c r="WRN386" s="252"/>
      <c r="WRO386" s="252"/>
      <c r="WRP386" s="252"/>
      <c r="WRQ386" s="252"/>
      <c r="WRR386" s="252"/>
      <c r="WRS386" s="252"/>
      <c r="WRT386" s="252"/>
      <c r="WRU386" s="252"/>
      <c r="WRV386" s="252"/>
      <c r="WRW386" s="252"/>
      <c r="WRX386" s="252"/>
      <c r="WRY386" s="252"/>
      <c r="WRZ386" s="252"/>
      <c r="WSA386" s="252"/>
      <c r="WSB386" s="252"/>
      <c r="WSC386" s="252"/>
      <c r="WSD386" s="252"/>
      <c r="WSE386" s="252"/>
      <c r="WSF386" s="252"/>
      <c r="WSG386" s="252"/>
      <c r="WSH386" s="252"/>
      <c r="WSI386" s="252"/>
      <c r="WSJ386" s="252"/>
      <c r="WSK386" s="252"/>
      <c r="WSL386" s="252"/>
      <c r="WSM386" s="252"/>
      <c r="WSN386" s="252"/>
      <c r="WSO386" s="252"/>
      <c r="WSP386" s="252"/>
      <c r="WSQ386" s="252"/>
      <c r="WSR386" s="252"/>
      <c r="WSS386" s="252"/>
      <c r="WST386" s="252"/>
      <c r="WSU386" s="252"/>
      <c r="WSV386" s="252"/>
      <c r="WSW386" s="252"/>
      <c r="WSX386" s="252"/>
      <c r="WSY386" s="252"/>
      <c r="WSZ386" s="252"/>
      <c r="WTA386" s="252"/>
      <c r="WTB386" s="252"/>
      <c r="WTC386" s="252"/>
      <c r="WTD386" s="252"/>
      <c r="WTE386" s="252"/>
      <c r="WTF386" s="252"/>
      <c r="WTG386" s="252"/>
      <c r="WTH386" s="252"/>
      <c r="WTI386" s="252"/>
      <c r="WTJ386" s="252"/>
      <c r="WTK386" s="252"/>
      <c r="WTL386" s="252"/>
      <c r="WTM386" s="252"/>
      <c r="WTN386" s="252"/>
      <c r="WTO386" s="252"/>
      <c r="WTP386" s="252"/>
      <c r="WTQ386" s="252"/>
      <c r="WTR386" s="252"/>
      <c r="WTS386" s="252"/>
      <c r="WTT386" s="252"/>
      <c r="WTU386" s="252"/>
      <c r="WTV386" s="252"/>
      <c r="WTW386" s="252"/>
      <c r="WTX386" s="252"/>
      <c r="WTY386" s="252"/>
      <c r="WTZ386" s="252"/>
      <c r="WUA386" s="252"/>
      <c r="WUB386" s="252"/>
      <c r="WUC386" s="252"/>
      <c r="WUD386" s="252"/>
      <c r="WUE386" s="252"/>
      <c r="WUF386" s="252"/>
      <c r="WUG386" s="252"/>
      <c r="WUH386" s="252"/>
      <c r="WUI386" s="252"/>
      <c r="WUJ386" s="252"/>
      <c r="WUK386" s="252"/>
      <c r="WUL386" s="252"/>
      <c r="WUM386" s="252"/>
      <c r="WUN386" s="252"/>
      <c r="WUO386" s="252"/>
      <c r="WUP386" s="252"/>
      <c r="WUQ386" s="252"/>
      <c r="WUR386" s="252"/>
      <c r="WUS386" s="252"/>
      <c r="WUT386" s="252"/>
      <c r="WUU386" s="252"/>
      <c r="WUV386" s="252"/>
      <c r="WUW386" s="252"/>
      <c r="WUX386" s="252"/>
      <c r="WUY386" s="252"/>
      <c r="WUZ386" s="252"/>
      <c r="WVA386" s="252"/>
      <c r="WVB386" s="252"/>
      <c r="WVC386" s="252"/>
      <c r="WVD386" s="252"/>
      <c r="WVE386" s="252"/>
      <c r="WVF386" s="252"/>
      <c r="WVG386" s="252"/>
      <c r="WVH386" s="252"/>
      <c r="WVI386" s="252"/>
      <c r="WVJ386" s="252"/>
      <c r="WVK386" s="252"/>
      <c r="WVL386" s="252"/>
      <c r="WVM386" s="252"/>
      <c r="WVN386" s="252"/>
      <c r="WVO386" s="252"/>
      <c r="WVP386" s="252"/>
      <c r="WVQ386" s="252"/>
      <c r="WVR386" s="252"/>
      <c r="WVS386" s="252"/>
      <c r="WVT386" s="252"/>
      <c r="WVU386" s="252"/>
      <c r="WVV386" s="252"/>
      <c r="WVW386" s="252"/>
      <c r="WVX386" s="252"/>
      <c r="WVY386" s="252"/>
      <c r="WVZ386" s="252"/>
      <c r="WWA386" s="252"/>
      <c r="WWB386" s="252"/>
      <c r="WWC386" s="252"/>
      <c r="WWD386" s="252"/>
      <c r="WWE386" s="252"/>
      <c r="WWF386" s="252"/>
      <c r="WWG386" s="252"/>
      <c r="WWH386" s="252"/>
      <c r="WWI386" s="252"/>
      <c r="WWJ386" s="252"/>
      <c r="WWK386" s="252"/>
      <c r="WWL386" s="252"/>
      <c r="WWM386" s="252"/>
      <c r="WWN386" s="252"/>
      <c r="WWO386" s="252"/>
      <c r="WWP386" s="252"/>
      <c r="WWQ386" s="252"/>
      <c r="WWR386" s="252"/>
      <c r="WWS386" s="252"/>
      <c r="WWT386" s="252"/>
      <c r="WWU386" s="252"/>
      <c r="WWV386" s="252"/>
      <c r="WWW386" s="252"/>
      <c r="WWX386" s="252"/>
      <c r="WWY386" s="252"/>
      <c r="WWZ386" s="252"/>
      <c r="WXA386" s="252"/>
      <c r="WXB386" s="252"/>
      <c r="WXC386" s="252"/>
      <c r="WXD386" s="252"/>
      <c r="WXE386" s="252"/>
      <c r="WXF386" s="252"/>
      <c r="WXG386" s="252"/>
      <c r="WXH386" s="252"/>
      <c r="WXI386" s="252"/>
      <c r="WXJ386" s="252"/>
      <c r="WXK386" s="252"/>
      <c r="WXL386" s="252"/>
      <c r="WXM386" s="252"/>
      <c r="WXN386" s="252"/>
      <c r="WXO386" s="252"/>
      <c r="WXP386" s="252"/>
      <c r="WXQ386" s="252"/>
      <c r="WXR386" s="252"/>
      <c r="WXS386" s="252"/>
      <c r="WXT386" s="252"/>
      <c r="WXU386" s="252"/>
      <c r="WXV386" s="252"/>
      <c r="WXW386" s="252"/>
      <c r="WXX386" s="252"/>
      <c r="WXY386" s="252"/>
      <c r="WXZ386" s="252"/>
      <c r="WYA386" s="252"/>
      <c r="WYB386" s="252"/>
      <c r="WYC386" s="252"/>
      <c r="WYD386" s="252"/>
      <c r="WYE386" s="252"/>
      <c r="WYF386" s="252"/>
      <c r="WYG386" s="252"/>
      <c r="WYH386" s="252"/>
      <c r="WYI386" s="252"/>
      <c r="WYJ386" s="252"/>
      <c r="WYK386" s="252"/>
      <c r="WYL386" s="252"/>
      <c r="WYM386" s="252"/>
      <c r="WYN386" s="252"/>
      <c r="WYO386" s="252"/>
      <c r="WYP386" s="252"/>
      <c r="WYQ386" s="252"/>
      <c r="WYR386" s="252"/>
      <c r="WYS386" s="252"/>
      <c r="WYT386" s="252"/>
      <c r="WYU386" s="252"/>
      <c r="WYV386" s="252"/>
      <c r="WYW386" s="252"/>
      <c r="WYX386" s="252"/>
      <c r="WYY386" s="252"/>
      <c r="WYZ386" s="252"/>
      <c r="WZA386" s="252"/>
      <c r="WZB386" s="252"/>
      <c r="WZC386" s="252"/>
      <c r="WZD386" s="252"/>
      <c r="WZE386" s="252"/>
      <c r="WZF386" s="252"/>
      <c r="WZG386" s="252"/>
      <c r="WZH386" s="252"/>
      <c r="WZI386" s="252"/>
      <c r="WZJ386" s="252"/>
      <c r="WZK386" s="252"/>
      <c r="WZL386" s="252"/>
      <c r="WZM386" s="252"/>
      <c r="WZN386" s="252"/>
      <c r="WZO386" s="252"/>
      <c r="WZP386" s="252"/>
      <c r="WZQ386" s="252"/>
      <c r="WZR386" s="252"/>
      <c r="WZS386" s="252"/>
      <c r="WZT386" s="252"/>
      <c r="WZU386" s="252"/>
      <c r="WZV386" s="252"/>
      <c r="WZW386" s="252"/>
      <c r="WZX386" s="252"/>
      <c r="WZY386" s="252"/>
      <c r="WZZ386" s="252"/>
      <c r="XAA386" s="252"/>
      <c r="XAB386" s="252"/>
      <c r="XAC386" s="252"/>
      <c r="XAD386" s="252"/>
      <c r="XAE386" s="252"/>
      <c r="XAF386" s="252"/>
      <c r="XAG386" s="252"/>
      <c r="XAH386" s="252"/>
      <c r="XAI386" s="252"/>
      <c r="XAJ386" s="252"/>
      <c r="XAK386" s="252"/>
      <c r="XAL386" s="252"/>
      <c r="XAM386" s="252"/>
      <c r="XAN386" s="252"/>
      <c r="XAO386" s="252"/>
      <c r="XAP386" s="252"/>
      <c r="XAQ386" s="252"/>
      <c r="XAR386" s="252"/>
      <c r="XAS386" s="252"/>
      <c r="XAT386" s="252"/>
      <c r="XAU386" s="252"/>
      <c r="XAV386" s="252"/>
      <c r="XAW386" s="252"/>
      <c r="XAX386" s="252"/>
      <c r="XAY386" s="252"/>
      <c r="XAZ386" s="252"/>
      <c r="XBA386" s="252"/>
      <c r="XBB386" s="252"/>
      <c r="XBC386" s="252"/>
      <c r="XBD386" s="252"/>
      <c r="XBE386" s="252"/>
      <c r="XBF386" s="252"/>
      <c r="XBG386" s="252"/>
      <c r="XBH386" s="252"/>
      <c r="XBI386" s="252"/>
      <c r="XBJ386" s="252"/>
      <c r="XBK386" s="252"/>
      <c r="XBL386" s="252"/>
      <c r="XBM386" s="252"/>
      <c r="XBN386" s="252"/>
      <c r="XBO386" s="252"/>
      <c r="XBP386" s="252"/>
      <c r="XBQ386" s="252"/>
      <c r="XBR386" s="252"/>
      <c r="XBS386" s="252"/>
      <c r="XBT386" s="252"/>
      <c r="XBU386" s="252"/>
      <c r="XBV386" s="252"/>
      <c r="XBW386" s="252"/>
      <c r="XBX386" s="252"/>
      <c r="XBY386" s="252"/>
      <c r="XBZ386" s="252"/>
      <c r="XCA386" s="252"/>
      <c r="XCB386" s="252"/>
      <c r="XCC386" s="252"/>
      <c r="XCD386" s="252"/>
      <c r="XCE386" s="252"/>
      <c r="XCF386" s="252"/>
      <c r="XCG386" s="252"/>
      <c r="XCH386" s="252"/>
      <c r="XCI386" s="252"/>
      <c r="XCJ386" s="252"/>
      <c r="XCK386" s="252"/>
      <c r="XCL386" s="252"/>
      <c r="XCM386" s="252"/>
      <c r="XCN386" s="252"/>
      <c r="XCO386" s="252"/>
      <c r="XCP386" s="252"/>
      <c r="XCQ386" s="252"/>
      <c r="XCR386" s="252"/>
      <c r="XCS386" s="252"/>
      <c r="XCT386" s="252"/>
      <c r="XCU386" s="252"/>
      <c r="XCV386" s="252"/>
      <c r="XCW386" s="252"/>
      <c r="XCX386" s="252"/>
      <c r="XCY386" s="252"/>
      <c r="XCZ386" s="252"/>
      <c r="XDA386" s="252"/>
      <c r="XDB386" s="252"/>
      <c r="XDC386" s="252"/>
      <c r="XDD386" s="252"/>
      <c r="XDE386" s="252"/>
      <c r="XDF386" s="252"/>
      <c r="XDG386" s="252"/>
      <c r="XDH386" s="252"/>
      <c r="XDI386" s="252"/>
      <c r="XDJ386" s="252"/>
      <c r="XDK386" s="252"/>
      <c r="XDL386" s="252"/>
      <c r="XDM386" s="252"/>
      <c r="XDN386" s="252"/>
      <c r="XDO386" s="252"/>
      <c r="XDP386" s="252"/>
      <c r="XDQ386" s="252"/>
      <c r="XDR386" s="252"/>
      <c r="XDS386" s="252"/>
      <c r="XDT386" s="252"/>
      <c r="XDU386" s="252"/>
      <c r="XDV386" s="252"/>
      <c r="XDW386" s="252"/>
      <c r="XDX386" s="252"/>
      <c r="XDY386" s="252"/>
      <c r="XDZ386" s="252"/>
      <c r="XEA386" s="252"/>
      <c r="XEB386" s="252"/>
      <c r="XEC386" s="252"/>
      <c r="XED386" s="252"/>
      <c r="XEE386" s="252"/>
      <c r="XEF386" s="252"/>
      <c r="XEG386" s="252"/>
      <c r="XEH386" s="252"/>
      <c r="XEI386" s="252"/>
      <c r="XEJ386" s="252"/>
      <c r="XEK386" s="252"/>
      <c r="XEL386" s="252"/>
      <c r="XEM386" s="252"/>
      <c r="XEN386" s="252"/>
      <c r="XEO386" s="252"/>
      <c r="XEP386" s="252"/>
      <c r="XEQ386" s="252"/>
      <c r="XER386" s="252"/>
      <c r="XES386" s="252"/>
      <c r="XET386" s="252"/>
      <c r="XEU386" s="252"/>
    </row>
    <row r="387" spans="2:16375" hidden="1">
      <c r="B387" s="813" t="s">
        <v>2052</v>
      </c>
      <c r="C387" s="456" t="s">
        <v>1337</v>
      </c>
      <c r="D387" s="456" t="s">
        <v>1337</v>
      </c>
      <c r="F387" s="265" t="s">
        <v>1207</v>
      </c>
      <c r="G387" s="264" t="s">
        <v>1212</v>
      </c>
      <c r="H387" s="456" t="s">
        <v>1590</v>
      </c>
      <c r="I387" s="456" t="s">
        <v>1590</v>
      </c>
      <c r="J387" s="559" t="s">
        <v>1590</v>
      </c>
      <c r="K387" s="313"/>
      <c r="L387" s="560" t="s">
        <v>1590</v>
      </c>
      <c r="M387" s="560" t="s">
        <v>1590</v>
      </c>
      <c r="N387" s="176"/>
      <c r="O387" s="561" t="s">
        <v>1590</v>
      </c>
      <c r="P387" s="176"/>
      <c r="Q387" s="562" t="s">
        <v>1590</v>
      </c>
      <c r="R387" s="562" t="s">
        <v>1590</v>
      </c>
      <c r="S387" s="563" t="s">
        <v>1590</v>
      </c>
      <c r="T387" s="562" t="s">
        <v>1590</v>
      </c>
      <c r="U387" s="563" t="s">
        <v>1590</v>
      </c>
      <c r="V387" s="562" t="s">
        <v>1590</v>
      </c>
      <c r="W387" s="360"/>
      <c r="X387" s="562" t="s">
        <v>1590</v>
      </c>
      <c r="Y387" s="562" t="s">
        <v>1590</v>
      </c>
      <c r="Z387" s="562" t="s">
        <v>1590</v>
      </c>
      <c r="AA387" s="562" t="s">
        <v>1590</v>
      </c>
      <c r="AB387" s="562" t="s">
        <v>1590</v>
      </c>
      <c r="AC387" s="562" t="s">
        <v>1590</v>
      </c>
      <c r="AD387" s="235"/>
      <c r="AE387" s="456" t="s">
        <v>1590</v>
      </c>
      <c r="AG387" s="559" t="s">
        <v>1591</v>
      </c>
      <c r="AH387" s="559" t="s">
        <v>1591</v>
      </c>
      <c r="AI387" s="559" t="s">
        <v>1591</v>
      </c>
      <c r="AJ387" s="559" t="s">
        <v>1591</v>
      </c>
      <c r="AK387" s="559" t="s">
        <v>1591</v>
      </c>
      <c r="AL387" s="559" t="s">
        <v>1591</v>
      </c>
      <c r="AM387" s="559" t="s">
        <v>1591</v>
      </c>
      <c r="AN387" s="559" t="s">
        <v>1591</v>
      </c>
      <c r="AP387" s="456" t="s">
        <v>1590</v>
      </c>
      <c r="AQ387" s="456" t="s">
        <v>1590</v>
      </c>
      <c r="AS387" s="456" t="s">
        <v>1222</v>
      </c>
      <c r="AT387" s="456" t="s">
        <v>1222</v>
      </c>
      <c r="AU387" s="456" t="s">
        <v>1222</v>
      </c>
      <c r="AV387" s="456" t="s">
        <v>1222</v>
      </c>
    </row>
    <row r="388" spans="2:16375" s="252" customFormat="1" hidden="1">
      <c r="B388" s="809"/>
      <c r="C388" s="248" t="s">
        <v>134</v>
      </c>
      <c r="D388" s="502"/>
      <c r="E388" s="312"/>
      <c r="F388" s="233"/>
      <c r="G388" s="244" t="s">
        <v>1353</v>
      </c>
      <c r="H388" s="243"/>
      <c r="I388" s="243"/>
      <c r="J388" s="492"/>
      <c r="K388" s="312"/>
      <c r="L388" s="236"/>
      <c r="M388" s="253"/>
      <c r="N388" s="314"/>
      <c r="O388" s="233"/>
      <c r="P388" s="314"/>
      <c r="Q388" s="254" t="s">
        <v>1402</v>
      </c>
      <c r="R388" s="253" t="s">
        <v>1402</v>
      </c>
      <c r="S388" s="255"/>
      <c r="T388" s="253"/>
      <c r="U388" s="237"/>
      <c r="V388" s="253" t="s">
        <v>134</v>
      </c>
      <c r="W388" s="314"/>
      <c r="X388" s="254"/>
      <c r="Y388" s="256"/>
      <c r="Z388" s="253"/>
      <c r="AA388" s="255"/>
      <c r="AB388" s="256"/>
      <c r="AC388" s="253"/>
      <c r="AD388" s="312"/>
      <c r="AE388" s="242"/>
      <c r="AF388" s="312"/>
      <c r="AG388" s="245"/>
      <c r="AH388" s="246"/>
      <c r="AI388" s="318"/>
      <c r="AJ388" s="319"/>
      <c r="AK388" s="334"/>
      <c r="AL388" s="336"/>
      <c r="AM388" s="246"/>
      <c r="AN388" s="242"/>
      <c r="AO388" s="312"/>
      <c r="AP388" s="482"/>
      <c r="AQ388" s="482"/>
      <c r="AS388" s="488" t="s">
        <v>1522</v>
      </c>
      <c r="AT388" s="488" t="s">
        <v>1522</v>
      </c>
      <c r="AU388" s="488" t="s">
        <v>1522</v>
      </c>
      <c r="AV388" s="488" t="s">
        <v>1522</v>
      </c>
    </row>
    <row r="389" spans="2:16375" hidden="1">
      <c r="B389" s="813" t="s">
        <v>2052</v>
      </c>
      <c r="C389" s="456" t="s">
        <v>1337</v>
      </c>
      <c r="D389" s="456" t="s">
        <v>1337</v>
      </c>
      <c r="F389" s="265" t="s">
        <v>1207</v>
      </c>
      <c r="G389" s="264" t="s">
        <v>1213</v>
      </c>
      <c r="H389" s="456" t="s">
        <v>1590</v>
      </c>
      <c r="I389" s="456" t="s">
        <v>1590</v>
      </c>
      <c r="J389" s="559" t="s">
        <v>1590</v>
      </c>
      <c r="K389" s="313"/>
      <c r="L389" s="560" t="s">
        <v>1590</v>
      </c>
      <c r="M389" s="560" t="s">
        <v>1590</v>
      </c>
      <c r="N389" s="176"/>
      <c r="O389" s="561" t="s">
        <v>1590</v>
      </c>
      <c r="P389" s="176"/>
      <c r="Q389" s="562" t="s">
        <v>1590</v>
      </c>
      <c r="R389" s="562" t="s">
        <v>1590</v>
      </c>
      <c r="S389" s="563" t="s">
        <v>1590</v>
      </c>
      <c r="T389" s="562" t="s">
        <v>1590</v>
      </c>
      <c r="U389" s="563" t="s">
        <v>1590</v>
      </c>
      <c r="V389" s="562" t="s">
        <v>1590</v>
      </c>
      <c r="W389" s="360"/>
      <c r="X389" s="562" t="s">
        <v>1590</v>
      </c>
      <c r="Y389" s="562" t="s">
        <v>1590</v>
      </c>
      <c r="Z389" s="562" t="s">
        <v>1590</v>
      </c>
      <c r="AA389" s="562" t="s">
        <v>1590</v>
      </c>
      <c r="AB389" s="562" t="s">
        <v>1590</v>
      </c>
      <c r="AC389" s="562" t="s">
        <v>1590</v>
      </c>
      <c r="AD389" s="235"/>
      <c r="AE389" s="456" t="s">
        <v>1590</v>
      </c>
      <c r="AG389" s="559" t="s">
        <v>1591</v>
      </c>
      <c r="AH389" s="559" t="s">
        <v>1591</v>
      </c>
      <c r="AI389" s="559" t="s">
        <v>1591</v>
      </c>
      <c r="AJ389" s="559" t="s">
        <v>1591</v>
      </c>
      <c r="AK389" s="559" t="s">
        <v>1591</v>
      </c>
      <c r="AL389" s="559" t="s">
        <v>1591</v>
      </c>
      <c r="AM389" s="559" t="s">
        <v>1591</v>
      </c>
      <c r="AN389" s="559" t="s">
        <v>1591</v>
      </c>
      <c r="AP389" s="456" t="s">
        <v>1590</v>
      </c>
      <c r="AQ389" s="456" t="s">
        <v>1590</v>
      </c>
      <c r="AS389" s="456" t="s">
        <v>1222</v>
      </c>
      <c r="AT389" s="456" t="s">
        <v>1222</v>
      </c>
      <c r="AU389" s="456" t="s">
        <v>1222</v>
      </c>
      <c r="AV389" s="456" t="s">
        <v>1222</v>
      </c>
    </row>
    <row r="390" spans="2:16375" s="252" customFormat="1" hidden="1">
      <c r="B390" s="809"/>
      <c r="C390" s="248" t="s">
        <v>134</v>
      </c>
      <c r="D390" s="502"/>
      <c r="E390" s="312"/>
      <c r="F390" s="233"/>
      <c r="G390" s="244" t="s">
        <v>1353</v>
      </c>
      <c r="H390" s="243"/>
      <c r="I390" s="243"/>
      <c r="J390" s="492"/>
      <c r="K390" s="312"/>
      <c r="L390" s="236"/>
      <c r="M390" s="253"/>
      <c r="N390" s="314"/>
      <c r="O390" s="233"/>
      <c r="P390" s="314"/>
      <c r="Q390" s="254" t="s">
        <v>1402</v>
      </c>
      <c r="R390" s="253" t="s">
        <v>1402</v>
      </c>
      <c r="S390" s="255"/>
      <c r="T390" s="253"/>
      <c r="U390" s="237"/>
      <c r="V390" s="253" t="s">
        <v>134</v>
      </c>
      <c r="W390" s="314"/>
      <c r="X390" s="254"/>
      <c r="Y390" s="256"/>
      <c r="Z390" s="253"/>
      <c r="AA390" s="255"/>
      <c r="AB390" s="256"/>
      <c r="AC390" s="253"/>
      <c r="AD390" s="312"/>
      <c r="AE390" s="242"/>
      <c r="AF390" s="312"/>
      <c r="AG390" s="245"/>
      <c r="AH390" s="246"/>
      <c r="AI390" s="318"/>
      <c r="AJ390" s="319"/>
      <c r="AK390" s="334"/>
      <c r="AL390" s="336"/>
      <c r="AM390" s="246"/>
      <c r="AN390" s="242"/>
      <c r="AO390" s="312"/>
      <c r="AP390" s="482"/>
      <c r="AQ390" s="482"/>
      <c r="AS390" s="488" t="s">
        <v>1522</v>
      </c>
      <c r="AT390" s="488" t="s">
        <v>1522</v>
      </c>
      <c r="AU390" s="488" t="s">
        <v>1522</v>
      </c>
      <c r="AV390" s="488" t="s">
        <v>1522</v>
      </c>
    </row>
    <row r="391" spans="2:16375" hidden="1">
      <c r="B391" s="813" t="s">
        <v>2052</v>
      </c>
      <c r="C391" s="456" t="s">
        <v>1337</v>
      </c>
      <c r="D391" s="456" t="s">
        <v>1337</v>
      </c>
      <c r="F391" s="265" t="s">
        <v>1207</v>
      </c>
      <c r="G391" s="264" t="s">
        <v>1214</v>
      </c>
      <c r="H391" s="456" t="s">
        <v>1590</v>
      </c>
      <c r="I391" s="456" t="s">
        <v>1590</v>
      </c>
      <c r="J391" s="559" t="s">
        <v>1590</v>
      </c>
      <c r="K391" s="313"/>
      <c r="L391" s="560" t="s">
        <v>1590</v>
      </c>
      <c r="M391" s="560" t="s">
        <v>1590</v>
      </c>
      <c r="N391" s="176"/>
      <c r="O391" s="561" t="s">
        <v>1590</v>
      </c>
      <c r="P391" s="176"/>
      <c r="Q391" s="562" t="s">
        <v>1590</v>
      </c>
      <c r="R391" s="562" t="s">
        <v>1590</v>
      </c>
      <c r="S391" s="563" t="s">
        <v>1590</v>
      </c>
      <c r="T391" s="562" t="s">
        <v>1590</v>
      </c>
      <c r="U391" s="563" t="s">
        <v>1590</v>
      </c>
      <c r="V391" s="562" t="s">
        <v>1590</v>
      </c>
      <c r="W391" s="360"/>
      <c r="X391" s="562" t="s">
        <v>1590</v>
      </c>
      <c r="Y391" s="562" t="s">
        <v>1590</v>
      </c>
      <c r="Z391" s="562" t="s">
        <v>1590</v>
      </c>
      <c r="AA391" s="562" t="s">
        <v>1590</v>
      </c>
      <c r="AB391" s="562" t="s">
        <v>1590</v>
      </c>
      <c r="AC391" s="562" t="s">
        <v>1590</v>
      </c>
      <c r="AD391" s="235"/>
      <c r="AE391" s="456" t="s">
        <v>1590</v>
      </c>
      <c r="AG391" s="559" t="s">
        <v>1591</v>
      </c>
      <c r="AH391" s="559" t="s">
        <v>1591</v>
      </c>
      <c r="AI391" s="559" t="s">
        <v>1591</v>
      </c>
      <c r="AJ391" s="559" t="s">
        <v>1591</v>
      </c>
      <c r="AK391" s="559" t="s">
        <v>1591</v>
      </c>
      <c r="AL391" s="559" t="s">
        <v>1591</v>
      </c>
      <c r="AM391" s="559" t="s">
        <v>1591</v>
      </c>
      <c r="AN391" s="559" t="s">
        <v>1591</v>
      </c>
      <c r="AP391" s="456" t="s">
        <v>1590</v>
      </c>
      <c r="AQ391" s="456" t="s">
        <v>1590</v>
      </c>
      <c r="AS391" s="456" t="s">
        <v>1222</v>
      </c>
      <c r="AT391" s="456" t="s">
        <v>1222</v>
      </c>
      <c r="AU391" s="456" t="s">
        <v>1222</v>
      </c>
      <c r="AV391" s="456" t="s">
        <v>1222</v>
      </c>
    </row>
  </sheetData>
  <autoFilter ref="B6:AW391" xr:uid="{D9C21732-E930-4DBB-90AA-07C8CE079AE4}">
    <filterColumn colId="0">
      <filters>
        <filter val="OD0188FCTJ0021"/>
        <filter val="OD0188FCTJ0024"/>
      </filters>
    </filterColumn>
  </autoFilter>
  <mergeCells count="98">
    <mergeCell ref="AG4:AN4"/>
    <mergeCell ref="G198:G202"/>
    <mergeCell ref="G188:G192"/>
    <mergeCell ref="C5:D5"/>
    <mergeCell ref="G78:G81"/>
    <mergeCell ref="G168:G172"/>
    <mergeCell ref="F98:F99"/>
    <mergeCell ref="G98:G99"/>
    <mergeCell ref="G163:G167"/>
    <mergeCell ref="H78:H81"/>
    <mergeCell ref="G89:G90"/>
    <mergeCell ref="H89:H90"/>
    <mergeCell ref="G91:G92"/>
    <mergeCell ref="H91:H92"/>
    <mergeCell ref="AI5:AJ5"/>
    <mergeCell ref="AK5:AL5"/>
    <mergeCell ref="F12:F13"/>
    <mergeCell ref="G12:G13"/>
    <mergeCell ref="H12:H13"/>
    <mergeCell ref="G239:G240"/>
    <mergeCell ref="G241:G242"/>
    <mergeCell ref="G218:G222"/>
    <mergeCell ref="G223:G227"/>
    <mergeCell ref="H98:H99"/>
    <mergeCell ref="F100:F101"/>
    <mergeCell ref="G100:G101"/>
    <mergeCell ref="H100:H101"/>
    <mergeCell ref="G228:G232"/>
    <mergeCell ref="G148:G152"/>
    <mergeCell ref="G153:G157"/>
    <mergeCell ref="G173:G177"/>
    <mergeCell ref="G178:G182"/>
    <mergeCell ref="G183:G187"/>
    <mergeCell ref="G203:G207"/>
    <mergeCell ref="G193:G197"/>
    <mergeCell ref="G249:G250"/>
    <mergeCell ref="G251:G252"/>
    <mergeCell ref="G208:G212"/>
    <mergeCell ref="G213:G217"/>
    <mergeCell ref="G237:G238"/>
    <mergeCell ref="G253:G254"/>
    <mergeCell ref="G243:G244"/>
    <mergeCell ref="G245:G246"/>
    <mergeCell ref="G247:G248"/>
    <mergeCell ref="G263:G264"/>
    <mergeCell ref="G267:G268"/>
    <mergeCell ref="G269:G270"/>
    <mergeCell ref="G271:G272"/>
    <mergeCell ref="G265:G266"/>
    <mergeCell ref="G255:G256"/>
    <mergeCell ref="G257:G258"/>
    <mergeCell ref="G259:G260"/>
    <mergeCell ref="G261:G262"/>
    <mergeCell ref="G279:G280"/>
    <mergeCell ref="G281:G282"/>
    <mergeCell ref="G284:G286"/>
    <mergeCell ref="G273:G274"/>
    <mergeCell ref="G275:G276"/>
    <mergeCell ref="G277:G278"/>
    <mergeCell ref="G296:G298"/>
    <mergeCell ref="G299:G301"/>
    <mergeCell ref="G302:G304"/>
    <mergeCell ref="G287:G289"/>
    <mergeCell ref="G290:G292"/>
    <mergeCell ref="G293:G295"/>
    <mergeCell ref="G329:G331"/>
    <mergeCell ref="G314:G316"/>
    <mergeCell ref="G317:G319"/>
    <mergeCell ref="G320:G322"/>
    <mergeCell ref="G305:G307"/>
    <mergeCell ref="G308:G310"/>
    <mergeCell ref="G311:G313"/>
    <mergeCell ref="AP5:AQ5"/>
    <mergeCell ref="L2:M2"/>
    <mergeCell ref="L3:M3"/>
    <mergeCell ref="G350:G352"/>
    <mergeCell ref="G341:G343"/>
    <mergeCell ref="G344:G346"/>
    <mergeCell ref="G347:G349"/>
    <mergeCell ref="G332:G334"/>
    <mergeCell ref="G335:G337"/>
    <mergeCell ref="G338:G340"/>
    <mergeCell ref="G323:G325"/>
    <mergeCell ref="AA4:AC4"/>
    <mergeCell ref="O2:O5"/>
    <mergeCell ref="Q2:V2"/>
    <mergeCell ref="X2:AC2"/>
    <mergeCell ref="G326:G328"/>
    <mergeCell ref="AA3:AC3"/>
    <mergeCell ref="S4:T4"/>
    <mergeCell ref="U4:V4"/>
    <mergeCell ref="X4:Z4"/>
    <mergeCell ref="G158:G162"/>
    <mergeCell ref="Q4:R4"/>
    <mergeCell ref="Q3:R3"/>
    <mergeCell ref="S3:T3"/>
    <mergeCell ref="U3:V3"/>
    <mergeCell ref="X3:Z3"/>
  </mergeCells>
  <phoneticPr fontId="67"/>
  <conditionalFormatting sqref="AS17:AV17 AS89:AV92 AS238:AV238 AS149:AV152 AS285:AV286 AS372:AV372 AS388:AV388 AS390:AV390 AS104:AT104 AS106:AV106 AS109:AV110 AV111 AS123:AT123 AS24:AV25 AS67:AV67 AS87:AT87 AS46:AV62 AS240:AV240 AS242:AV242 AS244:AV244 AS246:AV246 AS248:AV248 AS250:AV252 AS254:AV254 AS256:AV256 AS258:AV258 AS260:AV260 AS262:AV262 AS264:AV264 AS266:AV266 AS268:AV268 AS270:AV270 AS272:AV272 AS274:AV274 AS276:AV276 AS278:AV278 AS280:AV280 AS282:AV282 AS288:AV289 AS291:AV292 AS294:AV295 AS297:AV298 AS300:AV301 AS303:AV304 AS306:AV307 AS309:AV310 AS312:AV313 AS315:AV316 AS318:AV319 AS321:AV322 AS324:AV325 AS327:AV328 AS330:AV331 AS333:AV334 AS336:AV337 AS339:AV340 AS342:AV343 AS345:AV346 AS348:AV349 AS351:AV352 AS374:AV374 AS380:AT386 AS18:AT18 AV18 AS66 AV66 AS75:AV81 AS73:AT74 AV73:AV74 AS39:AV44 AS36:AT38 AV36:AV38 AS27:AV35 AS26:AT26 AV26 AS69:AV72 AS68:AT68 AV68 AV380:AV386 AS84:AV85 AS82:AT83 AV82:AV83 AS97:AV102 AS96:AT96 AV96 AS117:AT118 AS124 AS20:AU22 AS94:AV95 AS93:AT93 AV117:AV118">
    <cfRule type="cellIs" dxfId="183" priority="333" operator="equal">
      <formula>""</formula>
    </cfRule>
  </conditionalFormatting>
  <conditionalFormatting sqref="AS19:AV19">
    <cfRule type="cellIs" dxfId="182" priority="329" operator="equal">
      <formula>""</formula>
    </cfRule>
  </conditionalFormatting>
  <conditionalFormatting sqref="AS23:AV23">
    <cfRule type="cellIs" dxfId="181" priority="328" operator="equal">
      <formula>""</formula>
    </cfRule>
  </conditionalFormatting>
  <conditionalFormatting sqref="AS45:AV45">
    <cfRule type="cellIs" dxfId="180" priority="327" operator="equal">
      <formula>""</formula>
    </cfRule>
  </conditionalFormatting>
  <conditionalFormatting sqref="AS65:AV65">
    <cfRule type="cellIs" dxfId="179" priority="326" operator="equal">
      <formula>""</formula>
    </cfRule>
  </conditionalFormatting>
  <conditionalFormatting sqref="AS88:AV88">
    <cfRule type="cellIs" dxfId="178" priority="325" operator="equal">
      <formula>""</formula>
    </cfRule>
  </conditionalFormatting>
  <conditionalFormatting sqref="AS131:AV131">
    <cfRule type="cellIs" dxfId="177" priority="323" operator="equal">
      <formula>""</formula>
    </cfRule>
  </conditionalFormatting>
  <conditionalFormatting sqref="AS137:AV137">
    <cfRule type="cellIs" dxfId="176" priority="322" operator="equal">
      <formula>""</formula>
    </cfRule>
  </conditionalFormatting>
  <conditionalFormatting sqref="AS142:AV142">
    <cfRule type="cellIs" dxfId="175" priority="321" operator="equal">
      <formula>""</formula>
    </cfRule>
  </conditionalFormatting>
  <conditionalFormatting sqref="AS233:AV233">
    <cfRule type="cellIs" dxfId="174" priority="320" operator="equal">
      <formula>""</formula>
    </cfRule>
  </conditionalFormatting>
  <conditionalFormatting sqref="AS236:AV236">
    <cfRule type="cellIs" dxfId="173" priority="319" operator="equal">
      <formula>""</formula>
    </cfRule>
  </conditionalFormatting>
  <conditionalFormatting sqref="AS147:AV147">
    <cfRule type="cellIs" dxfId="172" priority="318" operator="equal">
      <formula>""</formula>
    </cfRule>
  </conditionalFormatting>
  <conditionalFormatting sqref="AS283:AV283">
    <cfRule type="cellIs" dxfId="171" priority="317" operator="equal">
      <formula>""</formula>
    </cfRule>
  </conditionalFormatting>
  <conditionalFormatting sqref="AS353:AV353">
    <cfRule type="cellIs" dxfId="170" priority="316" operator="equal">
      <formula>""</formula>
    </cfRule>
  </conditionalFormatting>
  <conditionalFormatting sqref="AS357:AV357">
    <cfRule type="cellIs" dxfId="169" priority="315" operator="equal">
      <formula>""</formula>
    </cfRule>
  </conditionalFormatting>
  <conditionalFormatting sqref="AS364:AV364">
    <cfRule type="cellIs" dxfId="168" priority="314" operator="equal">
      <formula>""</formula>
    </cfRule>
  </conditionalFormatting>
  <conditionalFormatting sqref="AS370:AV370">
    <cfRule type="cellIs" dxfId="167" priority="313" operator="equal">
      <formula>""</formula>
    </cfRule>
  </conditionalFormatting>
  <conditionalFormatting sqref="AS371:AV371">
    <cfRule type="cellIs" dxfId="166" priority="312" operator="equal">
      <formula>""</formula>
    </cfRule>
  </conditionalFormatting>
  <conditionalFormatting sqref="AS373:AV373">
    <cfRule type="cellIs" dxfId="165" priority="311" operator="equal">
      <formula>""</formula>
    </cfRule>
  </conditionalFormatting>
  <conditionalFormatting sqref="AS378:AV378">
    <cfRule type="cellIs" dxfId="164" priority="310" operator="equal">
      <formula>""</formula>
    </cfRule>
  </conditionalFormatting>
  <conditionalFormatting sqref="AS379:AV379">
    <cfRule type="cellIs" dxfId="163" priority="309" operator="equal">
      <formula>""</formula>
    </cfRule>
  </conditionalFormatting>
  <conditionalFormatting sqref="AS387:AV387">
    <cfRule type="cellIs" dxfId="162" priority="308" operator="equal">
      <formula>""</formula>
    </cfRule>
  </conditionalFormatting>
  <conditionalFormatting sqref="AS389:AV389">
    <cfRule type="cellIs" dxfId="161" priority="307" operator="equal">
      <formula>""</formula>
    </cfRule>
  </conditionalFormatting>
  <conditionalFormatting sqref="AS391:AV391">
    <cfRule type="cellIs" dxfId="160" priority="306" operator="equal">
      <formula>""</formula>
    </cfRule>
  </conditionalFormatting>
  <conditionalFormatting sqref="AS103:AV103">
    <cfRule type="cellIs" dxfId="159" priority="304" operator="equal">
      <formula>""</formula>
    </cfRule>
  </conditionalFormatting>
  <conditionalFormatting sqref="AS114:AV114">
    <cfRule type="cellIs" dxfId="158" priority="303" operator="equal">
      <formula>""</formula>
    </cfRule>
  </conditionalFormatting>
  <conditionalFormatting sqref="AS105:AT105">
    <cfRule type="cellIs" dxfId="157" priority="302" operator="equal">
      <formula>""</formula>
    </cfRule>
  </conditionalFormatting>
  <conditionalFormatting sqref="AS107:AT108">
    <cfRule type="cellIs" dxfId="156" priority="301" operator="equal">
      <formula>""</formula>
    </cfRule>
  </conditionalFormatting>
  <conditionalFormatting sqref="AS111:AU111">
    <cfRule type="cellIs" dxfId="155" priority="300" operator="equal">
      <formula>""</formula>
    </cfRule>
  </conditionalFormatting>
  <conditionalFormatting sqref="AS362:AS363">
    <cfRule type="cellIs" dxfId="154" priority="298" operator="equal">
      <formula>""</formula>
    </cfRule>
  </conditionalFormatting>
  <conditionalFormatting sqref="AT362:AT363">
    <cfRule type="cellIs" dxfId="153" priority="297" operator="equal">
      <formula>""</formula>
    </cfRule>
  </conditionalFormatting>
  <conditionalFormatting sqref="AU362:AV363">
    <cfRule type="cellIs" dxfId="152" priority="296" operator="equal">
      <formula>""</formula>
    </cfRule>
  </conditionalFormatting>
  <conditionalFormatting sqref="AS365:AV365">
    <cfRule type="cellIs" dxfId="151" priority="295" operator="equal">
      <formula>""</formula>
    </cfRule>
  </conditionalFormatting>
  <conditionalFormatting sqref="AS366:AV366">
    <cfRule type="cellIs" dxfId="150" priority="294" operator="equal">
      <formula>""</formula>
    </cfRule>
  </conditionalFormatting>
  <conditionalFormatting sqref="AS367:AV367">
    <cfRule type="cellIs" dxfId="149" priority="293" operator="equal">
      <formula>""</formula>
    </cfRule>
  </conditionalFormatting>
  <conditionalFormatting sqref="AS368:AV368">
    <cfRule type="cellIs" dxfId="148" priority="292" operator="equal">
      <formula>""</formula>
    </cfRule>
  </conditionalFormatting>
  <conditionalFormatting sqref="AS369:AV369">
    <cfRule type="cellIs" dxfId="147" priority="291" operator="equal">
      <formula>""</formula>
    </cfRule>
  </conditionalFormatting>
  <conditionalFormatting sqref="AS86:AV86">
    <cfRule type="cellIs" dxfId="146" priority="290" operator="equal">
      <formula>""</formula>
    </cfRule>
  </conditionalFormatting>
  <conditionalFormatting sqref="AS115:AT115 AV115">
    <cfRule type="cellIs" dxfId="145" priority="289" operator="equal">
      <formula>""</formula>
    </cfRule>
  </conditionalFormatting>
  <conditionalFormatting sqref="AS116:AV116">
    <cfRule type="cellIs" dxfId="144" priority="288" operator="equal">
      <formula>""</formula>
    </cfRule>
  </conditionalFormatting>
  <conditionalFormatting sqref="AS120:AV120">
    <cfRule type="cellIs" dxfId="143" priority="287" operator="equal">
      <formula>""</formula>
    </cfRule>
  </conditionalFormatting>
  <conditionalFormatting sqref="AS121:AV121">
    <cfRule type="cellIs" dxfId="142" priority="286" operator="equal">
      <formula>""</formula>
    </cfRule>
  </conditionalFormatting>
  <conditionalFormatting sqref="AS122:AV122">
    <cfRule type="cellIs" dxfId="141" priority="285" operator="equal">
      <formula>""</formula>
    </cfRule>
  </conditionalFormatting>
  <conditionalFormatting sqref="AS126:AV126">
    <cfRule type="cellIs" dxfId="140" priority="284" operator="equal">
      <formula>""</formula>
    </cfRule>
  </conditionalFormatting>
  <conditionalFormatting sqref="AS127:AV127">
    <cfRule type="cellIs" dxfId="139" priority="283" operator="equal">
      <formula>""</formula>
    </cfRule>
  </conditionalFormatting>
  <conditionalFormatting sqref="AS128:AV128">
    <cfRule type="cellIs" dxfId="138" priority="282" operator="equal">
      <formula>""</formula>
    </cfRule>
  </conditionalFormatting>
  <conditionalFormatting sqref="AS119:AV119">
    <cfRule type="cellIs" dxfId="137" priority="236" operator="equal">
      <formula>""</formula>
    </cfRule>
  </conditionalFormatting>
  <conditionalFormatting sqref="AS132:AV132">
    <cfRule type="cellIs" dxfId="136" priority="235" operator="equal">
      <formula>""</formula>
    </cfRule>
  </conditionalFormatting>
  <conditionalFormatting sqref="AS133:AV133">
    <cfRule type="cellIs" dxfId="135" priority="234" operator="equal">
      <formula>""</formula>
    </cfRule>
  </conditionalFormatting>
  <conditionalFormatting sqref="AS134:AV134">
    <cfRule type="cellIs" dxfId="134" priority="233" operator="equal">
      <formula>""</formula>
    </cfRule>
  </conditionalFormatting>
  <conditionalFormatting sqref="AS135:AV135">
    <cfRule type="cellIs" dxfId="133" priority="232" operator="equal">
      <formula>""</formula>
    </cfRule>
  </conditionalFormatting>
  <conditionalFormatting sqref="AS136:AV136">
    <cfRule type="cellIs" dxfId="132" priority="231" operator="equal">
      <formula>""</formula>
    </cfRule>
  </conditionalFormatting>
  <conditionalFormatting sqref="AS138:AV138">
    <cfRule type="cellIs" dxfId="131" priority="230" operator="equal">
      <formula>""</formula>
    </cfRule>
  </conditionalFormatting>
  <conditionalFormatting sqref="AS139:AV139">
    <cfRule type="cellIs" dxfId="130" priority="229" operator="equal">
      <formula>""</formula>
    </cfRule>
  </conditionalFormatting>
  <conditionalFormatting sqref="AS140:AV140">
    <cfRule type="cellIs" dxfId="129" priority="228" operator="equal">
      <formula>""</formula>
    </cfRule>
  </conditionalFormatting>
  <conditionalFormatting sqref="AS141:AV141">
    <cfRule type="cellIs" dxfId="128" priority="227" operator="equal">
      <formula>""</formula>
    </cfRule>
  </conditionalFormatting>
  <conditionalFormatting sqref="AS143:AV143">
    <cfRule type="cellIs" dxfId="127" priority="226" operator="equal">
      <formula>""</formula>
    </cfRule>
  </conditionalFormatting>
  <conditionalFormatting sqref="AS144:AV144">
    <cfRule type="cellIs" dxfId="126" priority="225" operator="equal">
      <formula>""</formula>
    </cfRule>
  </conditionalFormatting>
  <conditionalFormatting sqref="AS145:AV145">
    <cfRule type="cellIs" dxfId="125" priority="224" operator="equal">
      <formula>""</formula>
    </cfRule>
  </conditionalFormatting>
  <conditionalFormatting sqref="AS146:AV146">
    <cfRule type="cellIs" dxfId="124" priority="223" operator="equal">
      <formula>""</formula>
    </cfRule>
  </conditionalFormatting>
  <conditionalFormatting sqref="AS148:AV148">
    <cfRule type="cellIs" dxfId="123" priority="222" operator="equal">
      <formula>""</formula>
    </cfRule>
  </conditionalFormatting>
  <conditionalFormatting sqref="AS234:AV234">
    <cfRule type="cellIs" dxfId="122" priority="205" operator="equal">
      <formula>""</formula>
    </cfRule>
  </conditionalFormatting>
  <conditionalFormatting sqref="AS235:AV235">
    <cfRule type="cellIs" dxfId="121" priority="204" operator="equal">
      <formula>""</formula>
    </cfRule>
  </conditionalFormatting>
  <conditionalFormatting sqref="AS237:AV237">
    <cfRule type="cellIs" dxfId="120" priority="203" operator="equal">
      <formula>""</formula>
    </cfRule>
  </conditionalFormatting>
  <conditionalFormatting sqref="AS239:AV239">
    <cfRule type="cellIs" dxfId="119" priority="202" operator="equal">
      <formula>""</formula>
    </cfRule>
  </conditionalFormatting>
  <conditionalFormatting sqref="AS241:AV241">
    <cfRule type="cellIs" dxfId="118" priority="201" operator="equal">
      <formula>""</formula>
    </cfRule>
  </conditionalFormatting>
  <conditionalFormatting sqref="AS243:AV243">
    <cfRule type="cellIs" dxfId="117" priority="200" operator="equal">
      <formula>""</formula>
    </cfRule>
  </conditionalFormatting>
  <conditionalFormatting sqref="AS245:AV245">
    <cfRule type="cellIs" dxfId="116" priority="199" operator="equal">
      <formula>""</formula>
    </cfRule>
  </conditionalFormatting>
  <conditionalFormatting sqref="AS247:AV247">
    <cfRule type="cellIs" dxfId="115" priority="198" operator="equal">
      <formula>""</formula>
    </cfRule>
  </conditionalFormatting>
  <conditionalFormatting sqref="AS249:AV249">
    <cfRule type="cellIs" dxfId="114" priority="197" operator="equal">
      <formula>""</formula>
    </cfRule>
  </conditionalFormatting>
  <conditionalFormatting sqref="AS253:AV253">
    <cfRule type="cellIs" dxfId="113" priority="196" operator="equal">
      <formula>""</formula>
    </cfRule>
  </conditionalFormatting>
  <conditionalFormatting sqref="AS255:AV255">
    <cfRule type="cellIs" dxfId="112" priority="195" operator="equal">
      <formula>""</formula>
    </cfRule>
  </conditionalFormatting>
  <conditionalFormatting sqref="AS257:AV257">
    <cfRule type="cellIs" dxfId="111" priority="194" operator="equal">
      <formula>""</formula>
    </cfRule>
  </conditionalFormatting>
  <conditionalFormatting sqref="AS259:AV259">
    <cfRule type="cellIs" dxfId="110" priority="193" operator="equal">
      <formula>""</formula>
    </cfRule>
  </conditionalFormatting>
  <conditionalFormatting sqref="AS261:AV261">
    <cfRule type="cellIs" dxfId="109" priority="192" operator="equal">
      <formula>""</formula>
    </cfRule>
  </conditionalFormatting>
  <conditionalFormatting sqref="AS263:AV263">
    <cfRule type="cellIs" dxfId="108" priority="191" operator="equal">
      <formula>""</formula>
    </cfRule>
  </conditionalFormatting>
  <conditionalFormatting sqref="AS265:AV265">
    <cfRule type="cellIs" dxfId="107" priority="190" operator="equal">
      <formula>""</formula>
    </cfRule>
  </conditionalFormatting>
  <conditionalFormatting sqref="AS267:AV267">
    <cfRule type="cellIs" dxfId="106" priority="189" operator="equal">
      <formula>""</formula>
    </cfRule>
  </conditionalFormatting>
  <conditionalFormatting sqref="AS269:AV269">
    <cfRule type="cellIs" dxfId="105" priority="188" operator="equal">
      <formula>""</formula>
    </cfRule>
  </conditionalFormatting>
  <conditionalFormatting sqref="AS271:AV271">
    <cfRule type="cellIs" dxfId="104" priority="187" operator="equal">
      <formula>""</formula>
    </cfRule>
  </conditionalFormatting>
  <conditionalFormatting sqref="AS273:AV273">
    <cfRule type="cellIs" dxfId="103" priority="186" operator="equal">
      <formula>""</formula>
    </cfRule>
  </conditionalFormatting>
  <conditionalFormatting sqref="AS275:AV275">
    <cfRule type="cellIs" dxfId="102" priority="185" operator="equal">
      <formula>""</formula>
    </cfRule>
  </conditionalFormatting>
  <conditionalFormatting sqref="AS277:AV277">
    <cfRule type="cellIs" dxfId="101" priority="184" operator="equal">
      <formula>""</formula>
    </cfRule>
  </conditionalFormatting>
  <conditionalFormatting sqref="AS279:AV279">
    <cfRule type="cellIs" dxfId="100" priority="183" operator="equal">
      <formula>""</formula>
    </cfRule>
  </conditionalFormatting>
  <conditionalFormatting sqref="AS281:AV281">
    <cfRule type="cellIs" dxfId="99" priority="182" operator="equal">
      <formula>""</formula>
    </cfRule>
  </conditionalFormatting>
  <conditionalFormatting sqref="AS284:AV284">
    <cfRule type="cellIs" dxfId="98" priority="181" operator="equal">
      <formula>""</formula>
    </cfRule>
  </conditionalFormatting>
  <conditionalFormatting sqref="AS287:AV287">
    <cfRule type="cellIs" dxfId="97" priority="180" operator="equal">
      <formula>""</formula>
    </cfRule>
  </conditionalFormatting>
  <conditionalFormatting sqref="AS290:AV290">
    <cfRule type="cellIs" dxfId="96" priority="179" operator="equal">
      <formula>""</formula>
    </cfRule>
  </conditionalFormatting>
  <conditionalFormatting sqref="AS293:AV293">
    <cfRule type="cellIs" dxfId="95" priority="178" operator="equal">
      <formula>""</formula>
    </cfRule>
  </conditionalFormatting>
  <conditionalFormatting sqref="AS296:AV296">
    <cfRule type="cellIs" dxfId="94" priority="177" operator="equal">
      <formula>""</formula>
    </cfRule>
  </conditionalFormatting>
  <conditionalFormatting sqref="AS299:AV299">
    <cfRule type="cellIs" dxfId="93" priority="176" operator="equal">
      <formula>""</formula>
    </cfRule>
  </conditionalFormatting>
  <conditionalFormatting sqref="AS302:AV302">
    <cfRule type="cellIs" dxfId="92" priority="175" operator="equal">
      <formula>""</formula>
    </cfRule>
  </conditionalFormatting>
  <conditionalFormatting sqref="AS305:AV305">
    <cfRule type="cellIs" dxfId="91" priority="174" operator="equal">
      <formula>""</formula>
    </cfRule>
  </conditionalFormatting>
  <conditionalFormatting sqref="AS308:AV308">
    <cfRule type="cellIs" dxfId="90" priority="173" operator="equal">
      <formula>""</formula>
    </cfRule>
  </conditionalFormatting>
  <conditionalFormatting sqref="AS311:AV311">
    <cfRule type="cellIs" dxfId="89" priority="172" operator="equal">
      <formula>""</formula>
    </cfRule>
  </conditionalFormatting>
  <conditionalFormatting sqref="AS314:AV314">
    <cfRule type="cellIs" dxfId="88" priority="171" operator="equal">
      <formula>""</formula>
    </cfRule>
  </conditionalFormatting>
  <conditionalFormatting sqref="AS317:AV317">
    <cfRule type="cellIs" dxfId="87" priority="170" operator="equal">
      <formula>""</formula>
    </cfRule>
  </conditionalFormatting>
  <conditionalFormatting sqref="AS320:AV320">
    <cfRule type="cellIs" dxfId="86" priority="169" operator="equal">
      <formula>""</formula>
    </cfRule>
  </conditionalFormatting>
  <conditionalFormatting sqref="AS323:AV323">
    <cfRule type="cellIs" dxfId="85" priority="168" operator="equal">
      <formula>""</formula>
    </cfRule>
  </conditionalFormatting>
  <conditionalFormatting sqref="AS326:AV326">
    <cfRule type="cellIs" dxfId="84" priority="167" operator="equal">
      <formula>""</formula>
    </cfRule>
  </conditionalFormatting>
  <conditionalFormatting sqref="AS329:AV329">
    <cfRule type="cellIs" dxfId="83" priority="166" operator="equal">
      <formula>""</formula>
    </cfRule>
  </conditionalFormatting>
  <conditionalFormatting sqref="AS332:AV332">
    <cfRule type="cellIs" dxfId="82" priority="165" operator="equal">
      <formula>""</formula>
    </cfRule>
  </conditionalFormatting>
  <conditionalFormatting sqref="AS335:AV335">
    <cfRule type="cellIs" dxfId="81" priority="164" operator="equal">
      <formula>""</formula>
    </cfRule>
  </conditionalFormatting>
  <conditionalFormatting sqref="AS338:AV338">
    <cfRule type="cellIs" dxfId="80" priority="163" operator="equal">
      <formula>""</formula>
    </cfRule>
  </conditionalFormatting>
  <conditionalFormatting sqref="AS341:AV341">
    <cfRule type="cellIs" dxfId="79" priority="162" operator="equal">
      <formula>""</formula>
    </cfRule>
  </conditionalFormatting>
  <conditionalFormatting sqref="AS344:AV344">
    <cfRule type="cellIs" dxfId="78" priority="161" operator="equal">
      <formula>""</formula>
    </cfRule>
  </conditionalFormatting>
  <conditionalFormatting sqref="AS347:AV347">
    <cfRule type="cellIs" dxfId="77" priority="160" operator="equal">
      <formula>""</formula>
    </cfRule>
  </conditionalFormatting>
  <conditionalFormatting sqref="AS350:AV350">
    <cfRule type="cellIs" dxfId="76" priority="159" operator="equal">
      <formula>""</formula>
    </cfRule>
  </conditionalFormatting>
  <conditionalFormatting sqref="AS354:AV354">
    <cfRule type="cellIs" dxfId="75" priority="158" operator="equal">
      <formula>""</formula>
    </cfRule>
  </conditionalFormatting>
  <conditionalFormatting sqref="AT355:AU355">
    <cfRule type="cellIs" dxfId="74" priority="157" operator="equal">
      <formula>""</formula>
    </cfRule>
  </conditionalFormatting>
  <conditionalFormatting sqref="AS355">
    <cfRule type="cellIs" dxfId="73" priority="156" operator="equal">
      <formula>""</formula>
    </cfRule>
  </conditionalFormatting>
  <conditionalFormatting sqref="AV355">
    <cfRule type="cellIs" dxfId="72" priority="155" operator="equal">
      <formula>""</formula>
    </cfRule>
  </conditionalFormatting>
  <conditionalFormatting sqref="AT356:AU356">
    <cfRule type="cellIs" dxfId="71" priority="154" operator="equal">
      <formula>""</formula>
    </cfRule>
  </conditionalFormatting>
  <conditionalFormatting sqref="AS356">
    <cfRule type="cellIs" dxfId="70" priority="153" operator="equal">
      <formula>""</formula>
    </cfRule>
  </conditionalFormatting>
  <conditionalFormatting sqref="AV356">
    <cfRule type="cellIs" dxfId="69" priority="152" operator="equal">
      <formula>""</formula>
    </cfRule>
  </conditionalFormatting>
  <conditionalFormatting sqref="AS154:AV157 AS159:AV162 AS164:AV167 AS169:AV172 AS174:AV177 AS179:AV182 AS184:AV187 AS189:AV192 AS194:AV197 AS199:AV202 AS204:AV207 AS209:AV212 AS214:AV217 AS219:AV222 AS224:AV227 AS229:AV232">
    <cfRule type="cellIs" dxfId="68" priority="100" operator="equal">
      <formula>""</formula>
    </cfRule>
  </conditionalFormatting>
  <conditionalFormatting sqref="AS153:AV153 AS158:AV158 AS163:AV163 AS168:AV168 AS173:AV173 AS178:AV178 AS183:AV183 AS188:AV188 AS193:AV193 AS198:AV198 AS203:AV203 AS208:AV208 AS213:AV213 AS218:AV218 AS223:AV223 AS228:AV228">
    <cfRule type="cellIs" dxfId="67" priority="99" operator="equal">
      <formula>""</formula>
    </cfRule>
  </conditionalFormatting>
  <conditionalFormatting sqref="AS16:AU16">
    <cfRule type="cellIs" dxfId="66" priority="94" operator="equal">
      <formula>""</formula>
    </cfRule>
  </conditionalFormatting>
  <conditionalFormatting sqref="AS7:AV7">
    <cfRule type="cellIs" dxfId="65" priority="93" operator="equal">
      <formula>""</formula>
    </cfRule>
  </conditionalFormatting>
  <conditionalFormatting sqref="AV16">
    <cfRule type="cellIs" dxfId="64" priority="88" operator="equal">
      <formula>""</formula>
    </cfRule>
  </conditionalFormatting>
  <conditionalFormatting sqref="AS9:AV9">
    <cfRule type="cellIs" dxfId="63" priority="65" operator="equal">
      <formula>""</formula>
    </cfRule>
  </conditionalFormatting>
  <conditionalFormatting sqref="AS10:AU10">
    <cfRule type="cellIs" dxfId="62" priority="64" operator="equal">
      <formula>""</formula>
    </cfRule>
  </conditionalFormatting>
  <conditionalFormatting sqref="AS11:AU13">
    <cfRule type="cellIs" dxfId="61" priority="63" operator="equal">
      <formula>""</formula>
    </cfRule>
  </conditionalFormatting>
  <conditionalFormatting sqref="AS14:AU14">
    <cfRule type="cellIs" dxfId="60" priority="62" operator="equal">
      <formula>""</formula>
    </cfRule>
  </conditionalFormatting>
  <conditionalFormatting sqref="AS15:AU15">
    <cfRule type="cellIs" dxfId="59" priority="61" operator="equal">
      <formula>""</formula>
    </cfRule>
  </conditionalFormatting>
  <conditionalFormatting sqref="AV10">
    <cfRule type="cellIs" dxfId="58" priority="60" operator="equal">
      <formula>""</formula>
    </cfRule>
  </conditionalFormatting>
  <conditionalFormatting sqref="AV11:AV13">
    <cfRule type="cellIs" dxfId="57" priority="59" operator="equal">
      <formula>""</formula>
    </cfRule>
  </conditionalFormatting>
  <conditionalFormatting sqref="AV14">
    <cfRule type="cellIs" dxfId="56" priority="58" operator="equal">
      <formula>""</formula>
    </cfRule>
  </conditionalFormatting>
  <conditionalFormatting sqref="AV15">
    <cfRule type="cellIs" dxfId="55" priority="57" operator="equal">
      <formula>""</formula>
    </cfRule>
  </conditionalFormatting>
  <conditionalFormatting sqref="AS8:AV8">
    <cfRule type="cellIs" dxfId="54" priority="56" operator="equal">
      <formula>""</formula>
    </cfRule>
  </conditionalFormatting>
  <conditionalFormatting sqref="AU380 AU382:AU386">
    <cfRule type="cellIs" dxfId="53" priority="49" operator="equal">
      <formula>""</formula>
    </cfRule>
  </conditionalFormatting>
  <conditionalFormatting sqref="AT375:AT377">
    <cfRule type="cellIs" dxfId="52" priority="48" operator="equal">
      <formula>""</formula>
    </cfRule>
  </conditionalFormatting>
  <conditionalFormatting sqref="AP375:AQ377">
    <cfRule type="cellIs" dxfId="51" priority="47" operator="equal">
      <formula>""</formula>
    </cfRule>
  </conditionalFormatting>
  <conditionalFormatting sqref="AU377:AV377 AU375:AU376">
    <cfRule type="cellIs" dxfId="50" priority="46" operator="equal">
      <formula>""</formula>
    </cfRule>
  </conditionalFormatting>
  <conditionalFormatting sqref="AU18">
    <cfRule type="cellIs" dxfId="49" priority="45" operator="equal">
      <formula>""</formula>
    </cfRule>
  </conditionalFormatting>
  <conditionalFormatting sqref="AT66">
    <cfRule type="cellIs" dxfId="48" priority="44" operator="equal">
      <formula>""</formula>
    </cfRule>
  </conditionalFormatting>
  <conditionalFormatting sqref="AU66">
    <cfRule type="cellIs" dxfId="47" priority="43" operator="equal">
      <formula>""</formula>
    </cfRule>
  </conditionalFormatting>
  <conditionalFormatting sqref="AU73">
    <cfRule type="cellIs" dxfId="46" priority="42" operator="equal">
      <formula>""</formula>
    </cfRule>
  </conditionalFormatting>
  <conditionalFormatting sqref="AU74">
    <cfRule type="cellIs" dxfId="45" priority="41" operator="equal">
      <formula>""</formula>
    </cfRule>
  </conditionalFormatting>
  <conditionalFormatting sqref="AU36:AU38">
    <cfRule type="cellIs" dxfId="44" priority="40" operator="equal">
      <formula>""</formula>
    </cfRule>
  </conditionalFormatting>
  <conditionalFormatting sqref="AU26">
    <cfRule type="cellIs" dxfId="43" priority="39" operator="equal">
      <formula>""</formula>
    </cfRule>
  </conditionalFormatting>
  <conditionalFormatting sqref="AV375">
    <cfRule type="cellIs" dxfId="42" priority="38" operator="equal">
      <formula>""</formula>
    </cfRule>
  </conditionalFormatting>
  <conditionalFormatting sqref="AV376">
    <cfRule type="cellIs" dxfId="41" priority="37" operator="equal">
      <formula>""</formula>
    </cfRule>
  </conditionalFormatting>
  <conditionalFormatting sqref="AS375">
    <cfRule type="cellIs" dxfId="40" priority="36" operator="equal">
      <formula>""</formula>
    </cfRule>
  </conditionalFormatting>
  <conditionalFormatting sqref="AS376">
    <cfRule type="cellIs" dxfId="39" priority="35" operator="equal">
      <formula>""</formula>
    </cfRule>
  </conditionalFormatting>
  <conditionalFormatting sqref="AS377">
    <cfRule type="cellIs" dxfId="38" priority="34" operator="equal">
      <formula>""</formula>
    </cfRule>
  </conditionalFormatting>
  <conditionalFormatting sqref="AU381">
    <cfRule type="cellIs" dxfId="37" priority="33" operator="equal">
      <formula>""</formula>
    </cfRule>
  </conditionalFormatting>
  <conditionalFormatting sqref="AT124 AV124">
    <cfRule type="cellIs" dxfId="36" priority="32" operator="equal">
      <formula>""</formula>
    </cfRule>
  </conditionalFormatting>
  <conditionalFormatting sqref="AS125:AT125 AV125">
    <cfRule type="cellIs" dxfId="35" priority="31" operator="equal">
      <formula>""</formula>
    </cfRule>
  </conditionalFormatting>
  <conditionalFormatting sqref="AS358:AT358 AV358">
    <cfRule type="cellIs" dxfId="34" priority="30" operator="equal">
      <formula>""</formula>
    </cfRule>
  </conditionalFormatting>
  <conditionalFormatting sqref="AS359:AT359 AV359">
    <cfRule type="cellIs" dxfId="33" priority="29" operator="equal">
      <formula>""</formula>
    </cfRule>
  </conditionalFormatting>
  <conditionalFormatting sqref="AS360:AT360 AV360">
    <cfRule type="cellIs" dxfId="32" priority="28" operator="equal">
      <formula>""</formula>
    </cfRule>
  </conditionalFormatting>
  <conditionalFormatting sqref="AS361:AT361 AV361">
    <cfRule type="cellIs" dxfId="31" priority="27" operator="equal">
      <formula>""</formula>
    </cfRule>
  </conditionalFormatting>
  <conditionalFormatting sqref="AS129:AU130">
    <cfRule type="cellIs" dxfId="30" priority="24" operator="equal">
      <formula>""</formula>
    </cfRule>
  </conditionalFormatting>
  <conditionalFormatting sqref="AV20">
    <cfRule type="cellIs" dxfId="29" priority="23" operator="equal">
      <formula>""</formula>
    </cfRule>
  </conditionalFormatting>
  <conditionalFormatting sqref="AV21">
    <cfRule type="cellIs" dxfId="28" priority="22" operator="equal">
      <formula>""</formula>
    </cfRule>
  </conditionalFormatting>
  <conditionalFormatting sqref="AV22">
    <cfRule type="cellIs" dxfId="27" priority="21" operator="equal">
      <formula>""</formula>
    </cfRule>
  </conditionalFormatting>
  <conditionalFormatting sqref="AS63:AV63">
    <cfRule type="cellIs" dxfId="26" priority="20" operator="equal">
      <formula>""</formula>
    </cfRule>
  </conditionalFormatting>
  <conditionalFormatting sqref="AS64:AV64">
    <cfRule type="cellIs" dxfId="25" priority="19" operator="equal">
      <formula>""</formula>
    </cfRule>
  </conditionalFormatting>
  <conditionalFormatting sqref="AU87:AV87">
    <cfRule type="cellIs" dxfId="24" priority="18" operator="equal">
      <formula>""</formula>
    </cfRule>
  </conditionalFormatting>
  <conditionalFormatting sqref="AU93:AV93">
    <cfRule type="cellIs" dxfId="23" priority="17" operator="equal">
      <formula>""</formula>
    </cfRule>
  </conditionalFormatting>
  <conditionalFormatting sqref="AU104:AV104 AV105">
    <cfRule type="cellIs" dxfId="22" priority="16" operator="equal">
      <formula>""</formula>
    </cfRule>
  </conditionalFormatting>
  <conditionalFormatting sqref="AU105">
    <cfRule type="cellIs" dxfId="21" priority="15" operator="equal">
      <formula>""</formula>
    </cfRule>
  </conditionalFormatting>
  <conditionalFormatting sqref="AV107:AV108">
    <cfRule type="cellIs" dxfId="20" priority="14" operator="equal">
      <formula>""</formula>
    </cfRule>
  </conditionalFormatting>
  <conditionalFormatting sqref="AU107:AU108">
    <cfRule type="cellIs" dxfId="19" priority="13" operator="equal">
      <formula>""</formula>
    </cfRule>
  </conditionalFormatting>
  <conditionalFormatting sqref="AS112:AV112 AS113:AU113">
    <cfRule type="cellIs" dxfId="18" priority="12" operator="equal">
      <formula>""</formula>
    </cfRule>
  </conditionalFormatting>
  <conditionalFormatting sqref="AU115">
    <cfRule type="cellIs" dxfId="17" priority="11" operator="equal">
      <formula>""</formula>
    </cfRule>
  </conditionalFormatting>
  <conditionalFormatting sqref="AU117:AU118">
    <cfRule type="cellIs" dxfId="16" priority="10" operator="equal">
      <formula>""</formula>
    </cfRule>
  </conditionalFormatting>
  <conditionalFormatting sqref="AU123:AV123">
    <cfRule type="cellIs" dxfId="15" priority="9" operator="equal">
      <formula>""</formula>
    </cfRule>
  </conditionalFormatting>
  <conditionalFormatting sqref="AU124">
    <cfRule type="cellIs" dxfId="14" priority="8" operator="equal">
      <formula>""</formula>
    </cfRule>
  </conditionalFormatting>
  <conditionalFormatting sqref="AU125">
    <cfRule type="cellIs" dxfId="13" priority="7" operator="equal">
      <formula>""</formula>
    </cfRule>
  </conditionalFormatting>
  <conditionalFormatting sqref="AV129:AV130">
    <cfRule type="cellIs" dxfId="12" priority="6" operator="equal">
      <formula>""</formula>
    </cfRule>
  </conditionalFormatting>
  <conditionalFormatting sqref="AU358">
    <cfRule type="cellIs" dxfId="11" priority="5" operator="equal">
      <formula>""</formula>
    </cfRule>
  </conditionalFormatting>
  <conditionalFormatting sqref="AU359">
    <cfRule type="cellIs" dxfId="10" priority="4" operator="equal">
      <formula>""</formula>
    </cfRule>
  </conditionalFormatting>
  <conditionalFormatting sqref="AU360">
    <cfRule type="cellIs" dxfId="9" priority="3" operator="equal">
      <formula>""</formula>
    </cfRule>
  </conditionalFormatting>
  <conditionalFormatting sqref="AU361">
    <cfRule type="cellIs" dxfId="8" priority="2" operator="equal">
      <formula>""</formula>
    </cfRule>
  </conditionalFormatting>
  <conditionalFormatting sqref="AV113">
    <cfRule type="cellIs" dxfId="7" priority="1" operator="equal">
      <formula>""</formula>
    </cfRule>
  </conditionalFormatting>
  <dataValidations count="4">
    <dataValidation allowBlank="1" showDropDown="1" showInputMessage="1" showErrorMessage="1" sqref="AP20:AQ22 AP24:AQ44 AP46:AQ64 AP18:AQ18 AP89:AQ102 AP104:AQ113 AP388:AQ388 AP390:AQ390 AP365:AQ369 AP372:AQ372 AP115:AQ130 AP132:AQ136 AP138:AQ141 AP148:AQ232 AP234:AQ235 AP143:AQ146 AP284:AQ352 AP237:AQ282 AP354:AQ356 AP358:AQ363 AP66:AQ87 AP8:AQ16 AP374:AQ374 AP380:AQ386 AT375:AU377 AV377 AP375:AR377 AS380:AV386" xr:uid="{F078C59C-6EC3-476E-8C7E-E7D5338FCF2A}"/>
    <dataValidation type="list" allowBlank="1" showInputMessage="1" showErrorMessage="1" sqref="O18 O20:O22 O24:O44 O46:O64 O66:O87 O89:O102 O104:O113 O388 O390 O365:O369 O372 O115:O130 O132:O136 O138:O141 O148:O232 O234:O235 O143:O146 O237:O282 O284:O352 O354:O356 O358:O363 O374" xr:uid="{97E04FF7-E2EF-4AD3-9665-03E65888D3B1}">
      <formula1>"○,×,0x22,0x2F"</formula1>
    </dataValidation>
    <dataValidation type="list" allowBlank="1" showInputMessage="1" sqref="C18:E18 C20:E22 C284:D352 C24:E44 C46:E64 C66:E87 C89:E102 C372:E372 C388:E388 C237:D282 E115:E369 C115:D130 C132:D136 C138:D141 C143:D146 C365:D369 C234:D235 AR12 C148:D232 C354:D356 C358:D363 C390:E390 C104:E113 C374:E377 C8:E16 K12 N12 P12 W12 AD12 AF12 AO12 C380:E386" xr:uid="{5ED9923C-A879-4346-AD76-1799925FB846}">
      <formula1>"○,×,JPN,US/EU,No2"</formula1>
    </dataValidation>
    <dataValidation type="list" allowBlank="1" showInputMessage="1" showErrorMessage="1" sqref="U66:V78 L66:L78 L18 U18:V18 U20:V22 L20:L22 L24:L44 U24:V44 U46:V64 L46:L64 U82:V87 L82:L87 L89:L102 U89:V102 L104:L113 U104:V113 L388 U388 L390 U365:V369 L374:L377 L372 U390 U372 O9:O16 U115:V130 L115:L130 L132:L136 U132:V136 U138:V141 L138:L141 U148:V232 L148:L232 U234:V235 L234:L235 U143:V146 L143:L146 L237:L282 U237:V282 U284:V352 L284:L352 L354:L356 U354:V356 U358:V363 L358:L363 L365:L369 U374 U9:V16 L9:L16" xr:uid="{8BEB9C7A-489B-4F0E-AF10-EC1CE1BDD2D9}">
      <formula1>"○,×"</formula1>
    </dataValidation>
  </dataValidations>
  <pageMargins left="0.7" right="0.7" top="0.75" bottom="0.75" header="0.3" footer="0.3"/>
  <pageSetup paperSize="9" orientation="portrait" r:id="rId1"/>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FD1143-685B-452B-A67D-07CEC7C73F3C}">
  <sheetPr codeName="Sheet4">
    <outlinePr summaryBelow="0" summaryRight="0"/>
  </sheetPr>
  <dimension ref="A1:BC31"/>
  <sheetViews>
    <sheetView showGridLines="0" zoomScale="70" zoomScaleNormal="70" zoomScaleSheetLayoutView="50" workbookViewId="0">
      <pane xSplit="10" ySplit="7" topLeftCell="W8" activePane="bottomRight" state="frozen"/>
      <selection pane="topRight"/>
      <selection pane="bottomLeft"/>
      <selection pane="bottomRight" activeCell="AH10" sqref="AH10:AH13"/>
    </sheetView>
  </sheetViews>
  <sheetFormatPr defaultColWidth="11.75" defaultRowHeight="13.2" outlineLevelCol="2"/>
  <cols>
    <col min="1" max="1" width="18.625" style="238" bestFit="1" customWidth="1"/>
    <col min="2" max="3" width="8" style="238" customWidth="1" outlineLevel="1"/>
    <col min="4" max="4" width="2.75" style="311" customWidth="1"/>
    <col min="5" max="5" width="8.375" style="238" bestFit="1" customWidth="1"/>
    <col min="6" max="6" width="50.25" style="238" bestFit="1" customWidth="1" outlineLevel="2"/>
    <col min="7" max="7" width="5.625" style="238" bestFit="1" customWidth="1"/>
    <col min="8" max="8" width="4.375" style="238" bestFit="1" customWidth="1"/>
    <col min="9" max="9" width="50.25" style="238" bestFit="1" customWidth="1"/>
    <col min="10" max="10" width="2.75" style="311" customWidth="1"/>
    <col min="11" max="12" width="6.25" style="238" customWidth="1"/>
    <col min="13" max="13" width="2.75" style="311" customWidth="1"/>
    <col min="14" max="14" width="6.25" style="238" customWidth="1"/>
    <col min="15" max="15" width="2.75" style="311" customWidth="1"/>
    <col min="16" max="19" width="4.75" style="238" customWidth="1"/>
    <col min="20" max="20" width="9.25" style="311" customWidth="1"/>
    <col min="21" max="21" width="2.75" style="311" customWidth="1"/>
    <col min="22" max="22" width="31.75" style="238" customWidth="1"/>
    <col min="23" max="23" width="2.75" style="311" customWidth="1"/>
    <col min="24" max="24" width="7.25" style="238" bestFit="1" customWidth="1" outlineLevel="1"/>
    <col min="25" max="25" width="8.625" style="238" customWidth="1" outlineLevel="1"/>
    <col min="26" max="26" width="6.375" style="239" bestFit="1" customWidth="1" outlineLevel="1"/>
    <col min="27" max="27" width="6.75" style="239" bestFit="1" customWidth="1" outlineLevel="1"/>
    <col min="28" max="28" width="6" style="238" bestFit="1" customWidth="1" outlineLevel="1"/>
    <col min="29" max="29" width="7.375" style="238" bestFit="1" customWidth="1" outlineLevel="1"/>
    <col min="30" max="30" width="6.25" style="238" bestFit="1" customWidth="1" outlineLevel="1"/>
    <col min="31" max="31" width="21.625" style="238" bestFit="1" customWidth="1" outlineLevel="1"/>
    <col min="32" max="32" width="2.125" style="311" customWidth="1"/>
    <col min="33" max="33" width="11.125" style="232" bestFit="1" customWidth="1" outlineLevel="1"/>
    <col min="34" max="34" width="39.625" style="232" bestFit="1" customWidth="1" outlineLevel="1"/>
    <col min="35" max="35" width="2.75" style="238" customWidth="1"/>
    <col min="36" max="37" width="8.875" style="238" customWidth="1"/>
    <col min="38" max="38" width="9.625" style="238" bestFit="1" customWidth="1"/>
    <col min="39" max="39" width="18.625" style="238" customWidth="1"/>
    <col min="40" max="40" width="39.875" style="238" customWidth="1"/>
    <col min="41" max="41" width="2.75" style="238" customWidth="1"/>
    <col min="42" max="42" width="9" style="238" customWidth="1"/>
    <col min="43" max="43" width="10.25" style="238" customWidth="1"/>
    <col min="44" max="46" width="9" style="238" customWidth="1"/>
    <col min="47" max="47" width="10.375" style="238" customWidth="1"/>
    <col min="48" max="16384" width="11.75" style="238"/>
  </cols>
  <sheetData>
    <row r="1" spans="1:55" ht="22.2">
      <c r="A1" s="100" t="s">
        <v>1403</v>
      </c>
      <c r="R1" s="311"/>
      <c r="S1" s="1081" t="s">
        <v>2217</v>
      </c>
      <c r="T1" s="894"/>
      <c r="U1" s="894"/>
      <c r="V1" s="895"/>
      <c r="W1" s="894"/>
      <c r="X1" s="895"/>
      <c r="Y1" s="895"/>
      <c r="Z1" s="1082"/>
      <c r="AA1" s="1082"/>
      <c r="AB1" s="895"/>
      <c r="AC1" s="895"/>
      <c r="AD1" s="895"/>
      <c r="AE1" s="895"/>
      <c r="AF1" s="1079"/>
      <c r="AG1" s="1080"/>
      <c r="AH1" s="895"/>
    </row>
    <row r="2" spans="1:55">
      <c r="M2" s="892"/>
      <c r="N2" s="893" t="s">
        <v>1720</v>
      </c>
      <c r="O2" s="894"/>
      <c r="P2" s="895"/>
      <c r="Q2" s="895"/>
      <c r="R2" s="895"/>
      <c r="S2" s="895"/>
      <c r="T2" s="894"/>
    </row>
    <row r="3" spans="1:55" ht="14.25" customHeight="1">
      <c r="K3" s="1617" t="s">
        <v>110</v>
      </c>
      <c r="L3" s="1618"/>
      <c r="M3" s="99"/>
      <c r="N3" s="1619" t="s">
        <v>732</v>
      </c>
      <c r="O3" s="99"/>
      <c r="P3" s="1621" t="s">
        <v>138</v>
      </c>
      <c r="Q3" s="1622"/>
      <c r="R3" s="1622"/>
      <c r="S3" s="1623"/>
      <c r="T3" s="144"/>
      <c r="U3" s="481"/>
    </row>
    <row r="4" spans="1:55" ht="14.25" customHeight="1">
      <c r="K4" s="1617" t="s">
        <v>119</v>
      </c>
      <c r="L4" s="1618"/>
      <c r="M4" s="99"/>
      <c r="N4" s="1620"/>
      <c r="O4" s="99"/>
      <c r="P4" s="1608" t="s">
        <v>120</v>
      </c>
      <c r="Q4" s="1609"/>
      <c r="R4" s="1608" t="s">
        <v>121</v>
      </c>
      <c r="S4" s="1610"/>
      <c r="T4" s="144"/>
      <c r="U4" s="481"/>
      <c r="AF4" s="381"/>
      <c r="AG4" s="406"/>
      <c r="AH4" s="381"/>
      <c r="AI4" s="381"/>
      <c r="AJ4" s="385"/>
      <c r="AK4" s="381"/>
      <c r="AL4" s="381"/>
      <c r="AM4" s="381"/>
      <c r="AN4" s="381"/>
      <c r="AP4" s="1646" t="s">
        <v>1601</v>
      </c>
      <c r="AQ4" s="1647"/>
      <c r="AR4" s="1640" t="s">
        <v>1602</v>
      </c>
      <c r="AS4" s="1640"/>
      <c r="AT4" s="1640"/>
      <c r="AU4" s="1640"/>
    </row>
    <row r="5" spans="1:55" ht="14.25" customHeight="1">
      <c r="B5" s="238">
        <f>COUNTA(B14:B24)</f>
        <v>10</v>
      </c>
      <c r="C5" s="238">
        <f>COUNTA(C14:C24)</f>
        <v>8</v>
      </c>
      <c r="K5" s="257"/>
      <c r="L5" s="258"/>
      <c r="M5" s="99"/>
      <c r="N5" s="1620"/>
      <c r="O5" s="99"/>
      <c r="P5" s="1611" t="s">
        <v>168</v>
      </c>
      <c r="Q5" s="1612"/>
      <c r="R5" s="1611" t="s">
        <v>169</v>
      </c>
      <c r="S5" s="1612"/>
      <c r="T5" s="144"/>
      <c r="U5" s="481"/>
      <c r="AF5" s="384"/>
      <c r="AG5" s="380"/>
      <c r="AH5" s="380"/>
      <c r="AI5" s="384"/>
      <c r="AJ5" s="1641" t="s">
        <v>1288</v>
      </c>
      <c r="AK5" s="1641" t="s">
        <v>1287</v>
      </c>
      <c r="AL5" s="1641" t="s">
        <v>1286</v>
      </c>
      <c r="AM5" s="1641" t="s">
        <v>1553</v>
      </c>
      <c r="AN5" s="1641" t="s">
        <v>2218</v>
      </c>
      <c r="AP5" s="1648" t="s">
        <v>1603</v>
      </c>
      <c r="AQ5" s="1648" t="s">
        <v>1604</v>
      </c>
      <c r="AR5" s="1643" t="s">
        <v>1605</v>
      </c>
      <c r="AS5" s="1643" t="s">
        <v>1606</v>
      </c>
      <c r="AT5" s="1645" t="s">
        <v>1607</v>
      </c>
      <c r="AU5" s="1640"/>
    </row>
    <row r="6" spans="1:55">
      <c r="B6" s="1633" t="s">
        <v>844</v>
      </c>
      <c r="C6" s="1633"/>
      <c r="E6" s="315"/>
      <c r="F6" s="315"/>
      <c r="G6" s="315"/>
      <c r="H6" s="315"/>
      <c r="I6" s="315"/>
      <c r="J6" s="313"/>
      <c r="K6" s="461">
        <v>629</v>
      </c>
      <c r="L6" s="241">
        <v>111</v>
      </c>
      <c r="M6" s="99"/>
      <c r="N6" s="1620"/>
      <c r="O6" s="99"/>
      <c r="P6" s="479" t="s">
        <v>3</v>
      </c>
      <c r="Q6" s="480" t="s">
        <v>56</v>
      </c>
      <c r="R6" s="113" t="s">
        <v>183</v>
      </c>
      <c r="S6" s="480" t="s">
        <v>56</v>
      </c>
      <c r="T6" s="144"/>
      <c r="U6" s="234"/>
      <c r="V6" s="588"/>
      <c r="X6" s="315"/>
      <c r="Y6" s="315"/>
      <c r="Z6" s="1634" t="s">
        <v>835</v>
      </c>
      <c r="AA6" s="1635"/>
      <c r="AB6" s="1634" t="s">
        <v>836</v>
      </c>
      <c r="AC6" s="1635"/>
      <c r="AD6" s="477"/>
      <c r="AE6" s="477"/>
      <c r="AF6" s="384"/>
      <c r="AG6" s="1641" t="s">
        <v>1289</v>
      </c>
      <c r="AH6" s="1641"/>
      <c r="AI6" s="384"/>
      <c r="AJ6" s="1642"/>
      <c r="AK6" s="1642"/>
      <c r="AL6" s="1642"/>
      <c r="AM6" s="1642"/>
      <c r="AN6" s="1642"/>
      <c r="AP6" s="1648"/>
      <c r="AQ6" s="1648"/>
      <c r="AR6" s="1644"/>
      <c r="AS6" s="1644"/>
      <c r="AT6" s="1636" t="s">
        <v>1608</v>
      </c>
      <c r="AU6" s="1638" t="s">
        <v>1609</v>
      </c>
    </row>
    <row r="7" spans="1:55" ht="52.8">
      <c r="A7" s="240"/>
      <c r="B7" s="470" t="s">
        <v>852</v>
      </c>
      <c r="C7" s="470" t="s">
        <v>853</v>
      </c>
      <c r="D7" s="313" t="s">
        <v>1349</v>
      </c>
      <c r="E7" s="471" t="s">
        <v>845</v>
      </c>
      <c r="F7" s="471" t="s">
        <v>846</v>
      </c>
      <c r="G7" s="471" t="s">
        <v>847</v>
      </c>
      <c r="H7" s="471" t="s">
        <v>848</v>
      </c>
      <c r="I7" s="471" t="s">
        <v>849</v>
      </c>
      <c r="J7" s="313" t="s">
        <v>140</v>
      </c>
      <c r="K7" s="259" t="s">
        <v>179</v>
      </c>
      <c r="L7" s="78" t="s">
        <v>180</v>
      </c>
      <c r="M7" s="176"/>
      <c r="N7" s="228"/>
      <c r="O7" s="176"/>
      <c r="P7" s="229" t="s">
        <v>1182</v>
      </c>
      <c r="Q7" s="230" t="s">
        <v>1183</v>
      </c>
      <c r="R7" s="231" t="s">
        <v>1182</v>
      </c>
      <c r="S7" s="230" t="s">
        <v>1183</v>
      </c>
      <c r="T7" s="360"/>
      <c r="U7" s="235"/>
      <c r="V7" s="589" t="s">
        <v>1181</v>
      </c>
      <c r="W7" s="472"/>
      <c r="X7" s="471" t="s">
        <v>837</v>
      </c>
      <c r="Y7" s="471" t="s">
        <v>838</v>
      </c>
      <c r="Z7" s="473" t="s">
        <v>839</v>
      </c>
      <c r="AA7" s="474" t="s">
        <v>840</v>
      </c>
      <c r="AB7" s="473" t="s">
        <v>839</v>
      </c>
      <c r="AC7" s="474" t="s">
        <v>840</v>
      </c>
      <c r="AD7" s="470" t="s">
        <v>841</v>
      </c>
      <c r="AE7" s="470" t="s">
        <v>842</v>
      </c>
      <c r="AF7" s="384"/>
      <c r="AG7" s="550" t="s">
        <v>1552</v>
      </c>
      <c r="AH7" s="719" t="s">
        <v>1538</v>
      </c>
      <c r="AI7" s="384"/>
      <c r="AJ7" s="550"/>
      <c r="AK7" s="550"/>
      <c r="AL7" s="732"/>
      <c r="AM7" s="732"/>
      <c r="AN7" s="732"/>
      <c r="AP7" s="1648"/>
      <c r="AQ7" s="1648"/>
      <c r="AR7" s="590"/>
      <c r="AS7" s="591"/>
      <c r="AT7" s="1637"/>
      <c r="AU7" s="1639"/>
    </row>
    <row r="8" spans="1:55">
      <c r="A8" s="813" t="s">
        <v>2052</v>
      </c>
      <c r="B8" s="456" t="s">
        <v>1222</v>
      </c>
      <c r="C8" s="456" t="s">
        <v>1222</v>
      </c>
      <c r="D8" s="238"/>
      <c r="E8" s="265" t="s">
        <v>1208</v>
      </c>
      <c r="F8" s="264" t="s">
        <v>1592</v>
      </c>
      <c r="G8" s="262"/>
      <c r="H8" s="262"/>
      <c r="I8" s="262"/>
      <c r="J8" s="313"/>
      <c r="K8" s="571"/>
      <c r="L8" s="571"/>
      <c r="M8" s="176"/>
      <c r="N8" s="572"/>
      <c r="O8" s="176"/>
      <c r="P8" s="573"/>
      <c r="Q8" s="573"/>
      <c r="R8" s="574"/>
      <c r="S8" s="573"/>
      <c r="T8" s="360"/>
      <c r="U8" s="235"/>
      <c r="V8" s="262"/>
      <c r="X8" s="263"/>
      <c r="Y8" s="263"/>
      <c r="Z8" s="316"/>
      <c r="AA8" s="317"/>
      <c r="AB8" s="316"/>
      <c r="AC8" s="317"/>
      <c r="AD8" s="263"/>
      <c r="AE8" s="263"/>
      <c r="AF8" s="384"/>
      <c r="AG8" s="262"/>
      <c r="AH8" s="262"/>
      <c r="AI8" s="384"/>
      <c r="AJ8" s="262"/>
      <c r="AK8" s="262"/>
      <c r="AL8" s="262"/>
      <c r="AM8" s="262"/>
      <c r="AN8" s="262"/>
      <c r="AP8" s="262"/>
      <c r="AQ8" s="262"/>
      <c r="AR8" s="262"/>
      <c r="AS8" s="262"/>
      <c r="AT8" s="262"/>
      <c r="AU8" s="262"/>
    </row>
    <row r="9" spans="1:55" s="252" customFormat="1" ht="105.6">
      <c r="A9" s="739" t="s">
        <v>1809</v>
      </c>
      <c r="B9" s="1143" t="s">
        <v>134</v>
      </c>
      <c r="C9" s="1143" t="s">
        <v>134</v>
      </c>
      <c r="D9" s="1060"/>
      <c r="E9" s="1145" t="s">
        <v>2197</v>
      </c>
      <c r="F9" s="598" t="s">
        <v>2210</v>
      </c>
      <c r="G9" s="599" t="s">
        <v>764</v>
      </c>
      <c r="H9" s="599" t="s">
        <v>1222</v>
      </c>
      <c r="I9" s="598" t="s">
        <v>1617</v>
      </c>
      <c r="J9" s="1060"/>
      <c r="K9" s="1188" t="s">
        <v>136</v>
      </c>
      <c r="L9" s="1184"/>
      <c r="M9" s="811"/>
      <c r="N9" s="1187"/>
      <c r="O9" s="811"/>
      <c r="P9" s="1183" t="s">
        <v>1231</v>
      </c>
      <c r="Q9" s="1184" t="s">
        <v>1231</v>
      </c>
      <c r="R9" s="1185"/>
      <c r="S9" s="1186" t="s">
        <v>2431</v>
      </c>
      <c r="T9" s="1061"/>
      <c r="U9" s="1060"/>
      <c r="V9" s="1182" t="s">
        <v>51</v>
      </c>
      <c r="W9" s="1060"/>
      <c r="X9" s="1176" t="s">
        <v>51</v>
      </c>
      <c r="Y9" s="1177" t="s">
        <v>51</v>
      </c>
      <c r="Z9" s="1178" t="s">
        <v>51</v>
      </c>
      <c r="AA9" s="1179" t="s">
        <v>51</v>
      </c>
      <c r="AB9" s="1180" t="s">
        <v>51</v>
      </c>
      <c r="AC9" s="1181" t="s">
        <v>51</v>
      </c>
      <c r="AD9" s="1177" t="s">
        <v>51</v>
      </c>
      <c r="AE9" s="1171"/>
      <c r="AF9" s="645"/>
      <c r="AG9" s="1143" t="s">
        <v>2199</v>
      </c>
      <c r="AH9" s="1172" t="s">
        <v>2198</v>
      </c>
      <c r="AI9" s="645"/>
      <c r="AJ9" s="1143" t="s">
        <v>1611</v>
      </c>
      <c r="AK9" s="1173" t="s">
        <v>2224</v>
      </c>
      <c r="AL9" s="1174" t="s">
        <v>51</v>
      </c>
      <c r="AM9" s="1172"/>
      <c r="AN9" s="1175" t="s">
        <v>2430</v>
      </c>
      <c r="AO9" s="929"/>
      <c r="AP9" s="1172"/>
      <c r="AQ9" s="1143" t="s">
        <v>136</v>
      </c>
      <c r="AR9" s="1172"/>
      <c r="AS9" s="1172"/>
      <c r="AT9" s="1172"/>
      <c r="AU9" s="1172"/>
    </row>
    <row r="10" spans="1:55" s="252" customFormat="1" ht="26.4">
      <c r="A10" s="812" t="s">
        <v>1809</v>
      </c>
      <c r="B10" s="635" t="s">
        <v>134</v>
      </c>
      <c r="C10" s="635" t="s">
        <v>134</v>
      </c>
      <c r="D10" s="951"/>
      <c r="E10" s="704" t="s">
        <v>1220</v>
      </c>
      <c r="F10" s="587" t="s">
        <v>2202</v>
      </c>
      <c r="G10" s="1062" t="s">
        <v>2193</v>
      </c>
      <c r="H10" s="1062" t="s">
        <v>1222</v>
      </c>
      <c r="I10" s="587" t="s">
        <v>2216</v>
      </c>
      <c r="J10" s="951"/>
      <c r="K10" s="653" t="s">
        <v>136</v>
      </c>
      <c r="L10" s="1065"/>
      <c r="M10" s="811"/>
      <c r="N10" s="1077"/>
      <c r="O10" s="811"/>
      <c r="P10" s="1064" t="s">
        <v>1231</v>
      </c>
      <c r="Q10" s="1065" t="s">
        <v>1231</v>
      </c>
      <c r="R10" s="582"/>
      <c r="S10" s="1065" t="s">
        <v>1231</v>
      </c>
      <c r="T10" s="811"/>
      <c r="U10" s="951"/>
      <c r="V10" s="1066" t="s">
        <v>51</v>
      </c>
      <c r="W10" s="951"/>
      <c r="X10" s="1067" t="s">
        <v>51</v>
      </c>
      <c r="Y10" s="1068" t="s">
        <v>51</v>
      </c>
      <c r="Z10" s="1069" t="s">
        <v>51</v>
      </c>
      <c r="AA10" s="1070" t="s">
        <v>51</v>
      </c>
      <c r="AB10" s="1071" t="s">
        <v>51</v>
      </c>
      <c r="AC10" s="1072" t="s">
        <v>51</v>
      </c>
      <c r="AD10" s="1068" t="s">
        <v>51</v>
      </c>
      <c r="AE10" s="594"/>
      <c r="AF10" s="645"/>
      <c r="AG10" s="635" t="s">
        <v>2199</v>
      </c>
      <c r="AH10" s="930" t="s">
        <v>2222</v>
      </c>
      <c r="AI10" s="645"/>
      <c r="AJ10" s="635" t="s">
        <v>1611</v>
      </c>
      <c r="AK10" s="1073" t="s">
        <v>2225</v>
      </c>
      <c r="AL10" s="593" t="s">
        <v>51</v>
      </c>
      <c r="AM10" s="1074"/>
      <c r="AN10" s="930" t="s">
        <v>2213</v>
      </c>
      <c r="AO10" s="951"/>
      <c r="AP10" s="1076"/>
      <c r="AQ10" s="635" t="s">
        <v>136</v>
      </c>
      <c r="AR10" s="1074"/>
      <c r="AS10" s="1074"/>
      <c r="AT10" s="1074"/>
      <c r="AU10" s="1074"/>
    </row>
    <row r="11" spans="1:55" s="252" customFormat="1" ht="27.6">
      <c r="A11" s="812" t="s">
        <v>1809</v>
      </c>
      <c r="B11" s="635" t="s">
        <v>134</v>
      </c>
      <c r="C11" s="635" t="s">
        <v>134</v>
      </c>
      <c r="D11" s="951"/>
      <c r="E11" s="704" t="s">
        <v>2200</v>
      </c>
      <c r="F11" s="587" t="s">
        <v>2212</v>
      </c>
      <c r="G11" s="1062" t="s">
        <v>295</v>
      </c>
      <c r="H11" s="1062" t="s">
        <v>1222</v>
      </c>
      <c r="I11" s="587" t="s">
        <v>2211</v>
      </c>
      <c r="J11" s="951"/>
      <c r="K11" s="653" t="s">
        <v>136</v>
      </c>
      <c r="L11" s="1065"/>
      <c r="M11" s="811"/>
      <c r="N11" s="1077"/>
      <c r="O11" s="811"/>
      <c r="P11" s="1064"/>
      <c r="Q11" s="1065"/>
      <c r="R11" s="582"/>
      <c r="S11" s="637" t="s">
        <v>2416</v>
      </c>
      <c r="T11" s="811"/>
      <c r="U11" s="951"/>
      <c r="V11" s="1066" t="s">
        <v>51</v>
      </c>
      <c r="W11" s="951"/>
      <c r="X11" s="1067" t="s">
        <v>51</v>
      </c>
      <c r="Y11" s="1068" t="s">
        <v>51</v>
      </c>
      <c r="Z11" s="1069" t="s">
        <v>51</v>
      </c>
      <c r="AA11" s="1070" t="s">
        <v>51</v>
      </c>
      <c r="AB11" s="1071" t="s">
        <v>51</v>
      </c>
      <c r="AC11" s="1072" t="s">
        <v>51</v>
      </c>
      <c r="AD11" s="1068" t="s">
        <v>51</v>
      </c>
      <c r="AE11" s="1075"/>
      <c r="AF11" s="645"/>
      <c r="AG11" s="635" t="s">
        <v>2199</v>
      </c>
      <c r="AH11" s="619" t="s">
        <v>2205</v>
      </c>
      <c r="AI11" s="645"/>
      <c r="AJ11" s="635" t="s">
        <v>1611</v>
      </c>
      <c r="AK11" s="1073" t="s">
        <v>2226</v>
      </c>
      <c r="AL11" s="593" t="s">
        <v>51</v>
      </c>
      <c r="AM11" s="1074"/>
      <c r="AN11" s="930" t="s">
        <v>2213</v>
      </c>
      <c r="AO11" s="951"/>
      <c r="AP11" s="1076"/>
      <c r="AQ11" s="635" t="s">
        <v>136</v>
      </c>
      <c r="AR11" s="1074"/>
      <c r="AS11" s="1074"/>
      <c r="AT11" s="1074"/>
      <c r="AU11" s="1074"/>
    </row>
    <row r="12" spans="1:55" s="252" customFormat="1" ht="26.4">
      <c r="A12" s="812" t="s">
        <v>1809</v>
      </c>
      <c r="B12" s="635" t="s">
        <v>134</v>
      </c>
      <c r="C12" s="635" t="s">
        <v>134</v>
      </c>
      <c r="D12" s="951"/>
      <c r="E12" s="704" t="s">
        <v>2201</v>
      </c>
      <c r="F12" s="587" t="s">
        <v>2209</v>
      </c>
      <c r="G12" s="1062" t="s">
        <v>2192</v>
      </c>
      <c r="H12" s="1062" t="s">
        <v>1222</v>
      </c>
      <c r="I12" s="587" t="s">
        <v>2208</v>
      </c>
      <c r="J12" s="951"/>
      <c r="K12" s="653" t="s">
        <v>136</v>
      </c>
      <c r="L12" s="1065"/>
      <c r="M12" s="811"/>
      <c r="N12" s="1077"/>
      <c r="O12" s="811"/>
      <c r="P12" s="1064" t="s">
        <v>1231</v>
      </c>
      <c r="Q12" s="1065" t="s">
        <v>1231</v>
      </c>
      <c r="R12" s="582"/>
      <c r="S12" s="1065" t="s">
        <v>1231</v>
      </c>
      <c r="T12" s="811"/>
      <c r="U12" s="951"/>
      <c r="V12" s="1066" t="s">
        <v>51</v>
      </c>
      <c r="W12" s="951"/>
      <c r="X12" s="1067" t="s">
        <v>51</v>
      </c>
      <c r="Y12" s="1068" t="s">
        <v>51</v>
      </c>
      <c r="Z12" s="1069" t="s">
        <v>51</v>
      </c>
      <c r="AA12" s="1070" t="s">
        <v>51</v>
      </c>
      <c r="AB12" s="1071" t="s">
        <v>51</v>
      </c>
      <c r="AC12" s="1072" t="s">
        <v>51</v>
      </c>
      <c r="AD12" s="1068" t="s">
        <v>51</v>
      </c>
      <c r="AE12" s="1075"/>
      <c r="AF12" s="645"/>
      <c r="AG12" s="635" t="s">
        <v>2199</v>
      </c>
      <c r="AH12" s="594" t="s">
        <v>2223</v>
      </c>
      <c r="AI12" s="645"/>
      <c r="AJ12" s="635" t="s">
        <v>1611</v>
      </c>
      <c r="AK12" s="1073" t="s">
        <v>2227</v>
      </c>
      <c r="AL12" s="593" t="s">
        <v>51</v>
      </c>
      <c r="AM12" s="1074"/>
      <c r="AN12" s="930" t="s">
        <v>2213</v>
      </c>
      <c r="AO12" s="951"/>
      <c r="AP12" s="1076"/>
      <c r="AQ12" s="635" t="s">
        <v>136</v>
      </c>
      <c r="AR12" s="1074"/>
      <c r="AS12" s="1074"/>
      <c r="AT12" s="1074"/>
      <c r="AU12" s="1074"/>
    </row>
    <row r="13" spans="1:55" s="252" customFormat="1" ht="27.6">
      <c r="A13" s="812" t="s">
        <v>1809</v>
      </c>
      <c r="B13" s="635" t="s">
        <v>134</v>
      </c>
      <c r="C13" s="635" t="s">
        <v>134</v>
      </c>
      <c r="D13" s="951"/>
      <c r="E13" s="704" t="s">
        <v>1221</v>
      </c>
      <c r="F13" s="587" t="s">
        <v>2207</v>
      </c>
      <c r="G13" s="1062" t="s">
        <v>295</v>
      </c>
      <c r="H13" s="1062" t="s">
        <v>1222</v>
      </c>
      <c r="I13" s="587" t="s">
        <v>2215</v>
      </c>
      <c r="J13" s="951"/>
      <c r="K13" s="653" t="s">
        <v>136</v>
      </c>
      <c r="L13" s="1065"/>
      <c r="M13" s="811"/>
      <c r="N13" s="1077"/>
      <c r="O13" s="811"/>
      <c r="P13" s="1064"/>
      <c r="Q13" s="1065"/>
      <c r="R13" s="582"/>
      <c r="S13" s="637" t="s">
        <v>2416</v>
      </c>
      <c r="T13" s="811"/>
      <c r="U13" s="951"/>
      <c r="V13" s="1066" t="s">
        <v>51</v>
      </c>
      <c r="W13" s="951"/>
      <c r="X13" s="1067" t="s">
        <v>51</v>
      </c>
      <c r="Y13" s="1068" t="s">
        <v>51</v>
      </c>
      <c r="Z13" s="1069" t="s">
        <v>51</v>
      </c>
      <c r="AA13" s="1070" t="s">
        <v>51</v>
      </c>
      <c r="AB13" s="1071" t="s">
        <v>51</v>
      </c>
      <c r="AC13" s="1072" t="s">
        <v>51</v>
      </c>
      <c r="AD13" s="1068" t="s">
        <v>51</v>
      </c>
      <c r="AE13" s="594"/>
      <c r="AF13" s="644"/>
      <c r="AG13" s="635" t="s">
        <v>2199</v>
      </c>
      <c r="AH13" s="619" t="s">
        <v>2206</v>
      </c>
      <c r="AI13" s="644"/>
      <c r="AJ13" s="635" t="s">
        <v>1611</v>
      </c>
      <c r="AK13" s="1073" t="s">
        <v>2226</v>
      </c>
      <c r="AL13" s="593" t="s">
        <v>51</v>
      </c>
      <c r="AM13" s="1074"/>
      <c r="AN13" s="930" t="s">
        <v>2213</v>
      </c>
      <c r="AO13" s="951"/>
      <c r="AP13" s="1076"/>
      <c r="AQ13" s="635" t="s">
        <v>136</v>
      </c>
      <c r="AR13" s="1074"/>
      <c r="AS13" s="1074"/>
      <c r="AT13" s="1074"/>
      <c r="AU13" s="1074"/>
    </row>
    <row r="14" spans="1:55">
      <c r="A14" s="813" t="s">
        <v>2052</v>
      </c>
      <c r="B14" s="456" t="s">
        <v>1222</v>
      </c>
      <c r="C14" s="456" t="s">
        <v>1222</v>
      </c>
      <c r="D14" s="238"/>
      <c r="E14" s="265" t="s">
        <v>1208</v>
      </c>
      <c r="F14" s="264" t="s">
        <v>1593</v>
      </c>
      <c r="G14" s="262"/>
      <c r="H14" s="262"/>
      <c r="I14" s="262"/>
      <c r="J14" s="313"/>
      <c r="K14" s="571"/>
      <c r="L14" s="571"/>
      <c r="M14" s="176"/>
      <c r="N14" s="572"/>
      <c r="O14" s="176"/>
      <c r="P14" s="573"/>
      <c r="Q14" s="573"/>
      <c r="R14" s="574"/>
      <c r="S14" s="573"/>
      <c r="T14" s="360"/>
      <c r="U14" s="235"/>
      <c r="V14" s="262"/>
      <c r="X14" s="263"/>
      <c r="Y14" s="263"/>
      <c r="Z14" s="316"/>
      <c r="AA14" s="317"/>
      <c r="AB14" s="316"/>
      <c r="AC14" s="317"/>
      <c r="AD14" s="263"/>
      <c r="AE14" s="263"/>
      <c r="AF14" s="382"/>
      <c r="AG14" s="262"/>
      <c r="AH14" s="262"/>
      <c r="AI14" s="382"/>
      <c r="AJ14" s="262"/>
      <c r="AK14" s="262"/>
      <c r="AL14" s="262"/>
      <c r="AM14" s="262"/>
      <c r="AN14" s="262"/>
      <c r="AP14" s="262"/>
      <c r="AQ14" s="262"/>
      <c r="AR14" s="262"/>
      <c r="AS14" s="262"/>
      <c r="AT14" s="262"/>
      <c r="AU14" s="262"/>
      <c r="AV14" s="252"/>
      <c r="AW14" s="252"/>
      <c r="AX14" s="252"/>
      <c r="AY14" s="252"/>
      <c r="AZ14" s="252"/>
      <c r="BA14" s="252"/>
      <c r="BB14" s="252"/>
      <c r="BC14" s="252"/>
    </row>
    <row r="15" spans="1:55" s="252" customFormat="1" ht="52.8">
      <c r="A15" s="739" t="s">
        <v>1810</v>
      </c>
      <c r="B15" s="248" t="s">
        <v>134</v>
      </c>
      <c r="C15" s="248" t="s">
        <v>134</v>
      </c>
      <c r="E15" s="566" t="s">
        <v>1184</v>
      </c>
      <c r="F15" s="242" t="s">
        <v>1594</v>
      </c>
      <c r="G15" s="568" t="s">
        <v>281</v>
      </c>
      <c r="H15" s="478" t="s">
        <v>1222</v>
      </c>
      <c r="I15" s="242" t="s">
        <v>1618</v>
      </c>
      <c r="J15" s="312"/>
      <c r="K15" s="398" t="s">
        <v>136</v>
      </c>
      <c r="L15" s="580"/>
      <c r="M15" s="314"/>
      <c r="N15" s="581"/>
      <c r="O15" s="314"/>
      <c r="P15" s="576" t="s">
        <v>1231</v>
      </c>
      <c r="Q15" s="577" t="s">
        <v>1231</v>
      </c>
      <c r="R15" s="582"/>
      <c r="S15" s="577" t="s">
        <v>1231</v>
      </c>
      <c r="T15" s="314"/>
      <c r="U15" s="312"/>
      <c r="V15" s="242" t="str">
        <f t="shared" ref="V15:V22" si="0">IF(AD15&lt;&gt;"",
       "0x" &amp; Z15 &amp;" ~ 0x" &amp; AA15 &amp; " (" &amp; AB15 &amp;"~" &amp; AC15 &amp; AD15 &amp; ")","")&amp;IF(AE15&lt;&gt;"",IF(AD15&lt;&gt;"",CHAR(10)&amp;AE15,AE15),
       "")</f>
        <v>0x0:Level0
0x1:Level1
0x2:Level2 (Default)
0x3:Level3</v>
      </c>
      <c r="W15" s="312"/>
      <c r="X15" s="245">
        <v>0</v>
      </c>
      <c r="Y15" s="246">
        <v>0</v>
      </c>
      <c r="Z15" s="896" t="s">
        <v>1663</v>
      </c>
      <c r="AA15" s="897" t="s">
        <v>1664</v>
      </c>
      <c r="AB15" s="334">
        <f t="shared" ref="AB15:AB22" si="1">X15</f>
        <v>0</v>
      </c>
      <c r="AC15" s="336">
        <f t="shared" ref="AC15:AC22" si="2">HEX2DEC(AA15)*Y15+X15</f>
        <v>0</v>
      </c>
      <c r="AD15" s="597"/>
      <c r="AE15" s="242" t="s">
        <v>1223</v>
      </c>
      <c r="AF15" s="382"/>
      <c r="AG15" s="248" t="s">
        <v>1610</v>
      </c>
      <c r="AH15" s="635" t="s">
        <v>2270</v>
      </c>
      <c r="AI15" s="382"/>
      <c r="AJ15" s="248" t="s">
        <v>1247</v>
      </c>
      <c r="AK15" s="492">
        <v>1</v>
      </c>
      <c r="AL15" s="247" t="s">
        <v>1612</v>
      </c>
      <c r="AM15" s="247"/>
      <c r="AN15" s="247"/>
      <c r="AP15" s="247"/>
      <c r="AQ15" s="247"/>
      <c r="AR15" s="247"/>
      <c r="AS15" s="619"/>
      <c r="AT15" s="635" t="s">
        <v>136</v>
      </c>
      <c r="AU15" s="635" t="s">
        <v>136</v>
      </c>
    </row>
    <row r="16" spans="1:55" s="252" customFormat="1" ht="26.4">
      <c r="A16" s="739"/>
      <c r="B16" s="248" t="s">
        <v>1407</v>
      </c>
      <c r="C16" s="248"/>
      <c r="E16" s="566" t="s">
        <v>1215</v>
      </c>
      <c r="F16" s="242" t="s">
        <v>1595</v>
      </c>
      <c r="G16" s="568" t="s">
        <v>281</v>
      </c>
      <c r="H16" s="478" t="s">
        <v>1222</v>
      </c>
      <c r="I16" s="242" t="s">
        <v>1619</v>
      </c>
      <c r="J16" s="312"/>
      <c r="K16" s="398" t="s">
        <v>136</v>
      </c>
      <c r="L16" s="580"/>
      <c r="M16" s="314"/>
      <c r="N16" s="581"/>
      <c r="O16" s="314"/>
      <c r="P16" s="576" t="s">
        <v>1231</v>
      </c>
      <c r="Q16" s="577" t="s">
        <v>1231</v>
      </c>
      <c r="R16" s="582"/>
      <c r="S16" s="577" t="s">
        <v>1231</v>
      </c>
      <c r="T16" s="824"/>
      <c r="U16" s="312"/>
      <c r="V16" s="242" t="str">
        <f t="shared" si="0"/>
        <v>0x00: Auto
0x01: Lock</v>
      </c>
      <c r="W16" s="312"/>
      <c r="X16" s="245">
        <v>0</v>
      </c>
      <c r="Y16" s="246">
        <v>0</v>
      </c>
      <c r="Z16" s="896" t="s">
        <v>1663</v>
      </c>
      <c r="AA16" s="897" t="s">
        <v>1665</v>
      </c>
      <c r="AB16" s="334">
        <f t="shared" si="1"/>
        <v>0</v>
      </c>
      <c r="AC16" s="336">
        <f t="shared" si="2"/>
        <v>0</v>
      </c>
      <c r="AD16" s="597"/>
      <c r="AE16" s="242" t="s">
        <v>1232</v>
      </c>
      <c r="AF16" s="382"/>
      <c r="AG16" s="248" t="s">
        <v>1610</v>
      </c>
      <c r="AH16" s="248" t="s">
        <v>1559</v>
      </c>
      <c r="AI16" s="382"/>
      <c r="AJ16" s="248" t="s">
        <v>1247</v>
      </c>
      <c r="AK16" s="492">
        <v>1</v>
      </c>
      <c r="AL16" s="247" t="s">
        <v>1613</v>
      </c>
      <c r="AM16" s="247"/>
      <c r="AN16" s="247"/>
      <c r="AP16" s="247"/>
      <c r="AQ16" s="247"/>
      <c r="AR16" s="247"/>
      <c r="AS16" s="619"/>
      <c r="AT16" s="635" t="s">
        <v>136</v>
      </c>
      <c r="AU16" s="635" t="s">
        <v>136</v>
      </c>
    </row>
    <row r="17" spans="1:47" s="252" customFormat="1" ht="39.6">
      <c r="A17" s="1078" t="s">
        <v>2047</v>
      </c>
      <c r="B17" s="248" t="s">
        <v>134</v>
      </c>
      <c r="C17" s="248" t="s">
        <v>134</v>
      </c>
      <c r="E17" s="566" t="s">
        <v>1216</v>
      </c>
      <c r="F17" s="242" t="s">
        <v>1596</v>
      </c>
      <c r="G17" s="568" t="s">
        <v>279</v>
      </c>
      <c r="H17" s="478" t="s">
        <v>1222</v>
      </c>
      <c r="I17" s="242" t="s">
        <v>1620</v>
      </c>
      <c r="J17" s="312"/>
      <c r="K17" s="398" t="s">
        <v>136</v>
      </c>
      <c r="L17" s="580"/>
      <c r="M17" s="314"/>
      <c r="N17" s="697" t="s">
        <v>2066</v>
      </c>
      <c r="O17" s="314"/>
      <c r="P17" s="576" t="s">
        <v>1231</v>
      </c>
      <c r="Q17" s="577" t="s">
        <v>1231</v>
      </c>
      <c r="R17" s="582"/>
      <c r="S17" s="940"/>
      <c r="T17" s="941" t="s">
        <v>2064</v>
      </c>
      <c r="U17" s="312"/>
      <c r="V17" s="242" t="str">
        <f t="shared" si="0"/>
        <v>0x0000 ~ 0x270F (0~9.999-)</v>
      </c>
      <c r="W17" s="312"/>
      <c r="X17" s="245">
        <v>0</v>
      </c>
      <c r="Y17" s="246">
        <v>1E-3</v>
      </c>
      <c r="Z17" s="326" t="s">
        <v>780</v>
      </c>
      <c r="AA17" s="327" t="s">
        <v>1224</v>
      </c>
      <c r="AB17" s="334">
        <f t="shared" si="1"/>
        <v>0</v>
      </c>
      <c r="AC17" s="336">
        <f t="shared" si="2"/>
        <v>9.9990000000000006</v>
      </c>
      <c r="AD17" s="898" t="s">
        <v>1666</v>
      </c>
      <c r="AE17" s="242"/>
      <c r="AF17" s="382"/>
      <c r="AG17" s="958" t="s">
        <v>51</v>
      </c>
      <c r="AH17" s="248" t="s">
        <v>1559</v>
      </c>
      <c r="AI17" s="382"/>
      <c r="AJ17" s="248" t="s">
        <v>1247</v>
      </c>
      <c r="AK17" s="492">
        <v>2</v>
      </c>
      <c r="AL17" s="619" t="s">
        <v>1614</v>
      </c>
      <c r="AM17" s="247"/>
      <c r="AN17" s="247"/>
      <c r="AP17" s="247"/>
      <c r="AQ17" s="247"/>
      <c r="AR17" s="247"/>
      <c r="AS17" s="635" t="s">
        <v>136</v>
      </c>
      <c r="AT17" s="619"/>
      <c r="AU17" s="619"/>
    </row>
    <row r="18" spans="1:47" s="252" customFormat="1" ht="39.6">
      <c r="A18" s="1078" t="s">
        <v>2047</v>
      </c>
      <c r="B18" s="248" t="s">
        <v>134</v>
      </c>
      <c r="C18" s="248" t="s">
        <v>134</v>
      </c>
      <c r="E18" s="566" t="s">
        <v>1217</v>
      </c>
      <c r="F18" s="242" t="s">
        <v>1597</v>
      </c>
      <c r="G18" s="568" t="s">
        <v>279</v>
      </c>
      <c r="H18" s="478" t="s">
        <v>1222</v>
      </c>
      <c r="I18" s="242" t="s">
        <v>1597</v>
      </c>
      <c r="J18" s="312"/>
      <c r="K18" s="398" t="s">
        <v>136</v>
      </c>
      <c r="L18" s="580"/>
      <c r="M18" s="314"/>
      <c r="N18" s="697" t="s">
        <v>2066</v>
      </c>
      <c r="O18" s="314"/>
      <c r="P18" s="576" t="s">
        <v>1231</v>
      </c>
      <c r="Q18" s="577" t="s">
        <v>1231</v>
      </c>
      <c r="R18" s="582"/>
      <c r="S18" s="940"/>
      <c r="T18" s="941" t="s">
        <v>2064</v>
      </c>
      <c r="U18" s="312"/>
      <c r="V18" s="242" t="str">
        <f t="shared" si="0"/>
        <v>0x0000 ~ 0x270F (0~9.999-)</v>
      </c>
      <c r="W18" s="312"/>
      <c r="X18" s="245">
        <v>0</v>
      </c>
      <c r="Y18" s="246">
        <v>1E-3</v>
      </c>
      <c r="Z18" s="326" t="s">
        <v>780</v>
      </c>
      <c r="AA18" s="327" t="s">
        <v>1224</v>
      </c>
      <c r="AB18" s="334">
        <f t="shared" si="1"/>
        <v>0</v>
      </c>
      <c r="AC18" s="336">
        <f t="shared" si="2"/>
        <v>9.9990000000000006</v>
      </c>
      <c r="AD18" s="898" t="s">
        <v>1666</v>
      </c>
      <c r="AE18" s="242"/>
      <c r="AF18" s="508"/>
      <c r="AG18" s="958" t="s">
        <v>51</v>
      </c>
      <c r="AH18" s="248" t="s">
        <v>1559</v>
      </c>
      <c r="AI18" s="508"/>
      <c r="AJ18" s="248" t="s">
        <v>1247</v>
      </c>
      <c r="AK18" s="492">
        <v>2</v>
      </c>
      <c r="AL18" s="619" t="s">
        <v>1614</v>
      </c>
      <c r="AM18" s="247"/>
      <c r="AN18" s="247"/>
      <c r="AP18" s="247"/>
      <c r="AQ18" s="247"/>
      <c r="AR18" s="247"/>
      <c r="AS18" s="635" t="s">
        <v>136</v>
      </c>
      <c r="AT18" s="619"/>
      <c r="AU18" s="619"/>
    </row>
    <row r="19" spans="1:47" s="252" customFormat="1" ht="39.6">
      <c r="A19" s="1078" t="s">
        <v>2047</v>
      </c>
      <c r="B19" s="248" t="s">
        <v>134</v>
      </c>
      <c r="C19" s="248" t="s">
        <v>134</v>
      </c>
      <c r="E19" s="566" t="s">
        <v>1229</v>
      </c>
      <c r="F19" s="242" t="s">
        <v>1598</v>
      </c>
      <c r="G19" s="568" t="s">
        <v>279</v>
      </c>
      <c r="H19" s="478" t="s">
        <v>1222</v>
      </c>
      <c r="I19" s="242" t="s">
        <v>1598</v>
      </c>
      <c r="J19" s="312"/>
      <c r="K19" s="398" t="s">
        <v>136</v>
      </c>
      <c r="L19" s="580"/>
      <c r="M19" s="314"/>
      <c r="N19" s="697" t="s">
        <v>2066</v>
      </c>
      <c r="O19" s="314"/>
      <c r="P19" s="576" t="s">
        <v>1231</v>
      </c>
      <c r="Q19" s="577" t="s">
        <v>1231</v>
      </c>
      <c r="R19" s="582"/>
      <c r="S19" s="940"/>
      <c r="T19" s="941" t="s">
        <v>2064</v>
      </c>
      <c r="U19" s="312"/>
      <c r="V19" s="242" t="str">
        <f t="shared" si="0"/>
        <v>0x0000 ~ 0x03E7 (0~0.999m)</v>
      </c>
      <c r="W19" s="312"/>
      <c r="X19" s="245">
        <v>0</v>
      </c>
      <c r="Y19" s="246">
        <v>1E-3</v>
      </c>
      <c r="Z19" s="326" t="s">
        <v>780</v>
      </c>
      <c r="AA19" s="327" t="s">
        <v>1225</v>
      </c>
      <c r="AB19" s="334">
        <f t="shared" si="1"/>
        <v>0</v>
      </c>
      <c r="AC19" s="336">
        <f t="shared" si="2"/>
        <v>0.999</v>
      </c>
      <c r="AD19" s="246" t="s">
        <v>1226</v>
      </c>
      <c r="AE19" s="242"/>
      <c r="AF19" s="508"/>
      <c r="AG19" s="958" t="s">
        <v>51</v>
      </c>
      <c r="AH19" s="248" t="s">
        <v>1559</v>
      </c>
      <c r="AI19" s="508"/>
      <c r="AJ19" s="248" t="s">
        <v>1247</v>
      </c>
      <c r="AK19" s="492">
        <v>2</v>
      </c>
      <c r="AL19" s="619" t="s">
        <v>1614</v>
      </c>
      <c r="AM19" s="247"/>
      <c r="AN19" s="247"/>
      <c r="AP19" s="247"/>
      <c r="AQ19" s="247"/>
      <c r="AR19" s="247"/>
      <c r="AS19" s="635" t="s">
        <v>136</v>
      </c>
      <c r="AT19" s="619"/>
      <c r="AU19" s="619"/>
    </row>
    <row r="20" spans="1:47" s="252" customFormat="1">
      <c r="A20" s="739"/>
      <c r="B20" s="583"/>
      <c r="C20" s="353"/>
      <c r="D20" s="455"/>
      <c r="E20" s="584" t="s">
        <v>1230</v>
      </c>
      <c r="F20" s="598" t="s">
        <v>1622</v>
      </c>
      <c r="G20" s="599"/>
      <c r="H20" s="599" t="s">
        <v>1222</v>
      </c>
      <c r="I20" s="598" t="s">
        <v>1621</v>
      </c>
      <c r="J20" s="312"/>
      <c r="K20" s="585"/>
      <c r="L20" s="579"/>
      <c r="M20" s="344"/>
      <c r="N20" s="586"/>
      <c r="O20" s="344"/>
      <c r="P20" s="578"/>
      <c r="Q20" s="579"/>
      <c r="R20" s="578"/>
      <c r="S20" s="579"/>
      <c r="T20" s="939"/>
      <c r="U20" s="345"/>
      <c r="V20" s="343"/>
      <c r="W20" s="345"/>
      <c r="X20" s="346"/>
      <c r="Y20" s="347"/>
      <c r="Z20" s="348"/>
      <c r="AA20" s="349"/>
      <c r="AB20" s="350"/>
      <c r="AC20" s="351"/>
      <c r="AD20" s="347"/>
      <c r="AE20" s="343"/>
      <c r="AF20" s="508"/>
      <c r="AG20" s="353"/>
      <c r="AH20" s="353"/>
      <c r="AI20" s="508"/>
      <c r="AJ20" s="353"/>
      <c r="AK20" s="592"/>
      <c r="AL20" s="352"/>
      <c r="AM20" s="352"/>
      <c r="AN20" s="352"/>
      <c r="AP20" s="352"/>
      <c r="AQ20" s="352"/>
      <c r="AR20" s="352"/>
      <c r="AS20" s="352"/>
      <c r="AT20" s="352"/>
      <c r="AU20" s="352"/>
    </row>
    <row r="21" spans="1:47" s="252" customFormat="1" ht="27.6">
      <c r="A21" s="739" t="s">
        <v>1810</v>
      </c>
      <c r="B21" s="248" t="s">
        <v>134</v>
      </c>
      <c r="C21" s="248" t="s">
        <v>134</v>
      </c>
      <c r="E21" s="566" t="s">
        <v>1218</v>
      </c>
      <c r="F21" s="242" t="s">
        <v>1599</v>
      </c>
      <c r="G21" s="568" t="s">
        <v>281</v>
      </c>
      <c r="H21" s="478" t="s">
        <v>1222</v>
      </c>
      <c r="I21" s="242" t="s">
        <v>1599</v>
      </c>
      <c r="J21" s="312"/>
      <c r="K21" s="398" t="s">
        <v>136</v>
      </c>
      <c r="L21" s="580"/>
      <c r="M21" s="314"/>
      <c r="N21" s="697" t="s">
        <v>2066</v>
      </c>
      <c r="O21" s="314"/>
      <c r="P21" s="576" t="s">
        <v>1231</v>
      </c>
      <c r="Q21" s="577" t="s">
        <v>1231</v>
      </c>
      <c r="R21" s="582"/>
      <c r="S21" s="577" t="s">
        <v>1231</v>
      </c>
      <c r="T21" s="314"/>
      <c r="U21" s="312"/>
      <c r="V21" s="242" t="str">
        <f t="shared" si="0"/>
        <v>0x00 ~ 0x3C (0~60min)</v>
      </c>
      <c r="W21" s="312"/>
      <c r="X21" s="245">
        <v>0</v>
      </c>
      <c r="Y21" s="246">
        <v>1</v>
      </c>
      <c r="Z21" s="326" t="s">
        <v>750</v>
      </c>
      <c r="AA21" s="327" t="s">
        <v>1227</v>
      </c>
      <c r="AB21" s="334">
        <f t="shared" si="1"/>
        <v>0</v>
      </c>
      <c r="AC21" s="336">
        <f t="shared" si="2"/>
        <v>60</v>
      </c>
      <c r="AD21" s="246" t="s">
        <v>839</v>
      </c>
      <c r="AE21" s="242"/>
      <c r="AF21" s="508"/>
      <c r="AG21" s="248" t="s">
        <v>1610</v>
      </c>
      <c r="AH21" s="635" t="s">
        <v>2271</v>
      </c>
      <c r="AI21" s="508"/>
      <c r="AJ21" s="248" t="s">
        <v>1247</v>
      </c>
      <c r="AK21" s="492">
        <v>1</v>
      </c>
      <c r="AL21" s="247" t="s">
        <v>1615</v>
      </c>
      <c r="AM21" s="247"/>
      <c r="AN21" s="247"/>
      <c r="AP21" s="247"/>
      <c r="AQ21" s="247"/>
      <c r="AR21" s="635" t="s">
        <v>136</v>
      </c>
      <c r="AS21" s="247"/>
      <c r="AT21" s="247"/>
      <c r="AU21" s="247"/>
    </row>
    <row r="22" spans="1:47" s="252" customFormat="1" ht="27.6">
      <c r="A22" s="739" t="s">
        <v>1810</v>
      </c>
      <c r="B22" s="248" t="s">
        <v>134</v>
      </c>
      <c r="C22" s="248"/>
      <c r="E22" s="566" t="s">
        <v>1219</v>
      </c>
      <c r="F22" s="242" t="s">
        <v>1600</v>
      </c>
      <c r="G22" s="568" t="s">
        <v>281</v>
      </c>
      <c r="H22" s="478" t="s">
        <v>1222</v>
      </c>
      <c r="I22" s="242" t="s">
        <v>1600</v>
      </c>
      <c r="J22" s="312"/>
      <c r="K22" s="398" t="s">
        <v>136</v>
      </c>
      <c r="L22" s="580"/>
      <c r="M22" s="314"/>
      <c r="N22" s="697" t="s">
        <v>2066</v>
      </c>
      <c r="O22" s="314"/>
      <c r="P22" s="576" t="s">
        <v>1231</v>
      </c>
      <c r="Q22" s="577" t="s">
        <v>1231</v>
      </c>
      <c r="R22" s="582"/>
      <c r="S22" s="577" t="s">
        <v>1231</v>
      </c>
      <c r="T22" s="314"/>
      <c r="U22" s="312"/>
      <c r="V22" s="242" t="str">
        <f t="shared" si="0"/>
        <v>0x0: Momentary
0x1: Push Lock</v>
      </c>
      <c r="W22" s="312"/>
      <c r="X22" s="245">
        <v>0</v>
      </c>
      <c r="Y22" s="246">
        <v>0</v>
      </c>
      <c r="Z22" s="326">
        <v>0</v>
      </c>
      <c r="AA22" s="327">
        <v>1</v>
      </c>
      <c r="AB22" s="334">
        <f t="shared" si="1"/>
        <v>0</v>
      </c>
      <c r="AC22" s="336">
        <f t="shared" si="2"/>
        <v>0</v>
      </c>
      <c r="AD22" s="246"/>
      <c r="AE22" s="242" t="s">
        <v>1228</v>
      </c>
      <c r="AF22" s="436"/>
      <c r="AG22" s="248" t="s">
        <v>1610</v>
      </c>
      <c r="AH22" s="635" t="s">
        <v>2272</v>
      </c>
      <c r="AI22" s="436"/>
      <c r="AJ22" s="248" t="s">
        <v>1247</v>
      </c>
      <c r="AK22" s="492">
        <v>1</v>
      </c>
      <c r="AL22" s="619" t="s">
        <v>2274</v>
      </c>
      <c r="AM22" s="247"/>
      <c r="AN22" s="247"/>
      <c r="AP22" s="247"/>
      <c r="AQ22" s="247"/>
      <c r="AR22" s="635" t="s">
        <v>136</v>
      </c>
      <c r="AS22" s="247"/>
      <c r="AT22" s="247"/>
      <c r="AU22" s="247"/>
    </row>
    <row r="23" spans="1:47">
      <c r="A23" s="813" t="s">
        <v>2052</v>
      </c>
      <c r="B23" s="456" t="s">
        <v>1222</v>
      </c>
      <c r="C23" s="456" t="s">
        <v>1222</v>
      </c>
      <c r="D23" s="238"/>
      <c r="E23" s="265" t="s">
        <v>1208</v>
      </c>
      <c r="F23" s="264" t="s">
        <v>1205</v>
      </c>
      <c r="G23" s="262"/>
      <c r="H23" s="262"/>
      <c r="I23" s="262"/>
      <c r="J23" s="313"/>
      <c r="K23" s="571"/>
      <c r="L23" s="571"/>
      <c r="M23" s="176"/>
      <c r="N23" s="572"/>
      <c r="O23" s="176"/>
      <c r="P23" s="573"/>
      <c r="Q23" s="573"/>
      <c r="R23" s="574"/>
      <c r="S23" s="573"/>
      <c r="T23" s="360"/>
      <c r="U23" s="235"/>
      <c r="V23" s="262"/>
      <c r="X23" s="263"/>
      <c r="Y23" s="263"/>
      <c r="Z23" s="263"/>
      <c r="AA23" s="263"/>
      <c r="AB23" s="263"/>
      <c r="AC23" s="263"/>
      <c r="AD23" s="263"/>
      <c r="AE23" s="263"/>
      <c r="AF23" s="382"/>
      <c r="AG23" s="262"/>
      <c r="AH23" s="262"/>
      <c r="AI23" s="382"/>
      <c r="AJ23" s="262"/>
      <c r="AK23" s="262"/>
      <c r="AL23" s="262"/>
      <c r="AM23" s="262"/>
      <c r="AN23" s="262"/>
      <c r="AP23" s="262"/>
      <c r="AQ23" s="262"/>
      <c r="AR23" s="262"/>
      <c r="AS23" s="262"/>
      <c r="AT23" s="262"/>
      <c r="AU23" s="262"/>
    </row>
    <row r="24" spans="1:47">
      <c r="A24" s="813" t="s">
        <v>2052</v>
      </c>
      <c r="B24" s="456" t="s">
        <v>1222</v>
      </c>
      <c r="C24" s="456" t="s">
        <v>1222</v>
      </c>
      <c r="D24" s="238"/>
      <c r="E24" s="265" t="s">
        <v>1208</v>
      </c>
      <c r="F24" s="264" t="s">
        <v>1206</v>
      </c>
      <c r="G24" s="262"/>
      <c r="H24" s="262"/>
      <c r="I24" s="262"/>
      <c r="J24" s="313"/>
      <c r="K24" s="571"/>
      <c r="L24" s="571"/>
      <c r="M24" s="176"/>
      <c r="N24" s="572"/>
      <c r="O24" s="176"/>
      <c r="P24" s="573"/>
      <c r="Q24" s="573"/>
      <c r="R24" s="574"/>
      <c r="S24" s="573"/>
      <c r="T24" s="360"/>
      <c r="U24" s="235"/>
      <c r="V24" s="262"/>
      <c r="X24" s="263"/>
      <c r="Y24" s="263"/>
      <c r="Z24" s="263"/>
      <c r="AA24" s="263"/>
      <c r="AB24" s="263"/>
      <c r="AC24" s="263"/>
      <c r="AD24" s="263"/>
      <c r="AE24" s="263"/>
      <c r="AF24" s="384"/>
      <c r="AG24" s="262"/>
      <c r="AH24" s="262"/>
      <c r="AI24" s="384"/>
      <c r="AJ24" s="262"/>
      <c r="AK24" s="262"/>
      <c r="AL24" s="262"/>
      <c r="AM24" s="262"/>
      <c r="AN24" s="262"/>
      <c r="AP24" s="262"/>
      <c r="AQ24" s="262"/>
      <c r="AR24" s="262"/>
      <c r="AS24" s="262"/>
      <c r="AT24" s="262"/>
      <c r="AU24" s="262"/>
    </row>
    <row r="26" spans="1:47">
      <c r="B26" s="232" t="s">
        <v>1623</v>
      </c>
    </row>
    <row r="27" spans="1:47">
      <c r="B27" s="600"/>
    </row>
    <row r="28" spans="1:47">
      <c r="F28" s="240"/>
    </row>
    <row r="30" spans="1:47">
      <c r="F30" s="232"/>
    </row>
    <row r="31" spans="1:47">
      <c r="F31" s="232"/>
    </row>
  </sheetData>
  <autoFilter ref="B7:T24" xr:uid="{28280233-EB2B-4005-A77A-CA0D03C33BFF}"/>
  <mergeCells count="26">
    <mergeCell ref="AQ5:AQ7"/>
    <mergeCell ref="AN5:AN6"/>
    <mergeCell ref="K3:L3"/>
    <mergeCell ref="N3:N6"/>
    <mergeCell ref="P3:S3"/>
    <mergeCell ref="K4:L4"/>
    <mergeCell ref="P4:Q4"/>
    <mergeCell ref="R4:S4"/>
    <mergeCell ref="P5:Q5"/>
    <mergeCell ref="R5:S5"/>
    <mergeCell ref="AT6:AT7"/>
    <mergeCell ref="AU6:AU7"/>
    <mergeCell ref="AR4:AU4"/>
    <mergeCell ref="AJ5:AJ6"/>
    <mergeCell ref="B6:C6"/>
    <mergeCell ref="Z6:AA6"/>
    <mergeCell ref="AB6:AC6"/>
    <mergeCell ref="AG6:AH6"/>
    <mergeCell ref="AK5:AK6"/>
    <mergeCell ref="AR5:AR6"/>
    <mergeCell ref="AS5:AS6"/>
    <mergeCell ref="AT5:AU5"/>
    <mergeCell ref="AP4:AQ4"/>
    <mergeCell ref="AL5:AL6"/>
    <mergeCell ref="AM5:AM6"/>
    <mergeCell ref="AP5:AP7"/>
  </mergeCells>
  <phoneticPr fontId="13"/>
  <dataValidations count="4">
    <dataValidation type="list" allowBlank="1" showInputMessage="1" showErrorMessage="1" sqref="B16:D16 C20:D20 C22:D22" xr:uid="{FF59A6F4-4342-4AA1-8F41-67C7E8A9075F}">
      <formula1>"○,×,JPN,US/EU,No2"</formula1>
    </dataValidation>
    <dataValidation type="list" allowBlank="1" showInputMessage="1" showErrorMessage="1" sqref="K15:K22 K9:K13" xr:uid="{F1D014A8-D31D-4C10-B926-B91D1657A509}">
      <formula1>"○,×"</formula1>
    </dataValidation>
    <dataValidation type="list" allowBlank="1" showInputMessage="1" sqref="B15:D15 C17:D19 C21:D21 B17:B22 B9:D13" xr:uid="{AFEABCFF-AFD2-4567-8BEE-91D3DA478137}">
      <formula1>"○,×,JPN,US/EU,No2"</formula1>
    </dataValidation>
    <dataValidation allowBlank="1" showDropDown="1" showInputMessage="1" showErrorMessage="1" sqref="AG9:AN13 AJ7:AN7 AP15:AU22 AP9:AU13 AG15:AN22" xr:uid="{ECAF415E-E06C-4398-B9DD-F730EF0F08C6}"/>
  </dataValidations>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3625A1-3F76-4B65-9A39-5AFB29731255}">
  <sheetPr codeName="Sheet5">
    <outlinePr summaryBelow="0" summaryRight="0"/>
  </sheetPr>
  <dimension ref="A1:AI35"/>
  <sheetViews>
    <sheetView showGridLines="0" zoomScale="85" zoomScaleNormal="85" workbookViewId="0">
      <pane xSplit="3" ySplit="8" topLeftCell="G9" activePane="bottomRight" state="frozen"/>
      <selection pane="topRight"/>
      <selection pane="bottomLeft"/>
      <selection pane="bottomRight" activeCell="AD7" sqref="AD7"/>
    </sheetView>
  </sheetViews>
  <sheetFormatPr defaultColWidth="8.875" defaultRowHeight="13.2" outlineLevelRow="1" outlineLevelCol="1"/>
  <cols>
    <col min="1" max="1" width="20.25" bestFit="1" customWidth="1"/>
    <col min="3" max="3" width="33.625" customWidth="1"/>
    <col min="4" max="4" width="19.375" customWidth="1"/>
    <col min="5" max="5" width="17.25" customWidth="1"/>
    <col min="6" max="6" width="2.75" customWidth="1"/>
    <col min="7" max="8" width="4.625" customWidth="1" outlineLevel="1"/>
    <col min="9" max="9" width="2.75" customWidth="1"/>
    <col min="10" max="10" width="4.625" customWidth="1" outlineLevel="1"/>
    <col min="11" max="11" width="2.75" customWidth="1"/>
    <col min="12" max="15" width="4.625" customWidth="1" outlineLevel="1"/>
    <col min="16" max="16" width="2.75" customWidth="1"/>
    <col min="17" max="22" width="4.625" customWidth="1" outlineLevel="1"/>
    <col min="23" max="23" width="2.125" customWidth="1"/>
    <col min="24" max="24" width="11.375" style="380" bestFit="1" customWidth="1" outlineLevel="1" collapsed="1"/>
    <col min="25" max="25" width="47.25" bestFit="1" customWidth="1" outlineLevel="1"/>
    <col min="26" max="26" width="2.75" customWidth="1"/>
    <col min="27" max="28" width="8.875" customWidth="1" outlineLevel="1"/>
    <col min="29" max="29" width="34.375" customWidth="1" outlineLevel="1"/>
    <col min="30" max="30" width="65.25" bestFit="1" customWidth="1" outlineLevel="1"/>
    <col min="31" max="31" width="2.75" customWidth="1"/>
    <col min="32" max="34" width="4.375" customWidth="1" outlineLevel="1"/>
  </cols>
  <sheetData>
    <row r="1" spans="1:35" ht="22.2">
      <c r="A1" s="100" t="s">
        <v>1731</v>
      </c>
      <c r="Y1" s="381"/>
    </row>
    <row r="2" spans="1:35" ht="14.25" customHeight="1" outlineLevel="1">
      <c r="A2" s="381"/>
      <c r="B2" s="381"/>
      <c r="C2" s="381"/>
      <c r="D2" s="381"/>
      <c r="E2" s="381"/>
      <c r="F2" s="381"/>
      <c r="G2" s="899"/>
      <c r="H2" s="899" t="s">
        <v>1715</v>
      </c>
      <c r="I2" s="899"/>
      <c r="J2" s="899"/>
      <c r="K2" s="899"/>
      <c r="L2" s="899"/>
      <c r="M2" s="899"/>
      <c r="N2" s="899"/>
      <c r="O2" s="899"/>
      <c r="P2" s="899"/>
      <c r="Q2" s="899"/>
      <c r="R2" s="899"/>
      <c r="S2" s="899"/>
      <c r="T2" s="899"/>
      <c r="U2" s="899"/>
      <c r="V2" s="899"/>
      <c r="W2" s="900"/>
      <c r="X2" s="901"/>
      <c r="Y2" s="381"/>
      <c r="Z2" s="381"/>
      <c r="AA2" s="385" t="s">
        <v>1296</v>
      </c>
      <c r="AB2" s="381"/>
      <c r="AC2" s="381"/>
      <c r="AD2" s="381"/>
      <c r="AE2" s="381"/>
      <c r="AF2" s="1649" t="s">
        <v>1295</v>
      </c>
      <c r="AG2" s="1650"/>
      <c r="AH2" s="1651"/>
      <c r="AI2" s="381"/>
    </row>
    <row r="3" spans="1:35" ht="14.25" customHeight="1" outlineLevel="1">
      <c r="A3" s="381"/>
      <c r="B3" s="381"/>
      <c r="C3" s="381"/>
      <c r="D3" s="381"/>
      <c r="E3" s="381"/>
      <c r="F3" s="381"/>
      <c r="G3" s="899"/>
      <c r="H3" s="899" t="s">
        <v>1721</v>
      </c>
      <c r="I3" s="899"/>
      <c r="J3" s="899" t="s">
        <v>1720</v>
      </c>
      <c r="K3" s="899"/>
      <c r="L3" s="899"/>
      <c r="M3" s="899"/>
      <c r="N3" s="899"/>
      <c r="O3" s="899"/>
      <c r="P3" s="899"/>
      <c r="Q3" s="899"/>
      <c r="R3" s="899"/>
      <c r="S3" s="899"/>
      <c r="T3" s="899"/>
      <c r="U3" s="899"/>
      <c r="V3" s="899"/>
      <c r="W3" s="900"/>
      <c r="X3" s="902"/>
      <c r="Y3" s="381"/>
      <c r="Z3" s="381"/>
      <c r="AA3" s="385" t="s">
        <v>1294</v>
      </c>
      <c r="AB3" s="381"/>
      <c r="AC3" s="381"/>
      <c r="AD3" s="381"/>
      <c r="AE3" s="381"/>
      <c r="AF3" s="1652"/>
      <c r="AG3" s="1653"/>
      <c r="AH3" s="1654"/>
    </row>
    <row r="4" spans="1:35" ht="13.8" outlineLevel="1">
      <c r="A4" s="381"/>
      <c r="B4" s="645"/>
      <c r="C4" s="645"/>
      <c r="D4" s="645"/>
      <c r="E4" s="645"/>
      <c r="F4" s="645"/>
      <c r="G4" s="1660" t="s">
        <v>110</v>
      </c>
      <c r="H4" s="1661"/>
      <c r="I4" s="144"/>
      <c r="J4" s="1668" t="s">
        <v>1716</v>
      </c>
      <c r="K4" s="111"/>
      <c r="L4" s="1662" t="s">
        <v>138</v>
      </c>
      <c r="M4" s="1663"/>
      <c r="N4" s="1663"/>
      <c r="O4" s="1664"/>
      <c r="P4" s="715"/>
      <c r="Q4" s="1662" t="s">
        <v>139</v>
      </c>
      <c r="R4" s="1663"/>
      <c r="S4" s="1663"/>
      <c r="T4" s="1663"/>
      <c r="U4" s="1663"/>
      <c r="V4" s="1664"/>
      <c r="W4" s="645"/>
      <c r="X4" s="716"/>
      <c r="Y4" s="716"/>
      <c r="Z4" s="645"/>
      <c r="AA4" s="645" t="s">
        <v>1293</v>
      </c>
      <c r="AB4" s="645"/>
      <c r="AC4" s="645"/>
      <c r="AD4" s="645"/>
      <c r="AE4" s="384"/>
      <c r="AF4" s="1655" t="s">
        <v>1555</v>
      </c>
      <c r="AG4" s="1655" t="s">
        <v>1556</v>
      </c>
      <c r="AH4" s="1655" t="s">
        <v>1557</v>
      </c>
    </row>
    <row r="5" spans="1:35" ht="14.25" customHeight="1" outlineLevel="1">
      <c r="A5" s="381"/>
      <c r="B5" s="645"/>
      <c r="C5" s="645"/>
      <c r="D5" s="645"/>
      <c r="E5" s="645"/>
      <c r="F5" s="645"/>
      <c r="G5" s="1665" t="s">
        <v>119</v>
      </c>
      <c r="H5" s="1666"/>
      <c r="I5" s="144"/>
      <c r="J5" s="1669"/>
      <c r="K5" s="111"/>
      <c r="L5" s="1660" t="s">
        <v>120</v>
      </c>
      <c r="M5" s="1661"/>
      <c r="N5" s="1660" t="s">
        <v>121</v>
      </c>
      <c r="O5" s="1661"/>
      <c r="P5" s="715"/>
      <c r="Q5" s="1660" t="s">
        <v>120</v>
      </c>
      <c r="R5" s="1667"/>
      <c r="S5" s="1661"/>
      <c r="T5" s="1660" t="s">
        <v>121</v>
      </c>
      <c r="U5" s="1667"/>
      <c r="V5" s="1661"/>
      <c r="W5" s="645"/>
      <c r="X5" s="716"/>
      <c r="Y5" s="716"/>
      <c r="Z5" s="645"/>
      <c r="AA5" s="645" t="s">
        <v>1292</v>
      </c>
      <c r="AB5" s="645"/>
      <c r="AC5" s="645"/>
      <c r="AD5" s="645"/>
      <c r="AE5" s="384"/>
      <c r="AF5" s="1656"/>
      <c r="AG5" s="1656"/>
      <c r="AH5" s="1656"/>
    </row>
    <row r="6" spans="1:35" ht="13.8" outlineLevel="1">
      <c r="A6" s="381"/>
      <c r="B6" s="645"/>
      <c r="C6" s="645"/>
      <c r="D6" s="645"/>
      <c r="E6" s="645"/>
      <c r="F6" s="645"/>
      <c r="G6" s="717"/>
      <c r="H6" s="718"/>
      <c r="I6" s="144"/>
      <c r="J6" s="1669"/>
      <c r="K6" s="111"/>
      <c r="L6" s="1657" t="s">
        <v>168</v>
      </c>
      <c r="M6" s="1658"/>
      <c r="N6" s="1657" t="s">
        <v>169</v>
      </c>
      <c r="O6" s="1658"/>
      <c r="P6" s="715"/>
      <c r="Q6" s="1657" t="s">
        <v>168</v>
      </c>
      <c r="R6" s="1659"/>
      <c r="S6" s="1658"/>
      <c r="T6" s="1657" t="s">
        <v>169</v>
      </c>
      <c r="U6" s="1659"/>
      <c r="V6" s="1658"/>
      <c r="W6" s="645"/>
      <c r="X6" s="716"/>
      <c r="Y6" s="716"/>
      <c r="Z6" s="645"/>
      <c r="AA6" s="645"/>
      <c r="AB6" s="645"/>
      <c r="AC6" s="645"/>
      <c r="AD6" s="645"/>
      <c r="AE6" s="384"/>
      <c r="AF6" s="1656"/>
      <c r="AG6" s="1656"/>
      <c r="AH6" s="1656"/>
    </row>
    <row r="7" spans="1:35" ht="28.8">
      <c r="A7" s="381"/>
      <c r="B7" s="719" t="s">
        <v>1291</v>
      </c>
      <c r="C7" s="719" t="s">
        <v>1290</v>
      </c>
      <c r="D7" s="719" t="s">
        <v>1550</v>
      </c>
      <c r="E7" s="719" t="s">
        <v>1551</v>
      </c>
      <c r="F7" s="645"/>
      <c r="G7" s="462">
        <v>629</v>
      </c>
      <c r="H7" s="463">
        <v>111</v>
      </c>
      <c r="I7" s="693"/>
      <c r="J7" s="1669"/>
      <c r="K7" s="720"/>
      <c r="L7" s="721" t="s">
        <v>183</v>
      </c>
      <c r="M7" s="722" t="s">
        <v>56</v>
      </c>
      <c r="N7" s="405" t="s">
        <v>183</v>
      </c>
      <c r="O7" s="722" t="s">
        <v>56</v>
      </c>
      <c r="P7" s="723"/>
      <c r="Q7" s="721" t="s">
        <v>183</v>
      </c>
      <c r="R7" s="724" t="s">
        <v>56</v>
      </c>
      <c r="S7" s="722" t="s">
        <v>54</v>
      </c>
      <c r="T7" s="405" t="s">
        <v>183</v>
      </c>
      <c r="U7" s="724" t="s">
        <v>56</v>
      </c>
      <c r="V7" s="722" t="s">
        <v>54</v>
      </c>
      <c r="W7" s="645"/>
      <c r="X7" s="1641" t="s">
        <v>1289</v>
      </c>
      <c r="Y7" s="1641"/>
      <c r="Z7" s="645"/>
      <c r="AA7" s="719" t="s">
        <v>1288</v>
      </c>
      <c r="AB7" s="719" t="s">
        <v>2254</v>
      </c>
      <c r="AC7" s="719" t="s">
        <v>1286</v>
      </c>
      <c r="AD7" s="719" t="s">
        <v>1553</v>
      </c>
      <c r="AE7" s="384"/>
      <c r="AF7" s="1656"/>
      <c r="AG7" s="1656"/>
      <c r="AH7" s="1656"/>
    </row>
    <row r="8" spans="1:35" ht="52.8">
      <c r="A8" s="381"/>
      <c r="B8" s="550"/>
      <c r="C8" s="550"/>
      <c r="D8" s="550"/>
      <c r="E8" s="550"/>
      <c r="F8" s="645"/>
      <c r="G8" s="725" t="s">
        <v>179</v>
      </c>
      <c r="H8" s="726" t="s">
        <v>180</v>
      </c>
      <c r="I8" s="727"/>
      <c r="J8" s="976"/>
      <c r="K8" s="975" t="s">
        <v>155</v>
      </c>
      <c r="L8" s="728" t="s">
        <v>1285</v>
      </c>
      <c r="M8" s="729" t="s">
        <v>1284</v>
      </c>
      <c r="N8" s="404" t="s">
        <v>1285</v>
      </c>
      <c r="O8" s="730" t="s">
        <v>1284</v>
      </c>
      <c r="P8" s="731"/>
      <c r="Q8" s="728" t="s">
        <v>1285</v>
      </c>
      <c r="R8" s="729" t="s">
        <v>1284</v>
      </c>
      <c r="S8" s="730" t="s">
        <v>1283</v>
      </c>
      <c r="T8" s="403" t="s">
        <v>1285</v>
      </c>
      <c r="U8" s="729" t="s">
        <v>1284</v>
      </c>
      <c r="V8" s="730" t="s">
        <v>1283</v>
      </c>
      <c r="W8" s="645"/>
      <c r="X8" s="550" t="s">
        <v>1552</v>
      </c>
      <c r="Y8" s="719" t="s">
        <v>1538</v>
      </c>
      <c r="Z8" s="645"/>
      <c r="AA8" s="550"/>
      <c r="AB8" s="550" t="s">
        <v>2255</v>
      </c>
      <c r="AC8" s="732"/>
      <c r="AD8" s="732"/>
      <c r="AE8" s="384"/>
      <c r="AF8" s="1656"/>
      <c r="AG8" s="1656"/>
      <c r="AH8" s="1656"/>
    </row>
    <row r="9" spans="1:35">
      <c r="A9" s="813" t="s">
        <v>2052</v>
      </c>
      <c r="B9" s="815" t="s">
        <v>2053</v>
      </c>
      <c r="C9" s="815" t="s">
        <v>2053</v>
      </c>
      <c r="D9" s="815" t="s">
        <v>2053</v>
      </c>
      <c r="E9" s="815" t="s">
        <v>2053</v>
      </c>
      <c r="F9" s="384"/>
      <c r="G9" s="814" t="s">
        <v>2053</v>
      </c>
      <c r="H9" s="814" t="s">
        <v>2053</v>
      </c>
      <c r="I9" s="694"/>
      <c r="J9" s="814" t="s">
        <v>2053</v>
      </c>
      <c r="K9" s="638"/>
      <c r="L9" s="820" t="s">
        <v>2053</v>
      </c>
      <c r="M9" s="820" t="s">
        <v>2053</v>
      </c>
      <c r="N9" s="820" t="s">
        <v>2053</v>
      </c>
      <c r="O9" s="820" t="s">
        <v>2053</v>
      </c>
      <c r="P9" s="657"/>
      <c r="Q9" s="821" t="s">
        <v>2053</v>
      </c>
      <c r="R9" s="821" t="s">
        <v>2053</v>
      </c>
      <c r="S9" s="821" t="s">
        <v>2053</v>
      </c>
      <c r="T9" s="821" t="s">
        <v>2053</v>
      </c>
      <c r="U9" s="821" t="s">
        <v>2053</v>
      </c>
      <c r="V9" s="821" t="s">
        <v>2053</v>
      </c>
      <c r="W9" s="645"/>
      <c r="X9" s="816" t="s">
        <v>2053</v>
      </c>
      <c r="Y9" s="817" t="s">
        <v>2053</v>
      </c>
      <c r="Z9" s="645"/>
      <c r="AA9" s="818" t="s">
        <v>2053</v>
      </c>
      <c r="AB9" s="818" t="s">
        <v>2053</v>
      </c>
      <c r="AC9" s="818" t="s">
        <v>2053</v>
      </c>
      <c r="AD9" s="819" t="s">
        <v>2053</v>
      </c>
      <c r="AE9" s="645"/>
      <c r="AF9" s="818" t="s">
        <v>2053</v>
      </c>
      <c r="AG9" s="818" t="s">
        <v>2053</v>
      </c>
      <c r="AH9" s="818" t="s">
        <v>2053</v>
      </c>
    </row>
    <row r="10" spans="1:35" ht="52.8">
      <c r="A10" s="740" t="s">
        <v>1811</v>
      </c>
      <c r="B10" s="391" t="s">
        <v>1558</v>
      </c>
      <c r="C10" s="399" t="s">
        <v>1543</v>
      </c>
      <c r="D10" s="399" t="s">
        <v>1282</v>
      </c>
      <c r="E10" s="399" t="s">
        <v>1281</v>
      </c>
      <c r="F10" s="382"/>
      <c r="G10" s="398" t="s">
        <v>136</v>
      </c>
      <c r="H10" s="637" t="s">
        <v>2067</v>
      </c>
      <c r="I10" s="694"/>
      <c r="J10" s="697" t="s">
        <v>2066</v>
      </c>
      <c r="K10" s="638"/>
      <c r="L10" s="639" t="s">
        <v>136</v>
      </c>
      <c r="M10" s="640" t="s">
        <v>136</v>
      </c>
      <c r="N10" s="437" t="s">
        <v>135</v>
      </c>
      <c r="O10" s="648" t="s">
        <v>136</v>
      </c>
      <c r="P10" s="641"/>
      <c r="Q10" s="639" t="s">
        <v>136</v>
      </c>
      <c r="R10" s="642" t="s">
        <v>136</v>
      </c>
      <c r="S10" s="642" t="s">
        <v>136</v>
      </c>
      <c r="T10" s="437" t="s">
        <v>135</v>
      </c>
      <c r="U10" s="640" t="s">
        <v>136</v>
      </c>
      <c r="V10" s="643" t="s">
        <v>136</v>
      </c>
      <c r="W10" s="644"/>
      <c r="X10" s="544" t="s">
        <v>1531</v>
      </c>
      <c r="Y10" s="1216" t="s">
        <v>2434</v>
      </c>
      <c r="Z10" s="644"/>
      <c r="AA10" s="550" t="s">
        <v>1252</v>
      </c>
      <c r="AB10" s="545">
        <v>16</v>
      </c>
      <c r="AC10" s="545" t="s">
        <v>1657</v>
      </c>
      <c r="AD10" s="548" t="s">
        <v>1584</v>
      </c>
      <c r="AE10" s="645"/>
      <c r="AF10" s="646" t="s">
        <v>1245</v>
      </c>
      <c r="AG10" s="646" t="s">
        <v>1245</v>
      </c>
      <c r="AH10" s="646" t="s">
        <v>1245</v>
      </c>
    </row>
    <row r="11" spans="1:35" ht="52.8">
      <c r="A11" s="740" t="s">
        <v>1811</v>
      </c>
      <c r="B11" s="401" t="s">
        <v>1280</v>
      </c>
      <c r="C11" s="400" t="s">
        <v>1544</v>
      </c>
      <c r="D11" s="400" t="s">
        <v>1279</v>
      </c>
      <c r="E11" s="400" t="s">
        <v>1532</v>
      </c>
      <c r="F11" s="382"/>
      <c r="G11" s="398" t="s">
        <v>136</v>
      </c>
      <c r="H11" s="637" t="s">
        <v>2067</v>
      </c>
      <c r="I11" s="694"/>
      <c r="J11" s="697" t="s">
        <v>2066</v>
      </c>
      <c r="K11" s="638"/>
      <c r="L11" s="639" t="s">
        <v>136</v>
      </c>
      <c r="M11" s="640" t="s">
        <v>136</v>
      </c>
      <c r="N11" s="437" t="s">
        <v>135</v>
      </c>
      <c r="O11" s="648" t="s">
        <v>134</v>
      </c>
      <c r="P11" s="641"/>
      <c r="Q11" s="639" t="s">
        <v>136</v>
      </c>
      <c r="R11" s="642" t="s">
        <v>136</v>
      </c>
      <c r="S11" s="642" t="s">
        <v>136</v>
      </c>
      <c r="T11" s="437" t="s">
        <v>135</v>
      </c>
      <c r="U11" s="642" t="s">
        <v>134</v>
      </c>
      <c r="V11" s="642" t="s">
        <v>136</v>
      </c>
      <c r="W11" s="644"/>
      <c r="X11" s="546" t="s">
        <v>1531</v>
      </c>
      <c r="Y11" s="1216" t="s">
        <v>2435</v>
      </c>
      <c r="Z11" s="644"/>
      <c r="AA11" s="551" t="s">
        <v>1252</v>
      </c>
      <c r="AB11" s="547">
        <v>16</v>
      </c>
      <c r="AC11" s="545" t="s">
        <v>1661</v>
      </c>
      <c r="AD11" s="548" t="s">
        <v>1584</v>
      </c>
      <c r="AE11" s="645"/>
      <c r="AF11" s="646" t="s">
        <v>1245</v>
      </c>
      <c r="AG11" s="646" t="s">
        <v>1245</v>
      </c>
      <c r="AH11" s="646" t="s">
        <v>1245</v>
      </c>
    </row>
    <row r="12" spans="1:35" ht="39.6">
      <c r="A12" s="1083"/>
      <c r="B12" s="401" t="s">
        <v>1278</v>
      </c>
      <c r="C12" s="400" t="s">
        <v>1546</v>
      </c>
      <c r="D12" s="400" t="s">
        <v>1339</v>
      </c>
      <c r="E12" s="400" t="s">
        <v>1587</v>
      </c>
      <c r="F12" s="382"/>
      <c r="G12" s="398" t="s">
        <v>136</v>
      </c>
      <c r="H12" s="637" t="s">
        <v>136</v>
      </c>
      <c r="I12" s="694"/>
      <c r="J12" s="697"/>
      <c r="K12" s="638"/>
      <c r="L12" s="662" t="s">
        <v>1658</v>
      </c>
      <c r="M12" s="663" t="s">
        <v>1658</v>
      </c>
      <c r="N12" s="437" t="s">
        <v>135</v>
      </c>
      <c r="O12" s="648"/>
      <c r="P12" s="641"/>
      <c r="Q12" s="639"/>
      <c r="R12" s="642"/>
      <c r="S12" s="649"/>
      <c r="T12" s="437" t="s">
        <v>135</v>
      </c>
      <c r="U12" s="642"/>
      <c r="V12" s="650"/>
      <c r="W12" s="644"/>
      <c r="X12" s="546" t="s">
        <v>1658</v>
      </c>
      <c r="Y12" s="558" t="s">
        <v>1588</v>
      </c>
      <c r="Z12" s="644"/>
      <c r="AA12" s="551" t="s">
        <v>1247</v>
      </c>
      <c r="AB12" s="547">
        <v>4</v>
      </c>
      <c r="AC12" s="548" t="s">
        <v>1246</v>
      </c>
      <c r="AD12" s="548" t="s">
        <v>1246</v>
      </c>
      <c r="AE12" s="645"/>
      <c r="AF12" s="646" t="s">
        <v>1245</v>
      </c>
      <c r="AG12" s="651" t="s">
        <v>1348</v>
      </c>
      <c r="AH12" s="651" t="s">
        <v>1348</v>
      </c>
    </row>
    <row r="13" spans="1:35" ht="39.6">
      <c r="A13" s="1083"/>
      <c r="B13" s="401" t="s">
        <v>1277</v>
      </c>
      <c r="C13" s="400" t="s">
        <v>1547</v>
      </c>
      <c r="D13" s="400" t="s">
        <v>1340</v>
      </c>
      <c r="E13" s="400" t="s">
        <v>1341</v>
      </c>
      <c r="F13" s="382"/>
      <c r="G13" s="398" t="s">
        <v>134</v>
      </c>
      <c r="H13" s="637" t="s">
        <v>134</v>
      </c>
      <c r="I13" s="694"/>
      <c r="J13" s="697"/>
      <c r="K13" s="638"/>
      <c r="L13" s="662" t="s">
        <v>1658</v>
      </c>
      <c r="M13" s="663" t="s">
        <v>1658</v>
      </c>
      <c r="N13" s="437" t="s">
        <v>135</v>
      </c>
      <c r="O13" s="648"/>
      <c r="P13" s="641"/>
      <c r="Q13" s="639"/>
      <c r="R13" s="642"/>
      <c r="S13" s="649"/>
      <c r="T13" s="437" t="s">
        <v>135</v>
      </c>
      <c r="U13" s="642"/>
      <c r="V13" s="650"/>
      <c r="W13" s="644"/>
      <c r="X13" s="546" t="s">
        <v>1658</v>
      </c>
      <c r="Y13" s="558" t="s">
        <v>1658</v>
      </c>
      <c r="Z13" s="644"/>
      <c r="AA13" s="551" t="s">
        <v>1247</v>
      </c>
      <c r="AB13" s="547">
        <v>4</v>
      </c>
      <c r="AC13" s="548" t="s">
        <v>1246</v>
      </c>
      <c r="AD13" s="548" t="s">
        <v>1246</v>
      </c>
      <c r="AE13" s="645"/>
      <c r="AF13" s="646" t="s">
        <v>1245</v>
      </c>
      <c r="AG13" s="651" t="s">
        <v>1348</v>
      </c>
      <c r="AH13" s="651" t="s">
        <v>1348</v>
      </c>
    </row>
    <row r="14" spans="1:35" ht="39.6">
      <c r="A14" s="740" t="s">
        <v>1811</v>
      </c>
      <c r="B14" s="1059" t="s">
        <v>2247</v>
      </c>
      <c r="C14" s="549" t="s">
        <v>2248</v>
      </c>
      <c r="D14" s="549" t="s">
        <v>2251</v>
      </c>
      <c r="E14" s="549" t="s">
        <v>2252</v>
      </c>
      <c r="F14" s="382"/>
      <c r="G14" s="398" t="s">
        <v>134</v>
      </c>
      <c r="H14" s="637"/>
      <c r="I14" s="694"/>
      <c r="J14" s="697"/>
      <c r="K14" s="638"/>
      <c r="L14" s="639" t="s">
        <v>134</v>
      </c>
      <c r="M14" s="642" t="s">
        <v>134</v>
      </c>
      <c r="N14" s="437" t="s">
        <v>135</v>
      </c>
      <c r="O14" s="648"/>
      <c r="P14" s="641"/>
      <c r="Q14" s="639" t="s">
        <v>136</v>
      </c>
      <c r="R14" s="642" t="s">
        <v>136</v>
      </c>
      <c r="S14" s="649" t="s">
        <v>136</v>
      </c>
      <c r="T14" s="437" t="s">
        <v>135</v>
      </c>
      <c r="U14" s="642"/>
      <c r="V14" s="650"/>
      <c r="W14" s="644"/>
      <c r="X14" s="1084" t="s">
        <v>51</v>
      </c>
      <c r="Y14" s="1085" t="s">
        <v>51</v>
      </c>
      <c r="Z14" s="644"/>
      <c r="AA14" s="1059" t="s">
        <v>1247</v>
      </c>
      <c r="AB14" s="547">
        <v>1</v>
      </c>
      <c r="AC14" s="548" t="s">
        <v>1246</v>
      </c>
      <c r="AD14" s="1235" t="s">
        <v>2493</v>
      </c>
      <c r="AE14" s="645"/>
      <c r="AF14" s="651" t="s">
        <v>1348</v>
      </c>
      <c r="AG14" s="651" t="s">
        <v>1348</v>
      </c>
      <c r="AH14" s="651" t="s">
        <v>1348</v>
      </c>
    </row>
    <row r="15" spans="1:35" ht="52.8">
      <c r="A15" s="740" t="s">
        <v>1811</v>
      </c>
      <c r="B15" s="401" t="s">
        <v>1276</v>
      </c>
      <c r="C15" s="400" t="s">
        <v>1548</v>
      </c>
      <c r="D15" s="400" t="s">
        <v>1275</v>
      </c>
      <c r="E15" s="549" t="s">
        <v>1667</v>
      </c>
      <c r="F15" s="382"/>
      <c r="G15" s="398" t="s">
        <v>134</v>
      </c>
      <c r="H15" s="637" t="s">
        <v>2067</v>
      </c>
      <c r="I15" s="694"/>
      <c r="J15" s="697" t="s">
        <v>2066</v>
      </c>
      <c r="K15" s="638"/>
      <c r="L15" s="639" t="s">
        <v>134</v>
      </c>
      <c r="M15" s="642" t="s">
        <v>134</v>
      </c>
      <c r="N15" s="437" t="s">
        <v>135</v>
      </c>
      <c r="O15" s="648" t="s">
        <v>136</v>
      </c>
      <c r="P15" s="641"/>
      <c r="Q15" s="647" t="s">
        <v>136</v>
      </c>
      <c r="R15" s="640" t="s">
        <v>136</v>
      </c>
      <c r="S15" s="652" t="s">
        <v>134</v>
      </c>
      <c r="T15" s="437" t="s">
        <v>135</v>
      </c>
      <c r="U15" s="640" t="s">
        <v>134</v>
      </c>
      <c r="V15" s="640" t="s">
        <v>136</v>
      </c>
      <c r="W15" s="644"/>
      <c r="X15" s="546" t="s">
        <v>1531</v>
      </c>
      <c r="Y15" s="1216" t="s">
        <v>2436</v>
      </c>
      <c r="Z15" s="644"/>
      <c r="AA15" s="551" t="s">
        <v>1258</v>
      </c>
      <c r="AB15" s="547">
        <v>5</v>
      </c>
      <c r="AC15" s="664">
        <v>8977987110</v>
      </c>
      <c r="AD15" s="547" t="s">
        <v>1554</v>
      </c>
      <c r="AE15" s="645"/>
      <c r="AF15" s="646" t="s">
        <v>1245</v>
      </c>
      <c r="AG15" s="651" t="s">
        <v>134</v>
      </c>
      <c r="AH15" s="651" t="s">
        <v>134</v>
      </c>
    </row>
    <row r="16" spans="1:35">
      <c r="A16" s="382"/>
      <c r="B16" s="515" t="s">
        <v>1274</v>
      </c>
      <c r="C16" s="516" t="s">
        <v>1342</v>
      </c>
      <c r="D16" s="516"/>
      <c r="E16" s="516"/>
      <c r="F16" s="508"/>
      <c r="G16" s="517"/>
      <c r="H16" s="518"/>
      <c r="I16" s="695"/>
      <c r="J16" s="698"/>
      <c r="K16" s="509"/>
      <c r="L16" s="519"/>
      <c r="M16" s="520"/>
      <c r="N16" s="521"/>
      <c r="O16" s="700"/>
      <c r="P16" s="522"/>
      <c r="Q16" s="519"/>
      <c r="R16" s="520"/>
      <c r="S16" s="520"/>
      <c r="T16" s="523"/>
      <c r="U16" s="524"/>
      <c r="V16" s="525"/>
      <c r="W16" s="508"/>
      <c r="X16" s="510"/>
      <c r="Y16" s="511"/>
      <c r="Z16" s="508"/>
      <c r="AA16" s="515"/>
      <c r="AB16" s="526"/>
      <c r="AC16" s="526"/>
      <c r="AD16" s="526"/>
      <c r="AE16" s="553"/>
      <c r="AF16" s="554"/>
      <c r="AG16" s="554"/>
      <c r="AH16" s="555"/>
    </row>
    <row r="17" spans="1:34">
      <c r="A17" s="382"/>
      <c r="B17" s="515" t="s">
        <v>1273</v>
      </c>
      <c r="C17" s="516" t="s">
        <v>1343</v>
      </c>
      <c r="D17" s="516"/>
      <c r="E17" s="516"/>
      <c r="F17" s="508"/>
      <c r="G17" s="517"/>
      <c r="H17" s="518"/>
      <c r="I17" s="695"/>
      <c r="J17" s="698"/>
      <c r="K17" s="509"/>
      <c r="L17" s="519"/>
      <c r="M17" s="520"/>
      <c r="N17" s="527"/>
      <c r="O17" s="528"/>
      <c r="P17" s="529"/>
      <c r="Q17" s="519"/>
      <c r="R17" s="520"/>
      <c r="S17" s="520"/>
      <c r="T17" s="527"/>
      <c r="U17" s="520"/>
      <c r="V17" s="530"/>
      <c r="W17" s="508"/>
      <c r="X17" s="512"/>
      <c r="Y17" s="511"/>
      <c r="Z17" s="508"/>
      <c r="AA17" s="515"/>
      <c r="AB17" s="526"/>
      <c r="AC17" s="531"/>
      <c r="AD17" s="531"/>
      <c r="AE17" s="553"/>
      <c r="AF17" s="554"/>
      <c r="AG17" s="554"/>
      <c r="AH17" s="554"/>
    </row>
    <row r="18" spans="1:34">
      <c r="A18" s="382"/>
      <c r="B18" s="515" t="s">
        <v>1272</v>
      </c>
      <c r="C18" s="516" t="s">
        <v>1344</v>
      </c>
      <c r="D18" s="516"/>
      <c r="E18" s="516"/>
      <c r="F18" s="508"/>
      <c r="G18" s="517"/>
      <c r="H18" s="518"/>
      <c r="I18" s="695"/>
      <c r="J18" s="698"/>
      <c r="K18" s="509"/>
      <c r="L18" s="519"/>
      <c r="M18" s="520"/>
      <c r="N18" s="527"/>
      <c r="O18" s="528"/>
      <c r="P18" s="529"/>
      <c r="Q18" s="519"/>
      <c r="R18" s="520"/>
      <c r="S18" s="520"/>
      <c r="T18" s="527"/>
      <c r="U18" s="532"/>
      <c r="V18" s="530"/>
      <c r="W18" s="508"/>
      <c r="X18" s="510"/>
      <c r="Y18" s="513"/>
      <c r="Z18" s="508"/>
      <c r="AA18" s="515"/>
      <c r="AB18" s="526"/>
      <c r="AC18" s="531"/>
      <c r="AD18" s="531"/>
      <c r="AE18" s="553"/>
      <c r="AF18" s="554"/>
      <c r="AG18" s="554"/>
      <c r="AH18" s="554"/>
    </row>
    <row r="19" spans="1:34">
      <c r="A19" s="382"/>
      <c r="B19" s="515" t="s">
        <v>1271</v>
      </c>
      <c r="C19" s="516" t="s">
        <v>1345</v>
      </c>
      <c r="D19" s="516"/>
      <c r="E19" s="516"/>
      <c r="F19" s="508"/>
      <c r="G19" s="517"/>
      <c r="H19" s="518"/>
      <c r="I19" s="695"/>
      <c r="J19" s="698"/>
      <c r="K19" s="509"/>
      <c r="L19" s="519"/>
      <c r="M19" s="520"/>
      <c r="N19" s="533"/>
      <c r="O19" s="534"/>
      <c r="P19" s="529"/>
      <c r="Q19" s="519"/>
      <c r="R19" s="520"/>
      <c r="S19" s="520"/>
      <c r="T19" s="533"/>
      <c r="U19" s="535"/>
      <c r="V19" s="536"/>
      <c r="W19" s="508"/>
      <c r="X19" s="510"/>
      <c r="Y19" s="513"/>
      <c r="Z19" s="508"/>
      <c r="AA19" s="515"/>
      <c r="AB19" s="526"/>
      <c r="AC19" s="531"/>
      <c r="AD19" s="531"/>
      <c r="AE19" s="553"/>
      <c r="AF19" s="554"/>
      <c r="AG19" s="554"/>
      <c r="AH19" s="554"/>
    </row>
    <row r="20" spans="1:34">
      <c r="A20" s="813" t="s">
        <v>2052</v>
      </c>
      <c r="B20" s="815" t="s">
        <v>2053</v>
      </c>
      <c r="C20" s="815" t="s">
        <v>2053</v>
      </c>
      <c r="D20" s="815" t="s">
        <v>2053</v>
      </c>
      <c r="E20" s="815" t="s">
        <v>2053</v>
      </c>
      <c r="F20" s="384"/>
      <c r="G20" s="814" t="s">
        <v>2053</v>
      </c>
      <c r="H20" s="814" t="s">
        <v>2053</v>
      </c>
      <c r="I20" s="694"/>
      <c r="J20" s="814" t="s">
        <v>2053</v>
      </c>
      <c r="K20" s="638"/>
      <c r="L20" s="820" t="s">
        <v>2053</v>
      </c>
      <c r="M20" s="820" t="s">
        <v>2053</v>
      </c>
      <c r="N20" s="820" t="s">
        <v>2053</v>
      </c>
      <c r="O20" s="820" t="s">
        <v>2053</v>
      </c>
      <c r="P20" s="657"/>
      <c r="Q20" s="821" t="s">
        <v>2053</v>
      </c>
      <c r="R20" s="821" t="s">
        <v>2053</v>
      </c>
      <c r="S20" s="821" t="s">
        <v>2053</v>
      </c>
      <c r="T20" s="821" t="s">
        <v>2053</v>
      </c>
      <c r="U20" s="821" t="s">
        <v>2053</v>
      </c>
      <c r="V20" s="821" t="s">
        <v>2053</v>
      </c>
      <c r="W20" s="645"/>
      <c r="X20" s="816" t="s">
        <v>2053</v>
      </c>
      <c r="Y20" s="817" t="s">
        <v>2053</v>
      </c>
      <c r="Z20" s="645"/>
      <c r="AA20" s="818" t="s">
        <v>2053</v>
      </c>
      <c r="AB20" s="818" t="s">
        <v>2053</v>
      </c>
      <c r="AC20" s="818" t="s">
        <v>2053</v>
      </c>
      <c r="AD20" s="819" t="s">
        <v>2053</v>
      </c>
      <c r="AE20" s="645"/>
      <c r="AF20" s="818" t="s">
        <v>2053</v>
      </c>
      <c r="AG20" s="818" t="s">
        <v>2053</v>
      </c>
      <c r="AH20" s="818" t="s">
        <v>2053</v>
      </c>
    </row>
    <row r="21" spans="1:34" ht="39.6">
      <c r="A21" s="740" t="s">
        <v>1811</v>
      </c>
      <c r="B21" s="401" t="s">
        <v>1270</v>
      </c>
      <c r="C21" s="400" t="s">
        <v>1549</v>
      </c>
      <c r="D21" s="400" t="s">
        <v>1269</v>
      </c>
      <c r="E21" s="400" t="s">
        <v>1268</v>
      </c>
      <c r="F21" s="436"/>
      <c r="G21" s="653" t="s">
        <v>134</v>
      </c>
      <c r="H21" s="637" t="s">
        <v>2067</v>
      </c>
      <c r="I21" s="694"/>
      <c r="J21" s="697" t="s">
        <v>2066</v>
      </c>
      <c r="K21" s="654"/>
      <c r="L21" s="639" t="s">
        <v>136</v>
      </c>
      <c r="M21" s="642" t="s">
        <v>136</v>
      </c>
      <c r="N21" s="437" t="s">
        <v>135</v>
      </c>
      <c r="O21" s="648" t="s">
        <v>136</v>
      </c>
      <c r="P21" s="657"/>
      <c r="Q21" s="647" t="s">
        <v>136</v>
      </c>
      <c r="R21" s="640" t="s">
        <v>136</v>
      </c>
      <c r="S21" s="652" t="s">
        <v>134</v>
      </c>
      <c r="T21" s="387"/>
      <c r="U21" s="642" t="s">
        <v>134</v>
      </c>
      <c r="V21" s="659" t="s">
        <v>134</v>
      </c>
      <c r="W21" s="660"/>
      <c r="X21" s="546" t="s">
        <v>1531</v>
      </c>
      <c r="Y21" s="547" t="s">
        <v>1668</v>
      </c>
      <c r="Z21" s="660"/>
      <c r="AA21" s="551" t="s">
        <v>1252</v>
      </c>
      <c r="AB21" s="547">
        <v>17</v>
      </c>
      <c r="AC21" s="547" t="s">
        <v>1659</v>
      </c>
      <c r="AD21" s="548" t="s">
        <v>1246</v>
      </c>
      <c r="AE21" s="645"/>
      <c r="AF21" s="646" t="s">
        <v>1245</v>
      </c>
      <c r="AG21" s="646" t="s">
        <v>1245</v>
      </c>
      <c r="AH21" s="646" t="s">
        <v>1245</v>
      </c>
    </row>
    <row r="22" spans="1:34" ht="52.8">
      <c r="A22" s="740" t="s">
        <v>1811</v>
      </c>
      <c r="B22" s="401" t="s">
        <v>1267</v>
      </c>
      <c r="C22" s="400" t="s">
        <v>1545</v>
      </c>
      <c r="D22" s="400" t="s">
        <v>1266</v>
      </c>
      <c r="E22" s="400" t="s">
        <v>1533</v>
      </c>
      <c r="F22" s="382"/>
      <c r="G22" s="653" t="s">
        <v>136</v>
      </c>
      <c r="H22" s="637" t="s">
        <v>134</v>
      </c>
      <c r="I22" s="694"/>
      <c r="J22" s="697"/>
      <c r="K22" s="638"/>
      <c r="L22" s="639" t="s">
        <v>136</v>
      </c>
      <c r="M22" s="642" t="s">
        <v>136</v>
      </c>
      <c r="N22" s="388"/>
      <c r="O22" s="648"/>
      <c r="P22" s="641"/>
      <c r="Q22" s="647" t="s">
        <v>136</v>
      </c>
      <c r="R22" s="640" t="s">
        <v>136</v>
      </c>
      <c r="S22" s="652" t="s">
        <v>134</v>
      </c>
      <c r="T22" s="388"/>
      <c r="U22" s="395"/>
      <c r="V22" s="661" t="s">
        <v>135</v>
      </c>
      <c r="W22" s="644"/>
      <c r="X22" s="546" t="s">
        <v>2284</v>
      </c>
      <c r="Y22" s="548" t="s">
        <v>1669</v>
      </c>
      <c r="Z22" s="644"/>
      <c r="AA22" s="551" t="s">
        <v>1258</v>
      </c>
      <c r="AB22" s="547">
        <v>5</v>
      </c>
      <c r="AC22" s="548" t="s">
        <v>1246</v>
      </c>
      <c r="AD22" s="547" t="s">
        <v>1554</v>
      </c>
      <c r="AE22" s="645"/>
      <c r="AF22" s="646" t="s">
        <v>1245</v>
      </c>
      <c r="AG22" s="651" t="s">
        <v>1348</v>
      </c>
      <c r="AH22" s="651" t="s">
        <v>1348</v>
      </c>
    </row>
    <row r="23" spans="1:34" ht="52.8">
      <c r="A23" s="740" t="s">
        <v>1811</v>
      </c>
      <c r="B23" s="401" t="s">
        <v>1265</v>
      </c>
      <c r="C23" s="400" t="s">
        <v>1542</v>
      </c>
      <c r="D23" s="400" t="s">
        <v>1264</v>
      </c>
      <c r="E23" s="400" t="s">
        <v>1263</v>
      </c>
      <c r="F23" s="384"/>
      <c r="G23" s="653" t="s">
        <v>134</v>
      </c>
      <c r="H23" s="637" t="s">
        <v>134</v>
      </c>
      <c r="I23" s="694"/>
      <c r="J23" s="697"/>
      <c r="K23" s="638"/>
      <c r="L23" s="639" t="s">
        <v>136</v>
      </c>
      <c r="M23" s="642" t="s">
        <v>136</v>
      </c>
      <c r="N23" s="387" t="s">
        <v>135</v>
      </c>
      <c r="O23" s="648"/>
      <c r="P23" s="657"/>
      <c r="Q23" s="647" t="s">
        <v>136</v>
      </c>
      <c r="R23" s="640" t="s">
        <v>136</v>
      </c>
      <c r="S23" s="652" t="s">
        <v>134</v>
      </c>
      <c r="T23" s="387"/>
      <c r="U23" s="393"/>
      <c r="V23" s="661" t="s">
        <v>135</v>
      </c>
      <c r="W23" s="645"/>
      <c r="X23" s="546" t="s">
        <v>2284</v>
      </c>
      <c r="Y23" s="548" t="s">
        <v>1670</v>
      </c>
      <c r="Z23" s="645"/>
      <c r="AA23" s="551" t="s">
        <v>1252</v>
      </c>
      <c r="AB23" s="547">
        <v>10</v>
      </c>
      <c r="AC23" s="548" t="s">
        <v>1246</v>
      </c>
      <c r="AD23" s="548" t="s">
        <v>1584</v>
      </c>
      <c r="AE23" s="645"/>
      <c r="AF23" s="646" t="s">
        <v>1245</v>
      </c>
      <c r="AG23" s="651" t="s">
        <v>1348</v>
      </c>
      <c r="AH23" s="651" t="s">
        <v>1348</v>
      </c>
    </row>
    <row r="24" spans="1:34" ht="39.6">
      <c r="A24" s="740" t="s">
        <v>1811</v>
      </c>
      <c r="B24" s="401" t="s">
        <v>1262</v>
      </c>
      <c r="C24" s="400" t="s">
        <v>1541</v>
      </c>
      <c r="D24" s="400" t="s">
        <v>1261</v>
      </c>
      <c r="E24" s="400" t="s">
        <v>1534</v>
      </c>
      <c r="F24" s="384"/>
      <c r="G24" s="653" t="s">
        <v>134</v>
      </c>
      <c r="H24" s="637" t="s">
        <v>2067</v>
      </c>
      <c r="I24" s="694"/>
      <c r="J24" s="697" t="s">
        <v>2066</v>
      </c>
      <c r="K24" s="638"/>
      <c r="L24" s="639" t="s">
        <v>134</v>
      </c>
      <c r="M24" s="642" t="s">
        <v>134</v>
      </c>
      <c r="N24" s="387" t="s">
        <v>135</v>
      </c>
      <c r="O24" s="658" t="s">
        <v>136</v>
      </c>
      <c r="P24" s="641"/>
      <c r="Q24" s="647" t="s">
        <v>136</v>
      </c>
      <c r="R24" s="640" t="s">
        <v>136</v>
      </c>
      <c r="S24" s="652" t="s">
        <v>134</v>
      </c>
      <c r="T24" s="387"/>
      <c r="U24" s="640" t="s">
        <v>134</v>
      </c>
      <c r="V24" s="659" t="s">
        <v>134</v>
      </c>
      <c r="W24" s="645"/>
      <c r="X24" s="546" t="s">
        <v>1531</v>
      </c>
      <c r="Y24" s="547" t="s">
        <v>1671</v>
      </c>
      <c r="Z24" s="645"/>
      <c r="AA24" s="551" t="s">
        <v>1252</v>
      </c>
      <c r="AB24" s="547">
        <v>10</v>
      </c>
      <c r="AC24" s="547" t="s">
        <v>1659</v>
      </c>
      <c r="AD24" s="548" t="s">
        <v>1246</v>
      </c>
      <c r="AE24" s="645"/>
      <c r="AF24" s="646" t="s">
        <v>1245</v>
      </c>
      <c r="AG24" s="651" t="s">
        <v>1348</v>
      </c>
      <c r="AH24" s="646" t="s">
        <v>1245</v>
      </c>
    </row>
    <row r="25" spans="1:34" ht="52.8">
      <c r="A25" s="740" t="s">
        <v>1811</v>
      </c>
      <c r="B25" s="401" t="s">
        <v>1260</v>
      </c>
      <c r="C25" s="400" t="s">
        <v>1346</v>
      </c>
      <c r="D25" s="400" t="s">
        <v>1259</v>
      </c>
      <c r="E25" s="400" t="s">
        <v>1535</v>
      </c>
      <c r="F25" s="384"/>
      <c r="G25" s="655" t="s">
        <v>136</v>
      </c>
      <c r="H25" s="637" t="s">
        <v>2067</v>
      </c>
      <c r="I25" s="694"/>
      <c r="J25" s="697" t="s">
        <v>2066</v>
      </c>
      <c r="K25" s="656"/>
      <c r="L25" s="639" t="s">
        <v>134</v>
      </c>
      <c r="M25" s="642" t="s">
        <v>134</v>
      </c>
      <c r="N25" s="387" t="s">
        <v>135</v>
      </c>
      <c r="O25" s="658" t="s">
        <v>136</v>
      </c>
      <c r="P25" s="641"/>
      <c r="Q25" s="647" t="s">
        <v>136</v>
      </c>
      <c r="R25" s="640" t="s">
        <v>136</v>
      </c>
      <c r="S25" s="652" t="s">
        <v>134</v>
      </c>
      <c r="T25" s="387"/>
      <c r="U25" s="640" t="s">
        <v>134</v>
      </c>
      <c r="V25" s="659" t="s">
        <v>134</v>
      </c>
      <c r="W25" s="645"/>
      <c r="X25" s="546" t="s">
        <v>1531</v>
      </c>
      <c r="Y25" s="547" t="s">
        <v>1672</v>
      </c>
      <c r="Z25" s="645"/>
      <c r="AA25" s="551" t="s">
        <v>1258</v>
      </c>
      <c r="AB25" s="547">
        <v>4</v>
      </c>
      <c r="AC25" s="547" t="s">
        <v>1660</v>
      </c>
      <c r="AD25" s="547" t="s">
        <v>1583</v>
      </c>
      <c r="AE25" s="645"/>
      <c r="AF25" s="646" t="s">
        <v>1245</v>
      </c>
      <c r="AG25" s="651" t="s">
        <v>1348</v>
      </c>
      <c r="AH25" s="646" t="s">
        <v>1245</v>
      </c>
    </row>
    <row r="26" spans="1:34" ht="66">
      <c r="A26" s="740" t="s">
        <v>1811</v>
      </c>
      <c r="B26" s="401" t="s">
        <v>1257</v>
      </c>
      <c r="C26" s="400" t="s">
        <v>1585</v>
      </c>
      <c r="D26" s="400" t="s">
        <v>1256</v>
      </c>
      <c r="E26" s="400" t="s">
        <v>1255</v>
      </c>
      <c r="F26" s="384"/>
      <c r="G26" s="653" t="s">
        <v>134</v>
      </c>
      <c r="H26" s="637" t="s">
        <v>2067</v>
      </c>
      <c r="I26" s="694"/>
      <c r="J26" s="697" t="s">
        <v>2066</v>
      </c>
      <c r="K26" s="638"/>
      <c r="L26" s="639" t="s">
        <v>134</v>
      </c>
      <c r="M26" s="642" t="s">
        <v>134</v>
      </c>
      <c r="N26" s="387" t="s">
        <v>135</v>
      </c>
      <c r="O26" s="658" t="s">
        <v>136</v>
      </c>
      <c r="P26" s="657"/>
      <c r="Q26" s="647" t="s">
        <v>136</v>
      </c>
      <c r="R26" s="640" t="s">
        <v>136</v>
      </c>
      <c r="S26" s="652" t="s">
        <v>136</v>
      </c>
      <c r="T26" s="387"/>
      <c r="U26" s="642" t="s">
        <v>134</v>
      </c>
      <c r="V26" s="659" t="s">
        <v>134</v>
      </c>
      <c r="W26" s="645"/>
      <c r="X26" s="546" t="s">
        <v>1531</v>
      </c>
      <c r="Y26" s="1216" t="s">
        <v>2437</v>
      </c>
      <c r="Z26" s="645"/>
      <c r="AA26" s="551" t="s">
        <v>1247</v>
      </c>
      <c r="AB26" s="547">
        <v>2</v>
      </c>
      <c r="AC26" s="552" t="s">
        <v>1673</v>
      </c>
      <c r="AD26" s="548" t="s">
        <v>1246</v>
      </c>
      <c r="AE26" s="645"/>
      <c r="AF26" s="646" t="s">
        <v>1245</v>
      </c>
      <c r="AG26" s="646" t="s">
        <v>1245</v>
      </c>
      <c r="AH26" s="646" t="s">
        <v>1245</v>
      </c>
    </row>
    <row r="27" spans="1:34">
      <c r="A27" s="813" t="s">
        <v>2052</v>
      </c>
      <c r="B27" s="815" t="s">
        <v>2053</v>
      </c>
      <c r="C27" s="815" t="s">
        <v>2053</v>
      </c>
      <c r="D27" s="815" t="s">
        <v>2053</v>
      </c>
      <c r="E27" s="815" t="s">
        <v>2053</v>
      </c>
      <c r="F27" s="384"/>
      <c r="G27" s="814" t="s">
        <v>2053</v>
      </c>
      <c r="H27" s="814" t="s">
        <v>2053</v>
      </c>
      <c r="I27" s="694"/>
      <c r="J27" s="814" t="s">
        <v>2053</v>
      </c>
      <c r="K27" s="638"/>
      <c r="L27" s="820" t="s">
        <v>2053</v>
      </c>
      <c r="M27" s="820" t="s">
        <v>2053</v>
      </c>
      <c r="N27" s="820" t="s">
        <v>2053</v>
      </c>
      <c r="O27" s="820" t="s">
        <v>2053</v>
      </c>
      <c r="P27" s="657"/>
      <c r="Q27" s="821" t="s">
        <v>2053</v>
      </c>
      <c r="R27" s="821" t="s">
        <v>2053</v>
      </c>
      <c r="S27" s="821" t="s">
        <v>2053</v>
      </c>
      <c r="T27" s="821" t="s">
        <v>2053</v>
      </c>
      <c r="U27" s="821" t="s">
        <v>2053</v>
      </c>
      <c r="V27" s="821" t="s">
        <v>2053</v>
      </c>
      <c r="W27" s="645"/>
      <c r="X27" s="816" t="s">
        <v>2053</v>
      </c>
      <c r="Y27" s="817" t="s">
        <v>2053</v>
      </c>
      <c r="Z27" s="645"/>
      <c r="AA27" s="818" t="s">
        <v>2053</v>
      </c>
      <c r="AB27" s="818" t="s">
        <v>2053</v>
      </c>
      <c r="AC27" s="818" t="s">
        <v>2053</v>
      </c>
      <c r="AD27" s="819" t="s">
        <v>2053</v>
      </c>
      <c r="AE27" s="645"/>
      <c r="AF27" s="818" t="s">
        <v>2053</v>
      </c>
      <c r="AG27" s="818" t="s">
        <v>2053</v>
      </c>
      <c r="AH27" s="818" t="s">
        <v>2053</v>
      </c>
    </row>
    <row r="28" spans="1:34" ht="39.6">
      <c r="A28" s="740" t="s">
        <v>1811</v>
      </c>
      <c r="B28" s="401" t="s">
        <v>1254</v>
      </c>
      <c r="C28" s="400" t="s">
        <v>1540</v>
      </c>
      <c r="D28" s="514" t="s">
        <v>1537</v>
      </c>
      <c r="E28" s="514" t="s">
        <v>1537</v>
      </c>
      <c r="F28" s="384"/>
      <c r="G28" s="653" t="s">
        <v>134</v>
      </c>
      <c r="H28" s="637" t="s">
        <v>2067</v>
      </c>
      <c r="I28" s="694"/>
      <c r="J28" s="697" t="s">
        <v>2066</v>
      </c>
      <c r="K28" s="638"/>
      <c r="L28" s="639" t="s">
        <v>134</v>
      </c>
      <c r="M28" s="642" t="s">
        <v>134</v>
      </c>
      <c r="N28" s="387" t="s">
        <v>135</v>
      </c>
      <c r="O28" s="658" t="s">
        <v>136</v>
      </c>
      <c r="P28" s="657"/>
      <c r="Q28" s="639" t="s">
        <v>136</v>
      </c>
      <c r="R28" s="642" t="s">
        <v>136</v>
      </c>
      <c r="S28" s="649" t="s">
        <v>134</v>
      </c>
      <c r="T28" s="387"/>
      <c r="U28" s="640" t="s">
        <v>134</v>
      </c>
      <c r="V28" s="659" t="s">
        <v>134</v>
      </c>
      <c r="W28" s="645"/>
      <c r="X28" s="546" t="s">
        <v>1531</v>
      </c>
      <c r="Y28" s="547" t="s">
        <v>1674</v>
      </c>
      <c r="Z28" s="645"/>
      <c r="AA28" s="551" t="s">
        <v>1247</v>
      </c>
      <c r="AB28" s="547">
        <v>1</v>
      </c>
      <c r="AC28" s="547" t="s">
        <v>1675</v>
      </c>
      <c r="AD28" s="548" t="s">
        <v>1586</v>
      </c>
      <c r="AE28" s="645"/>
      <c r="AF28" s="646" t="s">
        <v>1245</v>
      </c>
      <c r="AG28" s="646" t="s">
        <v>1245</v>
      </c>
      <c r="AH28" s="651" t="s">
        <v>1348</v>
      </c>
    </row>
    <row r="29" spans="1:34" ht="66">
      <c r="A29" s="740" t="s">
        <v>1811</v>
      </c>
      <c r="B29" s="401" t="s">
        <v>1253</v>
      </c>
      <c r="C29" s="400" t="s">
        <v>1536</v>
      </c>
      <c r="D29" s="514" t="s">
        <v>1537</v>
      </c>
      <c r="E29" s="514" t="s">
        <v>1537</v>
      </c>
      <c r="F29" s="384"/>
      <c r="G29" s="653" t="s">
        <v>134</v>
      </c>
      <c r="H29" s="637" t="s">
        <v>134</v>
      </c>
      <c r="I29" s="694"/>
      <c r="J29" s="697"/>
      <c r="K29" s="638"/>
      <c r="L29" s="647" t="s">
        <v>134</v>
      </c>
      <c r="M29" s="640" t="s">
        <v>134</v>
      </c>
      <c r="N29" s="387" t="s">
        <v>135</v>
      </c>
      <c r="O29" s="648"/>
      <c r="P29" s="657"/>
      <c r="Q29" s="639" t="s">
        <v>136</v>
      </c>
      <c r="R29" s="642" t="s">
        <v>136</v>
      </c>
      <c r="S29" s="649" t="s">
        <v>136</v>
      </c>
      <c r="T29" s="387"/>
      <c r="U29" s="393"/>
      <c r="V29" s="661" t="s">
        <v>135</v>
      </c>
      <c r="W29" s="645"/>
      <c r="X29" s="546" t="s">
        <v>2284</v>
      </c>
      <c r="Y29" s="547" t="s">
        <v>1676</v>
      </c>
      <c r="Z29" s="645"/>
      <c r="AA29" s="551" t="s">
        <v>1252</v>
      </c>
      <c r="AB29" s="547">
        <v>10</v>
      </c>
      <c r="AC29" s="552" t="s">
        <v>1539</v>
      </c>
      <c r="AD29" s="552" t="s">
        <v>1662</v>
      </c>
      <c r="AE29" s="645"/>
      <c r="AF29" s="646" t="s">
        <v>1245</v>
      </c>
      <c r="AG29" s="651" t="s">
        <v>1348</v>
      </c>
      <c r="AH29" s="651" t="s">
        <v>1348</v>
      </c>
    </row>
    <row r="30" spans="1:34" ht="39.6">
      <c r="A30" s="740" t="s">
        <v>1811</v>
      </c>
      <c r="B30" s="401" t="s">
        <v>1251</v>
      </c>
      <c r="C30" s="400" t="s">
        <v>1250</v>
      </c>
      <c r="D30" s="514" t="s">
        <v>1537</v>
      </c>
      <c r="E30" s="514" t="s">
        <v>1537</v>
      </c>
      <c r="F30" s="384"/>
      <c r="G30" s="398" t="s">
        <v>134</v>
      </c>
      <c r="H30" s="402" t="s">
        <v>134</v>
      </c>
      <c r="I30" s="694"/>
      <c r="J30" s="697"/>
      <c r="K30" s="390"/>
      <c r="L30" s="647" t="s">
        <v>134</v>
      </c>
      <c r="M30" s="640" t="s">
        <v>134</v>
      </c>
      <c r="N30" s="387" t="s">
        <v>135</v>
      </c>
      <c r="O30" s="397"/>
      <c r="P30" s="389"/>
      <c r="Q30" s="396" t="s">
        <v>136</v>
      </c>
      <c r="R30" s="395" t="s">
        <v>136</v>
      </c>
      <c r="S30" s="394" t="s">
        <v>136</v>
      </c>
      <c r="T30" s="387"/>
      <c r="U30" s="393"/>
      <c r="V30" s="392" t="s">
        <v>135</v>
      </c>
      <c r="W30" s="556"/>
      <c r="X30" s="546" t="s">
        <v>2284</v>
      </c>
      <c r="Y30" s="547" t="s">
        <v>1677</v>
      </c>
      <c r="Z30" s="645"/>
      <c r="AA30" s="551" t="s">
        <v>1247</v>
      </c>
      <c r="AB30" s="547">
        <v>1</v>
      </c>
      <c r="AC30" s="552" t="s">
        <v>1539</v>
      </c>
      <c r="AD30" s="548" t="s">
        <v>1246</v>
      </c>
      <c r="AE30" s="645"/>
      <c r="AF30" s="646" t="s">
        <v>1245</v>
      </c>
      <c r="AG30" s="651" t="s">
        <v>1348</v>
      </c>
      <c r="AH30" s="651" t="s">
        <v>1348</v>
      </c>
    </row>
    <row r="31" spans="1:34">
      <c r="A31" s="382"/>
      <c r="B31" s="537" t="s">
        <v>1347</v>
      </c>
      <c r="C31" s="538" t="s">
        <v>1249</v>
      </c>
      <c r="D31" s="538" t="s">
        <v>1248</v>
      </c>
      <c r="E31" s="538" t="s">
        <v>1248</v>
      </c>
      <c r="F31" s="557"/>
      <c r="G31" s="517"/>
      <c r="H31" s="539"/>
      <c r="I31" s="696"/>
      <c r="J31" s="699"/>
      <c r="K31" s="509"/>
      <c r="L31" s="533"/>
      <c r="M31" s="535"/>
      <c r="N31" s="533"/>
      <c r="O31" s="534"/>
      <c r="P31" s="522"/>
      <c r="Q31" s="519"/>
      <c r="R31" s="532"/>
      <c r="S31" s="540"/>
      <c r="T31" s="533"/>
      <c r="U31" s="535"/>
      <c r="V31" s="536"/>
      <c r="W31" s="557"/>
      <c r="X31" s="541"/>
      <c r="Y31" s="542"/>
      <c r="Z31" s="557"/>
      <c r="AA31" s="543"/>
      <c r="AB31" s="511"/>
      <c r="AC31" s="537"/>
      <c r="AD31" s="537"/>
      <c r="AE31" s="553"/>
      <c r="AF31" s="554"/>
      <c r="AG31" s="554"/>
      <c r="AH31" s="555"/>
    </row>
    <row r="32" spans="1:34" ht="13.8">
      <c r="A32" s="381"/>
      <c r="B32" s="381"/>
      <c r="C32" s="381"/>
      <c r="D32" s="386"/>
      <c r="E32" s="385"/>
      <c r="F32" s="384"/>
      <c r="G32" s="383"/>
      <c r="H32" s="383"/>
      <c r="I32" s="383"/>
      <c r="J32" s="383"/>
      <c r="K32" s="383"/>
      <c r="L32" s="383"/>
      <c r="M32" s="383"/>
      <c r="N32" s="383"/>
      <c r="O32" s="383"/>
      <c r="P32" s="383"/>
      <c r="Q32" s="383"/>
      <c r="R32" s="383"/>
      <c r="S32" s="383"/>
      <c r="T32" s="383"/>
      <c r="U32" s="383"/>
      <c r="V32" s="383"/>
      <c r="W32" s="384"/>
      <c r="Y32" s="383"/>
      <c r="Z32" s="384"/>
      <c r="AB32" s="383"/>
      <c r="AC32" s="383"/>
      <c r="AD32" s="383"/>
      <c r="AE32" s="381"/>
    </row>
    <row r="33" spans="1:31" ht="13.8">
      <c r="A33" s="381"/>
      <c r="B33" s="381"/>
      <c r="C33" s="386"/>
      <c r="D33" s="386"/>
      <c r="E33" s="385"/>
      <c r="F33" s="384"/>
      <c r="G33" s="383"/>
      <c r="H33" s="383"/>
      <c r="I33" s="383"/>
      <c r="J33" s="383"/>
      <c r="K33" s="383"/>
      <c r="L33" s="383"/>
      <c r="M33" s="383"/>
      <c r="N33" s="383"/>
      <c r="O33" s="383"/>
      <c r="P33" s="383"/>
      <c r="Q33" s="383"/>
      <c r="R33" s="383"/>
      <c r="S33" s="383"/>
      <c r="T33" s="383"/>
      <c r="U33" s="383"/>
      <c r="V33" s="383"/>
      <c r="W33" s="384"/>
      <c r="Y33" s="381"/>
      <c r="Z33" s="384"/>
      <c r="AB33" s="383"/>
      <c r="AC33" s="383"/>
      <c r="AD33" s="383"/>
      <c r="AE33" s="381"/>
    </row>
    <row r="34" spans="1:31" ht="13.8">
      <c r="A34" s="381"/>
      <c r="B34" s="381"/>
      <c r="C34" s="381"/>
      <c r="D34" s="381"/>
      <c r="E34" s="381"/>
      <c r="F34" s="381"/>
      <c r="G34" s="381"/>
      <c r="H34" s="381"/>
      <c r="I34" s="381"/>
      <c r="J34" s="381"/>
      <c r="K34" s="381"/>
      <c r="L34" s="381"/>
      <c r="M34" s="381"/>
      <c r="N34" s="381"/>
      <c r="O34" s="381"/>
      <c r="P34" s="381"/>
      <c r="Q34" s="381"/>
      <c r="R34" s="381"/>
      <c r="S34" s="381"/>
      <c r="T34" s="381"/>
      <c r="U34" s="381"/>
      <c r="V34" s="381"/>
      <c r="W34" s="381"/>
      <c r="Y34" s="381"/>
      <c r="Z34" s="381"/>
      <c r="AB34" s="381"/>
      <c r="AC34" s="381"/>
      <c r="AD34" s="381"/>
      <c r="AE34" s="381"/>
    </row>
    <row r="35" spans="1:31" ht="13.8">
      <c r="A35" s="381"/>
      <c r="B35" s="381"/>
      <c r="C35" s="381"/>
      <c r="D35" s="381"/>
      <c r="E35" s="381"/>
      <c r="F35" s="381"/>
      <c r="G35" s="381"/>
      <c r="H35" s="381"/>
      <c r="I35" s="381"/>
      <c r="J35" s="381"/>
      <c r="K35" s="381"/>
      <c r="L35" s="381"/>
      <c r="M35" s="381"/>
      <c r="N35" s="381"/>
      <c r="O35" s="381"/>
      <c r="P35" s="381"/>
      <c r="Q35" s="381"/>
      <c r="R35" s="381"/>
      <c r="S35" s="381"/>
      <c r="T35" s="381"/>
      <c r="U35" s="381"/>
      <c r="V35" s="381"/>
      <c r="W35" s="381"/>
      <c r="Z35" s="381"/>
      <c r="AA35" s="382"/>
      <c r="AB35" s="381"/>
      <c r="AC35" s="381"/>
      <c r="AD35" s="381"/>
      <c r="AE35" s="381"/>
    </row>
  </sheetData>
  <autoFilter ref="B8:AD31" xr:uid="{00000000-0009-0000-0000-000003000000}"/>
  <mergeCells count="18">
    <mergeCell ref="L6:M6"/>
    <mergeCell ref="N6:O6"/>
    <mergeCell ref="Q6:S6"/>
    <mergeCell ref="T6:V6"/>
    <mergeCell ref="G4:H4"/>
    <mergeCell ref="L4:O4"/>
    <mergeCell ref="Q4:V4"/>
    <mergeCell ref="G5:H5"/>
    <mergeCell ref="L5:M5"/>
    <mergeCell ref="N5:O5"/>
    <mergeCell ref="Q5:S5"/>
    <mergeCell ref="T5:V5"/>
    <mergeCell ref="J4:J7"/>
    <mergeCell ref="AF2:AH3"/>
    <mergeCell ref="X7:Y7"/>
    <mergeCell ref="AF4:AF8"/>
    <mergeCell ref="AG4:AG8"/>
    <mergeCell ref="AH4:AH8"/>
  </mergeCells>
  <phoneticPr fontId="13"/>
  <pageMargins left="0.7" right="0.7" top="0.75" bottom="0.75" header="0.3" footer="0.3"/>
  <pageSetup paperSize="9" orientation="portrait" horizontalDpi="300" r:id="rId1"/>
  <drawing r:id="rId2"/>
  <legacyDrawing r:id="rId3"/>
  <mc:AlternateContent xmlns:mc="http://schemas.openxmlformats.org/markup-compatibility/2006">
    <mc:Choice Requires="x14">
      <controls>
        <mc:AlternateContent xmlns:mc="http://schemas.openxmlformats.org/markup-compatibility/2006">
          <mc:Choice Requires="x14">
            <control shapeId="188418" r:id="rId4" name="Button 2">
              <controlPr defaultSize="0" print="0" autoFill="0" autoPict="0" macro="[0]!Slim">
                <anchor moveWithCells="1" sizeWithCells="1">
                  <from>
                    <xdr:col>1</xdr:col>
                    <xdr:colOff>0</xdr:colOff>
                    <xdr:row>1</xdr:row>
                    <xdr:rowOff>0</xdr:rowOff>
                  </from>
                  <to>
                    <xdr:col>2</xdr:col>
                    <xdr:colOff>0</xdr:colOff>
                    <xdr:row>2</xdr:row>
                    <xdr:rowOff>0</xdr:rowOff>
                  </to>
                </anchor>
              </controlPr>
            </control>
          </mc:Choice>
        </mc:AlternateContent>
        <mc:AlternateContent xmlns:mc="http://schemas.openxmlformats.org/markup-compatibility/2006">
          <mc:Choice Requires="x14">
            <control shapeId="188419" r:id="rId5" name="Button 3">
              <controlPr defaultSize="0" print="0" autoFill="0" autoPict="0" macro="[0]!AutoFit">
                <anchor moveWithCells="1" sizeWithCells="1">
                  <from>
                    <xdr:col>2</xdr:col>
                    <xdr:colOff>45720</xdr:colOff>
                    <xdr:row>1</xdr:row>
                    <xdr:rowOff>0</xdr:rowOff>
                  </from>
                  <to>
                    <xdr:col>2</xdr:col>
                    <xdr:colOff>640080</xdr:colOff>
                    <xdr:row>2</xdr:row>
                    <xdr:rowOff>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3">
    <outlinePr summaryBelow="0" summaryRight="0"/>
    <pageSetUpPr fitToPage="1"/>
  </sheetPr>
  <dimension ref="A1:AK21"/>
  <sheetViews>
    <sheetView showGridLines="0" zoomScale="70" zoomScaleNormal="70" zoomScaleSheetLayoutView="70" workbookViewId="0">
      <pane xSplit="3" ySplit="7" topLeftCell="D8" activePane="bottomRight" state="frozen"/>
      <selection pane="topRight"/>
      <selection pane="bottomLeft"/>
      <selection pane="bottomRight" activeCell="AC13" sqref="AC13"/>
    </sheetView>
  </sheetViews>
  <sheetFormatPr defaultColWidth="9.125" defaultRowHeight="13.2" outlineLevelCol="1"/>
  <cols>
    <col min="1" max="1" width="19" style="161" customWidth="1"/>
    <col min="2" max="2" width="9" style="117" customWidth="1"/>
    <col min="3" max="3" width="35.75" style="117" bestFit="1" customWidth="1"/>
    <col min="4" max="4" width="2.75" style="117" customWidth="1"/>
    <col min="5" max="6" width="6.25" style="161" customWidth="1" outlineLevel="1"/>
    <col min="7" max="7" width="2.75" style="117" customWidth="1"/>
    <col min="8" max="8" width="4.75" style="117" customWidth="1" outlineLevel="1"/>
    <col min="9" max="9" width="2.75" style="117" customWidth="1"/>
    <col min="10" max="11" width="4.75" style="117" customWidth="1" outlineLevel="1"/>
    <col min="12" max="12" width="2.75" style="117" customWidth="1"/>
    <col min="13" max="15" width="4.75" style="117" customWidth="1" outlineLevel="1"/>
    <col min="16" max="16" width="2.75" style="117" customWidth="1"/>
    <col min="17" max="19" width="4.75" style="161" customWidth="1" outlineLevel="1"/>
    <col min="20" max="20" width="2.75" style="117" customWidth="1"/>
    <col min="21" max="24" width="5.875" style="161" customWidth="1"/>
    <col min="25" max="26" width="4.875" style="117" bestFit="1" customWidth="1"/>
    <col min="27" max="27" width="98.125" style="117" customWidth="1"/>
    <col min="28" max="28" width="2.75" style="117" customWidth="1"/>
    <col min="29" max="29" width="26" style="117" bestFit="1" customWidth="1"/>
    <col min="30" max="30" width="17.375" style="117" bestFit="1" customWidth="1"/>
    <col min="31" max="31" width="56.75" style="117" bestFit="1" customWidth="1"/>
    <col min="32" max="32" width="41.125" style="117" customWidth="1"/>
    <col min="33" max="33" width="6.375" style="119" bestFit="1" customWidth="1"/>
    <col min="34" max="34" width="2.625" style="117" customWidth="1"/>
    <col min="35" max="16384" width="9.125" style="117"/>
  </cols>
  <sheetData>
    <row r="1" spans="1:37" ht="22.2">
      <c r="A1" s="100" t="s">
        <v>1350</v>
      </c>
      <c r="H1" s="1081" t="s">
        <v>2217</v>
      </c>
      <c r="I1" s="894"/>
      <c r="J1" s="894"/>
      <c r="K1" s="895"/>
      <c r="L1" s="895"/>
      <c r="M1" s="895"/>
      <c r="N1" s="895"/>
      <c r="O1" s="111"/>
      <c r="P1" s="111"/>
      <c r="Q1" s="720"/>
      <c r="R1" s="720"/>
      <c r="S1" s="899"/>
      <c r="T1" s="111"/>
      <c r="U1" s="720"/>
      <c r="V1" s="720"/>
      <c r="W1" s="720"/>
      <c r="X1" s="720"/>
      <c r="Y1" s="111"/>
      <c r="Z1" s="111"/>
      <c r="AA1" s="111"/>
      <c r="AB1" s="111"/>
      <c r="AC1" s="111"/>
    </row>
    <row r="2" spans="1:37">
      <c r="A2" s="120"/>
      <c r="B2" s="124"/>
      <c r="C2" s="124"/>
      <c r="E2" s="24"/>
      <c r="F2" s="24"/>
      <c r="G2" s="28"/>
      <c r="H2" s="899" t="s">
        <v>1726</v>
      </c>
      <c r="I2" s="111"/>
      <c r="J2" s="111"/>
      <c r="K2" s="712"/>
      <c r="L2" s="111"/>
      <c r="M2" s="712"/>
      <c r="N2" s="712"/>
      <c r="O2" s="899" t="s">
        <v>1790</v>
      </c>
      <c r="P2" s="712"/>
      <c r="Q2" s="712"/>
      <c r="R2" s="712"/>
      <c r="S2" s="712"/>
      <c r="T2" s="712"/>
      <c r="U2" s="720"/>
      <c r="V2" s="720"/>
      <c r="W2" s="720"/>
      <c r="X2" s="720"/>
      <c r="Y2" s="111"/>
      <c r="Z2" s="111"/>
      <c r="AA2" s="111"/>
      <c r="AC2" s="118"/>
      <c r="AD2" s="118"/>
      <c r="AE2" s="118"/>
      <c r="AF2" s="118"/>
    </row>
    <row r="3" spans="1:37">
      <c r="A3" s="120"/>
      <c r="B3" s="222"/>
      <c r="C3" s="1680"/>
      <c r="E3" s="1608" t="s">
        <v>107</v>
      </c>
      <c r="F3" s="1610"/>
      <c r="G3" s="195"/>
      <c r="H3" s="1679" t="s">
        <v>27</v>
      </c>
      <c r="I3" s="99"/>
      <c r="J3" s="1684" t="s">
        <v>138</v>
      </c>
      <c r="K3" s="1684"/>
      <c r="L3" s="99"/>
      <c r="M3" s="1684" t="s">
        <v>139</v>
      </c>
      <c r="N3" s="1684"/>
      <c r="O3" s="1684"/>
      <c r="P3" s="99"/>
      <c r="Q3" s="1608" t="s">
        <v>111</v>
      </c>
      <c r="R3" s="1609"/>
      <c r="S3" s="1610"/>
      <c r="U3" s="1672" t="s">
        <v>192</v>
      </c>
      <c r="V3" s="1672"/>
      <c r="W3" s="1672"/>
      <c r="X3" s="1672"/>
      <c r="Y3" s="1672"/>
      <c r="Z3" s="1672"/>
      <c r="AA3" s="196" t="s">
        <v>1244</v>
      </c>
      <c r="AC3" s="123"/>
      <c r="AD3" s="123"/>
      <c r="AE3" s="123"/>
      <c r="AF3" s="123"/>
      <c r="AG3" s="123"/>
    </row>
    <row r="4" spans="1:37">
      <c r="A4" s="120"/>
      <c r="B4" s="223"/>
      <c r="C4" s="1681"/>
      <c r="E4" s="1682"/>
      <c r="F4" s="1683"/>
      <c r="G4" s="195"/>
      <c r="H4" s="1679"/>
      <c r="I4" s="99"/>
      <c r="J4" s="1608" t="s">
        <v>108</v>
      </c>
      <c r="K4" s="1610"/>
      <c r="L4" s="99"/>
      <c r="M4" s="1608" t="s">
        <v>108</v>
      </c>
      <c r="N4" s="1609"/>
      <c r="O4" s="1610"/>
      <c r="P4" s="99"/>
      <c r="Q4" s="1682"/>
      <c r="R4" s="1685"/>
      <c r="S4" s="1683"/>
      <c r="U4" s="1673" t="s">
        <v>153</v>
      </c>
      <c r="V4" s="1675" t="s">
        <v>190</v>
      </c>
      <c r="W4" s="1675" t="s">
        <v>185</v>
      </c>
      <c r="X4" s="1677" t="s">
        <v>186</v>
      </c>
      <c r="Y4" s="1670" t="s">
        <v>189</v>
      </c>
      <c r="Z4" s="1671"/>
      <c r="AA4" s="197"/>
      <c r="AC4" s="122"/>
      <c r="AD4" s="122"/>
      <c r="AE4" s="122"/>
      <c r="AF4" s="122"/>
      <c r="AG4" s="122"/>
    </row>
    <row r="5" spans="1:37">
      <c r="A5" s="120"/>
      <c r="B5" s="223"/>
      <c r="C5" s="188"/>
      <c r="E5" s="185"/>
      <c r="F5" s="187"/>
      <c r="G5" s="195"/>
      <c r="H5" s="1679"/>
      <c r="J5" s="1611" t="s">
        <v>171</v>
      </c>
      <c r="K5" s="1612"/>
      <c r="M5" s="1611" t="s">
        <v>171</v>
      </c>
      <c r="N5" s="1613"/>
      <c r="O5" s="1612"/>
      <c r="Q5" s="185"/>
      <c r="R5" s="186"/>
      <c r="S5" s="187"/>
      <c r="U5" s="1674"/>
      <c r="V5" s="1676"/>
      <c r="W5" s="1676"/>
      <c r="X5" s="1678"/>
      <c r="Y5" s="198" t="s">
        <v>187</v>
      </c>
      <c r="Z5" s="199" t="s">
        <v>188</v>
      </c>
      <c r="AA5" s="197"/>
      <c r="AC5" s="122"/>
      <c r="AD5" s="122"/>
      <c r="AE5" s="122"/>
      <c r="AF5" s="122"/>
      <c r="AG5" s="122"/>
    </row>
    <row r="6" spans="1:37">
      <c r="A6" s="120"/>
      <c r="B6" s="223"/>
      <c r="C6" s="188"/>
      <c r="E6" s="461">
        <v>629</v>
      </c>
      <c r="F6" s="241">
        <v>111</v>
      </c>
      <c r="G6" s="195"/>
      <c r="H6" s="1679"/>
      <c r="J6" s="113" t="s">
        <v>3</v>
      </c>
      <c r="K6" s="34" t="s">
        <v>4</v>
      </c>
      <c r="M6" s="113" t="s">
        <v>3</v>
      </c>
      <c r="N6" s="979" t="s">
        <v>4</v>
      </c>
      <c r="O6" s="34" t="s">
        <v>5</v>
      </c>
      <c r="Q6" s="32" t="s">
        <v>3</v>
      </c>
      <c r="R6" s="33" t="s">
        <v>5</v>
      </c>
      <c r="S6" s="357" t="s">
        <v>4</v>
      </c>
      <c r="U6" s="1674"/>
      <c r="V6" s="1676"/>
      <c r="W6" s="1676"/>
      <c r="X6" s="1678"/>
      <c r="Y6" s="200"/>
      <c r="Z6" s="201"/>
      <c r="AA6" s="197"/>
      <c r="AC6" s="122"/>
      <c r="AD6" s="122"/>
      <c r="AE6" s="122"/>
      <c r="AF6" s="122"/>
      <c r="AG6" s="122"/>
    </row>
    <row r="7" spans="1:37" ht="48.75" customHeight="1">
      <c r="A7" s="76"/>
      <c r="B7" s="903" t="s">
        <v>2068</v>
      </c>
      <c r="C7" s="29" t="s">
        <v>103</v>
      </c>
      <c r="D7" s="25"/>
      <c r="E7" s="77" t="s">
        <v>179</v>
      </c>
      <c r="F7" s="78" t="s">
        <v>180</v>
      </c>
      <c r="G7" s="215"/>
      <c r="H7" s="1679"/>
      <c r="I7" s="25"/>
      <c r="J7" s="114" t="s">
        <v>177</v>
      </c>
      <c r="K7" s="81" t="s">
        <v>178</v>
      </c>
      <c r="L7" s="25"/>
      <c r="M7" s="114" t="s">
        <v>177</v>
      </c>
      <c r="N7" s="980" t="s">
        <v>178</v>
      </c>
      <c r="O7" s="81" t="s">
        <v>181</v>
      </c>
      <c r="P7" s="25"/>
      <c r="Q7" s="79" t="s">
        <v>112</v>
      </c>
      <c r="R7" s="80" t="s">
        <v>113</v>
      </c>
      <c r="S7" s="358" t="s">
        <v>114</v>
      </c>
      <c r="T7" s="25"/>
      <c r="U7" s="202"/>
      <c r="V7" s="203"/>
      <c r="W7" s="203"/>
      <c r="X7" s="204"/>
      <c r="Y7" s="200"/>
      <c r="Z7" s="201"/>
      <c r="AA7" s="205"/>
      <c r="AB7" s="25"/>
      <c r="AC7" s="29" t="s">
        <v>105</v>
      </c>
      <c r="AD7" s="29" t="s">
        <v>115</v>
      </c>
      <c r="AE7" s="29" t="s">
        <v>109</v>
      </c>
      <c r="AF7" s="29" t="s">
        <v>116</v>
      </c>
      <c r="AG7" s="29" t="s">
        <v>106</v>
      </c>
      <c r="AK7" s="27"/>
    </row>
    <row r="8" spans="1:37" s="116" customFormat="1">
      <c r="A8" s="813" t="s">
        <v>2052</v>
      </c>
      <c r="B8" s="224" t="s">
        <v>51</v>
      </c>
      <c r="C8" s="31" t="s">
        <v>1616</v>
      </c>
      <c r="D8" s="101"/>
      <c r="E8" s="26" t="s">
        <v>1616</v>
      </c>
      <c r="F8" s="190" t="s">
        <v>1616</v>
      </c>
      <c r="G8" s="216"/>
      <c r="H8" s="126" t="s">
        <v>1616</v>
      </c>
      <c r="J8" s="156" t="s">
        <v>1616</v>
      </c>
      <c r="K8" s="157" t="s">
        <v>1616</v>
      </c>
      <c r="M8" s="156" t="s">
        <v>1616</v>
      </c>
      <c r="N8" s="156" t="s">
        <v>1616</v>
      </c>
      <c r="O8" s="157" t="s">
        <v>1616</v>
      </c>
      <c r="P8" s="216"/>
      <c r="Q8" s="26" t="s">
        <v>1616</v>
      </c>
      <c r="R8" s="191" t="s">
        <v>1616</v>
      </c>
      <c r="S8" s="190" t="s">
        <v>1616</v>
      </c>
      <c r="U8" s="634" t="s">
        <v>1616</v>
      </c>
      <c r="V8" s="634" t="s">
        <v>1616</v>
      </c>
      <c r="W8" s="634" t="s">
        <v>1616</v>
      </c>
      <c r="X8" s="634" t="s">
        <v>1616</v>
      </c>
      <c r="Y8" s="634" t="s">
        <v>1616</v>
      </c>
      <c r="Z8" s="634" t="s">
        <v>1616</v>
      </c>
      <c r="AA8" s="634" t="s">
        <v>1616</v>
      </c>
      <c r="AC8" s="126" t="s">
        <v>1616</v>
      </c>
      <c r="AD8" s="126" t="s">
        <v>1616</v>
      </c>
      <c r="AE8" s="126" t="s">
        <v>1616</v>
      </c>
      <c r="AF8" s="126" t="s">
        <v>1616</v>
      </c>
      <c r="AG8" s="126" t="s">
        <v>1616</v>
      </c>
      <c r="AH8" s="6"/>
    </row>
    <row r="9" spans="1:37" s="101" customFormat="1" ht="132">
      <c r="A9" s="98" t="s">
        <v>2049</v>
      </c>
      <c r="B9" s="225" t="s">
        <v>1234</v>
      </c>
      <c r="C9" s="107" t="s">
        <v>1237</v>
      </c>
      <c r="E9" s="102" t="s">
        <v>134</v>
      </c>
      <c r="F9" s="103"/>
      <c r="G9" s="217"/>
      <c r="H9" s="218"/>
      <c r="J9" s="158"/>
      <c r="K9" s="108" t="s">
        <v>134</v>
      </c>
      <c r="M9" s="982"/>
      <c r="N9" s="1094" t="s">
        <v>2246</v>
      </c>
      <c r="O9" s="984" t="s">
        <v>2246</v>
      </c>
      <c r="P9" s="217"/>
      <c r="Q9" s="109" t="s">
        <v>134</v>
      </c>
      <c r="R9" s="1094"/>
      <c r="S9" s="354"/>
      <c r="U9" s="206"/>
      <c r="V9" s="207"/>
      <c r="W9" s="207"/>
      <c r="X9" s="207"/>
      <c r="Y9" s="193"/>
      <c r="Z9" s="194"/>
      <c r="AA9" s="192" t="s">
        <v>1242</v>
      </c>
      <c r="AC9" s="125"/>
      <c r="AD9" s="86"/>
      <c r="AE9" s="86"/>
      <c r="AF9" s="121"/>
      <c r="AG9" s="115"/>
      <c r="AH9" s="106"/>
    </row>
    <row r="10" spans="1:37" s="101" customFormat="1" ht="132">
      <c r="A10" s="98" t="s">
        <v>2049</v>
      </c>
      <c r="B10" s="225" t="s">
        <v>1235</v>
      </c>
      <c r="C10" s="107" t="s">
        <v>1238</v>
      </c>
      <c r="E10" s="102" t="s">
        <v>134</v>
      </c>
      <c r="F10" s="103"/>
      <c r="G10" s="217"/>
      <c r="H10" s="697" t="s">
        <v>2067</v>
      </c>
      <c r="J10" s="158"/>
      <c r="K10" s="108" t="s">
        <v>134</v>
      </c>
      <c r="M10" s="983"/>
      <c r="N10" s="1094" t="s">
        <v>2246</v>
      </c>
      <c r="O10" s="984" t="s">
        <v>2246</v>
      </c>
      <c r="P10" s="217"/>
      <c r="Q10" s="109" t="s">
        <v>134</v>
      </c>
      <c r="R10" s="1094"/>
      <c r="S10" s="354"/>
      <c r="U10" s="171"/>
      <c r="V10" s="159"/>
      <c r="W10" s="159"/>
      <c r="X10" s="159"/>
      <c r="Y10" s="208"/>
      <c r="Z10" s="209"/>
      <c r="AA10" s="192" t="s">
        <v>1243</v>
      </c>
      <c r="AC10" s="125"/>
      <c r="AD10" s="86"/>
      <c r="AE10" s="86"/>
      <c r="AF10" s="121"/>
      <c r="AG10" s="121"/>
      <c r="AH10" s="106"/>
    </row>
    <row r="11" spans="1:37" s="101" customFormat="1" ht="92.4">
      <c r="A11" s="98" t="s">
        <v>2049</v>
      </c>
      <c r="B11" s="225" t="s">
        <v>1236</v>
      </c>
      <c r="C11" s="107" t="s">
        <v>1239</v>
      </c>
      <c r="E11" s="102" t="s">
        <v>134</v>
      </c>
      <c r="F11" s="103"/>
      <c r="G11" s="217"/>
      <c r="H11" s="697" t="s">
        <v>2067</v>
      </c>
      <c r="J11" s="158"/>
      <c r="K11" s="108" t="s">
        <v>134</v>
      </c>
      <c r="M11" s="983"/>
      <c r="N11" s="663"/>
      <c r="O11" s="985"/>
      <c r="P11" s="217"/>
      <c r="Q11" s="109" t="s">
        <v>134</v>
      </c>
      <c r="R11" s="1094"/>
      <c r="S11" s="354"/>
      <c r="U11" s="171"/>
      <c r="V11" s="159"/>
      <c r="W11" s="159"/>
      <c r="X11" s="159"/>
      <c r="Y11" s="208"/>
      <c r="Z11" s="209"/>
      <c r="AA11" s="192" t="s">
        <v>2071</v>
      </c>
      <c r="AC11" s="125"/>
      <c r="AD11" s="86"/>
      <c r="AE11" s="112"/>
      <c r="AF11" s="121"/>
      <c r="AG11" s="121"/>
      <c r="AH11" s="106"/>
    </row>
    <row r="12" spans="1:37" s="116" customFormat="1">
      <c r="A12" s="813" t="s">
        <v>1222</v>
      </c>
      <c r="B12" s="224" t="s">
        <v>51</v>
      </c>
      <c r="C12" s="31" t="s">
        <v>51</v>
      </c>
      <c r="D12" s="101"/>
      <c r="E12" s="26" t="s">
        <v>51</v>
      </c>
      <c r="F12" s="190" t="s">
        <v>51</v>
      </c>
      <c r="G12" s="216"/>
      <c r="H12" s="126" t="s">
        <v>51</v>
      </c>
      <c r="J12" s="156" t="s">
        <v>51</v>
      </c>
      <c r="K12" s="157" t="s">
        <v>51</v>
      </c>
      <c r="M12" s="156" t="s">
        <v>51</v>
      </c>
      <c r="N12" s="987" t="s">
        <v>51</v>
      </c>
      <c r="O12" s="157" t="s">
        <v>51</v>
      </c>
      <c r="P12" s="216"/>
      <c r="Q12" s="26" t="s">
        <v>51</v>
      </c>
      <c r="R12" s="191" t="s">
        <v>51</v>
      </c>
      <c r="S12" s="190" t="s">
        <v>51</v>
      </c>
      <c r="U12" s="634" t="s">
        <v>51</v>
      </c>
      <c r="V12" s="634" t="s">
        <v>51</v>
      </c>
      <c r="W12" s="634" t="s">
        <v>51</v>
      </c>
      <c r="X12" s="634" t="s">
        <v>51</v>
      </c>
      <c r="Y12" s="634" t="s">
        <v>51</v>
      </c>
      <c r="Z12" s="634" t="s">
        <v>51</v>
      </c>
      <c r="AA12" s="634" t="s">
        <v>51</v>
      </c>
      <c r="AC12" s="126" t="s">
        <v>51</v>
      </c>
      <c r="AD12" s="126" t="s">
        <v>51</v>
      </c>
      <c r="AE12" s="126" t="s">
        <v>51</v>
      </c>
      <c r="AF12" s="126" t="s">
        <v>51</v>
      </c>
      <c r="AG12" s="126" t="s">
        <v>51</v>
      </c>
      <c r="AH12" s="6"/>
    </row>
    <row r="13" spans="1:37" s="116" customFormat="1" ht="27.6">
      <c r="A13" s="959"/>
      <c r="B13" s="704" t="s">
        <v>2230</v>
      </c>
      <c r="C13" s="587" t="s">
        <v>2210</v>
      </c>
      <c r="D13" s="101"/>
      <c r="E13" s="102" t="s">
        <v>134</v>
      </c>
      <c r="F13" s="103"/>
      <c r="G13" s="1086"/>
      <c r="H13" s="1087"/>
      <c r="J13" s="356"/>
      <c r="K13" s="108" t="s">
        <v>135</v>
      </c>
      <c r="M13" s="983" t="s">
        <v>135</v>
      </c>
      <c r="N13" s="663" t="s">
        <v>135</v>
      </c>
      <c r="O13" s="1088" t="s">
        <v>134</v>
      </c>
      <c r="P13" s="960"/>
      <c r="Q13" s="171" t="s">
        <v>2417</v>
      </c>
      <c r="R13" s="110"/>
      <c r="S13" s="355"/>
      <c r="U13" s="1089"/>
      <c r="V13" s="1090"/>
      <c r="W13" s="1090"/>
      <c r="X13" s="1090"/>
      <c r="Y13" s="1091"/>
      <c r="Z13" s="1092"/>
      <c r="AA13" s="1093" t="s">
        <v>51</v>
      </c>
      <c r="AB13" s="101"/>
      <c r="AC13" s="104" t="s">
        <v>2198</v>
      </c>
      <c r="AD13" s="86" t="s">
        <v>51</v>
      </c>
      <c r="AE13" s="86" t="s">
        <v>51</v>
      </c>
      <c r="AF13" s="112" t="s">
        <v>51</v>
      </c>
      <c r="AG13" s="112" t="s">
        <v>51</v>
      </c>
      <c r="AH13" s="6"/>
    </row>
    <row r="14" spans="1:37" s="116" customFormat="1">
      <c r="A14" s="813" t="s">
        <v>2052</v>
      </c>
      <c r="B14" s="224" t="s">
        <v>51</v>
      </c>
      <c r="C14" s="31" t="s">
        <v>1616</v>
      </c>
      <c r="D14" s="101"/>
      <c r="E14" s="26" t="s">
        <v>1616</v>
      </c>
      <c r="F14" s="190" t="s">
        <v>1616</v>
      </c>
      <c r="G14" s="216"/>
      <c r="H14" s="126" t="s">
        <v>1616</v>
      </c>
      <c r="J14" s="156" t="s">
        <v>1616</v>
      </c>
      <c r="K14" s="157" t="s">
        <v>1616</v>
      </c>
      <c r="M14" s="156" t="s">
        <v>1616</v>
      </c>
      <c r="N14" s="987" t="s">
        <v>1616</v>
      </c>
      <c r="O14" s="157" t="s">
        <v>1616</v>
      </c>
      <c r="P14" s="216"/>
      <c r="Q14" s="26" t="s">
        <v>1616</v>
      </c>
      <c r="R14" s="191" t="s">
        <v>1616</v>
      </c>
      <c r="S14" s="190" t="s">
        <v>1616</v>
      </c>
      <c r="U14" s="634" t="s">
        <v>1616</v>
      </c>
      <c r="V14" s="634" t="s">
        <v>1616</v>
      </c>
      <c r="W14" s="634" t="s">
        <v>1616</v>
      </c>
      <c r="X14" s="634" t="s">
        <v>1616</v>
      </c>
      <c r="Y14" s="634" t="s">
        <v>1616</v>
      </c>
      <c r="Z14" s="634" t="s">
        <v>1616</v>
      </c>
      <c r="AA14" s="634" t="s">
        <v>1616</v>
      </c>
      <c r="AC14" s="126" t="s">
        <v>1616</v>
      </c>
      <c r="AD14" s="126" t="s">
        <v>1616</v>
      </c>
      <c r="AE14" s="126" t="s">
        <v>1616</v>
      </c>
      <c r="AF14" s="126" t="s">
        <v>1616</v>
      </c>
      <c r="AG14" s="126" t="s">
        <v>1616</v>
      </c>
      <c r="AH14" s="6"/>
    </row>
    <row r="15" spans="1:37" s="101" customFormat="1" ht="38.25" customHeight="1">
      <c r="A15" s="98" t="s">
        <v>2051</v>
      </c>
      <c r="B15" s="225" t="s">
        <v>117</v>
      </c>
      <c r="C15" s="107" t="s">
        <v>118</v>
      </c>
      <c r="E15" s="102" t="s">
        <v>134</v>
      </c>
      <c r="F15" s="103"/>
      <c r="G15" s="216"/>
      <c r="H15" s="697" t="s">
        <v>2067</v>
      </c>
      <c r="J15" s="158" t="s">
        <v>135</v>
      </c>
      <c r="K15" s="108" t="s">
        <v>135</v>
      </c>
      <c r="M15" s="983" t="s">
        <v>135</v>
      </c>
      <c r="N15" s="663" t="s">
        <v>135</v>
      </c>
      <c r="O15" s="986" t="s">
        <v>134</v>
      </c>
      <c r="P15" s="216"/>
      <c r="Q15" s="109" t="s">
        <v>134</v>
      </c>
      <c r="R15" s="110"/>
      <c r="S15" s="354"/>
      <c r="U15" s="211" t="s">
        <v>191</v>
      </c>
      <c r="V15" s="210"/>
      <c r="W15" s="210"/>
      <c r="X15" s="212"/>
      <c r="Y15" s="213"/>
      <c r="Z15" s="214"/>
      <c r="AA15" s="105" t="s">
        <v>1240</v>
      </c>
      <c r="AC15" s="104"/>
      <c r="AD15" s="104"/>
      <c r="AE15" s="104"/>
      <c r="AF15" s="104"/>
      <c r="AG15" s="105"/>
      <c r="AH15" s="106"/>
    </row>
    <row r="16" spans="1:37" s="101" customFormat="1" ht="27.6">
      <c r="A16" s="98" t="s">
        <v>2051</v>
      </c>
      <c r="B16" s="225" t="s">
        <v>132</v>
      </c>
      <c r="C16" s="107" t="s">
        <v>133</v>
      </c>
      <c r="E16" s="102" t="s">
        <v>134</v>
      </c>
      <c r="F16" s="103"/>
      <c r="G16" s="216"/>
      <c r="H16" s="697" t="s">
        <v>2067</v>
      </c>
      <c r="J16" s="158" t="s">
        <v>135</v>
      </c>
      <c r="K16" s="108" t="s">
        <v>135</v>
      </c>
      <c r="M16" s="983" t="s">
        <v>135</v>
      </c>
      <c r="N16" s="663" t="s">
        <v>135</v>
      </c>
      <c r="O16" s="986" t="s">
        <v>134</v>
      </c>
      <c r="P16" s="216"/>
      <c r="Q16" s="109" t="s">
        <v>134</v>
      </c>
      <c r="R16" s="110"/>
      <c r="S16" s="354"/>
      <c r="U16" s="211" t="s">
        <v>191</v>
      </c>
      <c r="V16" s="210"/>
      <c r="W16" s="210"/>
      <c r="X16" s="212"/>
      <c r="Y16" s="213"/>
      <c r="Z16" s="214"/>
      <c r="AA16" s="105" t="s">
        <v>1241</v>
      </c>
      <c r="AC16" s="104"/>
      <c r="AD16" s="104"/>
      <c r="AE16" s="104"/>
      <c r="AF16" s="104"/>
      <c r="AG16" s="105"/>
      <c r="AH16" s="106"/>
    </row>
    <row r="17" spans="17:24">
      <c r="Q17" s="117"/>
      <c r="R17" s="117"/>
      <c r="S17" s="117"/>
      <c r="U17" s="117"/>
      <c r="V17" s="117"/>
      <c r="W17" s="117"/>
      <c r="X17" s="117"/>
    </row>
    <row r="18" spans="17:24">
      <c r="Q18" s="117"/>
      <c r="R18" s="117"/>
      <c r="S18" s="117"/>
      <c r="U18" s="117"/>
      <c r="V18" s="117"/>
      <c r="W18" s="117"/>
      <c r="X18" s="117"/>
    </row>
    <row r="19" spans="17:24">
      <c r="Q19" s="117"/>
      <c r="R19" s="117"/>
    </row>
    <row r="20" spans="17:24">
      <c r="Q20" s="117"/>
      <c r="R20" s="117"/>
    </row>
    <row r="21" spans="17:24">
      <c r="Q21" s="117"/>
      <c r="R21" s="117"/>
    </row>
  </sheetData>
  <autoFilter ref="B7:O16" xr:uid="{00000000-0009-0000-0000-000004000000}"/>
  <mergeCells count="16">
    <mergeCell ref="M5:O5"/>
    <mergeCell ref="Q3:S4"/>
    <mergeCell ref="J4:K4"/>
    <mergeCell ref="M4:O4"/>
    <mergeCell ref="M3:O3"/>
    <mergeCell ref="H3:H7"/>
    <mergeCell ref="J5:K5"/>
    <mergeCell ref="C3:C4"/>
    <mergeCell ref="E3:F4"/>
    <mergeCell ref="J3:K3"/>
    <mergeCell ref="Y4:Z4"/>
    <mergeCell ref="U3:Z3"/>
    <mergeCell ref="U4:U6"/>
    <mergeCell ref="V4:V6"/>
    <mergeCell ref="W4:W6"/>
    <mergeCell ref="X4:X6"/>
  </mergeCells>
  <phoneticPr fontId="13"/>
  <pageMargins left="0.25" right="0.25" top="0.75" bottom="0.75" header="0.3" footer="0.3"/>
  <pageSetup paperSize="9" scale="40" fitToHeight="0" orientation="landscape" horizontalDpi="300" verticalDpi="30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512D65-CEDB-46AC-94BE-CCD3843932E1}">
  <sheetPr codeName="Sheet6">
    <outlinePr summaryBelow="0" summaryRight="0"/>
  </sheetPr>
  <dimension ref="A1:AW64"/>
  <sheetViews>
    <sheetView showGridLines="0" zoomScale="85" zoomScaleNormal="85" zoomScaleSheetLayoutView="50" workbookViewId="0">
      <pane xSplit="10" ySplit="6" topLeftCell="K7" activePane="bottomRight" state="frozen"/>
      <selection pane="topRight"/>
      <selection pane="bottomLeft"/>
      <selection pane="bottomRight" activeCell="F13" sqref="F13:F14"/>
    </sheetView>
  </sheetViews>
  <sheetFormatPr defaultColWidth="11.75" defaultRowHeight="13.2" outlineLevelCol="2"/>
  <cols>
    <col min="1" max="1" width="24.375" style="238" bestFit="1" customWidth="1"/>
    <col min="2" max="2" width="9.875" style="238" bestFit="1" customWidth="1" outlineLevel="1"/>
    <col min="3" max="3" width="9.875" style="238" customWidth="1" outlineLevel="1"/>
    <col min="4" max="4" width="2.75" style="311" customWidth="1"/>
    <col min="5" max="5" width="8.375" style="238" bestFit="1" customWidth="1"/>
    <col min="6" max="6" width="53.25" style="240" customWidth="1" outlineLevel="2"/>
    <col min="7" max="7" width="5.625" style="238" bestFit="1" customWidth="1"/>
    <col min="8" max="8" width="6.375" style="238" bestFit="1" customWidth="1"/>
    <col min="9" max="9" width="53.25" style="240" customWidth="1"/>
    <col min="10" max="10" width="2.75" style="311" customWidth="1"/>
    <col min="11" max="12" width="6.25" style="238" customWidth="1"/>
    <col min="13" max="13" width="2.75" style="311" customWidth="1"/>
    <col min="14" max="14" width="6.25" style="238" customWidth="1"/>
    <col min="15" max="15" width="2.75" style="311" customWidth="1"/>
    <col min="16" max="19" width="4.75" style="238" customWidth="1"/>
    <col min="20" max="20" width="9.625" style="311" bestFit="1" customWidth="1"/>
    <col min="21" max="21" width="40.375" style="238" bestFit="1" customWidth="1"/>
    <col min="22" max="22" width="2.75" style="311" customWidth="1" collapsed="1"/>
    <col min="23" max="23" width="7.875" style="238" hidden="1" customWidth="1" outlineLevel="1"/>
    <col min="24" max="24" width="8.625" style="238" hidden="1" customWidth="1" outlineLevel="1"/>
    <col min="25" max="26" width="7" style="239" hidden="1" customWidth="1" outlineLevel="1"/>
    <col min="27" max="28" width="7" style="238" hidden="1" customWidth="1" outlineLevel="1"/>
    <col min="29" max="29" width="6.625" style="238" hidden="1" customWidth="1" outlineLevel="1"/>
    <col min="30" max="30" width="21.125" style="238" hidden="1" customWidth="1" outlineLevel="1"/>
    <col min="31" max="31" width="2.75" style="311" customWidth="1" collapsed="1"/>
    <col min="32" max="32" width="31.375" style="232" hidden="1" customWidth="1" outlineLevel="1"/>
    <col min="33" max="33" width="23" style="232" hidden="1" customWidth="1" outlineLevel="1"/>
    <col min="34" max="34" width="2.75" style="311" customWidth="1"/>
    <col min="35" max="35" width="34.375" style="232" bestFit="1" customWidth="1" outlineLevel="1"/>
    <col min="36" max="36" width="46.375" style="232" customWidth="1" outlineLevel="1"/>
    <col min="37" max="37" width="63.625" style="232" customWidth="1" outlineLevel="1"/>
    <col min="38" max="38" width="7.25" style="238" bestFit="1" customWidth="1"/>
    <col min="39" max="45" width="11.75" style="238"/>
    <col min="46" max="46" width="34.375" style="238" bestFit="1" customWidth="1"/>
    <col min="47" max="47" width="10.125" style="238" bestFit="1" customWidth="1"/>
    <col min="48" max="49" width="8.75" style="238" bestFit="1" customWidth="1"/>
    <col min="50" max="16384" width="11.75" style="238"/>
  </cols>
  <sheetData>
    <row r="1" spans="1:49" ht="22.2">
      <c r="A1" s="100" t="s">
        <v>1354</v>
      </c>
      <c r="E1" s="240"/>
      <c r="F1" s="911"/>
      <c r="G1" s="895"/>
      <c r="H1" s="895"/>
      <c r="I1" s="911"/>
      <c r="J1" s="894"/>
      <c r="K1" s="895"/>
      <c r="L1" s="895"/>
      <c r="M1" s="894"/>
      <c r="N1" s="912" t="s">
        <v>1723</v>
      </c>
      <c r="O1" s="894"/>
      <c r="P1" s="895"/>
      <c r="Q1" s="895"/>
      <c r="R1" s="895"/>
      <c r="S1" s="895"/>
      <c r="T1" s="894"/>
      <c r="U1" s="895"/>
    </row>
    <row r="2" spans="1:49">
      <c r="E2" s="240"/>
      <c r="F2" s="910"/>
      <c r="G2" s="891"/>
      <c r="H2" s="890"/>
      <c r="I2" s="910"/>
      <c r="K2" s="1617" t="s">
        <v>110</v>
      </c>
      <c r="L2" s="1618"/>
      <c r="M2" s="99"/>
      <c r="N2" s="1619" t="s">
        <v>1722</v>
      </c>
      <c r="O2" s="99"/>
      <c r="P2" s="1621" t="s">
        <v>138</v>
      </c>
      <c r="Q2" s="1622"/>
      <c r="R2" s="1622"/>
      <c r="S2" s="1623"/>
      <c r="T2" s="570"/>
    </row>
    <row r="3" spans="1:49">
      <c r="B3" s="238" t="s">
        <v>1806</v>
      </c>
      <c r="E3" s="240"/>
      <c r="F3" s="910"/>
      <c r="G3" s="890"/>
      <c r="H3" s="890"/>
      <c r="I3" s="910"/>
      <c r="K3" s="1617" t="s">
        <v>119</v>
      </c>
      <c r="L3" s="1618"/>
      <c r="M3" s="99"/>
      <c r="N3" s="1620"/>
      <c r="O3" s="99"/>
      <c r="P3" s="1608" t="s">
        <v>120</v>
      </c>
      <c r="Q3" s="1609"/>
      <c r="R3" s="1608" t="s">
        <v>137</v>
      </c>
      <c r="S3" s="1610"/>
      <c r="T3" s="570"/>
      <c r="AL3" s="232"/>
    </row>
    <row r="4" spans="1:49">
      <c r="B4" s="238" t="s">
        <v>1807</v>
      </c>
      <c r="K4" s="257"/>
      <c r="L4" s="258"/>
      <c r="M4" s="99"/>
      <c r="N4" s="1620"/>
      <c r="O4" s="99"/>
      <c r="P4" s="1611" t="s">
        <v>168</v>
      </c>
      <c r="Q4" s="1612"/>
      <c r="R4" s="1611" t="s">
        <v>170</v>
      </c>
      <c r="S4" s="1612"/>
      <c r="T4" s="570"/>
      <c r="AL4" s="232"/>
      <c r="AM4" s="1690" t="s">
        <v>1678</v>
      </c>
      <c r="AN4" s="1691"/>
      <c r="AO4" s="1692"/>
      <c r="AP4" s="1690" t="s">
        <v>1602</v>
      </c>
      <c r="AQ4" s="1691"/>
      <c r="AR4" s="1692"/>
    </row>
    <row r="5" spans="1:49" ht="26.4">
      <c r="B5" s="1633" t="s">
        <v>844</v>
      </c>
      <c r="C5" s="1633"/>
      <c r="E5" s="315"/>
      <c r="F5" s="315"/>
      <c r="G5" s="315"/>
      <c r="H5" s="315"/>
      <c r="I5" s="315"/>
      <c r="J5" s="313"/>
      <c r="K5" s="461">
        <v>629</v>
      </c>
      <c r="L5" s="241">
        <v>111</v>
      </c>
      <c r="M5" s="99"/>
      <c r="N5" s="1620"/>
      <c r="O5" s="99"/>
      <c r="P5" s="564" t="s">
        <v>183</v>
      </c>
      <c r="Q5" s="565" t="s">
        <v>56</v>
      </c>
      <c r="R5" s="170" t="s">
        <v>183</v>
      </c>
      <c r="S5" s="565" t="s">
        <v>56</v>
      </c>
      <c r="T5" s="234"/>
      <c r="U5" s="315"/>
      <c r="W5" s="315"/>
      <c r="X5" s="315"/>
      <c r="Y5" s="1634" t="s">
        <v>835</v>
      </c>
      <c r="Z5" s="1635"/>
      <c r="AA5" s="1634" t="s">
        <v>836</v>
      </c>
      <c r="AB5" s="1635"/>
      <c r="AC5" s="569"/>
      <c r="AD5" s="569"/>
      <c r="AF5" s="1616" t="s">
        <v>843</v>
      </c>
      <c r="AG5" s="1616"/>
      <c r="AI5" s="1616" t="s">
        <v>1356</v>
      </c>
      <c r="AJ5" s="1616"/>
      <c r="AK5" s="1616"/>
      <c r="AL5" s="232"/>
      <c r="AM5" s="702" t="s">
        <v>1679</v>
      </c>
      <c r="AN5" s="1693" t="s">
        <v>1680</v>
      </c>
      <c r="AO5" s="1694"/>
      <c r="AP5" s="702" t="s">
        <v>1606</v>
      </c>
      <c r="AQ5" s="1693" t="s">
        <v>1681</v>
      </c>
      <c r="AR5" s="1694"/>
    </row>
    <row r="6" spans="1:49" ht="52.8">
      <c r="A6" s="240"/>
      <c r="B6" s="470" t="s">
        <v>852</v>
      </c>
      <c r="C6" s="470" t="s">
        <v>853</v>
      </c>
      <c r="D6" s="313" t="s">
        <v>1349</v>
      </c>
      <c r="E6" s="471" t="s">
        <v>845</v>
      </c>
      <c r="F6" s="471" t="s">
        <v>846</v>
      </c>
      <c r="G6" s="471" t="s">
        <v>847</v>
      </c>
      <c r="H6" s="471" t="s">
        <v>848</v>
      </c>
      <c r="I6" s="471" t="s">
        <v>849</v>
      </c>
      <c r="J6" s="313" t="s">
        <v>140</v>
      </c>
      <c r="K6" s="259" t="s">
        <v>179</v>
      </c>
      <c r="L6" s="78" t="s">
        <v>180</v>
      </c>
      <c r="M6" s="176"/>
      <c r="N6" s="228"/>
      <c r="O6" s="176"/>
      <c r="P6" s="229" t="s">
        <v>1182</v>
      </c>
      <c r="Q6" s="230" t="s">
        <v>1183</v>
      </c>
      <c r="R6" s="231" t="s">
        <v>1182</v>
      </c>
      <c r="S6" s="230" t="s">
        <v>1183</v>
      </c>
      <c r="T6" s="235"/>
      <c r="U6" s="471" t="s">
        <v>1181</v>
      </c>
      <c r="V6" s="472"/>
      <c r="W6" s="471" t="s">
        <v>837</v>
      </c>
      <c r="X6" s="471" t="s">
        <v>838</v>
      </c>
      <c r="Y6" s="473" t="s">
        <v>839</v>
      </c>
      <c r="Z6" s="474" t="s">
        <v>840</v>
      </c>
      <c r="AA6" s="473" t="s">
        <v>839</v>
      </c>
      <c r="AB6" s="474" t="s">
        <v>840</v>
      </c>
      <c r="AC6" s="470" t="s">
        <v>841</v>
      </c>
      <c r="AD6" s="470" t="s">
        <v>842</v>
      </c>
      <c r="AF6" s="475" t="s">
        <v>850</v>
      </c>
      <c r="AG6" s="475" t="s">
        <v>851</v>
      </c>
      <c r="AI6" s="475" t="s">
        <v>182</v>
      </c>
      <c r="AJ6" s="475" t="s">
        <v>1363</v>
      </c>
      <c r="AK6" s="475" t="s">
        <v>1365</v>
      </c>
      <c r="AL6" s="232"/>
      <c r="AM6" s="703"/>
      <c r="AN6" s="703" t="s">
        <v>1603</v>
      </c>
      <c r="AO6" s="703" t="s">
        <v>1682</v>
      </c>
      <c r="AP6" s="703"/>
      <c r="AQ6" s="703" t="s">
        <v>1608</v>
      </c>
      <c r="AR6" s="703" t="s">
        <v>1609</v>
      </c>
      <c r="AT6" s="238" t="s">
        <v>2282</v>
      </c>
      <c r="AU6" s="238" t="s">
        <v>2279</v>
      </c>
      <c r="AV6" s="240" t="s">
        <v>2278</v>
      </c>
      <c r="AW6" s="240" t="s">
        <v>2277</v>
      </c>
    </row>
    <row r="7" spans="1:49">
      <c r="A7" s="813" t="s">
        <v>2052</v>
      </c>
      <c r="B7" s="456" t="s">
        <v>1222</v>
      </c>
      <c r="C7" s="456" t="s">
        <v>1222</v>
      </c>
      <c r="E7" s="265" t="s">
        <v>1207</v>
      </c>
      <c r="F7" s="264" t="s">
        <v>1212</v>
      </c>
      <c r="G7" s="456" t="s">
        <v>1616</v>
      </c>
      <c r="H7" s="456" t="s">
        <v>1616</v>
      </c>
      <c r="I7" s="456" t="s">
        <v>1616</v>
      </c>
      <c r="J7" s="313"/>
      <c r="K7" s="560" t="s">
        <v>1616</v>
      </c>
      <c r="L7" s="560" t="s">
        <v>1616</v>
      </c>
      <c r="M7" s="176"/>
      <c r="N7" s="561" t="s">
        <v>1616</v>
      </c>
      <c r="O7" s="176"/>
      <c r="P7" s="562" t="s">
        <v>1616</v>
      </c>
      <c r="Q7" s="562" t="s">
        <v>1616</v>
      </c>
      <c r="R7" s="563" t="s">
        <v>1616</v>
      </c>
      <c r="S7" s="562" t="s">
        <v>1616</v>
      </c>
      <c r="T7" s="235"/>
      <c r="U7" s="456" t="s">
        <v>1616</v>
      </c>
      <c r="W7" s="627" t="s">
        <v>1616</v>
      </c>
      <c r="X7" s="627" t="s">
        <v>1616</v>
      </c>
      <c r="Y7" s="627" t="s">
        <v>1616</v>
      </c>
      <c r="Z7" s="627" t="s">
        <v>1616</v>
      </c>
      <c r="AA7" s="627" t="s">
        <v>1616</v>
      </c>
      <c r="AB7" s="627" t="s">
        <v>1616</v>
      </c>
      <c r="AC7" s="627" t="s">
        <v>1616</v>
      </c>
      <c r="AD7" s="627" t="s">
        <v>1616</v>
      </c>
      <c r="AF7" s="456" t="s">
        <v>1616</v>
      </c>
      <c r="AG7" s="456" t="s">
        <v>1616</v>
      </c>
      <c r="AI7" s="456" t="s">
        <v>1616</v>
      </c>
      <c r="AJ7" s="456" t="s">
        <v>1616</v>
      </c>
      <c r="AK7" s="456" t="s">
        <v>1616</v>
      </c>
      <c r="AL7" s="232"/>
      <c r="AM7" s="262"/>
      <c r="AN7" s="262"/>
      <c r="AO7" s="262"/>
      <c r="AP7" s="262"/>
      <c r="AQ7" s="262"/>
      <c r="AR7" s="262"/>
      <c r="AT7" s="252" t="str">
        <f t="shared" ref="AT7:AT14" si="0">AI7</f>
        <v>---</v>
      </c>
    </row>
    <row r="8" spans="1:49" s="252" customFormat="1" ht="26.4">
      <c r="A8" s="811"/>
      <c r="B8" s="248" t="s">
        <v>134</v>
      </c>
      <c r="C8" s="248" t="s">
        <v>134</v>
      </c>
      <c r="D8" s="312"/>
      <c r="E8" s="566" t="s">
        <v>1000</v>
      </c>
      <c r="F8" s="244" t="s">
        <v>1569</v>
      </c>
      <c r="G8" s="568">
        <v>1</v>
      </c>
      <c r="H8" s="568" t="s">
        <v>200</v>
      </c>
      <c r="I8" s="244" t="s">
        <v>1688</v>
      </c>
      <c r="J8" s="312"/>
      <c r="K8" s="601" t="s">
        <v>134</v>
      </c>
      <c r="L8" s="580"/>
      <c r="M8" s="314"/>
      <c r="N8" s="907"/>
      <c r="O8" s="314"/>
      <c r="P8" s="604" t="s">
        <v>134</v>
      </c>
      <c r="Q8" s="580" t="s">
        <v>1405</v>
      </c>
      <c r="R8" s="605"/>
      <c r="S8" s="616"/>
      <c r="T8" s="312"/>
      <c r="U8" s="242" t="str">
        <f t="shared" ref="U8:U47" si="1">IF(AC8&lt;&gt;"",
       "0x" &amp; Y8 &amp;" ~ 0x" &amp; Z8 &amp; " (" &amp; AA8 &amp;"~" &amp; AB8 &amp; AC8 &amp; ")","")&amp;IF(AD8&lt;&gt;"",IF(AC8&lt;&gt;"",CHAR(10)&amp;AD8,AD8),
       "")</f>
        <v>0x0: OFF
0x1: ON</v>
      </c>
      <c r="V8" s="312"/>
      <c r="W8" s="676"/>
      <c r="X8" s="636"/>
      <c r="Y8" s="595">
        <v>0</v>
      </c>
      <c r="Z8" s="596">
        <v>1</v>
      </c>
      <c r="AA8" s="334">
        <f t="shared" ref="AA8:AA48" si="2">HEX2DEC(Y8)*X8+W8</f>
        <v>0</v>
      </c>
      <c r="AB8" s="336">
        <f t="shared" ref="AB8:AB52" si="3">HEX2DEC(Z8)*X8+W8</f>
        <v>0</v>
      </c>
      <c r="AC8" s="246"/>
      <c r="AD8" s="242" t="s">
        <v>771</v>
      </c>
      <c r="AE8" s="312"/>
      <c r="AF8" s="247" t="s">
        <v>855</v>
      </c>
      <c r="AG8" s="247" t="s">
        <v>337</v>
      </c>
      <c r="AH8" s="311"/>
      <c r="AI8" s="593" t="s">
        <v>51</v>
      </c>
      <c r="AJ8" s="593" t="s">
        <v>1364</v>
      </c>
      <c r="AK8" s="619" t="s">
        <v>1366</v>
      </c>
      <c r="AL8" s="575"/>
      <c r="AM8" s="665"/>
      <c r="AN8" s="665"/>
      <c r="AO8" s="665"/>
      <c r="AP8" s="665"/>
      <c r="AQ8" s="665"/>
      <c r="AR8" s="665"/>
      <c r="AT8" s="252" t="str">
        <f t="shared" si="0"/>
        <v>---</v>
      </c>
    </row>
    <row r="9" spans="1:49" s="252" customFormat="1" ht="27.6">
      <c r="A9" s="811" t="s">
        <v>2497</v>
      </c>
      <c r="B9" s="248" t="s">
        <v>134</v>
      </c>
      <c r="C9" s="248" t="s">
        <v>134</v>
      </c>
      <c r="D9" s="312"/>
      <c r="E9" s="566" t="s">
        <v>1001</v>
      </c>
      <c r="F9" s="244" t="s">
        <v>1561</v>
      </c>
      <c r="G9" s="568">
        <v>1</v>
      </c>
      <c r="H9" s="568" t="s">
        <v>200</v>
      </c>
      <c r="I9" s="244" t="s">
        <v>1683</v>
      </c>
      <c r="J9" s="312"/>
      <c r="K9" s="601" t="s">
        <v>134</v>
      </c>
      <c r="L9" s="580"/>
      <c r="M9" s="314"/>
      <c r="N9" s="697" t="s">
        <v>2066</v>
      </c>
      <c r="O9" s="314"/>
      <c r="P9" s="604" t="s">
        <v>134</v>
      </c>
      <c r="Q9" s="580" t="s">
        <v>134</v>
      </c>
      <c r="R9" s="606"/>
      <c r="S9" s="607" t="s">
        <v>134</v>
      </c>
      <c r="T9" s="312"/>
      <c r="U9" s="242" t="str">
        <f t="shared" si="1"/>
        <v>0x0: OFF
0x1: ON</v>
      </c>
      <c r="V9" s="312"/>
      <c r="W9" s="676"/>
      <c r="X9" s="636"/>
      <c r="Y9" s="595">
        <v>0</v>
      </c>
      <c r="Z9" s="596">
        <v>1</v>
      </c>
      <c r="AA9" s="334">
        <f t="shared" si="2"/>
        <v>0</v>
      </c>
      <c r="AB9" s="336">
        <f t="shared" si="3"/>
        <v>0</v>
      </c>
      <c r="AC9" s="246"/>
      <c r="AD9" s="242" t="s">
        <v>771</v>
      </c>
      <c r="AE9" s="312"/>
      <c r="AF9" s="247" t="s">
        <v>855</v>
      </c>
      <c r="AG9" s="247" t="s">
        <v>338</v>
      </c>
      <c r="AH9" s="977"/>
      <c r="AI9" s="619" t="s">
        <v>1357</v>
      </c>
      <c r="AJ9" s="619" t="s">
        <v>1367</v>
      </c>
      <c r="AK9" s="594" t="s">
        <v>1684</v>
      </c>
      <c r="AL9" s="945" t="s">
        <v>1582</v>
      </c>
      <c r="AM9" s="666"/>
      <c r="AN9" s="704"/>
      <c r="AO9" s="704"/>
      <c r="AP9" s="704"/>
      <c r="AQ9" s="704"/>
      <c r="AR9" s="704"/>
      <c r="AT9" s="252" t="str">
        <f t="shared" si="0"/>
        <v>AuxPwrRly_O_S_ATS</v>
      </c>
      <c r="AU9" s="252" t="s">
        <v>2281</v>
      </c>
      <c r="AV9" s="977">
        <v>0</v>
      </c>
      <c r="AW9" s="252">
        <v>100</v>
      </c>
    </row>
    <row r="10" spans="1:49" s="252" customFormat="1" ht="27.6">
      <c r="A10" s="811" t="s">
        <v>2497</v>
      </c>
      <c r="B10" s="248" t="s">
        <v>134</v>
      </c>
      <c r="C10" s="248" t="s">
        <v>134</v>
      </c>
      <c r="D10" s="312"/>
      <c r="E10" s="566" t="s">
        <v>1002</v>
      </c>
      <c r="F10" s="242" t="s">
        <v>1567</v>
      </c>
      <c r="G10" s="568">
        <v>1</v>
      </c>
      <c r="H10" s="568" t="s">
        <v>200</v>
      </c>
      <c r="I10" s="244" t="s">
        <v>1685</v>
      </c>
      <c r="J10" s="312"/>
      <c r="K10" s="601" t="s">
        <v>134</v>
      </c>
      <c r="L10" s="580"/>
      <c r="M10" s="314"/>
      <c r="N10" s="697" t="s">
        <v>2066</v>
      </c>
      <c r="O10" s="314"/>
      <c r="P10" s="604" t="s">
        <v>134</v>
      </c>
      <c r="Q10" s="580" t="s">
        <v>134</v>
      </c>
      <c r="R10" s="606"/>
      <c r="S10" s="607" t="s">
        <v>134</v>
      </c>
      <c r="T10" s="312"/>
      <c r="U10" s="242" t="str">
        <f t="shared" si="1"/>
        <v>0x0: OFF
0x1: ON</v>
      </c>
      <c r="V10" s="312"/>
      <c r="W10" s="676"/>
      <c r="X10" s="636"/>
      <c r="Y10" s="595">
        <v>0</v>
      </c>
      <c r="Z10" s="596">
        <v>1</v>
      </c>
      <c r="AA10" s="334">
        <f t="shared" si="2"/>
        <v>0</v>
      </c>
      <c r="AB10" s="336">
        <f t="shared" si="3"/>
        <v>0</v>
      </c>
      <c r="AC10" s="246"/>
      <c r="AD10" s="242" t="s">
        <v>771</v>
      </c>
      <c r="AE10" s="312"/>
      <c r="AF10" s="247" t="s">
        <v>855</v>
      </c>
      <c r="AG10" s="247" t="s">
        <v>339</v>
      </c>
      <c r="AH10" s="977"/>
      <c r="AI10" s="619" t="s">
        <v>1358</v>
      </c>
      <c r="AJ10" s="247" t="s">
        <v>1368</v>
      </c>
      <c r="AK10" s="594" t="s">
        <v>1684</v>
      </c>
      <c r="AL10" s="945" t="s">
        <v>1582</v>
      </c>
      <c r="AM10" s="666"/>
      <c r="AN10" s="704"/>
      <c r="AO10" s="704"/>
      <c r="AP10" s="704"/>
      <c r="AQ10" s="704"/>
      <c r="AR10" s="704"/>
      <c r="AT10" s="252" t="str">
        <f t="shared" si="0"/>
        <v>AcIvtrEna_O_S_ATS</v>
      </c>
      <c r="AU10" s="252" t="s">
        <v>2281</v>
      </c>
      <c r="AV10" s="977">
        <v>0</v>
      </c>
      <c r="AW10" s="252">
        <v>100</v>
      </c>
    </row>
    <row r="11" spans="1:49" s="252" customFormat="1" ht="27.6">
      <c r="A11" s="811" t="s">
        <v>2497</v>
      </c>
      <c r="B11" s="248" t="s">
        <v>973</v>
      </c>
      <c r="C11" s="248" t="s">
        <v>134</v>
      </c>
      <c r="D11" s="312"/>
      <c r="E11" s="566" t="s">
        <v>1003</v>
      </c>
      <c r="F11" s="242" t="s">
        <v>1571</v>
      </c>
      <c r="G11" s="568">
        <v>1</v>
      </c>
      <c r="H11" s="568" t="s">
        <v>200</v>
      </c>
      <c r="I11" s="244" t="s">
        <v>1686</v>
      </c>
      <c r="J11" s="312"/>
      <c r="K11" s="601" t="s">
        <v>134</v>
      </c>
      <c r="L11" s="580"/>
      <c r="M11" s="314"/>
      <c r="N11" s="697" t="s">
        <v>2066</v>
      </c>
      <c r="O11" s="314"/>
      <c r="P11" s="604" t="s">
        <v>134</v>
      </c>
      <c r="Q11" s="580" t="s">
        <v>134</v>
      </c>
      <c r="R11" s="606"/>
      <c r="S11" s="607" t="s">
        <v>134</v>
      </c>
      <c r="T11" s="312"/>
      <c r="U11" s="242" t="str">
        <f t="shared" si="1"/>
        <v>0x0: OFF
0x1: ON</v>
      </c>
      <c r="V11" s="312"/>
      <c r="W11" s="676"/>
      <c r="X11" s="636"/>
      <c r="Y11" s="595">
        <v>0</v>
      </c>
      <c r="Z11" s="596">
        <v>1</v>
      </c>
      <c r="AA11" s="334">
        <f t="shared" si="2"/>
        <v>0</v>
      </c>
      <c r="AB11" s="336">
        <f t="shared" si="3"/>
        <v>0</v>
      </c>
      <c r="AC11" s="246"/>
      <c r="AD11" s="242" t="s">
        <v>771</v>
      </c>
      <c r="AE11" s="312"/>
      <c r="AF11" s="247" t="s">
        <v>855</v>
      </c>
      <c r="AG11" s="247" t="s">
        <v>340</v>
      </c>
      <c r="AH11" s="977"/>
      <c r="AI11" s="619" t="s">
        <v>1359</v>
      </c>
      <c r="AJ11" s="619" t="s">
        <v>1369</v>
      </c>
      <c r="AK11" s="594" t="s">
        <v>1684</v>
      </c>
      <c r="AL11" s="945" t="s">
        <v>1582</v>
      </c>
      <c r="AM11" s="666"/>
      <c r="AN11" s="704"/>
      <c r="AO11" s="704"/>
      <c r="AP11" s="704"/>
      <c r="AQ11" s="704"/>
      <c r="AR11" s="704"/>
      <c r="AT11" s="252" t="str">
        <f t="shared" si="0"/>
        <v>ChademoChrgnEna_O_S_ATS</v>
      </c>
      <c r="AU11" s="252" t="s">
        <v>2281</v>
      </c>
      <c r="AV11" s="977">
        <v>0</v>
      </c>
      <c r="AW11" s="252">
        <v>100</v>
      </c>
    </row>
    <row r="12" spans="1:49" s="252" customFormat="1" ht="27.6">
      <c r="A12" s="811" t="s">
        <v>2497</v>
      </c>
      <c r="B12" s="248" t="s">
        <v>134</v>
      </c>
      <c r="C12" s="248" t="s">
        <v>134</v>
      </c>
      <c r="D12" s="312"/>
      <c r="E12" s="566" t="s">
        <v>1004</v>
      </c>
      <c r="F12" s="242" t="s">
        <v>1573</v>
      </c>
      <c r="G12" s="568">
        <v>1</v>
      </c>
      <c r="H12" s="568" t="s">
        <v>200</v>
      </c>
      <c r="I12" s="244" t="s">
        <v>1687</v>
      </c>
      <c r="J12" s="312"/>
      <c r="K12" s="601" t="s">
        <v>134</v>
      </c>
      <c r="L12" s="580"/>
      <c r="M12" s="314"/>
      <c r="N12" s="697" t="s">
        <v>2066</v>
      </c>
      <c r="O12" s="314"/>
      <c r="P12" s="604" t="s">
        <v>134</v>
      </c>
      <c r="Q12" s="580" t="s">
        <v>134</v>
      </c>
      <c r="R12" s="606"/>
      <c r="S12" s="607" t="s">
        <v>134</v>
      </c>
      <c r="T12" s="312"/>
      <c r="U12" s="242" t="str">
        <f t="shared" si="1"/>
        <v>0x0: OFF
0x1: ON</v>
      </c>
      <c r="V12" s="312"/>
      <c r="W12" s="676"/>
      <c r="X12" s="636"/>
      <c r="Y12" s="595">
        <v>0</v>
      </c>
      <c r="Z12" s="596">
        <v>1</v>
      </c>
      <c r="AA12" s="334">
        <f t="shared" si="2"/>
        <v>0</v>
      </c>
      <c r="AB12" s="336">
        <f t="shared" si="3"/>
        <v>0</v>
      </c>
      <c r="AC12" s="246"/>
      <c r="AD12" s="587" t="s">
        <v>771</v>
      </c>
      <c r="AE12" s="312"/>
      <c r="AF12" s="247" t="s">
        <v>855</v>
      </c>
      <c r="AG12" s="247" t="s">
        <v>341</v>
      </c>
      <c r="AH12" s="977"/>
      <c r="AI12" s="619" t="s">
        <v>1360</v>
      </c>
      <c r="AJ12" s="619" t="s">
        <v>1370</v>
      </c>
      <c r="AK12" s="594" t="s">
        <v>1684</v>
      </c>
      <c r="AL12" s="945" t="s">
        <v>1582</v>
      </c>
      <c r="AM12" s="666"/>
      <c r="AN12" s="704"/>
      <c r="AO12" s="704"/>
      <c r="AP12" s="704"/>
      <c r="AQ12" s="704"/>
      <c r="AR12" s="704"/>
      <c r="AT12" s="252" t="str">
        <f t="shared" si="0"/>
        <v>HvbRlyCmd_O_S_ATS</v>
      </c>
      <c r="AU12" s="252" t="s">
        <v>2281</v>
      </c>
      <c r="AV12" s="977">
        <v>0</v>
      </c>
      <c r="AW12" s="252">
        <v>100</v>
      </c>
    </row>
    <row r="13" spans="1:49" s="252" customFormat="1" ht="26.4">
      <c r="A13" s="1243" t="s">
        <v>2497</v>
      </c>
      <c r="B13" s="289" t="s">
        <v>134</v>
      </c>
      <c r="C13" s="289"/>
      <c r="D13" s="312"/>
      <c r="E13" s="1631" t="s">
        <v>1005</v>
      </c>
      <c r="F13" s="1614" t="s">
        <v>1575</v>
      </c>
      <c r="G13" s="1630">
        <v>1</v>
      </c>
      <c r="H13" s="617">
        <v>8</v>
      </c>
      <c r="I13" s="267" t="s">
        <v>1689</v>
      </c>
      <c r="J13" s="312"/>
      <c r="K13" s="602" t="s">
        <v>134</v>
      </c>
      <c r="L13" s="609"/>
      <c r="M13" s="314"/>
      <c r="N13" s="908"/>
      <c r="O13" s="314"/>
      <c r="P13" s="608" t="s">
        <v>134</v>
      </c>
      <c r="Q13" s="609" t="s">
        <v>134</v>
      </c>
      <c r="R13" s="610"/>
      <c r="S13" s="611" t="s">
        <v>134</v>
      </c>
      <c r="T13" s="312"/>
      <c r="U13" s="285" t="str">
        <f t="shared" si="1"/>
        <v>0x0: OFF
0x1: ON</v>
      </c>
      <c r="V13" s="312"/>
      <c r="W13" s="677"/>
      <c r="X13" s="678"/>
      <c r="Y13" s="628">
        <v>0</v>
      </c>
      <c r="Z13" s="629">
        <v>1</v>
      </c>
      <c r="AA13" s="337">
        <f t="shared" si="2"/>
        <v>0</v>
      </c>
      <c r="AB13" s="338">
        <f t="shared" si="3"/>
        <v>0</v>
      </c>
      <c r="AC13" s="287"/>
      <c r="AD13" s="685" t="s">
        <v>1699</v>
      </c>
      <c r="AE13" s="312"/>
      <c r="AF13" s="288" t="s">
        <v>855</v>
      </c>
      <c r="AG13" s="288" t="s">
        <v>342</v>
      </c>
      <c r="AH13" s="978"/>
      <c r="AI13" s="620" t="s">
        <v>1361</v>
      </c>
      <c r="AJ13" s="620" t="s">
        <v>1371</v>
      </c>
      <c r="AK13" s="913" t="s">
        <v>1691</v>
      </c>
      <c r="AL13" s="945" t="s">
        <v>1582</v>
      </c>
      <c r="AM13" s="667"/>
      <c r="AN13" s="705"/>
      <c r="AO13" s="705" t="s">
        <v>136</v>
      </c>
      <c r="AP13" s="705"/>
      <c r="AQ13" s="705"/>
      <c r="AR13" s="705"/>
      <c r="AT13" s="252" t="str">
        <f t="shared" si="0"/>
        <v>BrkBstPmp_O_S_ATS</v>
      </c>
      <c r="AU13" s="929" t="s">
        <v>2280</v>
      </c>
      <c r="AV13" s="978">
        <v>0</v>
      </c>
      <c r="AW13" s="929">
        <v>1</v>
      </c>
    </row>
    <row r="14" spans="1:49" s="252" customFormat="1" ht="26.4">
      <c r="A14" s="1243" t="s">
        <v>2497</v>
      </c>
      <c r="B14" s="483" t="s">
        <v>1405</v>
      </c>
      <c r="C14" s="483"/>
      <c r="D14" s="312"/>
      <c r="E14" s="1631"/>
      <c r="F14" s="1614"/>
      <c r="G14" s="1630"/>
      <c r="H14" s="618">
        <v>7</v>
      </c>
      <c r="I14" s="269" t="s">
        <v>1690</v>
      </c>
      <c r="J14" s="312"/>
      <c r="K14" s="603" t="s">
        <v>134</v>
      </c>
      <c r="L14" s="613"/>
      <c r="M14" s="314"/>
      <c r="N14" s="909"/>
      <c r="O14" s="314"/>
      <c r="P14" s="612" t="s">
        <v>134</v>
      </c>
      <c r="Q14" s="613" t="s">
        <v>134</v>
      </c>
      <c r="R14" s="614"/>
      <c r="S14" s="615" t="s">
        <v>134</v>
      </c>
      <c r="T14" s="312"/>
      <c r="U14" s="295" t="str">
        <f t="shared" ref="U14" si="4">IF(AC14&lt;&gt;"",
       "0x" &amp; Y14 &amp;" ~ 0x" &amp; Z14 &amp; " (" &amp; AA14 &amp;"~" &amp; AB14 &amp; AC14 &amp; ")","")&amp;IF(AD14&lt;&gt;"",IF(AC14&lt;&gt;"",CHAR(10)&amp;AD14,AD14),
       "")</f>
        <v>0x0: OFF
0x1: ON</v>
      </c>
      <c r="V14" s="312"/>
      <c r="W14" s="679"/>
      <c r="X14" s="680"/>
      <c r="Y14" s="630">
        <v>0</v>
      </c>
      <c r="Z14" s="631">
        <v>1</v>
      </c>
      <c r="AA14" s="683">
        <f t="shared" si="2"/>
        <v>0</v>
      </c>
      <c r="AB14" s="342">
        <f t="shared" ref="AB14" si="5">HEX2DEC(Z14)*X14+W14</f>
        <v>0</v>
      </c>
      <c r="AC14" s="307"/>
      <c r="AD14" s="686" t="s">
        <v>1699</v>
      </c>
      <c r="AE14" s="312"/>
      <c r="AF14" s="298" t="s">
        <v>855</v>
      </c>
      <c r="AG14" s="298" t="s">
        <v>1914</v>
      </c>
      <c r="AH14" s="312"/>
      <c r="AI14" s="954" t="s">
        <v>1559</v>
      </c>
      <c r="AJ14" s="621" t="s">
        <v>1371</v>
      </c>
      <c r="AK14" s="622" t="s">
        <v>1387</v>
      </c>
      <c r="AL14" s="945"/>
      <c r="AM14" s="668"/>
      <c r="AN14" s="706"/>
      <c r="AO14" s="707" t="s">
        <v>136</v>
      </c>
      <c r="AP14" s="706"/>
      <c r="AQ14" s="706"/>
      <c r="AR14" s="706"/>
      <c r="AT14" s="252" t="str">
        <f t="shared" si="0"/>
        <v>T.B.D.</v>
      </c>
      <c r="AV14" s="312"/>
    </row>
    <row r="15" spans="1:49" s="252" customFormat="1" ht="27.6">
      <c r="A15" s="811"/>
      <c r="B15" s="248"/>
      <c r="C15" s="248" t="s">
        <v>134</v>
      </c>
      <c r="D15" s="312"/>
      <c r="E15" s="566" t="s">
        <v>1006</v>
      </c>
      <c r="F15" s="242" t="s">
        <v>1579</v>
      </c>
      <c r="G15" s="568">
        <v>1</v>
      </c>
      <c r="H15" s="568" t="s">
        <v>200</v>
      </c>
      <c r="I15" s="244" t="s">
        <v>343</v>
      </c>
      <c r="J15" s="312"/>
      <c r="K15" s="601" t="s">
        <v>134</v>
      </c>
      <c r="L15" s="580"/>
      <c r="M15" s="314"/>
      <c r="N15" s="697" t="s">
        <v>2066</v>
      </c>
      <c r="O15" s="314"/>
      <c r="P15" s="604" t="s">
        <v>134</v>
      </c>
      <c r="Q15" s="580" t="s">
        <v>134</v>
      </c>
      <c r="R15" s="606"/>
      <c r="S15" s="607" t="s">
        <v>134</v>
      </c>
      <c r="T15" s="312"/>
      <c r="U15" s="242" t="str">
        <f t="shared" si="1"/>
        <v>0x0: OFF
0x1: ON</v>
      </c>
      <c r="V15" s="312"/>
      <c r="W15" s="676"/>
      <c r="X15" s="636"/>
      <c r="Y15" s="595">
        <v>0</v>
      </c>
      <c r="Z15" s="596">
        <v>1</v>
      </c>
      <c r="AA15" s="334">
        <f t="shared" si="2"/>
        <v>0</v>
      </c>
      <c r="AB15" s="336">
        <f t="shared" si="3"/>
        <v>0</v>
      </c>
      <c r="AC15" s="246"/>
      <c r="AD15" s="587" t="s">
        <v>1699</v>
      </c>
      <c r="AE15" s="312"/>
      <c r="AF15" s="247" t="s">
        <v>855</v>
      </c>
      <c r="AG15" s="247" t="s">
        <v>344</v>
      </c>
      <c r="AH15" s="312"/>
      <c r="AI15" s="247"/>
      <c r="AJ15" s="247"/>
      <c r="AK15" s="619"/>
      <c r="AM15" s="669"/>
      <c r="AN15" s="619"/>
      <c r="AO15" s="619"/>
      <c r="AP15" s="619"/>
      <c r="AQ15" s="619"/>
      <c r="AR15" s="619"/>
      <c r="AV15" s="312"/>
    </row>
    <row r="16" spans="1:49" s="252" customFormat="1" ht="27.6">
      <c r="A16" s="811" t="s">
        <v>2497</v>
      </c>
      <c r="B16" s="248" t="s">
        <v>134</v>
      </c>
      <c r="C16" s="248" t="s">
        <v>134</v>
      </c>
      <c r="D16" s="312"/>
      <c r="E16" s="566" t="s">
        <v>1007</v>
      </c>
      <c r="F16" s="242" t="s">
        <v>1580</v>
      </c>
      <c r="G16" s="568">
        <v>1</v>
      </c>
      <c r="H16" s="568" t="s">
        <v>200</v>
      </c>
      <c r="I16" s="244" t="s">
        <v>1692</v>
      </c>
      <c r="J16" s="312"/>
      <c r="K16" s="601" t="s">
        <v>134</v>
      </c>
      <c r="L16" s="580"/>
      <c r="M16" s="314"/>
      <c r="N16" s="697" t="s">
        <v>2066</v>
      </c>
      <c r="O16" s="314"/>
      <c r="P16" s="604" t="s">
        <v>134</v>
      </c>
      <c r="Q16" s="580" t="s">
        <v>134</v>
      </c>
      <c r="R16" s="606"/>
      <c r="S16" s="607" t="s">
        <v>134</v>
      </c>
      <c r="T16" s="312"/>
      <c r="U16" s="242" t="str">
        <f t="shared" si="1"/>
        <v>0x0: OFF
0x1: ON</v>
      </c>
      <c r="V16" s="312"/>
      <c r="W16" s="676"/>
      <c r="X16" s="636"/>
      <c r="Y16" s="595">
        <v>0</v>
      </c>
      <c r="Z16" s="596">
        <v>1</v>
      </c>
      <c r="AA16" s="334">
        <f t="shared" si="2"/>
        <v>0</v>
      </c>
      <c r="AB16" s="336">
        <f t="shared" si="3"/>
        <v>0</v>
      </c>
      <c r="AC16" s="246"/>
      <c r="AD16" s="587" t="s">
        <v>771</v>
      </c>
      <c r="AE16" s="312"/>
      <c r="AF16" s="247" t="s">
        <v>855</v>
      </c>
      <c r="AG16" s="247" t="s">
        <v>345</v>
      </c>
      <c r="AH16" s="977"/>
      <c r="AI16" s="619" t="s">
        <v>1362</v>
      </c>
      <c r="AJ16" s="619" t="s">
        <v>1372</v>
      </c>
      <c r="AK16" s="594" t="s">
        <v>1691</v>
      </c>
      <c r="AL16" s="945" t="s">
        <v>1582</v>
      </c>
      <c r="AM16" s="666"/>
      <c r="AN16" s="704"/>
      <c r="AO16" s="704"/>
      <c r="AP16" s="704"/>
      <c r="AQ16" s="704"/>
      <c r="AR16" s="704"/>
      <c r="AT16" s="252" t="str">
        <f>AI16</f>
        <v>GbxPosnLampNeut_O_S_ATS</v>
      </c>
      <c r="AU16" s="252" t="s">
        <v>2281</v>
      </c>
      <c r="AV16" s="977">
        <v>0</v>
      </c>
      <c r="AW16" s="252">
        <v>100</v>
      </c>
    </row>
    <row r="17" spans="1:49" s="252" customFormat="1" ht="27.6">
      <c r="A17" s="811"/>
      <c r="B17" s="248"/>
      <c r="C17" s="248" t="s">
        <v>134</v>
      </c>
      <c r="D17" s="312"/>
      <c r="E17" s="566" t="s">
        <v>1008</v>
      </c>
      <c r="F17" s="242" t="s">
        <v>1009</v>
      </c>
      <c r="G17" s="568">
        <v>1</v>
      </c>
      <c r="H17" s="568" t="s">
        <v>200</v>
      </c>
      <c r="I17" s="244" t="s">
        <v>346</v>
      </c>
      <c r="J17" s="312"/>
      <c r="K17" s="601" t="s">
        <v>134</v>
      </c>
      <c r="L17" s="580"/>
      <c r="M17" s="314"/>
      <c r="N17" s="697" t="s">
        <v>2066</v>
      </c>
      <c r="O17" s="314"/>
      <c r="P17" s="604" t="s">
        <v>134</v>
      </c>
      <c r="Q17" s="580" t="s">
        <v>134</v>
      </c>
      <c r="R17" s="606"/>
      <c r="S17" s="607" t="s">
        <v>134</v>
      </c>
      <c r="T17" s="312"/>
      <c r="U17" s="242" t="str">
        <f t="shared" si="1"/>
        <v>0x0: OFF
0x1: ON</v>
      </c>
      <c r="V17" s="312"/>
      <c r="W17" s="676"/>
      <c r="X17" s="636"/>
      <c r="Y17" s="595">
        <v>0</v>
      </c>
      <c r="Z17" s="596">
        <v>1</v>
      </c>
      <c r="AA17" s="334">
        <f t="shared" si="2"/>
        <v>0</v>
      </c>
      <c r="AB17" s="336">
        <f t="shared" si="3"/>
        <v>0</v>
      </c>
      <c r="AC17" s="246"/>
      <c r="AD17" s="587" t="s">
        <v>771</v>
      </c>
      <c r="AE17" s="312"/>
      <c r="AF17" s="247" t="s">
        <v>855</v>
      </c>
      <c r="AG17" s="247" t="s">
        <v>347</v>
      </c>
      <c r="AH17" s="312"/>
      <c r="AI17" s="247"/>
      <c r="AJ17" s="247"/>
      <c r="AK17" s="619"/>
      <c r="AM17" s="669"/>
      <c r="AN17" s="619"/>
      <c r="AO17" s="619"/>
      <c r="AP17" s="619"/>
      <c r="AQ17" s="619"/>
      <c r="AR17" s="619"/>
      <c r="AV17" s="312"/>
    </row>
    <row r="18" spans="1:49" s="252" customFormat="1" ht="26.4">
      <c r="A18" s="811" t="s">
        <v>2497</v>
      </c>
      <c r="B18" s="289" t="s">
        <v>134</v>
      </c>
      <c r="C18" s="289" t="s">
        <v>134</v>
      </c>
      <c r="D18" s="312"/>
      <c r="E18" s="1631" t="s">
        <v>1010</v>
      </c>
      <c r="F18" s="1614" t="s">
        <v>1693</v>
      </c>
      <c r="G18" s="1686">
        <v>1</v>
      </c>
      <c r="H18" s="617">
        <v>8</v>
      </c>
      <c r="I18" s="267" t="s">
        <v>1639</v>
      </c>
      <c r="J18" s="312"/>
      <c r="K18" s="602" t="s">
        <v>134</v>
      </c>
      <c r="L18" s="609"/>
      <c r="M18" s="314"/>
      <c r="N18" s="908"/>
      <c r="O18" s="314"/>
      <c r="P18" s="608" t="s">
        <v>134</v>
      </c>
      <c r="Q18" s="609" t="s">
        <v>134</v>
      </c>
      <c r="R18" s="610"/>
      <c r="S18" s="611" t="s">
        <v>134</v>
      </c>
      <c r="T18" s="312"/>
      <c r="U18" s="285" t="str">
        <f t="shared" si="1"/>
        <v>0x0: OFF
0x1: ON</v>
      </c>
      <c r="V18" s="312"/>
      <c r="W18" s="677"/>
      <c r="X18" s="678"/>
      <c r="Y18" s="628">
        <v>0</v>
      </c>
      <c r="Z18" s="629">
        <v>1</v>
      </c>
      <c r="AA18" s="337">
        <f t="shared" si="2"/>
        <v>0</v>
      </c>
      <c r="AB18" s="338">
        <f t="shared" si="3"/>
        <v>0</v>
      </c>
      <c r="AC18" s="287"/>
      <c r="AD18" s="685" t="s">
        <v>1699</v>
      </c>
      <c r="AE18" s="312"/>
      <c r="AF18" s="288" t="s">
        <v>855</v>
      </c>
      <c r="AG18" s="288" t="s">
        <v>348</v>
      </c>
      <c r="AH18" s="977"/>
      <c r="AI18" s="620" t="s">
        <v>1373</v>
      </c>
      <c r="AJ18" s="620" t="s">
        <v>1375</v>
      </c>
      <c r="AK18" s="913" t="s">
        <v>1691</v>
      </c>
      <c r="AL18" s="945" t="s">
        <v>1582</v>
      </c>
      <c r="AM18" s="667"/>
      <c r="AN18" s="705"/>
      <c r="AO18" s="705" t="s">
        <v>134</v>
      </c>
      <c r="AP18" s="705"/>
      <c r="AQ18" s="705"/>
      <c r="AR18" s="705"/>
      <c r="AT18" s="252" t="str">
        <f t="shared" ref="AT18:AT27" si="6">AI18</f>
        <v>Fan2_O_S_ATS</v>
      </c>
      <c r="AU18" s="252" t="s">
        <v>2281</v>
      </c>
      <c r="AV18" s="977">
        <v>0</v>
      </c>
      <c r="AW18" s="252">
        <v>100</v>
      </c>
    </row>
    <row r="19" spans="1:49" s="252" customFormat="1" ht="26.4">
      <c r="A19" s="811" t="s">
        <v>2497</v>
      </c>
      <c r="B19" s="299" t="s">
        <v>134</v>
      </c>
      <c r="C19" s="299" t="s">
        <v>134</v>
      </c>
      <c r="D19" s="312"/>
      <c r="E19" s="1631"/>
      <c r="F19" s="1614"/>
      <c r="G19" s="1687"/>
      <c r="H19" s="618">
        <v>7</v>
      </c>
      <c r="I19" s="269" t="s">
        <v>1640</v>
      </c>
      <c r="J19" s="312"/>
      <c r="K19" s="603" t="s">
        <v>134</v>
      </c>
      <c r="L19" s="613"/>
      <c r="M19" s="314"/>
      <c r="N19" s="909"/>
      <c r="O19" s="314"/>
      <c r="P19" s="612" t="s">
        <v>134</v>
      </c>
      <c r="Q19" s="613" t="s">
        <v>134</v>
      </c>
      <c r="R19" s="614"/>
      <c r="S19" s="615" t="s">
        <v>134</v>
      </c>
      <c r="T19" s="312"/>
      <c r="U19" s="295" t="str">
        <f t="shared" si="1"/>
        <v>0x0: OFF
0x1: ON</v>
      </c>
      <c r="V19" s="312"/>
      <c r="W19" s="681"/>
      <c r="X19" s="682"/>
      <c r="Y19" s="632">
        <v>0</v>
      </c>
      <c r="Z19" s="633">
        <v>1</v>
      </c>
      <c r="AA19" s="339">
        <f t="shared" si="2"/>
        <v>0</v>
      </c>
      <c r="AB19" s="340">
        <f t="shared" si="3"/>
        <v>0</v>
      </c>
      <c r="AC19" s="297"/>
      <c r="AD19" s="687" t="s">
        <v>1699</v>
      </c>
      <c r="AE19" s="312"/>
      <c r="AF19" s="298" t="s">
        <v>855</v>
      </c>
      <c r="AG19" s="298" t="s">
        <v>349</v>
      </c>
      <c r="AH19" s="977"/>
      <c r="AI19" s="622" t="s">
        <v>1374</v>
      </c>
      <c r="AJ19" s="622" t="s">
        <v>1376</v>
      </c>
      <c r="AK19" s="623" t="s">
        <v>1691</v>
      </c>
      <c r="AL19" s="945" t="s">
        <v>1582</v>
      </c>
      <c r="AM19" s="670"/>
      <c r="AN19" s="708"/>
      <c r="AO19" s="708" t="s">
        <v>134</v>
      </c>
      <c r="AP19" s="708"/>
      <c r="AQ19" s="708"/>
      <c r="AR19" s="708"/>
      <c r="AT19" s="252" t="str">
        <f t="shared" si="6"/>
        <v>Fan3_O_S_ATS</v>
      </c>
      <c r="AU19" s="252" t="s">
        <v>2281</v>
      </c>
      <c r="AV19" s="977">
        <v>0</v>
      </c>
      <c r="AW19" s="252">
        <v>100</v>
      </c>
    </row>
    <row r="20" spans="1:49" s="252" customFormat="1" ht="26.4">
      <c r="A20" s="811" t="s">
        <v>2497</v>
      </c>
      <c r="B20" s="684" t="s">
        <v>1698</v>
      </c>
      <c r="C20" s="299" t="s">
        <v>882</v>
      </c>
      <c r="D20" s="312"/>
      <c r="E20" s="1631"/>
      <c r="F20" s="1614"/>
      <c r="G20" s="1687"/>
      <c r="H20" s="626">
        <v>6</v>
      </c>
      <c r="I20" s="269" t="s">
        <v>350</v>
      </c>
      <c r="J20" s="312"/>
      <c r="K20" s="603" t="s">
        <v>134</v>
      </c>
      <c r="L20" s="613"/>
      <c r="M20" s="314"/>
      <c r="N20" s="909"/>
      <c r="O20" s="314"/>
      <c r="P20" s="612" t="s">
        <v>134</v>
      </c>
      <c r="Q20" s="613" t="s">
        <v>134</v>
      </c>
      <c r="R20" s="614"/>
      <c r="S20" s="615" t="s">
        <v>134</v>
      </c>
      <c r="T20" s="312"/>
      <c r="U20" s="295" t="str">
        <f t="shared" si="1"/>
        <v>0x0: OFF
0x1: ON</v>
      </c>
      <c r="V20" s="312"/>
      <c r="W20" s="681"/>
      <c r="X20" s="682"/>
      <c r="Y20" s="632">
        <v>0</v>
      </c>
      <c r="Z20" s="633">
        <v>1</v>
      </c>
      <c r="AA20" s="339">
        <f t="shared" si="2"/>
        <v>0</v>
      </c>
      <c r="AB20" s="340">
        <f t="shared" si="3"/>
        <v>0</v>
      </c>
      <c r="AC20" s="297"/>
      <c r="AD20" s="687" t="s">
        <v>1699</v>
      </c>
      <c r="AE20" s="312"/>
      <c r="AF20" s="298" t="s">
        <v>855</v>
      </c>
      <c r="AG20" s="298" t="s">
        <v>351</v>
      </c>
      <c r="AH20" s="312"/>
      <c r="AI20" s="621" t="s">
        <v>51</v>
      </c>
      <c r="AJ20" s="621" t="s">
        <v>51</v>
      </c>
      <c r="AK20" s="621" t="s">
        <v>51</v>
      </c>
      <c r="AL20" s="575"/>
      <c r="AM20" s="671"/>
      <c r="AN20" s="709"/>
      <c r="AO20" s="709" t="s">
        <v>134</v>
      </c>
      <c r="AP20" s="709"/>
      <c r="AQ20" s="709"/>
      <c r="AR20" s="709"/>
      <c r="AT20" s="252" t="str">
        <f t="shared" si="6"/>
        <v>---</v>
      </c>
      <c r="AV20" s="312"/>
    </row>
    <row r="21" spans="1:49" s="252" customFormat="1" ht="26.4">
      <c r="A21" s="811" t="s">
        <v>2497</v>
      </c>
      <c r="B21" s="988" t="s">
        <v>1698</v>
      </c>
      <c r="C21" s="484" t="s">
        <v>882</v>
      </c>
      <c r="D21" s="312"/>
      <c r="E21" s="1631"/>
      <c r="F21" s="1614"/>
      <c r="G21" s="1688"/>
      <c r="H21" s="626">
        <v>5</v>
      </c>
      <c r="I21" s="269" t="s">
        <v>352</v>
      </c>
      <c r="J21" s="312"/>
      <c r="K21" s="603" t="s">
        <v>134</v>
      </c>
      <c r="L21" s="613"/>
      <c r="M21" s="314"/>
      <c r="N21" s="909"/>
      <c r="O21" s="314"/>
      <c r="P21" s="612" t="s">
        <v>134</v>
      </c>
      <c r="Q21" s="613" t="s">
        <v>134</v>
      </c>
      <c r="R21" s="614"/>
      <c r="S21" s="615" t="s">
        <v>134</v>
      </c>
      <c r="T21" s="312"/>
      <c r="U21" s="295" t="str">
        <f t="shared" ref="U21" si="7">IF(AC21&lt;&gt;"",
       "0x" &amp; Y21 &amp;" ~ 0x" &amp; Z21 &amp; " (" &amp; AA21 &amp;"~" &amp; AB21 &amp; AC21 &amp; ")","")&amp;IF(AD21&lt;&gt;"",IF(AC21&lt;&gt;"",CHAR(10)&amp;AD21,AD21),
       "")</f>
        <v>0x0: OFF
0x1: ON</v>
      </c>
      <c r="V21" s="312"/>
      <c r="W21" s="679"/>
      <c r="X21" s="680"/>
      <c r="Y21" s="630">
        <v>0</v>
      </c>
      <c r="Z21" s="631">
        <v>1</v>
      </c>
      <c r="AA21" s="341">
        <f t="shared" ref="AA21" si="8">HEX2DEC(Y21)*X21+W21</f>
        <v>0</v>
      </c>
      <c r="AB21" s="342">
        <f t="shared" ref="AB21" si="9">HEX2DEC(Z21)*X21+W21</f>
        <v>0</v>
      </c>
      <c r="AC21" s="307"/>
      <c r="AD21" s="686" t="s">
        <v>1699</v>
      </c>
      <c r="AE21" s="312"/>
      <c r="AF21" s="308" t="s">
        <v>855</v>
      </c>
      <c r="AG21" s="298" t="s">
        <v>353</v>
      </c>
      <c r="AH21" s="312"/>
      <c r="AI21" s="621" t="s">
        <v>51</v>
      </c>
      <c r="AJ21" s="621" t="s">
        <v>51</v>
      </c>
      <c r="AK21" s="621" t="s">
        <v>51</v>
      </c>
      <c r="AL21" s="575"/>
      <c r="AM21" s="671"/>
      <c r="AN21" s="709"/>
      <c r="AO21" s="709" t="s">
        <v>134</v>
      </c>
      <c r="AP21" s="709"/>
      <c r="AQ21" s="709"/>
      <c r="AR21" s="709"/>
      <c r="AT21" s="252" t="str">
        <f t="shared" si="6"/>
        <v>---</v>
      </c>
      <c r="AV21" s="312"/>
    </row>
    <row r="22" spans="1:49" s="252" customFormat="1" ht="27.6">
      <c r="A22" s="811" t="s">
        <v>2497</v>
      </c>
      <c r="B22" s="248" t="s">
        <v>134</v>
      </c>
      <c r="C22" s="248" t="s">
        <v>134</v>
      </c>
      <c r="D22" s="312"/>
      <c r="E22" s="566" t="s">
        <v>1011</v>
      </c>
      <c r="F22" s="242" t="s">
        <v>1694</v>
      </c>
      <c r="G22" s="568">
        <v>1</v>
      </c>
      <c r="H22" s="568" t="s">
        <v>200</v>
      </c>
      <c r="I22" s="244" t="s">
        <v>1695</v>
      </c>
      <c r="J22" s="312"/>
      <c r="K22" s="601" t="s">
        <v>134</v>
      </c>
      <c r="L22" s="580"/>
      <c r="M22" s="314"/>
      <c r="N22" s="697" t="s">
        <v>2066</v>
      </c>
      <c r="O22" s="314"/>
      <c r="P22" s="604" t="s">
        <v>134</v>
      </c>
      <c r="Q22" s="580" t="s">
        <v>134</v>
      </c>
      <c r="R22" s="606"/>
      <c r="S22" s="607" t="s">
        <v>134</v>
      </c>
      <c r="T22" s="312"/>
      <c r="U22" s="242" t="str">
        <f t="shared" si="1"/>
        <v>0x0: OFF
0x1: ON</v>
      </c>
      <c r="V22" s="312"/>
      <c r="W22" s="676"/>
      <c r="X22" s="636"/>
      <c r="Y22" s="595">
        <v>0</v>
      </c>
      <c r="Z22" s="596">
        <v>1</v>
      </c>
      <c r="AA22" s="334">
        <f t="shared" si="2"/>
        <v>0</v>
      </c>
      <c r="AB22" s="336">
        <f t="shared" si="3"/>
        <v>0</v>
      </c>
      <c r="AC22" s="246"/>
      <c r="AD22" s="242" t="s">
        <v>771</v>
      </c>
      <c r="AE22" s="312"/>
      <c r="AF22" s="247" t="s">
        <v>855</v>
      </c>
      <c r="AG22" s="247" t="s">
        <v>354</v>
      </c>
      <c r="AH22" s="977"/>
      <c r="AI22" s="619" t="s">
        <v>1377</v>
      </c>
      <c r="AJ22" s="619" t="s">
        <v>1378</v>
      </c>
      <c r="AK22" s="594" t="s">
        <v>1691</v>
      </c>
      <c r="AL22" s="945" t="s">
        <v>1582</v>
      </c>
      <c r="AM22" s="666"/>
      <c r="AN22" s="704"/>
      <c r="AO22" s="704"/>
      <c r="AP22" s="704"/>
      <c r="AQ22" s="704"/>
      <c r="AR22" s="704"/>
      <c r="AT22" s="252" t="str">
        <f t="shared" si="6"/>
        <v>HtrEl1_O_S_ATS</v>
      </c>
      <c r="AU22" s="252" t="s">
        <v>2281</v>
      </c>
      <c r="AV22" s="977">
        <v>0</v>
      </c>
      <c r="AW22" s="252">
        <v>100</v>
      </c>
    </row>
    <row r="23" spans="1:49" s="252" customFormat="1" ht="26.4">
      <c r="A23" s="811" t="s">
        <v>2497</v>
      </c>
      <c r="B23" s="289" t="s">
        <v>134</v>
      </c>
      <c r="C23" s="289" t="s">
        <v>134</v>
      </c>
      <c r="D23" s="312"/>
      <c r="E23" s="1631" t="s">
        <v>1012</v>
      </c>
      <c r="F23" s="1614" t="s">
        <v>1624</v>
      </c>
      <c r="G23" s="1686">
        <v>1</v>
      </c>
      <c r="H23" s="617">
        <v>8</v>
      </c>
      <c r="I23" s="267" t="s">
        <v>1641</v>
      </c>
      <c r="J23" s="312"/>
      <c r="K23" s="602" t="s">
        <v>134</v>
      </c>
      <c r="L23" s="609"/>
      <c r="M23" s="314"/>
      <c r="N23" s="908"/>
      <c r="O23" s="314"/>
      <c r="P23" s="608" t="s">
        <v>134</v>
      </c>
      <c r="Q23" s="609" t="s">
        <v>134</v>
      </c>
      <c r="R23" s="610"/>
      <c r="S23" s="611" t="s">
        <v>134</v>
      </c>
      <c r="T23" s="312"/>
      <c r="U23" s="285" t="str">
        <f t="shared" si="1"/>
        <v>0x0: OFF
0x1: ON</v>
      </c>
      <c r="V23" s="312"/>
      <c r="W23" s="677"/>
      <c r="X23" s="678"/>
      <c r="Y23" s="628">
        <v>0</v>
      </c>
      <c r="Z23" s="629">
        <v>1</v>
      </c>
      <c r="AA23" s="337">
        <f t="shared" si="2"/>
        <v>0</v>
      </c>
      <c r="AB23" s="338">
        <f t="shared" si="3"/>
        <v>0</v>
      </c>
      <c r="AC23" s="287"/>
      <c r="AD23" s="685" t="s">
        <v>1699</v>
      </c>
      <c r="AE23" s="312"/>
      <c r="AF23" s="288" t="s">
        <v>855</v>
      </c>
      <c r="AG23" s="288" t="s">
        <v>355</v>
      </c>
      <c r="AH23" s="977"/>
      <c r="AI23" s="620" t="s">
        <v>1379</v>
      </c>
      <c r="AJ23" s="620" t="s">
        <v>1381</v>
      </c>
      <c r="AK23" s="913" t="s">
        <v>1691</v>
      </c>
      <c r="AL23" s="945" t="s">
        <v>1582</v>
      </c>
      <c r="AM23" s="667"/>
      <c r="AN23" s="705"/>
      <c r="AO23" s="705" t="s">
        <v>134</v>
      </c>
      <c r="AP23" s="705"/>
      <c r="AQ23" s="705"/>
      <c r="AR23" s="705"/>
      <c r="AT23" s="252" t="str">
        <f t="shared" si="6"/>
        <v>ChrgStLed1_O_S_ATS</v>
      </c>
      <c r="AU23" s="252" t="s">
        <v>2281</v>
      </c>
      <c r="AV23" s="977">
        <v>0</v>
      </c>
      <c r="AW23" s="252">
        <v>100</v>
      </c>
    </row>
    <row r="24" spans="1:49" s="252" customFormat="1" ht="26.4">
      <c r="A24" s="811" t="s">
        <v>2497</v>
      </c>
      <c r="B24" s="483" t="s">
        <v>1405</v>
      </c>
      <c r="C24" s="483" t="s">
        <v>1405</v>
      </c>
      <c r="D24" s="312"/>
      <c r="E24" s="1631"/>
      <c r="F24" s="1614"/>
      <c r="G24" s="1689"/>
      <c r="H24" s="618">
        <v>7</v>
      </c>
      <c r="I24" s="269" t="s">
        <v>1642</v>
      </c>
      <c r="J24" s="312"/>
      <c r="K24" s="603" t="s">
        <v>134</v>
      </c>
      <c r="L24" s="613"/>
      <c r="M24" s="314"/>
      <c r="N24" s="909"/>
      <c r="O24" s="314"/>
      <c r="P24" s="612" t="s">
        <v>134</v>
      </c>
      <c r="Q24" s="613" t="s">
        <v>134</v>
      </c>
      <c r="R24" s="614"/>
      <c r="S24" s="615" t="s">
        <v>134</v>
      </c>
      <c r="T24" s="312"/>
      <c r="U24" s="295" t="str">
        <f t="shared" ref="U24" si="10">IF(AC24&lt;&gt;"",
       "0x" &amp; Y24 &amp;" ~ 0x" &amp; Z24 &amp; " (" &amp; AA24 &amp;"~" &amp; AB24 &amp; AC24 &amp; ")","")&amp;IF(AD24&lt;&gt;"",IF(AC24&lt;&gt;"",CHAR(10)&amp;AD24,AD24),
       "")</f>
        <v>0x0: OFF
0x1: ON</v>
      </c>
      <c r="V24" s="312"/>
      <c r="W24" s="679"/>
      <c r="X24" s="680"/>
      <c r="Y24" s="630">
        <v>0</v>
      </c>
      <c r="Z24" s="631">
        <v>1</v>
      </c>
      <c r="AA24" s="341">
        <f t="shared" ref="AA24" si="11">HEX2DEC(Y24)*X24+W24</f>
        <v>0</v>
      </c>
      <c r="AB24" s="342">
        <f t="shared" ref="AB24" si="12">HEX2DEC(Z24)*X24+W24</f>
        <v>0</v>
      </c>
      <c r="AC24" s="307"/>
      <c r="AD24" s="686" t="s">
        <v>1699</v>
      </c>
      <c r="AE24" s="312"/>
      <c r="AF24" s="298" t="s">
        <v>855</v>
      </c>
      <c r="AG24" s="298" t="s">
        <v>356</v>
      </c>
      <c r="AH24" s="977"/>
      <c r="AI24" s="622" t="s">
        <v>1380</v>
      </c>
      <c r="AJ24" s="622" t="s">
        <v>1381</v>
      </c>
      <c r="AK24" s="623" t="s">
        <v>1691</v>
      </c>
      <c r="AL24" s="945" t="s">
        <v>1582</v>
      </c>
      <c r="AM24" s="670"/>
      <c r="AN24" s="708"/>
      <c r="AO24" s="708" t="s">
        <v>134</v>
      </c>
      <c r="AP24" s="708"/>
      <c r="AQ24" s="708"/>
      <c r="AR24" s="708"/>
      <c r="AT24" s="252" t="str">
        <f t="shared" si="6"/>
        <v>ChrgStLed2_O_S_ATS</v>
      </c>
      <c r="AU24" s="252" t="s">
        <v>2281</v>
      </c>
      <c r="AV24" s="977">
        <v>0</v>
      </c>
      <c r="AW24" s="252">
        <v>100</v>
      </c>
    </row>
    <row r="25" spans="1:49" s="252" customFormat="1" ht="27.6">
      <c r="A25" s="811" t="s">
        <v>2497</v>
      </c>
      <c r="B25" s="248" t="s">
        <v>134</v>
      </c>
      <c r="C25" s="248" t="s">
        <v>134</v>
      </c>
      <c r="D25" s="312"/>
      <c r="E25" s="566" t="s">
        <v>1013</v>
      </c>
      <c r="F25" s="242" t="s">
        <v>1625</v>
      </c>
      <c r="G25" s="568">
        <v>1</v>
      </c>
      <c r="H25" s="568" t="s">
        <v>200</v>
      </c>
      <c r="I25" s="244" t="s">
        <v>1643</v>
      </c>
      <c r="J25" s="312"/>
      <c r="K25" s="601" t="s">
        <v>134</v>
      </c>
      <c r="L25" s="580"/>
      <c r="M25" s="314"/>
      <c r="N25" s="697" t="s">
        <v>2066</v>
      </c>
      <c r="O25" s="314"/>
      <c r="P25" s="604" t="s">
        <v>134</v>
      </c>
      <c r="Q25" s="580" t="s">
        <v>134</v>
      </c>
      <c r="R25" s="606"/>
      <c r="S25" s="607" t="s">
        <v>134</v>
      </c>
      <c r="T25" s="312"/>
      <c r="U25" s="242" t="str">
        <f t="shared" si="1"/>
        <v>0x0: OFF
0x1: ON</v>
      </c>
      <c r="V25" s="312"/>
      <c r="W25" s="676"/>
      <c r="X25" s="636"/>
      <c r="Y25" s="595">
        <v>0</v>
      </c>
      <c r="Z25" s="596">
        <v>1</v>
      </c>
      <c r="AA25" s="334">
        <f t="shared" si="2"/>
        <v>0</v>
      </c>
      <c r="AB25" s="336">
        <f t="shared" si="3"/>
        <v>0</v>
      </c>
      <c r="AC25" s="246"/>
      <c r="AD25" s="587" t="s">
        <v>771</v>
      </c>
      <c r="AE25" s="312"/>
      <c r="AF25" s="247" t="s">
        <v>855</v>
      </c>
      <c r="AG25" s="247" t="s">
        <v>357</v>
      </c>
      <c r="AH25" s="977"/>
      <c r="AI25" s="619" t="s">
        <v>1382</v>
      </c>
      <c r="AJ25" s="594" t="s">
        <v>1383</v>
      </c>
      <c r="AK25" s="594" t="s">
        <v>1691</v>
      </c>
      <c r="AL25" s="945" t="s">
        <v>1582</v>
      </c>
      <c r="AM25" s="666"/>
      <c r="AN25" s="704"/>
      <c r="AO25" s="704"/>
      <c r="AP25" s="704"/>
      <c r="AQ25" s="704"/>
      <c r="AR25" s="704"/>
      <c r="AT25" s="252" t="str">
        <f t="shared" si="6"/>
        <v>EvWarnSoundParkSt_O_S_ATS</v>
      </c>
      <c r="AU25" s="252" t="s">
        <v>2281</v>
      </c>
      <c r="AV25" s="977">
        <v>0</v>
      </c>
      <c r="AW25" s="252">
        <v>100</v>
      </c>
    </row>
    <row r="26" spans="1:49" s="252" customFormat="1" ht="26.4">
      <c r="A26" s="811" t="s">
        <v>2497</v>
      </c>
      <c r="B26" s="289" t="s">
        <v>1405</v>
      </c>
      <c r="C26" s="289" t="s">
        <v>134</v>
      </c>
      <c r="D26" s="312"/>
      <c r="E26" s="1631" t="s">
        <v>1014</v>
      </c>
      <c r="F26" s="1614" t="s">
        <v>1626</v>
      </c>
      <c r="G26" s="1686">
        <v>1</v>
      </c>
      <c r="H26" s="904" t="s">
        <v>1700</v>
      </c>
      <c r="I26" s="267" t="s">
        <v>1644</v>
      </c>
      <c r="J26" s="312"/>
      <c r="K26" s="602" t="s">
        <v>134</v>
      </c>
      <c r="L26" s="609"/>
      <c r="M26" s="314"/>
      <c r="N26" s="908"/>
      <c r="O26" s="314"/>
      <c r="P26" s="608" t="s">
        <v>134</v>
      </c>
      <c r="Q26" s="609" t="s">
        <v>134</v>
      </c>
      <c r="R26" s="610"/>
      <c r="S26" s="611" t="s">
        <v>134</v>
      </c>
      <c r="T26" s="312"/>
      <c r="U26" s="285" t="str">
        <f t="shared" si="1"/>
        <v>0x0: OFF
0x1: ON</v>
      </c>
      <c r="V26" s="312"/>
      <c r="W26" s="677"/>
      <c r="X26" s="678"/>
      <c r="Y26" s="628">
        <v>0</v>
      </c>
      <c r="Z26" s="629">
        <v>1</v>
      </c>
      <c r="AA26" s="337">
        <f t="shared" si="2"/>
        <v>0</v>
      </c>
      <c r="AB26" s="338">
        <f t="shared" si="3"/>
        <v>0</v>
      </c>
      <c r="AC26" s="287"/>
      <c r="AD26" s="685" t="s">
        <v>1699</v>
      </c>
      <c r="AE26" s="312"/>
      <c r="AF26" s="288" t="s">
        <v>855</v>
      </c>
      <c r="AG26" s="288" t="s">
        <v>358</v>
      </c>
      <c r="AH26" s="977"/>
      <c r="AI26" s="620" t="s">
        <v>1384</v>
      </c>
      <c r="AJ26" s="620" t="s">
        <v>1385</v>
      </c>
      <c r="AK26" s="913" t="s">
        <v>1691</v>
      </c>
      <c r="AL26" s="945" t="s">
        <v>1582</v>
      </c>
      <c r="AM26" s="667"/>
      <c r="AN26" s="705"/>
      <c r="AO26" s="705" t="s">
        <v>134</v>
      </c>
      <c r="AP26" s="705"/>
      <c r="AQ26" s="705"/>
      <c r="AR26" s="705"/>
      <c r="AT26" s="252" t="str">
        <f t="shared" si="6"/>
        <v>CooltVlvHvb_O_S_ATS</v>
      </c>
      <c r="AU26" s="252" t="s">
        <v>2281</v>
      </c>
      <c r="AV26" s="977">
        <v>0</v>
      </c>
      <c r="AW26" s="252">
        <v>100</v>
      </c>
    </row>
    <row r="27" spans="1:49" s="252" customFormat="1" ht="39.6">
      <c r="A27" s="811" t="s">
        <v>2497</v>
      </c>
      <c r="B27" s="684" t="s">
        <v>1698</v>
      </c>
      <c r="C27" s="483" t="s">
        <v>882</v>
      </c>
      <c r="D27" s="312"/>
      <c r="E27" s="1631"/>
      <c r="F27" s="1614"/>
      <c r="G27" s="1689"/>
      <c r="H27" s="905" t="s">
        <v>1701</v>
      </c>
      <c r="I27" s="269" t="s">
        <v>1645</v>
      </c>
      <c r="J27" s="312"/>
      <c r="K27" s="603" t="s">
        <v>134</v>
      </c>
      <c r="L27" s="613"/>
      <c r="M27" s="314"/>
      <c r="N27" s="909"/>
      <c r="O27" s="314"/>
      <c r="P27" s="612" t="s">
        <v>134</v>
      </c>
      <c r="Q27" s="613" t="s">
        <v>134</v>
      </c>
      <c r="R27" s="614"/>
      <c r="S27" s="615" t="s">
        <v>134</v>
      </c>
      <c r="T27" s="942"/>
      <c r="U27" s="295" t="str">
        <f>IF(AC27&lt;&gt;"",
       "0x" &amp; Y27 &amp;" ~ 0x" &amp; Z27 &amp; " (" &amp; AA27 &amp;"~" &amp; AB27 &amp; AC27 &amp; ")","")&amp;IF(AD27&lt;&gt;"",IF(AC27&lt;&gt;"",CHAR(10)&amp;AD27,AD27),
       "")</f>
        <v>0x0: OFF
0x1: ON
0x3: Not equipped</v>
      </c>
      <c r="V27" s="312"/>
      <c r="W27" s="679"/>
      <c r="X27" s="680"/>
      <c r="Y27" s="630">
        <v>0</v>
      </c>
      <c r="Z27" s="631">
        <v>3</v>
      </c>
      <c r="AA27" s="341">
        <f t="shared" ref="AA27" si="13">HEX2DEC(Y27)*X27+W27</f>
        <v>0</v>
      </c>
      <c r="AB27" s="342">
        <f t="shared" ref="AB27" si="14">HEX2DEC(Z27)*X27+W27</f>
        <v>0</v>
      </c>
      <c r="AC27" s="307"/>
      <c r="AD27" s="686" t="s">
        <v>1696</v>
      </c>
      <c r="AE27" s="312"/>
      <c r="AF27" s="298" t="s">
        <v>855</v>
      </c>
      <c r="AG27" s="298" t="s">
        <v>1861</v>
      </c>
      <c r="AH27" s="312"/>
      <c r="AI27" s="621" t="s">
        <v>51</v>
      </c>
      <c r="AJ27" s="621" t="s">
        <v>51</v>
      </c>
      <c r="AK27" s="621" t="s">
        <v>51</v>
      </c>
      <c r="AL27" s="575"/>
      <c r="AM27" s="671"/>
      <c r="AN27" s="709"/>
      <c r="AO27" s="709" t="s">
        <v>134</v>
      </c>
      <c r="AP27" s="709"/>
      <c r="AQ27" s="709"/>
      <c r="AR27" s="709"/>
      <c r="AT27" s="252" t="str">
        <f t="shared" si="6"/>
        <v>---</v>
      </c>
      <c r="AV27" s="312"/>
    </row>
    <row r="28" spans="1:49" s="252" customFormat="1" ht="39.6">
      <c r="A28" s="811"/>
      <c r="B28" s="289" t="s">
        <v>1407</v>
      </c>
      <c r="C28" s="289"/>
      <c r="D28" s="312"/>
      <c r="E28" s="1631" t="s">
        <v>1015</v>
      </c>
      <c r="F28" s="1614" t="s">
        <v>359</v>
      </c>
      <c r="G28" s="1686">
        <v>1</v>
      </c>
      <c r="H28" s="906" t="s">
        <v>1700</v>
      </c>
      <c r="I28" s="267" t="s">
        <v>360</v>
      </c>
      <c r="J28" s="312"/>
      <c r="K28" s="602" t="s">
        <v>134</v>
      </c>
      <c r="L28" s="609"/>
      <c r="M28" s="314"/>
      <c r="N28" s="697" t="s">
        <v>2066</v>
      </c>
      <c r="O28" s="314"/>
      <c r="P28" s="608" t="s">
        <v>134</v>
      </c>
      <c r="Q28" s="609" t="s">
        <v>134</v>
      </c>
      <c r="R28" s="610"/>
      <c r="S28" s="611" t="s">
        <v>134</v>
      </c>
      <c r="T28" s="312"/>
      <c r="U28" s="285" t="str">
        <f t="shared" si="1"/>
        <v>0x0: OFF
0x1: Hi side ON
0x2: Lo side ON</v>
      </c>
      <c r="V28" s="312"/>
      <c r="W28" s="677"/>
      <c r="X28" s="678"/>
      <c r="Y28" s="628">
        <v>0</v>
      </c>
      <c r="Z28" s="629">
        <v>2</v>
      </c>
      <c r="AA28" s="337">
        <f t="shared" si="2"/>
        <v>0</v>
      </c>
      <c r="AB28" s="338">
        <f t="shared" si="3"/>
        <v>0</v>
      </c>
      <c r="AC28" s="287"/>
      <c r="AD28" s="285" t="s">
        <v>1697</v>
      </c>
      <c r="AE28" s="312"/>
      <c r="AF28" s="288" t="s">
        <v>855</v>
      </c>
      <c r="AG28" s="288" t="s">
        <v>361</v>
      </c>
      <c r="AH28" s="312"/>
      <c r="AI28" s="620" t="s">
        <v>1233</v>
      </c>
      <c r="AJ28" s="620" t="s">
        <v>1233</v>
      </c>
      <c r="AK28" s="620" t="s">
        <v>1386</v>
      </c>
      <c r="AM28" s="672"/>
      <c r="AN28" s="710"/>
      <c r="AO28" s="710"/>
      <c r="AP28" s="710"/>
      <c r="AQ28" s="710"/>
      <c r="AR28" s="710"/>
      <c r="AV28" s="312"/>
    </row>
    <row r="29" spans="1:49" s="252" customFormat="1" ht="39.6">
      <c r="A29" s="811"/>
      <c r="B29" s="483" t="s">
        <v>898</v>
      </c>
      <c r="C29" s="483"/>
      <c r="D29" s="312"/>
      <c r="E29" s="1631"/>
      <c r="F29" s="1614"/>
      <c r="G29" s="1689"/>
      <c r="H29" s="905" t="s">
        <v>1701</v>
      </c>
      <c r="I29" s="269" t="s">
        <v>362</v>
      </c>
      <c r="J29" s="312"/>
      <c r="K29" s="603" t="s">
        <v>134</v>
      </c>
      <c r="L29" s="613"/>
      <c r="M29" s="314"/>
      <c r="N29" s="697" t="s">
        <v>2066</v>
      </c>
      <c r="O29" s="314"/>
      <c r="P29" s="612" t="s">
        <v>134</v>
      </c>
      <c r="Q29" s="613" t="s">
        <v>134</v>
      </c>
      <c r="R29" s="614"/>
      <c r="S29" s="615" t="s">
        <v>134</v>
      </c>
      <c r="T29" s="312"/>
      <c r="U29" s="295" t="str">
        <f t="shared" ref="U29" si="15">IF(AC29&lt;&gt;"",
       "0x" &amp; Y29 &amp;" ~ 0x" &amp; Z29 &amp; " (" &amp; AA29 &amp;"~" &amp; AB29 &amp; AC29 &amp; ")","")&amp;IF(AD29&lt;&gt;"",IF(AC29&lt;&gt;"",CHAR(10)&amp;AD29,AD29),
       "")</f>
        <v>0x0: OFF
0x1: Hi side ON
0x2: Lo side ON</v>
      </c>
      <c r="V29" s="312"/>
      <c r="W29" s="679"/>
      <c r="X29" s="680"/>
      <c r="Y29" s="630">
        <v>0</v>
      </c>
      <c r="Z29" s="631">
        <v>2</v>
      </c>
      <c r="AA29" s="341">
        <f t="shared" ref="AA29" si="16">HEX2DEC(Y29)*X29+W29</f>
        <v>0</v>
      </c>
      <c r="AB29" s="342">
        <f t="shared" ref="AB29" si="17">HEX2DEC(Z29)*X29+W29</f>
        <v>0</v>
      </c>
      <c r="AC29" s="307"/>
      <c r="AD29" s="305" t="s">
        <v>779</v>
      </c>
      <c r="AE29" s="312"/>
      <c r="AF29" s="298" t="s">
        <v>855</v>
      </c>
      <c r="AG29" s="298" t="s">
        <v>363</v>
      </c>
      <c r="AH29" s="312"/>
      <c r="AI29" s="622" t="s">
        <v>1233</v>
      </c>
      <c r="AJ29" s="622" t="s">
        <v>1233</v>
      </c>
      <c r="AK29" s="622" t="s">
        <v>1386</v>
      </c>
      <c r="AM29" s="673"/>
      <c r="AN29" s="706"/>
      <c r="AO29" s="706"/>
      <c r="AP29" s="706"/>
      <c r="AQ29" s="706"/>
      <c r="AR29" s="706"/>
      <c r="AV29" s="312"/>
    </row>
    <row r="30" spans="1:49">
      <c r="A30" s="813" t="s">
        <v>2052</v>
      </c>
      <c r="B30" s="456" t="s">
        <v>1222</v>
      </c>
      <c r="C30" s="456" t="s">
        <v>1222</v>
      </c>
      <c r="E30" s="265" t="s">
        <v>1207</v>
      </c>
      <c r="F30" s="264" t="s">
        <v>1213</v>
      </c>
      <c r="G30" s="456" t="s">
        <v>1616</v>
      </c>
      <c r="H30" s="456" t="s">
        <v>1616</v>
      </c>
      <c r="I30" s="456" t="s">
        <v>1616</v>
      </c>
      <c r="J30" s="313"/>
      <c r="K30" s="560" t="s">
        <v>1616</v>
      </c>
      <c r="L30" s="560" t="s">
        <v>1616</v>
      </c>
      <c r="M30" s="176"/>
      <c r="N30" s="561" t="s">
        <v>1616</v>
      </c>
      <c r="O30" s="176"/>
      <c r="P30" s="562" t="s">
        <v>1616</v>
      </c>
      <c r="Q30" s="562" t="s">
        <v>1616</v>
      </c>
      <c r="R30" s="563" t="s">
        <v>1616</v>
      </c>
      <c r="S30" s="562" t="s">
        <v>1616</v>
      </c>
      <c r="T30" s="943"/>
      <c r="U30" s="456" t="s">
        <v>1616</v>
      </c>
      <c r="W30" s="627" t="s">
        <v>1616</v>
      </c>
      <c r="X30" s="627" t="s">
        <v>1616</v>
      </c>
      <c r="Y30" s="627" t="s">
        <v>1616</v>
      </c>
      <c r="Z30" s="627" t="s">
        <v>1616</v>
      </c>
      <c r="AA30" s="627" t="s">
        <v>1616</v>
      </c>
      <c r="AB30" s="627" t="s">
        <v>1616</v>
      </c>
      <c r="AC30" s="627" t="s">
        <v>1616</v>
      </c>
      <c r="AD30" s="627" t="s">
        <v>1616</v>
      </c>
      <c r="AF30" s="456" t="s">
        <v>1616</v>
      </c>
      <c r="AG30" s="456" t="s">
        <v>1616</v>
      </c>
      <c r="AI30" s="456" t="s">
        <v>1616</v>
      </c>
      <c r="AJ30" s="456" t="s">
        <v>1616</v>
      </c>
      <c r="AK30" s="456" t="s">
        <v>1616</v>
      </c>
      <c r="AM30" s="674"/>
      <c r="AN30" s="674"/>
      <c r="AO30" s="674"/>
      <c r="AP30" s="674"/>
      <c r="AQ30" s="674"/>
      <c r="AR30" s="674"/>
      <c r="AT30" s="252" t="str">
        <f>AI30</f>
        <v>---</v>
      </c>
      <c r="AV30" s="311"/>
    </row>
    <row r="31" spans="1:49" s="252" customFormat="1" ht="27.6">
      <c r="A31" s="811" t="s">
        <v>2048</v>
      </c>
      <c r="B31" s="248" t="s">
        <v>134</v>
      </c>
      <c r="C31" s="248" t="s">
        <v>134</v>
      </c>
      <c r="D31" s="312"/>
      <c r="E31" s="566" t="s">
        <v>1016</v>
      </c>
      <c r="F31" s="242" t="s">
        <v>1630</v>
      </c>
      <c r="G31" s="568" t="s">
        <v>279</v>
      </c>
      <c r="H31" s="568" t="s">
        <v>200</v>
      </c>
      <c r="I31" s="244" t="s">
        <v>364</v>
      </c>
      <c r="J31" s="312"/>
      <c r="K31" s="601" t="s">
        <v>134</v>
      </c>
      <c r="L31" s="580"/>
      <c r="M31" s="314"/>
      <c r="N31" s="697" t="s">
        <v>2066</v>
      </c>
      <c r="O31" s="314"/>
      <c r="P31" s="604" t="s">
        <v>134</v>
      </c>
      <c r="Q31" s="580" t="s">
        <v>134</v>
      </c>
      <c r="R31" s="606"/>
      <c r="S31" s="607" t="s">
        <v>134</v>
      </c>
      <c r="T31" s="951"/>
      <c r="U31" s="242" t="str">
        <f t="shared" si="1"/>
        <v>0x0000 ~ 0x0FFA (0~818Hz)</v>
      </c>
      <c r="V31" s="312"/>
      <c r="W31" s="245">
        <v>0</v>
      </c>
      <c r="X31" s="246">
        <v>0.2</v>
      </c>
      <c r="Y31" s="318" t="s">
        <v>780</v>
      </c>
      <c r="Z31" s="319" t="s">
        <v>781</v>
      </c>
      <c r="AA31" s="334">
        <f t="shared" si="2"/>
        <v>0</v>
      </c>
      <c r="AB31" s="336">
        <f t="shared" si="3"/>
        <v>818</v>
      </c>
      <c r="AC31" s="246" t="s">
        <v>755</v>
      </c>
      <c r="AD31" s="242"/>
      <c r="AE31" s="312"/>
      <c r="AF31" s="247" t="s">
        <v>855</v>
      </c>
      <c r="AG31" s="247" t="s">
        <v>365</v>
      </c>
      <c r="AH31" s="977"/>
      <c r="AI31" s="624" t="s">
        <v>1388</v>
      </c>
      <c r="AJ31" s="625" t="s">
        <v>1390</v>
      </c>
      <c r="AK31" s="944" t="s">
        <v>1391</v>
      </c>
      <c r="AM31" s="675"/>
      <c r="AN31" s="546"/>
      <c r="AO31" s="546"/>
      <c r="AP31" s="546"/>
      <c r="AQ31" s="546"/>
      <c r="AR31" s="546"/>
      <c r="AT31" s="252" t="str">
        <f>AI31</f>
        <v>VehV_O_S_ATS</v>
      </c>
      <c r="AU31" s="252" t="s">
        <v>2281</v>
      </c>
      <c r="AV31" s="977">
        <v>0</v>
      </c>
      <c r="AW31" s="252">
        <v>100</v>
      </c>
    </row>
    <row r="32" spans="1:49" s="252" customFormat="1" ht="27.6">
      <c r="A32" s="811"/>
      <c r="B32" s="248" t="s">
        <v>134</v>
      </c>
      <c r="C32" s="248" t="s">
        <v>134</v>
      </c>
      <c r="D32" s="312"/>
      <c r="E32" s="566" t="s">
        <v>1017</v>
      </c>
      <c r="F32" s="242" t="s">
        <v>1629</v>
      </c>
      <c r="G32" s="568">
        <v>1</v>
      </c>
      <c r="H32" s="568" t="s">
        <v>200</v>
      </c>
      <c r="I32" s="244" t="s">
        <v>1646</v>
      </c>
      <c r="J32" s="312"/>
      <c r="K32" s="601" t="s">
        <v>134</v>
      </c>
      <c r="L32" s="580"/>
      <c r="M32" s="314"/>
      <c r="N32" s="697" t="s">
        <v>2066</v>
      </c>
      <c r="O32" s="314"/>
      <c r="P32" s="604" t="s">
        <v>134</v>
      </c>
      <c r="Q32" s="580" t="s">
        <v>134</v>
      </c>
      <c r="R32" s="606"/>
      <c r="S32" s="940"/>
      <c r="T32" s="941" t="s">
        <v>1808</v>
      </c>
      <c r="U32" s="242" t="str">
        <f t="shared" si="1"/>
        <v>0x00 ~ 0xC8 (0~100%)</v>
      </c>
      <c r="V32" s="312"/>
      <c r="W32" s="245">
        <v>0</v>
      </c>
      <c r="X32" s="246">
        <v>0.5</v>
      </c>
      <c r="Y32" s="318" t="s">
        <v>750</v>
      </c>
      <c r="Z32" s="319" t="s">
        <v>756</v>
      </c>
      <c r="AA32" s="334">
        <f t="shared" si="2"/>
        <v>0</v>
      </c>
      <c r="AB32" s="336">
        <f t="shared" si="3"/>
        <v>100</v>
      </c>
      <c r="AC32" s="246" t="s">
        <v>757</v>
      </c>
      <c r="AD32" s="242"/>
      <c r="AE32" s="312"/>
      <c r="AF32" s="247" t="s">
        <v>855</v>
      </c>
      <c r="AG32" s="247" t="s">
        <v>365</v>
      </c>
      <c r="AH32" s="312"/>
      <c r="AI32" s="619" t="s">
        <v>1233</v>
      </c>
      <c r="AJ32" s="619" t="s">
        <v>1389</v>
      </c>
      <c r="AK32" s="619" t="s">
        <v>1400</v>
      </c>
      <c r="AM32" s="665"/>
      <c r="AN32" s="635"/>
      <c r="AO32" s="635"/>
      <c r="AP32" s="635"/>
      <c r="AQ32" s="635"/>
      <c r="AR32" s="635"/>
      <c r="AT32" s="252" t="str">
        <f>AI32</f>
        <v>???</v>
      </c>
      <c r="AV32" s="312"/>
    </row>
    <row r="33" spans="1:48" s="252" customFormat="1" ht="27.6">
      <c r="A33" s="811"/>
      <c r="B33" s="248"/>
      <c r="C33" s="248" t="s">
        <v>134</v>
      </c>
      <c r="D33" s="312"/>
      <c r="E33" s="566" t="s">
        <v>1018</v>
      </c>
      <c r="F33" s="242" t="s">
        <v>1019</v>
      </c>
      <c r="G33" s="568" t="s">
        <v>279</v>
      </c>
      <c r="H33" s="568" t="s">
        <v>200</v>
      </c>
      <c r="I33" s="244" t="s">
        <v>366</v>
      </c>
      <c r="J33" s="312"/>
      <c r="K33" s="601" t="s">
        <v>134</v>
      </c>
      <c r="L33" s="580"/>
      <c r="M33" s="314"/>
      <c r="N33" s="697" t="s">
        <v>2066</v>
      </c>
      <c r="O33" s="314"/>
      <c r="P33" s="604" t="s">
        <v>134</v>
      </c>
      <c r="Q33" s="580" t="s">
        <v>134</v>
      </c>
      <c r="R33" s="606"/>
      <c r="S33" s="607" t="s">
        <v>134</v>
      </c>
      <c r="U33" s="242" t="str">
        <f t="shared" si="1"/>
        <v>0x0000 ~ 0x0FFA (0~818Hz)</v>
      </c>
      <c r="V33" s="312"/>
      <c r="W33" s="245">
        <v>0</v>
      </c>
      <c r="X33" s="246">
        <v>0.2</v>
      </c>
      <c r="Y33" s="318" t="s">
        <v>780</v>
      </c>
      <c r="Z33" s="319" t="s">
        <v>781</v>
      </c>
      <c r="AA33" s="334">
        <f t="shared" si="2"/>
        <v>0</v>
      </c>
      <c r="AB33" s="336">
        <f t="shared" si="3"/>
        <v>818</v>
      </c>
      <c r="AC33" s="246" t="s">
        <v>755</v>
      </c>
      <c r="AD33" s="242"/>
      <c r="AE33" s="312"/>
      <c r="AF33" s="247" t="s">
        <v>855</v>
      </c>
      <c r="AG33" s="247" t="s">
        <v>367</v>
      </c>
      <c r="AH33" s="312"/>
      <c r="AI33" s="247"/>
      <c r="AJ33" s="247"/>
      <c r="AK33" s="247"/>
      <c r="AM33" s="669"/>
      <c r="AN33" s="619"/>
      <c r="AO33" s="619"/>
      <c r="AP33" s="619"/>
      <c r="AQ33" s="619"/>
      <c r="AR33" s="619"/>
      <c r="AV33" s="312"/>
    </row>
    <row r="34" spans="1:48" s="252" customFormat="1" ht="27.6">
      <c r="A34" s="811"/>
      <c r="B34" s="248"/>
      <c r="C34" s="248" t="s">
        <v>134</v>
      </c>
      <c r="D34" s="312"/>
      <c r="E34" s="566" t="s">
        <v>1020</v>
      </c>
      <c r="F34" s="242" t="s">
        <v>1021</v>
      </c>
      <c r="G34" s="568">
        <v>1</v>
      </c>
      <c r="H34" s="568" t="s">
        <v>200</v>
      </c>
      <c r="I34" s="244" t="s">
        <v>368</v>
      </c>
      <c r="J34" s="312"/>
      <c r="K34" s="601" t="s">
        <v>134</v>
      </c>
      <c r="L34" s="580"/>
      <c r="M34" s="314"/>
      <c r="N34" s="697" t="s">
        <v>2066</v>
      </c>
      <c r="O34" s="314"/>
      <c r="P34" s="604" t="s">
        <v>134</v>
      </c>
      <c r="Q34" s="580" t="s">
        <v>134</v>
      </c>
      <c r="R34" s="606"/>
      <c r="S34" s="607" t="s">
        <v>134</v>
      </c>
      <c r="U34" s="242" t="str">
        <f t="shared" si="1"/>
        <v>0x00 ~ 0xC8 (0~100%)</v>
      </c>
      <c r="V34" s="312"/>
      <c r="W34" s="245">
        <v>0</v>
      </c>
      <c r="X34" s="246">
        <v>0.5</v>
      </c>
      <c r="Y34" s="318" t="s">
        <v>750</v>
      </c>
      <c r="Z34" s="319" t="s">
        <v>756</v>
      </c>
      <c r="AA34" s="334">
        <f t="shared" si="2"/>
        <v>0</v>
      </c>
      <c r="AB34" s="336">
        <f t="shared" si="3"/>
        <v>100</v>
      </c>
      <c r="AC34" s="246" t="s">
        <v>757</v>
      </c>
      <c r="AD34" s="242"/>
      <c r="AE34" s="312"/>
      <c r="AF34" s="247" t="s">
        <v>855</v>
      </c>
      <c r="AG34" s="247" t="s">
        <v>367</v>
      </c>
      <c r="AH34" s="312"/>
      <c r="AI34" s="247"/>
      <c r="AJ34" s="247"/>
      <c r="AK34" s="247"/>
      <c r="AM34" s="669"/>
      <c r="AN34" s="619"/>
      <c r="AO34" s="619"/>
      <c r="AP34" s="619"/>
      <c r="AQ34" s="619"/>
      <c r="AR34" s="619"/>
      <c r="AV34" s="312"/>
    </row>
    <row r="35" spans="1:48" s="252" customFormat="1" ht="27.6">
      <c r="A35" s="941" t="s">
        <v>2290</v>
      </c>
      <c r="B35" s="989" t="s">
        <v>134</v>
      </c>
      <c r="C35" s="989"/>
      <c r="D35" s="312"/>
      <c r="E35" s="990" t="s">
        <v>1022</v>
      </c>
      <c r="F35" s="991" t="s">
        <v>1628</v>
      </c>
      <c r="G35" s="992">
        <v>1</v>
      </c>
      <c r="H35" s="992" t="s">
        <v>200</v>
      </c>
      <c r="I35" s="993" t="s">
        <v>1647</v>
      </c>
      <c r="J35" s="312"/>
      <c r="K35" s="606" t="s">
        <v>134</v>
      </c>
      <c r="L35" s="994"/>
      <c r="M35" s="314"/>
      <c r="N35" s="995" t="s">
        <v>2066</v>
      </c>
      <c r="O35" s="314"/>
      <c r="P35" s="582" t="s">
        <v>134</v>
      </c>
      <c r="Q35" s="994" t="s">
        <v>134</v>
      </c>
      <c r="R35" s="606"/>
      <c r="S35" s="996"/>
      <c r="T35" s="941"/>
      <c r="U35" s="997" t="str">
        <f t="shared" si="1"/>
        <v>0x00 ~ 0xFA (0~25Hz)</v>
      </c>
      <c r="V35" s="312"/>
      <c r="W35" s="245">
        <v>0</v>
      </c>
      <c r="X35" s="246">
        <v>0.1</v>
      </c>
      <c r="Y35" s="318" t="s">
        <v>750</v>
      </c>
      <c r="Z35" s="319" t="s">
        <v>753</v>
      </c>
      <c r="AA35" s="334">
        <f t="shared" si="2"/>
        <v>0</v>
      </c>
      <c r="AB35" s="336">
        <f t="shared" si="3"/>
        <v>25</v>
      </c>
      <c r="AC35" s="246" t="s">
        <v>755</v>
      </c>
      <c r="AD35" s="242"/>
      <c r="AE35" s="312"/>
      <c r="AF35" s="247" t="s">
        <v>855</v>
      </c>
      <c r="AG35" s="247" t="s">
        <v>369</v>
      </c>
      <c r="AH35" s="312"/>
      <c r="AI35" s="998" t="s">
        <v>1233</v>
      </c>
      <c r="AJ35" s="998" t="s">
        <v>1393</v>
      </c>
      <c r="AK35" s="998" t="s">
        <v>1400</v>
      </c>
      <c r="AM35" s="999"/>
      <c r="AN35" s="999"/>
      <c r="AO35" s="999"/>
      <c r="AP35" s="999"/>
      <c r="AQ35" s="999"/>
      <c r="AR35" s="999"/>
      <c r="AT35" s="252" t="str">
        <f>AI35</f>
        <v>???</v>
      </c>
      <c r="AV35" s="312"/>
    </row>
    <row r="36" spans="1:48" s="252" customFormat="1" ht="26.4">
      <c r="A36" s="811" t="s">
        <v>2048</v>
      </c>
      <c r="B36" s="248" t="s">
        <v>134</v>
      </c>
      <c r="C36" s="248"/>
      <c r="D36" s="312"/>
      <c r="E36" s="566" t="s">
        <v>1023</v>
      </c>
      <c r="F36" s="567" t="s">
        <v>1627</v>
      </c>
      <c r="G36" s="568">
        <v>1</v>
      </c>
      <c r="H36" s="568" t="s">
        <v>200</v>
      </c>
      <c r="I36" s="244" t="s">
        <v>1648</v>
      </c>
      <c r="J36" s="312"/>
      <c r="K36" s="601" t="s">
        <v>134</v>
      </c>
      <c r="L36" s="580"/>
      <c r="M36" s="314"/>
      <c r="N36" s="907"/>
      <c r="O36" s="314"/>
      <c r="P36" s="604" t="s">
        <v>134</v>
      </c>
      <c r="Q36" s="580" t="s">
        <v>134</v>
      </c>
      <c r="R36" s="606"/>
      <c r="S36" s="607" t="s">
        <v>134</v>
      </c>
      <c r="T36" s="951"/>
      <c r="U36" s="242" t="str">
        <f t="shared" si="1"/>
        <v>0x00 ~ 0xC8 (0~100%)</v>
      </c>
      <c r="V36" s="312"/>
      <c r="W36" s="245">
        <v>0</v>
      </c>
      <c r="X36" s="246">
        <v>0.5</v>
      </c>
      <c r="Y36" s="318" t="s">
        <v>750</v>
      </c>
      <c r="Z36" s="319" t="s">
        <v>756</v>
      </c>
      <c r="AA36" s="334">
        <f t="shared" si="2"/>
        <v>0</v>
      </c>
      <c r="AB36" s="336">
        <f t="shared" si="3"/>
        <v>100</v>
      </c>
      <c r="AC36" s="246" t="s">
        <v>757</v>
      </c>
      <c r="AD36" s="242"/>
      <c r="AE36" s="312"/>
      <c r="AF36" s="247" t="s">
        <v>855</v>
      </c>
      <c r="AG36" s="247" t="s">
        <v>369</v>
      </c>
      <c r="AH36" s="312"/>
      <c r="AI36" s="619" t="s">
        <v>1233</v>
      </c>
      <c r="AJ36" s="619" t="s">
        <v>1393</v>
      </c>
      <c r="AK36" s="619" t="s">
        <v>1387</v>
      </c>
      <c r="AM36" s="665"/>
      <c r="AN36" s="635"/>
      <c r="AO36" s="635" t="s">
        <v>134</v>
      </c>
      <c r="AP36" s="635"/>
      <c r="AQ36" s="635"/>
      <c r="AR36" s="635"/>
      <c r="AT36" s="252" t="str">
        <f>AI36</f>
        <v>???</v>
      </c>
      <c r="AV36" s="312"/>
    </row>
    <row r="37" spans="1:48" s="252" customFormat="1" ht="27.6">
      <c r="A37" s="941" t="s">
        <v>2290</v>
      </c>
      <c r="B37" s="989" t="s">
        <v>134</v>
      </c>
      <c r="C37" s="989" t="s">
        <v>134</v>
      </c>
      <c r="D37" s="312"/>
      <c r="E37" s="990" t="s">
        <v>1024</v>
      </c>
      <c r="F37" s="991" t="s">
        <v>1638</v>
      </c>
      <c r="G37" s="992">
        <v>1</v>
      </c>
      <c r="H37" s="992" t="s">
        <v>200</v>
      </c>
      <c r="I37" s="993" t="s">
        <v>1649</v>
      </c>
      <c r="J37" s="312"/>
      <c r="K37" s="606" t="s">
        <v>134</v>
      </c>
      <c r="L37" s="994"/>
      <c r="M37" s="314"/>
      <c r="N37" s="995" t="s">
        <v>2066</v>
      </c>
      <c r="O37" s="314"/>
      <c r="P37" s="582" t="s">
        <v>134</v>
      </c>
      <c r="Q37" s="994" t="s">
        <v>134</v>
      </c>
      <c r="R37" s="606"/>
      <c r="S37" s="996"/>
      <c r="T37" s="941"/>
      <c r="U37" s="997" t="str">
        <f t="shared" si="1"/>
        <v>0x00 ~ 0xFA (0~25Hz)</v>
      </c>
      <c r="V37" s="312"/>
      <c r="W37" s="245">
        <v>0</v>
      </c>
      <c r="X37" s="246">
        <v>0.1</v>
      </c>
      <c r="Y37" s="318" t="s">
        <v>750</v>
      </c>
      <c r="Z37" s="319" t="s">
        <v>753</v>
      </c>
      <c r="AA37" s="334">
        <f t="shared" si="2"/>
        <v>0</v>
      </c>
      <c r="AB37" s="336">
        <f t="shared" si="3"/>
        <v>25</v>
      </c>
      <c r="AC37" s="246" t="s">
        <v>755</v>
      </c>
      <c r="AD37" s="242"/>
      <c r="AE37" s="312"/>
      <c r="AF37" s="247" t="s">
        <v>855</v>
      </c>
      <c r="AG37" s="247" t="s">
        <v>370</v>
      </c>
      <c r="AH37" s="312"/>
      <c r="AI37" s="998" t="s">
        <v>1233</v>
      </c>
      <c r="AJ37" s="998" t="s">
        <v>1394</v>
      </c>
      <c r="AK37" s="998" t="s">
        <v>1400</v>
      </c>
      <c r="AM37" s="999"/>
      <c r="AN37" s="999"/>
      <c r="AO37" s="999"/>
      <c r="AP37" s="999"/>
      <c r="AQ37" s="999"/>
      <c r="AR37" s="999"/>
      <c r="AT37" s="252" t="str">
        <f>AI37</f>
        <v>???</v>
      </c>
      <c r="AV37" s="312"/>
    </row>
    <row r="38" spans="1:48" s="252" customFormat="1" ht="27.6">
      <c r="A38" s="811" t="s">
        <v>2048</v>
      </c>
      <c r="B38" s="248" t="s">
        <v>134</v>
      </c>
      <c r="C38" s="248" t="s">
        <v>134</v>
      </c>
      <c r="D38" s="312"/>
      <c r="E38" s="566" t="s">
        <v>1025</v>
      </c>
      <c r="F38" s="567" t="s">
        <v>1637</v>
      </c>
      <c r="G38" s="568">
        <v>1</v>
      </c>
      <c r="H38" s="568" t="s">
        <v>200</v>
      </c>
      <c r="I38" s="244" t="s">
        <v>1650</v>
      </c>
      <c r="J38" s="312"/>
      <c r="K38" s="601" t="s">
        <v>134</v>
      </c>
      <c r="L38" s="580"/>
      <c r="M38" s="314"/>
      <c r="N38" s="697" t="s">
        <v>2066</v>
      </c>
      <c r="O38" s="314"/>
      <c r="P38" s="604" t="s">
        <v>134</v>
      </c>
      <c r="Q38" s="580" t="s">
        <v>134</v>
      </c>
      <c r="R38" s="606"/>
      <c r="S38" s="607" t="s">
        <v>134</v>
      </c>
      <c r="T38" s="951"/>
      <c r="U38" s="242" t="str">
        <f t="shared" si="1"/>
        <v>0x00 ~ 0xC8 (0~100%)</v>
      </c>
      <c r="V38" s="312"/>
      <c r="W38" s="245">
        <v>0</v>
      </c>
      <c r="X38" s="246">
        <v>0.5</v>
      </c>
      <c r="Y38" s="318" t="s">
        <v>750</v>
      </c>
      <c r="Z38" s="319" t="s">
        <v>756</v>
      </c>
      <c r="AA38" s="334">
        <f t="shared" si="2"/>
        <v>0</v>
      </c>
      <c r="AB38" s="336">
        <f t="shared" si="3"/>
        <v>100</v>
      </c>
      <c r="AC38" s="246" t="s">
        <v>757</v>
      </c>
      <c r="AD38" s="242"/>
      <c r="AE38" s="312"/>
      <c r="AF38" s="247" t="s">
        <v>855</v>
      </c>
      <c r="AG38" s="247" t="s">
        <v>370</v>
      </c>
      <c r="AH38" s="312"/>
      <c r="AI38" s="619" t="s">
        <v>1233</v>
      </c>
      <c r="AJ38" s="619" t="s">
        <v>1394</v>
      </c>
      <c r="AK38" s="619" t="s">
        <v>1387</v>
      </c>
      <c r="AM38" s="665"/>
      <c r="AN38" s="635"/>
      <c r="AO38" s="635"/>
      <c r="AP38" s="635"/>
      <c r="AQ38" s="635"/>
      <c r="AR38" s="635"/>
      <c r="AT38" s="252" t="str">
        <f>AI38</f>
        <v>???</v>
      </c>
      <c r="AV38" s="312"/>
    </row>
    <row r="39" spans="1:48" s="252" customFormat="1" ht="27.6">
      <c r="A39" s="811"/>
      <c r="B39" s="248"/>
      <c r="C39" s="248" t="s">
        <v>134</v>
      </c>
      <c r="D39" s="312"/>
      <c r="E39" s="566" t="s">
        <v>1026</v>
      </c>
      <c r="F39" s="242" t="s">
        <v>1027</v>
      </c>
      <c r="G39" s="568">
        <v>1</v>
      </c>
      <c r="H39" s="568" t="s">
        <v>200</v>
      </c>
      <c r="I39" s="244" t="s">
        <v>371</v>
      </c>
      <c r="J39" s="312"/>
      <c r="K39" s="601" t="s">
        <v>134</v>
      </c>
      <c r="L39" s="580"/>
      <c r="M39" s="314"/>
      <c r="N39" s="697" t="s">
        <v>2066</v>
      </c>
      <c r="O39" s="314"/>
      <c r="P39" s="604" t="s">
        <v>134</v>
      </c>
      <c r="Q39" s="580" t="s">
        <v>134</v>
      </c>
      <c r="R39" s="606"/>
      <c r="S39" s="607" t="s">
        <v>134</v>
      </c>
      <c r="U39" s="242" t="str">
        <f t="shared" si="1"/>
        <v>0x00 ~ 0xFA (0~25Hz)</v>
      </c>
      <c r="V39" s="312"/>
      <c r="W39" s="245">
        <v>0</v>
      </c>
      <c r="X39" s="246">
        <v>0.1</v>
      </c>
      <c r="Y39" s="318" t="s">
        <v>750</v>
      </c>
      <c r="Z39" s="319" t="s">
        <v>753</v>
      </c>
      <c r="AA39" s="334">
        <f t="shared" si="2"/>
        <v>0</v>
      </c>
      <c r="AB39" s="336">
        <f t="shared" si="3"/>
        <v>25</v>
      </c>
      <c r="AC39" s="246" t="s">
        <v>755</v>
      </c>
      <c r="AD39" s="242"/>
      <c r="AE39" s="312"/>
      <c r="AF39" s="247" t="s">
        <v>855</v>
      </c>
      <c r="AG39" s="247" t="s">
        <v>372</v>
      </c>
      <c r="AH39" s="312"/>
      <c r="AI39" s="247"/>
      <c r="AJ39" s="247"/>
      <c r="AK39" s="247"/>
      <c r="AM39" s="669"/>
      <c r="AN39" s="619"/>
      <c r="AO39" s="619"/>
      <c r="AP39" s="619"/>
      <c r="AQ39" s="619"/>
      <c r="AR39" s="619"/>
      <c r="AV39" s="312"/>
    </row>
    <row r="40" spans="1:48" s="252" customFormat="1" ht="27.6">
      <c r="A40" s="811"/>
      <c r="B40" s="248"/>
      <c r="C40" s="248" t="s">
        <v>134</v>
      </c>
      <c r="D40" s="312"/>
      <c r="E40" s="566" t="s">
        <v>1028</v>
      </c>
      <c r="F40" s="242" t="s">
        <v>1029</v>
      </c>
      <c r="G40" s="568">
        <v>1</v>
      </c>
      <c r="H40" s="568" t="s">
        <v>200</v>
      </c>
      <c r="I40" s="244" t="s">
        <v>373</v>
      </c>
      <c r="J40" s="312"/>
      <c r="K40" s="601" t="s">
        <v>134</v>
      </c>
      <c r="L40" s="580"/>
      <c r="M40" s="314"/>
      <c r="N40" s="697" t="s">
        <v>2066</v>
      </c>
      <c r="O40" s="314"/>
      <c r="P40" s="604" t="s">
        <v>134</v>
      </c>
      <c r="Q40" s="580" t="s">
        <v>134</v>
      </c>
      <c r="R40" s="606"/>
      <c r="S40" s="607" t="s">
        <v>134</v>
      </c>
      <c r="U40" s="242" t="str">
        <f t="shared" si="1"/>
        <v>0x00 ~ 0xC8 (0~100%)</v>
      </c>
      <c r="V40" s="312"/>
      <c r="W40" s="245">
        <v>0</v>
      </c>
      <c r="X40" s="246">
        <v>0.5</v>
      </c>
      <c r="Y40" s="318" t="s">
        <v>750</v>
      </c>
      <c r="Z40" s="319" t="s">
        <v>756</v>
      </c>
      <c r="AA40" s="334">
        <f t="shared" si="2"/>
        <v>0</v>
      </c>
      <c r="AB40" s="336">
        <f t="shared" si="3"/>
        <v>100</v>
      </c>
      <c r="AC40" s="246" t="s">
        <v>757</v>
      </c>
      <c r="AD40" s="242"/>
      <c r="AE40" s="312"/>
      <c r="AF40" s="247" t="s">
        <v>855</v>
      </c>
      <c r="AG40" s="247" t="s">
        <v>372</v>
      </c>
      <c r="AH40" s="312"/>
      <c r="AI40" s="247"/>
      <c r="AJ40" s="247"/>
      <c r="AK40" s="247"/>
      <c r="AM40" s="669"/>
      <c r="AN40" s="619"/>
      <c r="AO40" s="619"/>
      <c r="AP40" s="619"/>
      <c r="AQ40" s="619"/>
      <c r="AR40" s="619"/>
      <c r="AV40" s="312"/>
    </row>
    <row r="41" spans="1:48" s="252" customFormat="1" ht="27.6">
      <c r="A41" s="941" t="s">
        <v>2290</v>
      </c>
      <c r="B41" s="989" t="s">
        <v>134</v>
      </c>
      <c r="C41" s="989" t="s">
        <v>134</v>
      </c>
      <c r="D41" s="312"/>
      <c r="E41" s="990" t="s">
        <v>1030</v>
      </c>
      <c r="F41" s="991" t="s">
        <v>1636</v>
      </c>
      <c r="G41" s="992">
        <v>1</v>
      </c>
      <c r="H41" s="992" t="s">
        <v>200</v>
      </c>
      <c r="I41" s="993" t="s">
        <v>1651</v>
      </c>
      <c r="J41" s="312"/>
      <c r="K41" s="606" t="s">
        <v>134</v>
      </c>
      <c r="L41" s="994"/>
      <c r="M41" s="314"/>
      <c r="N41" s="995" t="s">
        <v>2066</v>
      </c>
      <c r="O41" s="314"/>
      <c r="P41" s="582" t="s">
        <v>134</v>
      </c>
      <c r="Q41" s="994" t="s">
        <v>134</v>
      </c>
      <c r="R41" s="606"/>
      <c r="S41" s="996"/>
      <c r="T41" s="941"/>
      <c r="U41" s="997" t="str">
        <f t="shared" si="1"/>
        <v>0x00 ~ 0xFA (0~25Hz)</v>
      </c>
      <c r="V41" s="312"/>
      <c r="W41" s="245">
        <v>0</v>
      </c>
      <c r="X41" s="246">
        <v>0.1</v>
      </c>
      <c r="Y41" s="318" t="s">
        <v>750</v>
      </c>
      <c r="Z41" s="319" t="s">
        <v>753</v>
      </c>
      <c r="AA41" s="334">
        <f t="shared" si="2"/>
        <v>0</v>
      </c>
      <c r="AB41" s="336">
        <f t="shared" si="3"/>
        <v>25</v>
      </c>
      <c r="AC41" s="246" t="s">
        <v>755</v>
      </c>
      <c r="AD41" s="242"/>
      <c r="AE41" s="312"/>
      <c r="AF41" s="247" t="s">
        <v>855</v>
      </c>
      <c r="AG41" s="247" t="s">
        <v>374</v>
      </c>
      <c r="AH41" s="312"/>
      <c r="AI41" s="998" t="s">
        <v>1233</v>
      </c>
      <c r="AJ41" s="998" t="s">
        <v>1395</v>
      </c>
      <c r="AK41" s="998" t="s">
        <v>1400</v>
      </c>
      <c r="AM41" s="999"/>
      <c r="AN41" s="999"/>
      <c r="AO41" s="999"/>
      <c r="AP41" s="999"/>
      <c r="AQ41" s="999"/>
      <c r="AR41" s="999"/>
      <c r="AT41" s="252" t="str">
        <f>AI41</f>
        <v>???</v>
      </c>
      <c r="AV41" s="312"/>
    </row>
    <row r="42" spans="1:48" s="252" customFormat="1" ht="27.6">
      <c r="A42" s="811" t="s">
        <v>2048</v>
      </c>
      <c r="B42" s="248" t="s">
        <v>134</v>
      </c>
      <c r="C42" s="248" t="s">
        <v>134</v>
      </c>
      <c r="D42" s="312"/>
      <c r="E42" s="566" t="s">
        <v>1031</v>
      </c>
      <c r="F42" s="567" t="s">
        <v>1635</v>
      </c>
      <c r="G42" s="568">
        <v>1</v>
      </c>
      <c r="H42" s="568" t="s">
        <v>200</v>
      </c>
      <c r="I42" s="244" t="s">
        <v>1652</v>
      </c>
      <c r="J42" s="312"/>
      <c r="K42" s="601" t="s">
        <v>134</v>
      </c>
      <c r="L42" s="580"/>
      <c r="M42" s="314"/>
      <c r="N42" s="697" t="s">
        <v>2066</v>
      </c>
      <c r="O42" s="314"/>
      <c r="P42" s="604" t="s">
        <v>134</v>
      </c>
      <c r="Q42" s="580" t="s">
        <v>134</v>
      </c>
      <c r="R42" s="606"/>
      <c r="S42" s="607" t="s">
        <v>134</v>
      </c>
      <c r="T42" s="951"/>
      <c r="U42" s="242" t="str">
        <f t="shared" si="1"/>
        <v>0x00 ~ 0xC8 (0~100%)</v>
      </c>
      <c r="V42" s="312"/>
      <c r="W42" s="245">
        <v>0</v>
      </c>
      <c r="X42" s="246">
        <v>0.5</v>
      </c>
      <c r="Y42" s="318" t="s">
        <v>750</v>
      </c>
      <c r="Z42" s="319" t="s">
        <v>756</v>
      </c>
      <c r="AA42" s="334">
        <f t="shared" si="2"/>
        <v>0</v>
      </c>
      <c r="AB42" s="336">
        <f t="shared" si="3"/>
        <v>100</v>
      </c>
      <c r="AC42" s="246" t="s">
        <v>757</v>
      </c>
      <c r="AD42" s="242"/>
      <c r="AE42" s="312"/>
      <c r="AF42" s="247" t="s">
        <v>855</v>
      </c>
      <c r="AG42" s="247" t="s">
        <v>374</v>
      </c>
      <c r="AH42" s="312"/>
      <c r="AI42" s="619" t="s">
        <v>1233</v>
      </c>
      <c r="AJ42" s="619" t="s">
        <v>1395</v>
      </c>
      <c r="AK42" s="619" t="s">
        <v>1387</v>
      </c>
      <c r="AM42" s="665"/>
      <c r="AN42" s="635"/>
      <c r="AO42" s="635"/>
      <c r="AP42" s="635"/>
      <c r="AQ42" s="635"/>
      <c r="AR42" s="635"/>
      <c r="AT42" s="252" t="str">
        <f>AI42</f>
        <v>???</v>
      </c>
      <c r="AV42" s="312"/>
    </row>
    <row r="43" spans="1:48" s="252" customFormat="1" ht="27.6">
      <c r="A43" s="941" t="s">
        <v>2290</v>
      </c>
      <c r="B43" s="989" t="s">
        <v>134</v>
      </c>
      <c r="C43" s="989" t="s">
        <v>134</v>
      </c>
      <c r="D43" s="312"/>
      <c r="E43" s="990" t="s">
        <v>1032</v>
      </c>
      <c r="F43" s="991" t="s">
        <v>1634</v>
      </c>
      <c r="G43" s="992">
        <v>1</v>
      </c>
      <c r="H43" s="992" t="s">
        <v>200</v>
      </c>
      <c r="I43" s="993" t="s">
        <v>1653</v>
      </c>
      <c r="J43" s="312"/>
      <c r="K43" s="606" t="s">
        <v>134</v>
      </c>
      <c r="L43" s="994"/>
      <c r="M43" s="314"/>
      <c r="N43" s="995" t="s">
        <v>2066</v>
      </c>
      <c r="O43" s="314"/>
      <c r="P43" s="582" t="s">
        <v>134</v>
      </c>
      <c r="Q43" s="994" t="s">
        <v>134</v>
      </c>
      <c r="R43" s="606"/>
      <c r="S43" s="996"/>
      <c r="T43" s="941"/>
      <c r="U43" s="997" t="str">
        <f t="shared" si="1"/>
        <v>0x00 ~ 0xFA (0~25Hz)
0xFF: Not equipped</v>
      </c>
      <c r="V43" s="312"/>
      <c r="W43" s="245">
        <v>0</v>
      </c>
      <c r="X43" s="246">
        <v>0.1</v>
      </c>
      <c r="Y43" s="318" t="s">
        <v>750</v>
      </c>
      <c r="Z43" s="319" t="s">
        <v>753</v>
      </c>
      <c r="AA43" s="334">
        <f t="shared" si="2"/>
        <v>0</v>
      </c>
      <c r="AB43" s="336">
        <f t="shared" si="3"/>
        <v>25</v>
      </c>
      <c r="AC43" s="246" t="s">
        <v>755</v>
      </c>
      <c r="AD43" s="242" t="s">
        <v>754</v>
      </c>
      <c r="AE43" s="312"/>
      <c r="AF43" s="247" t="s">
        <v>855</v>
      </c>
      <c r="AG43" s="247" t="s">
        <v>375</v>
      </c>
      <c r="AH43" s="312"/>
      <c r="AI43" s="998" t="s">
        <v>1233</v>
      </c>
      <c r="AJ43" s="998" t="s">
        <v>1392</v>
      </c>
      <c r="AK43" s="998" t="s">
        <v>1400</v>
      </c>
      <c r="AM43" s="999"/>
      <c r="AN43" s="999"/>
      <c r="AO43" s="999"/>
      <c r="AP43" s="999"/>
      <c r="AQ43" s="999"/>
      <c r="AR43" s="999"/>
      <c r="AT43" s="252" t="str">
        <f>AI43</f>
        <v>???</v>
      </c>
      <c r="AV43" s="312"/>
    </row>
    <row r="44" spans="1:48" s="252" customFormat="1" ht="27.6">
      <c r="A44" s="811" t="s">
        <v>2048</v>
      </c>
      <c r="B44" s="248" t="s">
        <v>134</v>
      </c>
      <c r="C44" s="248" t="s">
        <v>134</v>
      </c>
      <c r="D44" s="312"/>
      <c r="E44" s="566" t="s">
        <v>1033</v>
      </c>
      <c r="F44" s="567" t="s">
        <v>1633</v>
      </c>
      <c r="G44" s="568">
        <v>1</v>
      </c>
      <c r="H44" s="568" t="s">
        <v>200</v>
      </c>
      <c r="I44" s="244" t="s">
        <v>1654</v>
      </c>
      <c r="J44" s="312"/>
      <c r="K44" s="601" t="s">
        <v>134</v>
      </c>
      <c r="L44" s="580"/>
      <c r="M44" s="314"/>
      <c r="N44" s="697" t="s">
        <v>2066</v>
      </c>
      <c r="O44" s="314"/>
      <c r="P44" s="604" t="s">
        <v>134</v>
      </c>
      <c r="Q44" s="580" t="s">
        <v>134</v>
      </c>
      <c r="R44" s="606"/>
      <c r="S44" s="607" t="s">
        <v>134</v>
      </c>
      <c r="T44" s="951"/>
      <c r="U44" s="242" t="str">
        <f t="shared" si="1"/>
        <v>0x00 ~ 0xC8 (0~100%)
0xFF: Not equipped</v>
      </c>
      <c r="V44" s="312"/>
      <c r="W44" s="245">
        <v>0</v>
      </c>
      <c r="X44" s="246">
        <v>0.5</v>
      </c>
      <c r="Y44" s="318" t="s">
        <v>750</v>
      </c>
      <c r="Z44" s="319" t="s">
        <v>756</v>
      </c>
      <c r="AA44" s="334">
        <f t="shared" si="2"/>
        <v>0</v>
      </c>
      <c r="AB44" s="336">
        <f t="shared" si="3"/>
        <v>100</v>
      </c>
      <c r="AC44" s="246" t="s">
        <v>757</v>
      </c>
      <c r="AD44" s="242" t="s">
        <v>754</v>
      </c>
      <c r="AE44" s="312"/>
      <c r="AF44" s="247" t="s">
        <v>855</v>
      </c>
      <c r="AG44" s="247" t="s">
        <v>375</v>
      </c>
      <c r="AH44" s="312"/>
      <c r="AI44" s="619" t="s">
        <v>1233</v>
      </c>
      <c r="AJ44" s="619" t="s">
        <v>1396</v>
      </c>
      <c r="AK44" s="619" t="s">
        <v>1387</v>
      </c>
      <c r="AM44" s="665"/>
      <c r="AN44" s="635"/>
      <c r="AO44" s="635"/>
      <c r="AP44" s="635"/>
      <c r="AQ44" s="635"/>
      <c r="AR44" s="635"/>
      <c r="AT44" s="252" t="str">
        <f>AI44</f>
        <v>???</v>
      </c>
      <c r="AV44" s="312"/>
    </row>
    <row r="45" spans="1:48" s="252" customFormat="1" ht="27.6">
      <c r="A45" s="811"/>
      <c r="B45" s="248"/>
      <c r="C45" s="248" t="s">
        <v>882</v>
      </c>
      <c r="D45" s="312"/>
      <c r="E45" s="566" t="s">
        <v>1034</v>
      </c>
      <c r="F45" s="242" t="s">
        <v>1035</v>
      </c>
      <c r="G45" s="568">
        <v>1</v>
      </c>
      <c r="H45" s="568" t="s">
        <v>200</v>
      </c>
      <c r="I45" s="244" t="s">
        <v>376</v>
      </c>
      <c r="J45" s="312"/>
      <c r="K45" s="601" t="s">
        <v>134</v>
      </c>
      <c r="L45" s="580"/>
      <c r="M45" s="314"/>
      <c r="N45" s="697" t="s">
        <v>2066</v>
      </c>
      <c r="O45" s="314"/>
      <c r="P45" s="604" t="s">
        <v>134</v>
      </c>
      <c r="Q45" s="580" t="s">
        <v>134</v>
      </c>
      <c r="R45" s="606"/>
      <c r="S45" s="607" t="s">
        <v>134</v>
      </c>
      <c r="U45" s="242" t="str">
        <f t="shared" si="1"/>
        <v>0x00 ~ 0xFA (0~25Hz)
0xFF: Not equipped</v>
      </c>
      <c r="V45" s="312"/>
      <c r="W45" s="245">
        <v>0</v>
      </c>
      <c r="X45" s="246">
        <v>0.1</v>
      </c>
      <c r="Y45" s="318" t="s">
        <v>750</v>
      </c>
      <c r="Z45" s="319" t="s">
        <v>753</v>
      </c>
      <c r="AA45" s="334">
        <f t="shared" si="2"/>
        <v>0</v>
      </c>
      <c r="AB45" s="336">
        <f t="shared" si="3"/>
        <v>25</v>
      </c>
      <c r="AC45" s="246" t="s">
        <v>755</v>
      </c>
      <c r="AD45" s="242" t="s">
        <v>754</v>
      </c>
      <c r="AE45" s="312"/>
      <c r="AF45" s="247" t="s">
        <v>855</v>
      </c>
      <c r="AG45" s="247" t="s">
        <v>377</v>
      </c>
      <c r="AH45" s="312"/>
      <c r="AI45" s="247"/>
      <c r="AJ45" s="247"/>
      <c r="AK45" s="247"/>
      <c r="AM45" s="669"/>
      <c r="AN45" s="619"/>
      <c r="AO45" s="619"/>
      <c r="AP45" s="619"/>
      <c r="AQ45" s="619"/>
      <c r="AR45" s="619"/>
      <c r="AV45" s="312"/>
    </row>
    <row r="46" spans="1:48" s="252" customFormat="1" ht="27.6">
      <c r="A46" s="811"/>
      <c r="B46" s="248"/>
      <c r="C46" s="248" t="s">
        <v>882</v>
      </c>
      <c r="D46" s="312"/>
      <c r="E46" s="566" t="s">
        <v>1036</v>
      </c>
      <c r="F46" s="242" t="s">
        <v>1037</v>
      </c>
      <c r="G46" s="568">
        <v>1</v>
      </c>
      <c r="H46" s="568" t="s">
        <v>200</v>
      </c>
      <c r="I46" s="244" t="s">
        <v>378</v>
      </c>
      <c r="J46" s="312"/>
      <c r="K46" s="601" t="s">
        <v>134</v>
      </c>
      <c r="L46" s="580"/>
      <c r="M46" s="314"/>
      <c r="N46" s="697" t="s">
        <v>2066</v>
      </c>
      <c r="O46" s="314"/>
      <c r="P46" s="604" t="s">
        <v>134</v>
      </c>
      <c r="Q46" s="580" t="s">
        <v>134</v>
      </c>
      <c r="R46" s="606"/>
      <c r="S46" s="607" t="s">
        <v>134</v>
      </c>
      <c r="U46" s="242" t="str">
        <f t="shared" si="1"/>
        <v>0x00 ~ 0xC8 (0~100%)
0xFF: Not equipped</v>
      </c>
      <c r="V46" s="312"/>
      <c r="W46" s="245">
        <v>0</v>
      </c>
      <c r="X46" s="246">
        <v>0.5</v>
      </c>
      <c r="Y46" s="318" t="s">
        <v>750</v>
      </c>
      <c r="Z46" s="319" t="s">
        <v>756</v>
      </c>
      <c r="AA46" s="334">
        <f t="shared" si="2"/>
        <v>0</v>
      </c>
      <c r="AB46" s="336">
        <f t="shared" si="3"/>
        <v>100</v>
      </c>
      <c r="AC46" s="246" t="s">
        <v>757</v>
      </c>
      <c r="AD46" s="242" t="s">
        <v>754</v>
      </c>
      <c r="AE46" s="312"/>
      <c r="AF46" s="247" t="s">
        <v>855</v>
      </c>
      <c r="AG46" s="247" t="s">
        <v>377</v>
      </c>
      <c r="AH46" s="312"/>
      <c r="AI46" s="247"/>
      <c r="AJ46" s="247"/>
      <c r="AK46" s="247"/>
      <c r="AM46" s="669"/>
      <c r="AN46" s="619"/>
      <c r="AO46" s="619"/>
      <c r="AP46" s="619"/>
      <c r="AQ46" s="619"/>
      <c r="AR46" s="619"/>
      <c r="AV46" s="312"/>
    </row>
    <row r="47" spans="1:48" s="252" customFormat="1" ht="27.6">
      <c r="A47" s="811"/>
      <c r="B47" s="248"/>
      <c r="C47" s="248" t="s">
        <v>882</v>
      </c>
      <c r="D47" s="312"/>
      <c r="E47" s="566" t="s">
        <v>1038</v>
      </c>
      <c r="F47" s="242" t="s">
        <v>1039</v>
      </c>
      <c r="G47" s="568">
        <v>1</v>
      </c>
      <c r="H47" s="568" t="s">
        <v>200</v>
      </c>
      <c r="I47" s="244" t="s">
        <v>379</v>
      </c>
      <c r="J47" s="312"/>
      <c r="K47" s="601" t="s">
        <v>134</v>
      </c>
      <c r="L47" s="580"/>
      <c r="M47" s="314"/>
      <c r="N47" s="697" t="s">
        <v>2066</v>
      </c>
      <c r="O47" s="314"/>
      <c r="P47" s="604" t="s">
        <v>134</v>
      </c>
      <c r="Q47" s="580" t="s">
        <v>134</v>
      </c>
      <c r="R47" s="606"/>
      <c r="S47" s="607" t="s">
        <v>134</v>
      </c>
      <c r="U47" s="242" t="str">
        <f t="shared" si="1"/>
        <v>0x00 ~ 0xFA (0~25Hz)
0xFF: Not equipped</v>
      </c>
      <c r="V47" s="312"/>
      <c r="W47" s="245">
        <v>0</v>
      </c>
      <c r="X47" s="246">
        <v>0.1</v>
      </c>
      <c r="Y47" s="318" t="s">
        <v>750</v>
      </c>
      <c r="Z47" s="319" t="s">
        <v>753</v>
      </c>
      <c r="AA47" s="334">
        <f t="shared" si="2"/>
        <v>0</v>
      </c>
      <c r="AB47" s="336">
        <f t="shared" si="3"/>
        <v>25</v>
      </c>
      <c r="AC47" s="246" t="s">
        <v>755</v>
      </c>
      <c r="AD47" s="242" t="s">
        <v>754</v>
      </c>
      <c r="AE47" s="312"/>
      <c r="AF47" s="247" t="s">
        <v>855</v>
      </c>
      <c r="AG47" s="247" t="s">
        <v>380</v>
      </c>
      <c r="AH47" s="312"/>
      <c r="AI47" s="247"/>
      <c r="AJ47" s="247"/>
      <c r="AK47" s="247"/>
      <c r="AM47" s="669"/>
      <c r="AN47" s="619"/>
      <c r="AO47" s="619"/>
      <c r="AP47" s="619"/>
      <c r="AQ47" s="619"/>
      <c r="AR47" s="619"/>
      <c r="AV47" s="312"/>
    </row>
    <row r="48" spans="1:48" s="252" customFormat="1" ht="27.6">
      <c r="A48" s="811"/>
      <c r="B48" s="248"/>
      <c r="C48" s="248" t="s">
        <v>882</v>
      </c>
      <c r="D48" s="312"/>
      <c r="E48" s="566" t="s">
        <v>1040</v>
      </c>
      <c r="F48" s="242" t="s">
        <v>1041</v>
      </c>
      <c r="G48" s="568">
        <v>1</v>
      </c>
      <c r="H48" s="568" t="s">
        <v>200</v>
      </c>
      <c r="I48" s="244" t="s">
        <v>381</v>
      </c>
      <c r="J48" s="312"/>
      <c r="K48" s="601" t="s">
        <v>134</v>
      </c>
      <c r="L48" s="580"/>
      <c r="M48" s="314"/>
      <c r="N48" s="697" t="s">
        <v>2066</v>
      </c>
      <c r="O48" s="314"/>
      <c r="P48" s="604" t="s">
        <v>134</v>
      </c>
      <c r="Q48" s="580" t="s">
        <v>134</v>
      </c>
      <c r="R48" s="606"/>
      <c r="S48" s="607" t="s">
        <v>134</v>
      </c>
      <c r="U48" s="242" t="str">
        <f t="shared" ref="U48:U56" si="18">IF(AC48&lt;&gt;"",
       "0x" &amp; Y48 &amp;" ~ 0x" &amp; Z48 &amp; " (" &amp; AA48 &amp;"~" &amp; AB48 &amp; AC48 &amp; ")","")&amp;IF(AD48&lt;&gt;"",IF(AC48&lt;&gt;"",CHAR(10)&amp;AD48,AD48),
       "")</f>
        <v>0x00 ~ 0xC8 (0~100%)
0xFF: Not equipped</v>
      </c>
      <c r="V48" s="312"/>
      <c r="W48" s="245">
        <v>0</v>
      </c>
      <c r="X48" s="246">
        <v>0.5</v>
      </c>
      <c r="Y48" s="318" t="s">
        <v>750</v>
      </c>
      <c r="Z48" s="319" t="s">
        <v>756</v>
      </c>
      <c r="AA48" s="334">
        <f t="shared" si="2"/>
        <v>0</v>
      </c>
      <c r="AB48" s="336">
        <f t="shared" si="3"/>
        <v>100</v>
      </c>
      <c r="AC48" s="246" t="s">
        <v>757</v>
      </c>
      <c r="AD48" s="242" t="s">
        <v>754</v>
      </c>
      <c r="AE48" s="312"/>
      <c r="AF48" s="247" t="s">
        <v>855</v>
      </c>
      <c r="AG48" s="247" t="s">
        <v>380</v>
      </c>
      <c r="AH48" s="312"/>
      <c r="AI48" s="247"/>
      <c r="AJ48" s="247"/>
      <c r="AK48" s="247"/>
      <c r="AM48" s="669"/>
      <c r="AN48" s="619"/>
      <c r="AO48" s="619"/>
      <c r="AP48" s="619"/>
      <c r="AQ48" s="619"/>
      <c r="AR48" s="619"/>
      <c r="AV48" s="312"/>
    </row>
    <row r="49" spans="1:49" s="252" customFormat="1" ht="27.6">
      <c r="A49" s="941" t="s">
        <v>2290</v>
      </c>
      <c r="B49" s="989" t="s">
        <v>134</v>
      </c>
      <c r="C49" s="989" t="s">
        <v>134</v>
      </c>
      <c r="D49" s="312"/>
      <c r="E49" s="990" t="s">
        <v>1042</v>
      </c>
      <c r="F49" s="991" t="s">
        <v>1631</v>
      </c>
      <c r="G49" s="992">
        <v>1</v>
      </c>
      <c r="H49" s="992" t="s">
        <v>200</v>
      </c>
      <c r="I49" s="993" t="s">
        <v>1655</v>
      </c>
      <c r="J49" s="312"/>
      <c r="K49" s="606" t="s">
        <v>134</v>
      </c>
      <c r="L49" s="994"/>
      <c r="M49" s="314"/>
      <c r="N49" s="995" t="s">
        <v>2066</v>
      </c>
      <c r="O49" s="314"/>
      <c r="P49" s="582" t="s">
        <v>134</v>
      </c>
      <c r="Q49" s="994" t="s">
        <v>134</v>
      </c>
      <c r="R49" s="606"/>
      <c r="S49" s="996"/>
      <c r="T49" s="941"/>
      <c r="U49" s="997" t="str">
        <f t="shared" si="18"/>
        <v>0x00 ~ 0xFA (0~250Hz)</v>
      </c>
      <c r="V49" s="312"/>
      <c r="W49" s="245">
        <v>0</v>
      </c>
      <c r="X49" s="246">
        <v>1</v>
      </c>
      <c r="Y49" s="318" t="s">
        <v>750</v>
      </c>
      <c r="Z49" s="319" t="s">
        <v>753</v>
      </c>
      <c r="AA49" s="334">
        <f t="shared" ref="AA49:AA56" si="19">HEX2DEC(Y49)*X49+W49</f>
        <v>0</v>
      </c>
      <c r="AB49" s="336">
        <f t="shared" si="3"/>
        <v>250</v>
      </c>
      <c r="AC49" s="246" t="s">
        <v>755</v>
      </c>
      <c r="AD49" s="242"/>
      <c r="AE49" s="312"/>
      <c r="AF49" s="247" t="s">
        <v>855</v>
      </c>
      <c r="AG49" s="247" t="s">
        <v>382</v>
      </c>
      <c r="AH49" s="312"/>
      <c r="AI49" s="998" t="s">
        <v>1233</v>
      </c>
      <c r="AJ49" s="998" t="s">
        <v>1397</v>
      </c>
      <c r="AK49" s="998" t="s">
        <v>1400</v>
      </c>
      <c r="AM49" s="999"/>
      <c r="AN49" s="999"/>
      <c r="AO49" s="999"/>
      <c r="AP49" s="999"/>
      <c r="AQ49" s="999"/>
      <c r="AR49" s="999"/>
      <c r="AT49" s="252" t="str">
        <f>AI49</f>
        <v>???</v>
      </c>
      <c r="AV49" s="312"/>
    </row>
    <row r="50" spans="1:49" s="252" customFormat="1" ht="26.4">
      <c r="A50" s="811" t="s">
        <v>2048</v>
      </c>
      <c r="B50" s="248" t="s">
        <v>134</v>
      </c>
      <c r="C50" s="248" t="s">
        <v>134</v>
      </c>
      <c r="D50" s="312"/>
      <c r="E50" s="566" t="s">
        <v>1043</v>
      </c>
      <c r="F50" s="242" t="s">
        <v>1632</v>
      </c>
      <c r="G50" s="568">
        <v>1</v>
      </c>
      <c r="H50" s="568" t="s">
        <v>200</v>
      </c>
      <c r="I50" s="244" t="s">
        <v>1656</v>
      </c>
      <c r="J50" s="312"/>
      <c r="K50" s="601" t="s">
        <v>134</v>
      </c>
      <c r="L50" s="580"/>
      <c r="M50" s="314"/>
      <c r="N50" s="907"/>
      <c r="O50" s="314"/>
      <c r="P50" s="604" t="s">
        <v>134</v>
      </c>
      <c r="Q50" s="580" t="s">
        <v>134</v>
      </c>
      <c r="R50" s="606"/>
      <c r="S50" s="607" t="s">
        <v>134</v>
      </c>
      <c r="T50" s="951"/>
      <c r="U50" s="242" t="str">
        <f t="shared" si="18"/>
        <v>0x00 ~ 0xC8 (0~100%)</v>
      </c>
      <c r="V50" s="312"/>
      <c r="W50" s="245">
        <v>0</v>
      </c>
      <c r="X50" s="246">
        <v>0.5</v>
      </c>
      <c r="Y50" s="318" t="s">
        <v>750</v>
      </c>
      <c r="Z50" s="319" t="s">
        <v>756</v>
      </c>
      <c r="AA50" s="334">
        <f t="shared" si="19"/>
        <v>0</v>
      </c>
      <c r="AB50" s="336">
        <f t="shared" si="3"/>
        <v>100</v>
      </c>
      <c r="AC50" s="246" t="s">
        <v>757</v>
      </c>
      <c r="AD50" s="242"/>
      <c r="AE50" s="312"/>
      <c r="AF50" s="247" t="s">
        <v>855</v>
      </c>
      <c r="AG50" s="247" t="s">
        <v>382</v>
      </c>
      <c r="AH50" s="977"/>
      <c r="AI50" s="619" t="s">
        <v>1399</v>
      </c>
      <c r="AJ50" s="619" t="s">
        <v>1397</v>
      </c>
      <c r="AK50" s="619" t="s">
        <v>1400</v>
      </c>
      <c r="AM50" s="665"/>
      <c r="AN50" s="635"/>
      <c r="AO50" s="635"/>
      <c r="AP50" s="635"/>
      <c r="AQ50" s="635"/>
      <c r="AR50" s="635"/>
      <c r="AT50" s="252" t="str">
        <f>AI50</f>
        <v>Fan1_O_S_ATS</v>
      </c>
      <c r="AV50" s="977">
        <v>0</v>
      </c>
      <c r="AW50" s="252">
        <v>100</v>
      </c>
    </row>
    <row r="51" spans="1:49" s="252" customFormat="1" ht="27.6">
      <c r="A51" s="811"/>
      <c r="B51" s="248"/>
      <c r="C51" s="248" t="s">
        <v>134</v>
      </c>
      <c r="D51" s="312"/>
      <c r="E51" s="566" t="s">
        <v>1044</v>
      </c>
      <c r="F51" s="242" t="s">
        <v>1045</v>
      </c>
      <c r="G51" s="568">
        <v>1</v>
      </c>
      <c r="H51" s="568" t="s">
        <v>200</v>
      </c>
      <c r="I51" s="244" t="s">
        <v>383</v>
      </c>
      <c r="J51" s="312"/>
      <c r="K51" s="601" t="s">
        <v>134</v>
      </c>
      <c r="L51" s="580"/>
      <c r="M51" s="314"/>
      <c r="N51" s="697" t="s">
        <v>2066</v>
      </c>
      <c r="O51" s="314"/>
      <c r="P51" s="604" t="s">
        <v>134</v>
      </c>
      <c r="Q51" s="580" t="s">
        <v>134</v>
      </c>
      <c r="R51" s="606"/>
      <c r="S51" s="607" t="s">
        <v>134</v>
      </c>
      <c r="U51" s="242" t="str">
        <f t="shared" si="18"/>
        <v>0x00 ~ 0xFA (0~250Hz)</v>
      </c>
      <c r="V51" s="312"/>
      <c r="W51" s="245">
        <v>0</v>
      </c>
      <c r="X51" s="246">
        <v>1</v>
      </c>
      <c r="Y51" s="318" t="s">
        <v>750</v>
      </c>
      <c r="Z51" s="319" t="s">
        <v>753</v>
      </c>
      <c r="AA51" s="334">
        <f t="shared" si="19"/>
        <v>0</v>
      </c>
      <c r="AB51" s="336">
        <f t="shared" si="3"/>
        <v>250</v>
      </c>
      <c r="AC51" s="246" t="s">
        <v>755</v>
      </c>
      <c r="AD51" s="242"/>
      <c r="AE51" s="312"/>
      <c r="AF51" s="247" t="s">
        <v>855</v>
      </c>
      <c r="AG51" s="247" t="s">
        <v>384</v>
      </c>
      <c r="AH51" s="312"/>
      <c r="AI51" s="247"/>
      <c r="AJ51" s="247"/>
      <c r="AK51" s="247"/>
      <c r="AM51" s="669"/>
      <c r="AN51" s="619"/>
      <c r="AO51" s="619"/>
      <c r="AP51" s="619"/>
      <c r="AQ51" s="619"/>
      <c r="AR51" s="619"/>
      <c r="AV51" s="312"/>
    </row>
    <row r="52" spans="1:49" s="252" customFormat="1" ht="27.6">
      <c r="A52" s="811"/>
      <c r="B52" s="248"/>
      <c r="C52" s="248" t="s">
        <v>134</v>
      </c>
      <c r="D52" s="312"/>
      <c r="E52" s="566" t="s">
        <v>1046</v>
      </c>
      <c r="F52" s="242" t="s">
        <v>1047</v>
      </c>
      <c r="G52" s="568">
        <v>1</v>
      </c>
      <c r="H52" s="568" t="s">
        <v>200</v>
      </c>
      <c r="I52" s="244" t="s">
        <v>385</v>
      </c>
      <c r="J52" s="312"/>
      <c r="K52" s="601" t="s">
        <v>134</v>
      </c>
      <c r="L52" s="580"/>
      <c r="M52" s="314"/>
      <c r="N52" s="697" t="s">
        <v>2066</v>
      </c>
      <c r="O52" s="314"/>
      <c r="P52" s="604" t="s">
        <v>134</v>
      </c>
      <c r="Q52" s="580" t="s">
        <v>134</v>
      </c>
      <c r="R52" s="606"/>
      <c r="S52" s="607" t="s">
        <v>134</v>
      </c>
      <c r="U52" s="242" t="str">
        <f t="shared" si="18"/>
        <v>0x00 ~ 0xC8 (0~100%)</v>
      </c>
      <c r="V52" s="312"/>
      <c r="W52" s="245">
        <v>0</v>
      </c>
      <c r="X52" s="246">
        <v>0.5</v>
      </c>
      <c r="Y52" s="318" t="s">
        <v>750</v>
      </c>
      <c r="Z52" s="319" t="s">
        <v>756</v>
      </c>
      <c r="AA52" s="334">
        <f t="shared" si="19"/>
        <v>0</v>
      </c>
      <c r="AB52" s="336">
        <f t="shared" si="3"/>
        <v>100</v>
      </c>
      <c r="AC52" s="246" t="s">
        <v>757</v>
      </c>
      <c r="AD52" s="242"/>
      <c r="AE52" s="312"/>
      <c r="AF52" s="247" t="s">
        <v>855</v>
      </c>
      <c r="AG52" s="247" t="s">
        <v>384</v>
      </c>
      <c r="AH52" s="312"/>
      <c r="AI52" s="247"/>
      <c r="AJ52" s="247"/>
      <c r="AK52" s="247"/>
      <c r="AM52" s="669"/>
      <c r="AN52" s="619"/>
      <c r="AO52" s="619"/>
      <c r="AP52" s="619"/>
      <c r="AQ52" s="619"/>
      <c r="AR52" s="619"/>
      <c r="AV52" s="312"/>
    </row>
    <row r="53" spans="1:49" s="252" customFormat="1" ht="27.6">
      <c r="A53" s="811"/>
      <c r="B53" s="248"/>
      <c r="C53" s="248" t="s">
        <v>134</v>
      </c>
      <c r="D53" s="312"/>
      <c r="E53" s="566" t="s">
        <v>1048</v>
      </c>
      <c r="F53" s="242" t="s">
        <v>1049</v>
      </c>
      <c r="G53" s="568">
        <v>1</v>
      </c>
      <c r="H53" s="568" t="s">
        <v>200</v>
      </c>
      <c r="I53" s="244" t="s">
        <v>386</v>
      </c>
      <c r="J53" s="312"/>
      <c r="K53" s="601" t="s">
        <v>134</v>
      </c>
      <c r="L53" s="580"/>
      <c r="M53" s="314"/>
      <c r="N53" s="697" t="s">
        <v>2066</v>
      </c>
      <c r="O53" s="314"/>
      <c r="P53" s="604" t="s">
        <v>134</v>
      </c>
      <c r="Q53" s="580" t="s">
        <v>134</v>
      </c>
      <c r="R53" s="606"/>
      <c r="S53" s="607" t="s">
        <v>134</v>
      </c>
      <c r="U53" s="242" t="str">
        <f t="shared" si="18"/>
        <v>0x00 ~ 0xFA (0~250Hz)</v>
      </c>
      <c r="V53" s="312"/>
      <c r="W53" s="245">
        <v>0</v>
      </c>
      <c r="X53" s="246">
        <v>1</v>
      </c>
      <c r="Y53" s="318" t="s">
        <v>750</v>
      </c>
      <c r="Z53" s="319" t="s">
        <v>753</v>
      </c>
      <c r="AA53" s="334">
        <f t="shared" si="19"/>
        <v>0</v>
      </c>
      <c r="AB53" s="336">
        <f t="shared" ref="AB53:AB56" si="20">HEX2DEC(Z53)*X53+W53</f>
        <v>250</v>
      </c>
      <c r="AC53" s="246" t="s">
        <v>755</v>
      </c>
      <c r="AD53" s="242"/>
      <c r="AE53" s="312"/>
      <c r="AF53" s="247" t="s">
        <v>855</v>
      </c>
      <c r="AG53" s="247" t="s">
        <v>387</v>
      </c>
      <c r="AH53" s="312"/>
      <c r="AI53" s="247"/>
      <c r="AJ53" s="247"/>
      <c r="AK53" s="247"/>
      <c r="AM53" s="669"/>
      <c r="AN53" s="619"/>
      <c r="AO53" s="619"/>
      <c r="AP53" s="619"/>
      <c r="AQ53" s="619"/>
      <c r="AR53" s="619"/>
      <c r="AV53" s="312"/>
    </row>
    <row r="54" spans="1:49" s="252" customFormat="1" ht="27.6">
      <c r="A54" s="811"/>
      <c r="B54" s="248"/>
      <c r="C54" s="248" t="s">
        <v>134</v>
      </c>
      <c r="D54" s="312"/>
      <c r="E54" s="566" t="s">
        <v>1050</v>
      </c>
      <c r="F54" s="242" t="s">
        <v>1051</v>
      </c>
      <c r="G54" s="568">
        <v>1</v>
      </c>
      <c r="H54" s="568" t="s">
        <v>200</v>
      </c>
      <c r="I54" s="244" t="s">
        <v>388</v>
      </c>
      <c r="J54" s="312"/>
      <c r="K54" s="601" t="s">
        <v>134</v>
      </c>
      <c r="L54" s="580"/>
      <c r="M54" s="314"/>
      <c r="N54" s="697" t="s">
        <v>2066</v>
      </c>
      <c r="O54" s="314"/>
      <c r="P54" s="604" t="s">
        <v>134</v>
      </c>
      <c r="Q54" s="580" t="s">
        <v>134</v>
      </c>
      <c r="R54" s="606"/>
      <c r="S54" s="607" t="s">
        <v>134</v>
      </c>
      <c r="U54" s="242" t="str">
        <f t="shared" si="18"/>
        <v>0x00 ~ 0xC8 (0~100%)</v>
      </c>
      <c r="V54" s="312"/>
      <c r="W54" s="245">
        <v>0</v>
      </c>
      <c r="X54" s="246">
        <v>0.5</v>
      </c>
      <c r="Y54" s="318" t="s">
        <v>750</v>
      </c>
      <c r="Z54" s="319" t="s">
        <v>756</v>
      </c>
      <c r="AA54" s="334">
        <f t="shared" si="19"/>
        <v>0</v>
      </c>
      <c r="AB54" s="336">
        <f t="shared" si="20"/>
        <v>100</v>
      </c>
      <c r="AC54" s="246" t="s">
        <v>757</v>
      </c>
      <c r="AD54" s="242"/>
      <c r="AE54" s="312"/>
      <c r="AF54" s="247" t="s">
        <v>855</v>
      </c>
      <c r="AG54" s="247" t="s">
        <v>387</v>
      </c>
      <c r="AH54" s="312"/>
      <c r="AI54" s="247"/>
      <c r="AJ54" s="247"/>
      <c r="AK54" s="247"/>
      <c r="AM54" s="669"/>
      <c r="AN54" s="619"/>
      <c r="AO54" s="619"/>
      <c r="AP54" s="619"/>
      <c r="AQ54" s="619"/>
      <c r="AR54" s="619"/>
      <c r="AV54" s="312"/>
    </row>
    <row r="55" spans="1:49" s="252" customFormat="1" ht="27.6">
      <c r="A55" s="811"/>
      <c r="B55" s="248"/>
      <c r="C55" s="248" t="s">
        <v>882</v>
      </c>
      <c r="D55" s="312"/>
      <c r="E55" s="566" t="s">
        <v>1052</v>
      </c>
      <c r="F55" s="242" t="s">
        <v>1053</v>
      </c>
      <c r="G55" s="568">
        <v>1</v>
      </c>
      <c r="H55" s="568" t="s">
        <v>200</v>
      </c>
      <c r="I55" s="244" t="s">
        <v>389</v>
      </c>
      <c r="J55" s="312"/>
      <c r="K55" s="601" t="s">
        <v>134</v>
      </c>
      <c r="L55" s="580"/>
      <c r="M55" s="314"/>
      <c r="N55" s="697" t="s">
        <v>2066</v>
      </c>
      <c r="O55" s="314"/>
      <c r="P55" s="604" t="s">
        <v>134</v>
      </c>
      <c r="Q55" s="580" t="s">
        <v>134</v>
      </c>
      <c r="R55" s="606"/>
      <c r="S55" s="607" t="s">
        <v>134</v>
      </c>
      <c r="U55" s="242" t="str">
        <f>IF(AC55&lt;&gt;"",
       "0x" &amp; Y55 &amp;" ~ 0x" &amp; Z55 &amp; " (" &amp; AA55 &amp;"~" &amp; AB55 &amp; AC55 &amp; ")","")&amp;IF(AD55&lt;&gt;"",IF(AC55&lt;&gt;"",CHAR(10)&amp;AD55,AD55),
       "")</f>
        <v>0x00 ~ 0xFA (0~250Hz)
0xFF (?): Not equipped</v>
      </c>
      <c r="V55" s="312"/>
      <c r="W55" s="245">
        <v>0</v>
      </c>
      <c r="X55" s="246">
        <v>1</v>
      </c>
      <c r="Y55" s="318" t="s">
        <v>750</v>
      </c>
      <c r="Z55" s="319" t="s">
        <v>753</v>
      </c>
      <c r="AA55" s="334">
        <f t="shared" si="19"/>
        <v>0</v>
      </c>
      <c r="AB55" s="336">
        <f t="shared" si="20"/>
        <v>250</v>
      </c>
      <c r="AC55" s="246" t="s">
        <v>755</v>
      </c>
      <c r="AD55" s="688" t="s">
        <v>1702</v>
      </c>
      <c r="AE55" s="312"/>
      <c r="AF55" s="247" t="s">
        <v>855</v>
      </c>
      <c r="AG55" s="247" t="s">
        <v>390</v>
      </c>
      <c r="AH55" s="312"/>
      <c r="AI55" s="247"/>
      <c r="AJ55" s="247"/>
      <c r="AK55" s="247"/>
      <c r="AM55" s="669"/>
      <c r="AN55" s="619"/>
      <c r="AO55" s="619"/>
      <c r="AP55" s="619"/>
      <c r="AQ55" s="619"/>
      <c r="AR55" s="619"/>
      <c r="AV55" s="312"/>
    </row>
    <row r="56" spans="1:49" s="252" customFormat="1" ht="27.6">
      <c r="A56" s="812"/>
      <c r="B56" s="248"/>
      <c r="C56" s="248" t="s">
        <v>882</v>
      </c>
      <c r="D56" s="312"/>
      <c r="E56" s="566" t="s">
        <v>1054</v>
      </c>
      <c r="F56" s="242" t="s">
        <v>1055</v>
      </c>
      <c r="G56" s="568">
        <v>1</v>
      </c>
      <c r="H56" s="568" t="s">
        <v>200</v>
      </c>
      <c r="I56" s="244" t="s">
        <v>391</v>
      </c>
      <c r="J56" s="312"/>
      <c r="K56" s="601" t="s">
        <v>134</v>
      </c>
      <c r="L56" s="580"/>
      <c r="M56" s="314"/>
      <c r="N56" s="697" t="s">
        <v>2066</v>
      </c>
      <c r="O56" s="314"/>
      <c r="P56" s="604" t="s">
        <v>134</v>
      </c>
      <c r="Q56" s="580" t="s">
        <v>134</v>
      </c>
      <c r="R56" s="606"/>
      <c r="S56" s="607" t="s">
        <v>134</v>
      </c>
      <c r="U56" s="242" t="str">
        <f t="shared" si="18"/>
        <v>0x00 ~ 0xC8 (0~100%)
0xFF (?): Not equipped</v>
      </c>
      <c r="V56" s="312"/>
      <c r="W56" s="245">
        <v>0</v>
      </c>
      <c r="X56" s="246">
        <v>0.5</v>
      </c>
      <c r="Y56" s="318" t="s">
        <v>750</v>
      </c>
      <c r="Z56" s="319" t="s">
        <v>756</v>
      </c>
      <c r="AA56" s="334">
        <f t="shared" si="19"/>
        <v>0</v>
      </c>
      <c r="AB56" s="336">
        <f t="shared" si="20"/>
        <v>100</v>
      </c>
      <c r="AC56" s="246" t="s">
        <v>757</v>
      </c>
      <c r="AD56" s="688" t="s">
        <v>1702</v>
      </c>
      <c r="AE56" s="312"/>
      <c r="AF56" s="247" t="s">
        <v>855</v>
      </c>
      <c r="AG56" s="247" t="s">
        <v>390</v>
      </c>
      <c r="AH56" s="312"/>
      <c r="AI56" s="247"/>
      <c r="AJ56" s="247"/>
      <c r="AK56" s="247"/>
      <c r="AM56" s="669"/>
      <c r="AN56" s="619"/>
      <c r="AO56" s="619"/>
      <c r="AP56" s="619"/>
      <c r="AQ56" s="619"/>
      <c r="AR56" s="619"/>
      <c r="AV56" s="312"/>
    </row>
    <row r="57" spans="1:49">
      <c r="A57" s="813" t="s">
        <v>2052</v>
      </c>
      <c r="B57" s="456" t="s">
        <v>1222</v>
      </c>
      <c r="C57" s="456" t="s">
        <v>1222</v>
      </c>
      <c r="E57" s="265" t="s">
        <v>1207</v>
      </c>
      <c r="F57" s="264" t="s">
        <v>1214</v>
      </c>
      <c r="G57" s="456" t="s">
        <v>1616</v>
      </c>
      <c r="H57" s="456" t="s">
        <v>1616</v>
      </c>
      <c r="I57" s="456" t="s">
        <v>1616</v>
      </c>
      <c r="J57" s="313"/>
      <c r="K57" s="560" t="s">
        <v>1616</v>
      </c>
      <c r="L57" s="560" t="s">
        <v>1616</v>
      </c>
      <c r="M57" s="176"/>
      <c r="N57" s="561" t="s">
        <v>1616</v>
      </c>
      <c r="O57" s="176"/>
      <c r="P57" s="562" t="s">
        <v>1616</v>
      </c>
      <c r="Q57" s="562" t="s">
        <v>1616</v>
      </c>
      <c r="R57" s="563" t="s">
        <v>1616</v>
      </c>
      <c r="S57" s="562" t="s">
        <v>1616</v>
      </c>
      <c r="T57" s="943"/>
      <c r="U57" s="456" t="s">
        <v>1616</v>
      </c>
      <c r="W57" s="627" t="s">
        <v>1616</v>
      </c>
      <c r="X57" s="627" t="s">
        <v>1616</v>
      </c>
      <c r="Y57" s="627" t="s">
        <v>1616</v>
      </c>
      <c r="Z57" s="627" t="s">
        <v>1616</v>
      </c>
      <c r="AA57" s="627" t="s">
        <v>1616</v>
      </c>
      <c r="AB57" s="627" t="s">
        <v>1616</v>
      </c>
      <c r="AC57" s="627" t="s">
        <v>1616</v>
      </c>
      <c r="AD57" s="627" t="s">
        <v>1616</v>
      </c>
      <c r="AF57" s="456" t="s">
        <v>1616</v>
      </c>
      <c r="AG57" s="456" t="s">
        <v>1616</v>
      </c>
      <c r="AI57" s="456" t="s">
        <v>1616</v>
      </c>
      <c r="AJ57" s="456" t="s">
        <v>1616</v>
      </c>
      <c r="AK57" s="456" t="s">
        <v>1616</v>
      </c>
      <c r="AM57" s="674"/>
      <c r="AN57" s="674"/>
      <c r="AO57" s="674"/>
      <c r="AP57" s="674"/>
      <c r="AQ57" s="674"/>
      <c r="AR57" s="674"/>
      <c r="AT57" s="252" t="str">
        <f>AI57</f>
        <v>---</v>
      </c>
      <c r="AV57" s="311"/>
    </row>
    <row r="58" spans="1:49">
      <c r="AV58" s="311"/>
    </row>
    <row r="63" spans="1:49">
      <c r="F63" s="485"/>
    </row>
    <row r="64" spans="1:49">
      <c r="F64" s="485"/>
    </row>
  </sheetData>
  <autoFilter ref="A6:AR57" xr:uid="{9CA0DBB9-9CAC-47E2-BBBE-EBC2570C9970}"/>
  <mergeCells count="32">
    <mergeCell ref="AM4:AO4"/>
    <mergeCell ref="AP4:AR4"/>
    <mergeCell ref="AN5:AO5"/>
    <mergeCell ref="AQ5:AR5"/>
    <mergeCell ref="B5:C5"/>
    <mergeCell ref="Y5:Z5"/>
    <mergeCell ref="AA5:AB5"/>
    <mergeCell ref="AF5:AG5"/>
    <mergeCell ref="AI5:AK5"/>
    <mergeCell ref="K2:L2"/>
    <mergeCell ref="N2:N5"/>
    <mergeCell ref="P2:S2"/>
    <mergeCell ref="K3:L3"/>
    <mergeCell ref="P3:Q3"/>
    <mergeCell ref="R3:S3"/>
    <mergeCell ref="P4:Q4"/>
    <mergeCell ref="R4:S4"/>
    <mergeCell ref="E28:E29"/>
    <mergeCell ref="F28:F29"/>
    <mergeCell ref="G28:G29"/>
    <mergeCell ref="E23:E24"/>
    <mergeCell ref="F23:F24"/>
    <mergeCell ref="G23:G24"/>
    <mergeCell ref="E26:E27"/>
    <mergeCell ref="F26:F27"/>
    <mergeCell ref="G26:G27"/>
    <mergeCell ref="E13:E14"/>
    <mergeCell ref="F13:F14"/>
    <mergeCell ref="G13:G14"/>
    <mergeCell ref="E18:E21"/>
    <mergeCell ref="F18:F21"/>
    <mergeCell ref="G18:G21"/>
  </mergeCells>
  <phoneticPr fontId="13"/>
  <conditionalFormatting sqref="AI31:AK56 AI7:AK29">
    <cfRule type="cellIs" dxfId="6" priority="6" operator="equal">
      <formula>""</formula>
    </cfRule>
  </conditionalFormatting>
  <conditionalFormatting sqref="AI30:AK30">
    <cfRule type="cellIs" dxfId="5" priority="3" operator="equal">
      <formula>""</formula>
    </cfRule>
  </conditionalFormatting>
  <conditionalFormatting sqref="AI57:AK57">
    <cfRule type="cellIs" dxfId="4" priority="2" operator="equal">
      <formula>""</formula>
    </cfRule>
  </conditionalFormatting>
  <conditionalFormatting sqref="W7:AD57">
    <cfRule type="cellIs" dxfId="3" priority="1" operator="equal">
      <formula>0</formula>
    </cfRule>
  </conditionalFormatting>
  <dataValidations count="2">
    <dataValidation type="list" allowBlank="1" showInputMessage="1" sqref="B31:D56 B8:D29" xr:uid="{02B6BB8B-87C0-443F-9A94-07BE7CDFE462}">
      <formula1>"○,×,JPN,US/EU,No2"</formula1>
    </dataValidation>
    <dataValidation allowBlank="1" showDropDown="1" showInputMessage="1" showErrorMessage="1" sqref="AF31:AG56 AI32:AK56 AM8:AR29 AF8:AG29 AI8:AK29 AM32:AR56" xr:uid="{3CF3FD3E-C6EC-4963-B938-EEE3639220C9}"/>
  </dataValidations>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8">
    <outlinePr summaryBelow="0" summaryRight="0"/>
  </sheetPr>
  <dimension ref="A1:AD176"/>
  <sheetViews>
    <sheetView showGridLines="0" zoomScale="70" zoomScaleNormal="70" workbookViewId="0">
      <pane xSplit="28" ySplit="3" topLeftCell="AD19" activePane="bottomRight" state="frozen"/>
      <selection pane="topRight"/>
      <selection pane="bottomLeft"/>
      <selection pane="bottomRight" activeCell="AD49" sqref="AD49:AD69"/>
    </sheetView>
  </sheetViews>
  <sheetFormatPr defaultColWidth="8.25" defaultRowHeight="13.2" outlineLevelRow="1" outlineLevelCol="1"/>
  <cols>
    <col min="1" max="2" width="2.75" style="117" customWidth="1"/>
    <col min="3" max="3" width="3.25" style="117" customWidth="1"/>
    <col min="4" max="4" width="3.25" style="160" customWidth="1" outlineLevel="1"/>
    <col min="5" max="5" width="9.375" style="117" bestFit="1" customWidth="1" outlineLevel="1"/>
    <col min="6" max="6" width="10" style="117" bestFit="1" customWidth="1" outlineLevel="1"/>
    <col min="7" max="14" width="11.25" style="117" customWidth="1" outlineLevel="1"/>
    <col min="15" max="15" width="2.75" style="117" customWidth="1" outlineLevel="1"/>
    <col min="16" max="16" width="2.75" style="99" customWidth="1"/>
    <col min="17" max="17" width="2.75" style="99" customWidth="1" outlineLevel="1"/>
    <col min="18" max="18" width="9.375" style="117" customWidth="1" outlineLevel="1"/>
    <col min="19" max="19" width="10" style="117" customWidth="1" outlineLevel="1"/>
    <col min="20" max="27" width="11.25" style="117" customWidth="1" outlineLevel="1"/>
    <col min="28" max="28" width="2.75" style="117" customWidth="1"/>
    <col min="29" max="29" width="35.375" style="161" bestFit="1" customWidth="1"/>
    <col min="30" max="30" width="118.625" style="741" customWidth="1"/>
    <col min="31" max="16384" width="8.25" style="117"/>
  </cols>
  <sheetData>
    <row r="1" spans="1:30" ht="22.2">
      <c r="A1" s="100" t="s">
        <v>1927</v>
      </c>
      <c r="B1" s="160"/>
      <c r="AC1" s="161" t="s">
        <v>2368</v>
      </c>
    </row>
    <row r="2" spans="1:30">
      <c r="K2" s="1750" t="s">
        <v>175</v>
      </c>
      <c r="L2" s="1751"/>
      <c r="M2" s="1751"/>
      <c r="N2" s="1751"/>
      <c r="O2" s="99"/>
      <c r="R2" s="794"/>
      <c r="X2" s="795"/>
      <c r="Y2" s="777"/>
      <c r="Z2" s="777"/>
      <c r="AA2" s="777"/>
      <c r="AB2" s="773"/>
      <c r="AC2" s="805"/>
      <c r="AD2" s="798"/>
    </row>
    <row r="3" spans="1:30">
      <c r="K3" s="1750" t="s">
        <v>176</v>
      </c>
      <c r="L3" s="1751"/>
      <c r="M3" s="1751"/>
      <c r="N3" s="1751"/>
      <c r="O3" s="772"/>
      <c r="P3" s="772"/>
      <c r="Q3" s="772"/>
      <c r="R3" s="795" t="s">
        <v>2036</v>
      </c>
      <c r="X3" s="796" t="s">
        <v>2038</v>
      </c>
      <c r="Y3" s="777"/>
      <c r="Z3" s="777"/>
      <c r="AA3" s="777"/>
      <c r="AB3" s="772"/>
      <c r="AC3" s="799" t="s">
        <v>172</v>
      </c>
      <c r="AD3" s="799" t="s">
        <v>173</v>
      </c>
    </row>
    <row r="4" spans="1:30" s="162" customFormat="1">
      <c r="B4" s="163" t="s">
        <v>1570</v>
      </c>
      <c r="C4" s="163"/>
      <c r="D4" s="163"/>
      <c r="K4" s="792"/>
      <c r="L4" s="742"/>
      <c r="M4" s="742"/>
      <c r="N4" s="742"/>
      <c r="O4" s="742"/>
      <c r="P4" s="742"/>
      <c r="Q4" s="742"/>
      <c r="R4" s="792"/>
      <c r="X4" s="790"/>
      <c r="Y4" s="742"/>
      <c r="Z4" s="742"/>
      <c r="AA4" s="742"/>
      <c r="AB4" s="742"/>
      <c r="AC4" s="806"/>
      <c r="AD4" s="800"/>
    </row>
    <row r="5" spans="1:30" s="162" customFormat="1">
      <c r="B5" s="163" t="s">
        <v>1845</v>
      </c>
      <c r="C5" s="163"/>
      <c r="D5" s="163"/>
      <c r="K5" s="1748"/>
      <c r="L5" s="1749"/>
      <c r="M5" s="1749"/>
      <c r="N5" s="1749"/>
      <c r="O5" s="742"/>
      <c r="P5" s="742"/>
      <c r="Q5" s="742"/>
      <c r="R5" s="792"/>
      <c r="X5" s="790"/>
      <c r="Y5" s="778"/>
      <c r="Z5" s="778"/>
      <c r="AA5" s="778"/>
      <c r="AB5" s="785"/>
      <c r="AC5" s="806"/>
      <c r="AD5" s="800"/>
    </row>
    <row r="6" spans="1:30" s="162" customFormat="1">
      <c r="B6" s="163" t="s">
        <v>1846</v>
      </c>
      <c r="C6" s="163"/>
      <c r="D6" s="163"/>
      <c r="K6" s="1748"/>
      <c r="L6" s="1749"/>
      <c r="M6" s="1749"/>
      <c r="N6" s="1749"/>
      <c r="O6" s="742"/>
      <c r="P6" s="742"/>
      <c r="Q6" s="742"/>
      <c r="R6" s="792"/>
      <c r="X6" s="790"/>
      <c r="Y6" s="778"/>
      <c r="Z6" s="778"/>
      <c r="AA6" s="778"/>
      <c r="AB6" s="785"/>
      <c r="AC6" s="806"/>
      <c r="AD6" s="800"/>
    </row>
    <row r="7" spans="1:30" s="162" customFormat="1">
      <c r="B7" s="163" t="s">
        <v>1855</v>
      </c>
      <c r="C7" s="163"/>
      <c r="D7" s="163"/>
      <c r="K7" s="1748"/>
      <c r="L7" s="1749"/>
      <c r="M7" s="1749"/>
      <c r="N7" s="1749"/>
      <c r="O7" s="742"/>
      <c r="P7" s="742"/>
      <c r="Q7" s="742"/>
      <c r="R7" s="792"/>
      <c r="X7" s="790"/>
      <c r="Y7" s="778"/>
      <c r="Z7" s="778"/>
      <c r="AA7" s="778"/>
      <c r="AB7" s="785"/>
      <c r="AC7" s="806"/>
      <c r="AD7" s="800"/>
    </row>
    <row r="8" spans="1:30" s="162" customFormat="1">
      <c r="B8" s="163" t="s">
        <v>1849</v>
      </c>
      <c r="C8" s="163"/>
      <c r="D8" s="163"/>
      <c r="K8" s="1748"/>
      <c r="L8" s="1749"/>
      <c r="M8" s="1749"/>
      <c r="N8" s="1749"/>
      <c r="O8" s="742"/>
      <c r="P8" s="742"/>
      <c r="Q8" s="742"/>
      <c r="R8" s="792"/>
      <c r="X8" s="790"/>
      <c r="Y8" s="778"/>
      <c r="Z8" s="778"/>
      <c r="AA8" s="778"/>
      <c r="AB8" s="785"/>
      <c r="AC8" s="806"/>
      <c r="AD8" s="800"/>
    </row>
    <row r="9" spans="1:30" s="162" customFormat="1">
      <c r="B9" s="163" t="s">
        <v>1851</v>
      </c>
      <c r="C9" s="163"/>
      <c r="D9" s="163"/>
      <c r="K9" s="1748"/>
      <c r="L9" s="1749"/>
      <c r="M9" s="1749"/>
      <c r="N9" s="1749"/>
      <c r="O9" s="742"/>
      <c r="P9" s="742"/>
      <c r="Q9" s="742"/>
      <c r="R9" s="792"/>
      <c r="X9" s="790"/>
      <c r="Y9" s="778"/>
      <c r="Z9" s="778"/>
      <c r="AA9" s="778"/>
      <c r="AB9" s="785"/>
      <c r="AC9" s="806"/>
      <c r="AD9" s="800"/>
    </row>
    <row r="10" spans="1:30" s="162" customFormat="1">
      <c r="B10" s="163" t="s">
        <v>1853</v>
      </c>
      <c r="C10" s="163"/>
      <c r="D10" s="163"/>
      <c r="K10" s="790"/>
      <c r="L10" s="771"/>
      <c r="M10" s="771"/>
      <c r="N10" s="771"/>
      <c r="O10" s="742"/>
      <c r="P10" s="742"/>
      <c r="Q10" s="742"/>
      <c r="R10" s="792"/>
      <c r="X10" s="797"/>
      <c r="Y10" s="771"/>
      <c r="Z10" s="771"/>
      <c r="AA10" s="771"/>
      <c r="AB10" s="785"/>
      <c r="AC10" s="806"/>
      <c r="AD10" s="800"/>
    </row>
    <row r="11" spans="1:30" outlineLevel="1">
      <c r="X11" s="784"/>
      <c r="AB11" s="99"/>
      <c r="AC11" s="801"/>
      <c r="AD11" s="801"/>
    </row>
    <row r="12" spans="1:30" outlineLevel="1">
      <c r="C12" s="117" t="s">
        <v>1854</v>
      </c>
      <c r="X12" s="784"/>
      <c r="AB12" s="99"/>
      <c r="AC12" s="801"/>
      <c r="AD12" s="801"/>
    </row>
    <row r="13" spans="1:30" outlineLevel="1">
      <c r="X13" s="784"/>
      <c r="AB13" s="99"/>
      <c r="AC13" s="801"/>
      <c r="AD13" s="801"/>
    </row>
    <row r="14" spans="1:30" s="162" customFormat="1">
      <c r="B14" s="163" t="s">
        <v>1560</v>
      </c>
      <c r="C14" s="163"/>
      <c r="D14" s="163"/>
      <c r="K14" s="790" t="s">
        <v>1835</v>
      </c>
      <c r="L14" s="778"/>
      <c r="M14" s="778"/>
      <c r="N14" s="778"/>
      <c r="O14" s="771"/>
      <c r="P14" s="771"/>
      <c r="Q14" s="771"/>
      <c r="R14" s="790" t="s">
        <v>1827</v>
      </c>
      <c r="X14" s="790"/>
      <c r="Y14" s="778"/>
      <c r="Z14" s="778"/>
      <c r="AA14" s="742"/>
      <c r="AB14" s="742"/>
      <c r="AC14" s="806"/>
      <c r="AD14" s="800"/>
    </row>
    <row r="15" spans="1:30" s="162" customFormat="1">
      <c r="B15" s="163" t="s">
        <v>1568</v>
      </c>
      <c r="C15" s="163"/>
      <c r="D15" s="163"/>
      <c r="K15" s="790" t="s">
        <v>2040</v>
      </c>
      <c r="L15" s="778"/>
      <c r="M15" s="778"/>
      <c r="N15" s="778"/>
      <c r="O15" s="771"/>
      <c r="P15" s="771"/>
      <c r="Q15" s="771"/>
      <c r="R15" s="790" t="s">
        <v>1828</v>
      </c>
      <c r="X15" s="790"/>
      <c r="Y15" s="778"/>
      <c r="Z15" s="778"/>
      <c r="AA15" s="778"/>
      <c r="AB15" s="785"/>
      <c r="AC15" s="806"/>
      <c r="AD15" s="800"/>
    </row>
    <row r="16" spans="1:30" s="162" customFormat="1">
      <c r="B16" s="163" t="s">
        <v>1572</v>
      </c>
      <c r="C16" s="163"/>
      <c r="D16" s="163"/>
      <c r="K16" s="790" t="s">
        <v>1836</v>
      </c>
      <c r="L16" s="778"/>
      <c r="M16" s="778"/>
      <c r="N16" s="778"/>
      <c r="O16" s="771"/>
      <c r="P16" s="771"/>
      <c r="Q16" s="771"/>
      <c r="R16" s="790" t="s">
        <v>1829</v>
      </c>
      <c r="X16" s="790"/>
      <c r="Y16" s="778"/>
      <c r="Z16" s="778"/>
      <c r="AA16" s="778"/>
      <c r="AB16" s="785"/>
      <c r="AC16" s="806"/>
      <c r="AD16" s="800"/>
    </row>
    <row r="17" spans="2:30" s="162" customFormat="1">
      <c r="B17" s="163" t="s">
        <v>1574</v>
      </c>
      <c r="C17" s="163"/>
      <c r="D17" s="163"/>
      <c r="K17" s="790" t="s">
        <v>1837</v>
      </c>
      <c r="L17" s="778"/>
      <c r="M17" s="778"/>
      <c r="N17" s="778"/>
      <c r="O17" s="771"/>
      <c r="P17" s="771"/>
      <c r="Q17" s="771"/>
      <c r="R17" s="790" t="s">
        <v>1830</v>
      </c>
      <c r="X17" s="790"/>
      <c r="Y17" s="778"/>
      <c r="Z17" s="778"/>
      <c r="AA17" s="778"/>
      <c r="AB17" s="785"/>
      <c r="AC17" s="806"/>
      <c r="AD17" s="800"/>
    </row>
    <row r="18" spans="2:30" s="162" customFormat="1">
      <c r="B18" s="163" t="s">
        <v>1581</v>
      </c>
      <c r="C18" s="163"/>
      <c r="D18" s="163"/>
      <c r="K18" s="790" t="s">
        <v>1838</v>
      </c>
      <c r="L18" s="778"/>
      <c r="M18" s="778"/>
      <c r="N18" s="778"/>
      <c r="O18" s="771"/>
      <c r="P18" s="771"/>
      <c r="Q18" s="771"/>
      <c r="R18" s="790" t="s">
        <v>1831</v>
      </c>
      <c r="X18" s="790"/>
      <c r="Y18" s="778"/>
      <c r="Z18" s="778"/>
      <c r="AA18" s="778"/>
      <c r="AB18" s="785"/>
      <c r="AC18" s="806"/>
      <c r="AD18" s="800"/>
    </row>
    <row r="19" spans="2:30" s="162" customFormat="1">
      <c r="B19" s="163" t="s">
        <v>1814</v>
      </c>
      <c r="C19" s="163"/>
      <c r="D19" s="163"/>
      <c r="K19" s="790" t="s">
        <v>1839</v>
      </c>
      <c r="L19" s="778"/>
      <c r="M19" s="778"/>
      <c r="N19" s="778"/>
      <c r="O19" s="771"/>
      <c r="P19" s="771"/>
      <c r="Q19" s="771"/>
      <c r="R19" s="790" t="s">
        <v>1832</v>
      </c>
      <c r="X19" s="790"/>
      <c r="Y19" s="778"/>
      <c r="Z19" s="778"/>
      <c r="AA19" s="778"/>
      <c r="AB19" s="785"/>
      <c r="AC19" s="806"/>
      <c r="AD19" s="800"/>
    </row>
    <row r="20" spans="2:30" s="162" customFormat="1">
      <c r="B20" s="163" t="s">
        <v>1815</v>
      </c>
      <c r="C20" s="163"/>
      <c r="D20" s="163"/>
      <c r="K20" s="790" t="s">
        <v>1840</v>
      </c>
      <c r="L20" s="778"/>
      <c r="M20" s="778"/>
      <c r="N20" s="778"/>
      <c r="O20" s="771"/>
      <c r="P20" s="771"/>
      <c r="Q20" s="771"/>
      <c r="R20" s="790" t="s">
        <v>1382</v>
      </c>
      <c r="X20" s="790"/>
      <c r="Y20" s="778"/>
      <c r="Z20" s="778"/>
      <c r="AA20" s="771"/>
      <c r="AB20" s="785"/>
      <c r="AC20" s="806"/>
      <c r="AD20" s="800"/>
    </row>
    <row r="21" spans="2:30" outlineLevel="1">
      <c r="B21" s="111"/>
      <c r="C21" s="166" t="s">
        <v>164</v>
      </c>
      <c r="D21" s="111"/>
      <c r="E21" s="111"/>
      <c r="F21" s="111"/>
      <c r="G21" s="111"/>
      <c r="H21" s="111"/>
      <c r="I21" s="111"/>
      <c r="J21" s="111"/>
      <c r="K21" s="111"/>
      <c r="L21" s="111"/>
      <c r="M21" s="111"/>
      <c r="N21" s="111"/>
      <c r="P21" s="788" t="s">
        <v>167</v>
      </c>
      <c r="Q21" s="788"/>
      <c r="R21" s="111"/>
      <c r="S21" s="111"/>
      <c r="T21" s="111"/>
      <c r="U21" s="111"/>
      <c r="V21" s="111"/>
      <c r="W21" s="111"/>
      <c r="X21" s="111"/>
      <c r="Y21" s="111"/>
      <c r="Z21" s="111"/>
      <c r="AA21" s="111"/>
      <c r="AB21" s="111"/>
      <c r="AC21" s="807"/>
      <c r="AD21" s="802"/>
    </row>
    <row r="22" spans="2:30" outlineLevel="1">
      <c r="B22" s="111"/>
      <c r="C22" s="166"/>
      <c r="D22" s="166" t="s">
        <v>2043</v>
      </c>
      <c r="E22" s="111"/>
      <c r="F22" s="111"/>
      <c r="G22" s="111"/>
      <c r="H22" s="111"/>
      <c r="I22" s="111"/>
      <c r="J22" s="111"/>
      <c r="K22" s="111"/>
      <c r="L22" s="111"/>
      <c r="M22" s="111"/>
      <c r="N22" s="111"/>
      <c r="P22" s="788"/>
      <c r="Q22" s="788" t="s">
        <v>2043</v>
      </c>
      <c r="R22" s="111"/>
      <c r="S22" s="111"/>
      <c r="T22" s="111"/>
      <c r="U22" s="111"/>
      <c r="V22" s="111"/>
      <c r="W22" s="111"/>
      <c r="X22" s="111"/>
      <c r="Y22" s="111"/>
      <c r="Z22" s="111"/>
      <c r="AA22" s="111"/>
      <c r="AB22" s="111"/>
      <c r="AC22" s="807"/>
      <c r="AD22" s="802"/>
    </row>
    <row r="23" spans="2:30" ht="12.75" customHeight="1" outlineLevel="1">
      <c r="B23" s="111"/>
      <c r="C23" s="111"/>
      <c r="E23" s="111" t="s">
        <v>193</v>
      </c>
      <c r="F23" s="111"/>
      <c r="G23" s="111"/>
      <c r="H23" s="111"/>
      <c r="I23" s="111"/>
      <c r="J23" s="111"/>
      <c r="K23" s="111"/>
      <c r="L23" s="111"/>
      <c r="M23" s="111"/>
      <c r="N23" s="111"/>
      <c r="P23" s="789"/>
      <c r="R23" s="111" t="s">
        <v>193</v>
      </c>
      <c r="S23" s="111"/>
      <c r="T23" s="111"/>
      <c r="U23" s="111"/>
      <c r="V23" s="111"/>
      <c r="W23" s="111"/>
      <c r="X23" s="111"/>
      <c r="Y23" s="111"/>
      <c r="Z23" s="111"/>
      <c r="AA23" s="111"/>
      <c r="AB23" s="111"/>
      <c r="AC23" s="1700" t="s">
        <v>1816</v>
      </c>
      <c r="AD23" s="1752" t="s">
        <v>2501</v>
      </c>
    </row>
    <row r="24" spans="2:30" outlineLevel="1">
      <c r="B24" s="111"/>
      <c r="C24" s="111"/>
      <c r="D24" s="166"/>
      <c r="E24" s="787" t="s">
        <v>194</v>
      </c>
      <c r="F24" s="111"/>
      <c r="G24" s="111"/>
      <c r="H24" s="111"/>
      <c r="I24" s="111"/>
      <c r="J24" s="111"/>
      <c r="K24" s="111"/>
      <c r="L24" s="111"/>
      <c r="M24" s="111"/>
      <c r="N24" s="111"/>
      <c r="P24" s="789"/>
      <c r="Q24" s="789"/>
      <c r="R24" s="787" t="s">
        <v>194</v>
      </c>
      <c r="T24" s="111"/>
      <c r="U24" s="111"/>
      <c r="V24" s="111"/>
      <c r="W24" s="111"/>
      <c r="X24" s="111"/>
      <c r="Y24" s="111"/>
      <c r="Z24" s="111"/>
      <c r="AA24" s="111"/>
      <c r="AB24" s="111"/>
      <c r="AC24" s="1700"/>
      <c r="AD24" s="1752"/>
    </row>
    <row r="25" spans="2:30" outlineLevel="1">
      <c r="B25" s="111"/>
      <c r="C25" s="111"/>
      <c r="D25" s="166"/>
      <c r="E25" s="787" t="s">
        <v>195</v>
      </c>
      <c r="F25" s="111"/>
      <c r="G25" s="111"/>
      <c r="H25" s="111"/>
      <c r="I25" s="111"/>
      <c r="J25" s="111"/>
      <c r="K25" s="111"/>
      <c r="L25" s="111"/>
      <c r="M25" s="111"/>
      <c r="N25" s="111"/>
      <c r="P25" s="789"/>
      <c r="Q25" s="789"/>
      <c r="R25" s="787" t="s">
        <v>195</v>
      </c>
      <c r="T25" s="111"/>
      <c r="U25" s="111"/>
      <c r="V25" s="111"/>
      <c r="W25" s="111"/>
      <c r="X25" s="111"/>
      <c r="Y25" s="111"/>
      <c r="Z25" s="111"/>
      <c r="AA25" s="111"/>
      <c r="AB25" s="111"/>
      <c r="AC25" s="1700"/>
      <c r="AD25" s="1752"/>
    </row>
    <row r="26" spans="2:30" outlineLevel="1">
      <c r="B26" s="111"/>
      <c r="C26" s="111"/>
      <c r="D26" s="166"/>
      <c r="E26" s="1038" t="s">
        <v>165</v>
      </c>
      <c r="F26" s="1038" t="s">
        <v>166</v>
      </c>
      <c r="G26" s="1244">
        <v>7</v>
      </c>
      <c r="H26" s="1244">
        <v>6</v>
      </c>
      <c r="I26" s="1244">
        <v>5</v>
      </c>
      <c r="J26" s="1244">
        <v>4</v>
      </c>
      <c r="K26" s="1244">
        <v>3</v>
      </c>
      <c r="L26" s="1244">
        <v>2</v>
      </c>
      <c r="M26" s="1244">
        <v>1</v>
      </c>
      <c r="N26" s="1244">
        <v>0</v>
      </c>
      <c r="R26" s="1041" t="s">
        <v>165</v>
      </c>
      <c r="S26" s="1041" t="s">
        <v>166</v>
      </c>
      <c r="T26" s="1245">
        <v>7</v>
      </c>
      <c r="U26" s="1245">
        <v>6</v>
      </c>
      <c r="V26" s="1245">
        <v>5</v>
      </c>
      <c r="W26" s="1245">
        <v>4</v>
      </c>
      <c r="X26" s="1245">
        <v>3</v>
      </c>
      <c r="Y26" s="1245">
        <v>2</v>
      </c>
      <c r="Z26" s="1245">
        <v>1</v>
      </c>
      <c r="AA26" s="1245">
        <v>0</v>
      </c>
      <c r="AB26" s="111"/>
      <c r="AC26" s="1700"/>
      <c r="AD26" s="1752"/>
    </row>
    <row r="27" spans="2:30" outlineLevel="1">
      <c r="B27" s="111"/>
      <c r="C27" s="111"/>
      <c r="D27" s="166"/>
      <c r="E27" s="1038" t="s">
        <v>1902</v>
      </c>
      <c r="F27" s="1038" t="s">
        <v>1903</v>
      </c>
      <c r="G27" s="1701" t="s">
        <v>1905</v>
      </c>
      <c r="H27" s="1702"/>
      <c r="I27" s="1702"/>
      <c r="J27" s="1702"/>
      <c r="K27" s="1702"/>
      <c r="L27" s="1702"/>
      <c r="M27" s="1702"/>
      <c r="N27" s="1703"/>
      <c r="R27" s="1041" t="s">
        <v>1902</v>
      </c>
      <c r="S27" s="1041" t="s">
        <v>1207</v>
      </c>
      <c r="T27" s="1701" t="s">
        <v>88</v>
      </c>
      <c r="U27" s="1702"/>
      <c r="V27" s="1702"/>
      <c r="W27" s="1702"/>
      <c r="X27" s="1702"/>
      <c r="Y27" s="1702"/>
      <c r="Z27" s="1702"/>
      <c r="AA27" s="1703"/>
      <c r="AB27" s="111"/>
      <c r="AC27" s="1700"/>
      <c r="AD27" s="1752"/>
    </row>
    <row r="28" spans="2:30" ht="12.75" customHeight="1" outlineLevel="1">
      <c r="B28" s="111"/>
      <c r="C28" s="111"/>
      <c r="D28" s="166"/>
      <c r="E28" s="1704" t="s">
        <v>1906</v>
      </c>
      <c r="F28" s="1695" t="s">
        <v>1904</v>
      </c>
      <c r="G28" s="1706" t="s">
        <v>1908</v>
      </c>
      <c r="H28" s="1707"/>
      <c r="I28" s="1707"/>
      <c r="J28" s="1707"/>
      <c r="K28" s="1707"/>
      <c r="L28" s="1707"/>
      <c r="M28" s="1707"/>
      <c r="N28" s="1708"/>
      <c r="R28" s="1712" t="s">
        <v>1906</v>
      </c>
      <c r="S28" s="1714" t="s">
        <v>1904</v>
      </c>
      <c r="T28" s="1706" t="s">
        <v>1908</v>
      </c>
      <c r="U28" s="1707"/>
      <c r="V28" s="1707"/>
      <c r="W28" s="1707"/>
      <c r="X28" s="1707"/>
      <c r="Y28" s="1707"/>
      <c r="Z28" s="1707"/>
      <c r="AA28" s="1708"/>
      <c r="AB28" s="111"/>
      <c r="AC28" s="1700"/>
      <c r="AD28" s="1752"/>
    </row>
    <row r="29" spans="2:30" outlineLevel="1">
      <c r="B29" s="111"/>
      <c r="C29" s="111"/>
      <c r="D29" s="166"/>
      <c r="E29" s="1705"/>
      <c r="F29" s="1696"/>
      <c r="G29" s="1709"/>
      <c r="H29" s="1710"/>
      <c r="I29" s="1710"/>
      <c r="J29" s="1710"/>
      <c r="K29" s="1710"/>
      <c r="L29" s="1710"/>
      <c r="M29" s="1710"/>
      <c r="N29" s="1711"/>
      <c r="R29" s="1713"/>
      <c r="S29" s="1715"/>
      <c r="T29" s="1709"/>
      <c r="U29" s="1710"/>
      <c r="V29" s="1710"/>
      <c r="W29" s="1710"/>
      <c r="X29" s="1710"/>
      <c r="Y29" s="1710"/>
      <c r="Z29" s="1710"/>
      <c r="AA29" s="1711"/>
      <c r="AB29" s="111"/>
      <c r="AC29" s="1700"/>
      <c r="AD29" s="1752"/>
    </row>
    <row r="30" spans="2:30" outlineLevel="1">
      <c r="B30" s="111"/>
      <c r="C30" s="111"/>
      <c r="D30" s="166"/>
      <c r="E30" s="1039" t="s">
        <v>1562</v>
      </c>
      <c r="F30" s="1039" t="s">
        <v>1564</v>
      </c>
      <c r="G30" s="1742" t="s">
        <v>1566</v>
      </c>
      <c r="H30" s="1743"/>
      <c r="I30" s="1743"/>
      <c r="J30" s="1743"/>
      <c r="K30" s="1743"/>
      <c r="L30" s="1743"/>
      <c r="M30" s="1743"/>
      <c r="N30" s="1744"/>
      <c r="R30" s="1042" t="s">
        <v>1562</v>
      </c>
      <c r="S30" s="1042" t="s">
        <v>1564</v>
      </c>
      <c r="T30" s="1718" t="s">
        <v>2041</v>
      </c>
      <c r="U30" s="1718"/>
      <c r="V30" s="1718"/>
      <c r="W30" s="1718"/>
      <c r="X30" s="1718"/>
      <c r="Y30" s="1718"/>
      <c r="Z30" s="1718"/>
      <c r="AA30" s="1718"/>
      <c r="AB30" s="111"/>
      <c r="AC30" s="1700"/>
      <c r="AD30" s="1752"/>
    </row>
    <row r="31" spans="2:30" ht="12.75" customHeight="1" outlineLevel="1">
      <c r="B31" s="111"/>
      <c r="C31" s="111"/>
      <c r="D31" s="166"/>
      <c r="E31" s="1695" t="s">
        <v>1563</v>
      </c>
      <c r="F31" s="1695" t="s">
        <v>1565</v>
      </c>
      <c r="G31" s="1735" t="s">
        <v>1813</v>
      </c>
      <c r="H31" s="1736"/>
      <c r="I31" s="1736"/>
      <c r="J31" s="1736"/>
      <c r="K31" s="1736"/>
      <c r="L31" s="1736"/>
      <c r="M31" s="1736"/>
      <c r="N31" s="1737"/>
      <c r="R31" s="111"/>
      <c r="S31" s="111"/>
      <c r="T31" s="111"/>
      <c r="U31" s="111"/>
      <c r="V31" s="111"/>
      <c r="W31" s="111"/>
      <c r="X31" s="111"/>
      <c r="Y31" s="111"/>
      <c r="Z31" s="111"/>
      <c r="AA31" s="111"/>
      <c r="AB31" s="111"/>
      <c r="AC31" s="1700"/>
      <c r="AD31" s="1752"/>
    </row>
    <row r="32" spans="2:30" outlineLevel="1">
      <c r="B32" s="111"/>
      <c r="C32" s="111"/>
      <c r="D32" s="166"/>
      <c r="E32" s="1696"/>
      <c r="F32" s="1696"/>
      <c r="G32" s="1738"/>
      <c r="H32" s="1739"/>
      <c r="I32" s="1739"/>
      <c r="J32" s="1739"/>
      <c r="K32" s="1739"/>
      <c r="L32" s="1739"/>
      <c r="M32" s="1739"/>
      <c r="N32" s="1740"/>
      <c r="R32" s="111"/>
      <c r="S32" s="111"/>
      <c r="T32" s="111"/>
      <c r="U32" s="111"/>
      <c r="V32" s="111"/>
      <c r="W32" s="111"/>
      <c r="X32" s="111"/>
      <c r="Y32" s="111"/>
      <c r="Z32" s="111"/>
      <c r="AA32" s="111"/>
      <c r="AB32" s="111"/>
      <c r="AC32" s="1700"/>
      <c r="AD32" s="1752"/>
    </row>
    <row r="33" spans="2:30" outlineLevel="1">
      <c r="B33" s="111"/>
      <c r="C33" s="111"/>
      <c r="D33" s="166"/>
      <c r="E33" s="172"/>
      <c r="F33" s="172"/>
      <c r="G33" s="172"/>
      <c r="H33" s="172"/>
      <c r="I33" s="172"/>
      <c r="J33" s="172"/>
      <c r="K33" s="172"/>
      <c r="L33" s="172"/>
      <c r="M33" s="172"/>
      <c r="N33" s="172"/>
      <c r="R33" s="111"/>
      <c r="S33" s="111"/>
      <c r="T33" s="111"/>
      <c r="U33" s="111"/>
      <c r="V33" s="111"/>
      <c r="W33" s="111"/>
      <c r="X33" s="111"/>
      <c r="Y33" s="111"/>
      <c r="Z33" s="111"/>
      <c r="AA33" s="111"/>
      <c r="AB33" s="111"/>
      <c r="AC33" s="1700"/>
      <c r="AD33" s="1752"/>
    </row>
    <row r="34" spans="2:30" outlineLevel="1">
      <c r="B34" s="111"/>
      <c r="D34" s="166" t="s">
        <v>2039</v>
      </c>
      <c r="E34" s="111"/>
      <c r="F34" s="111"/>
      <c r="G34" s="111"/>
      <c r="H34" s="111"/>
      <c r="I34" s="111"/>
      <c r="J34" s="111"/>
      <c r="K34" s="111"/>
      <c r="L34" s="111"/>
      <c r="M34" s="111"/>
      <c r="N34" s="111"/>
      <c r="P34" s="788" t="s">
        <v>2039</v>
      </c>
      <c r="Q34" s="789"/>
      <c r="R34" s="111"/>
      <c r="S34" s="111"/>
      <c r="T34" s="111"/>
      <c r="U34" s="111"/>
      <c r="V34" s="111"/>
      <c r="W34" s="111"/>
      <c r="X34" s="111"/>
      <c r="Y34" s="111"/>
      <c r="Z34" s="111"/>
      <c r="AA34" s="111"/>
      <c r="AB34" s="111"/>
      <c r="AC34" s="1700"/>
      <c r="AD34" s="1752"/>
    </row>
    <row r="35" spans="2:30" outlineLevel="1">
      <c r="B35" s="111"/>
      <c r="C35" s="111"/>
      <c r="D35" s="166"/>
      <c r="E35" s="1038" t="s">
        <v>165</v>
      </c>
      <c r="F35" s="1038" t="s">
        <v>166</v>
      </c>
      <c r="G35" s="1244">
        <v>7</v>
      </c>
      <c r="H35" s="1244">
        <v>6</v>
      </c>
      <c r="I35" s="1244">
        <v>5</v>
      </c>
      <c r="J35" s="1244">
        <v>4</v>
      </c>
      <c r="K35" s="1244">
        <v>3</v>
      </c>
      <c r="L35" s="1244">
        <v>2</v>
      </c>
      <c r="M35" s="1244">
        <v>1</v>
      </c>
      <c r="N35" s="1244">
        <v>0</v>
      </c>
      <c r="R35" s="1041" t="s">
        <v>165</v>
      </c>
      <c r="S35" s="1041" t="s">
        <v>166</v>
      </c>
      <c r="T35" s="1245">
        <v>7</v>
      </c>
      <c r="U35" s="1245">
        <v>6</v>
      </c>
      <c r="V35" s="1245">
        <v>5</v>
      </c>
      <c r="W35" s="1245">
        <v>4</v>
      </c>
      <c r="X35" s="1245">
        <v>3</v>
      </c>
      <c r="Y35" s="1245">
        <v>2</v>
      </c>
      <c r="Z35" s="1245">
        <v>1</v>
      </c>
      <c r="AA35" s="1245">
        <v>0</v>
      </c>
      <c r="AB35" s="111"/>
      <c r="AC35" s="1700"/>
      <c r="AD35" s="1752"/>
    </row>
    <row r="36" spans="2:30" outlineLevel="1">
      <c r="B36" s="111"/>
      <c r="C36" s="111"/>
      <c r="D36" s="166"/>
      <c r="E36" s="1038" t="s">
        <v>1902</v>
      </c>
      <c r="F36" s="1038" t="s">
        <v>1909</v>
      </c>
      <c r="G36" s="1701" t="s">
        <v>1910</v>
      </c>
      <c r="H36" s="1702"/>
      <c r="I36" s="1702"/>
      <c r="J36" s="1702"/>
      <c r="K36" s="1702"/>
      <c r="L36" s="1702"/>
      <c r="M36" s="1702"/>
      <c r="N36" s="1703"/>
      <c r="R36" s="1041" t="s">
        <v>1902</v>
      </c>
      <c r="S36" s="1041" t="s">
        <v>1909</v>
      </c>
      <c r="T36" s="1701" t="s">
        <v>1910</v>
      </c>
      <c r="U36" s="1702"/>
      <c r="V36" s="1702"/>
      <c r="W36" s="1702"/>
      <c r="X36" s="1702"/>
      <c r="Y36" s="1702"/>
      <c r="Z36" s="1702"/>
      <c r="AA36" s="1703"/>
      <c r="AB36" s="111"/>
      <c r="AC36" s="1700"/>
      <c r="AD36" s="1752"/>
    </row>
    <row r="37" spans="2:30" ht="12.75" customHeight="1" outlineLevel="1">
      <c r="B37" s="111"/>
      <c r="C37" s="111"/>
      <c r="D37" s="166"/>
      <c r="E37" s="1704" t="s">
        <v>1906</v>
      </c>
      <c r="F37" s="1695" t="s">
        <v>1904</v>
      </c>
      <c r="G37" s="1706" t="s">
        <v>1908</v>
      </c>
      <c r="H37" s="1707"/>
      <c r="I37" s="1707"/>
      <c r="J37" s="1707"/>
      <c r="K37" s="1707"/>
      <c r="L37" s="1707"/>
      <c r="M37" s="1707"/>
      <c r="N37" s="1708"/>
      <c r="R37" s="1712" t="s">
        <v>1906</v>
      </c>
      <c r="S37" s="1714" t="s">
        <v>1904</v>
      </c>
      <c r="T37" s="1706" t="s">
        <v>1908</v>
      </c>
      <c r="U37" s="1707"/>
      <c r="V37" s="1707"/>
      <c r="W37" s="1707"/>
      <c r="X37" s="1707"/>
      <c r="Y37" s="1707"/>
      <c r="Z37" s="1707"/>
      <c r="AA37" s="1708"/>
      <c r="AB37" s="111"/>
      <c r="AC37" s="1700"/>
      <c r="AD37" s="1752"/>
    </row>
    <row r="38" spans="2:30" outlineLevel="1">
      <c r="B38" s="111"/>
      <c r="C38" s="111"/>
      <c r="D38" s="166"/>
      <c r="E38" s="1705"/>
      <c r="F38" s="1696"/>
      <c r="G38" s="1709"/>
      <c r="H38" s="1710"/>
      <c r="I38" s="1710"/>
      <c r="J38" s="1710"/>
      <c r="K38" s="1710"/>
      <c r="L38" s="1710"/>
      <c r="M38" s="1710"/>
      <c r="N38" s="1711"/>
      <c r="R38" s="1713"/>
      <c r="S38" s="1715"/>
      <c r="T38" s="1709"/>
      <c r="U38" s="1710"/>
      <c r="V38" s="1710"/>
      <c r="W38" s="1710"/>
      <c r="X38" s="1710"/>
      <c r="Y38" s="1710"/>
      <c r="Z38" s="1710"/>
      <c r="AA38" s="1711"/>
      <c r="AB38" s="111"/>
      <c r="AC38" s="1700"/>
      <c r="AD38" s="1752"/>
    </row>
    <row r="39" spans="2:30" outlineLevel="1">
      <c r="B39" s="111"/>
      <c r="C39" s="111"/>
      <c r="D39" s="166"/>
      <c r="E39" s="1039" t="s">
        <v>1562</v>
      </c>
      <c r="F39" s="1039" t="s">
        <v>1564</v>
      </c>
      <c r="G39" s="1742" t="s">
        <v>1566</v>
      </c>
      <c r="H39" s="1743"/>
      <c r="I39" s="1743"/>
      <c r="J39" s="1743"/>
      <c r="K39" s="1743"/>
      <c r="L39" s="1743"/>
      <c r="M39" s="1743"/>
      <c r="N39" s="1744"/>
      <c r="R39" s="1043" t="s">
        <v>1562</v>
      </c>
      <c r="S39" s="1043" t="s">
        <v>1564</v>
      </c>
      <c r="T39" s="1718" t="s">
        <v>2041</v>
      </c>
      <c r="U39" s="1718"/>
      <c r="V39" s="1718"/>
      <c r="W39" s="1718"/>
      <c r="X39" s="1718"/>
      <c r="Y39" s="1718"/>
      <c r="Z39" s="1718"/>
      <c r="AA39" s="1718"/>
      <c r="AB39" s="111"/>
      <c r="AC39" s="1700"/>
      <c r="AD39" s="1752"/>
    </row>
    <row r="40" spans="2:30" ht="12.75" customHeight="1" outlineLevel="1">
      <c r="B40" s="111"/>
      <c r="C40" s="111"/>
      <c r="D40" s="166"/>
      <c r="E40" s="1695" t="s">
        <v>1563</v>
      </c>
      <c r="F40" s="1695" t="s">
        <v>1565</v>
      </c>
      <c r="G40" s="1735" t="s">
        <v>1813</v>
      </c>
      <c r="H40" s="1736"/>
      <c r="I40" s="1736"/>
      <c r="J40" s="1736"/>
      <c r="K40" s="1736"/>
      <c r="L40" s="1736"/>
      <c r="M40" s="1736"/>
      <c r="N40" s="1737"/>
      <c r="R40" s="1714" t="s">
        <v>1563</v>
      </c>
      <c r="S40" s="1714" t="s">
        <v>1565</v>
      </c>
      <c r="T40" s="1735" t="s">
        <v>1813</v>
      </c>
      <c r="U40" s="1736"/>
      <c r="V40" s="1736"/>
      <c r="W40" s="1736"/>
      <c r="X40" s="1736"/>
      <c r="Y40" s="1736"/>
      <c r="Z40" s="1736"/>
      <c r="AA40" s="1737"/>
      <c r="AB40" s="111"/>
      <c r="AC40" s="1700"/>
      <c r="AD40" s="1752"/>
    </row>
    <row r="41" spans="2:30" outlineLevel="1">
      <c r="E41" s="1696"/>
      <c r="F41" s="1696"/>
      <c r="G41" s="1738"/>
      <c r="H41" s="1739"/>
      <c r="I41" s="1739"/>
      <c r="J41" s="1739"/>
      <c r="K41" s="1739"/>
      <c r="L41" s="1739"/>
      <c r="M41" s="1739"/>
      <c r="N41" s="1740"/>
      <c r="R41" s="1715"/>
      <c r="S41" s="1715"/>
      <c r="T41" s="1738"/>
      <c r="U41" s="1739"/>
      <c r="V41" s="1739"/>
      <c r="W41" s="1739"/>
      <c r="X41" s="1739"/>
      <c r="Y41" s="1739"/>
      <c r="Z41" s="1739"/>
      <c r="AA41" s="1740"/>
      <c r="AC41" s="1700"/>
      <c r="AD41" s="1752"/>
    </row>
    <row r="42" spans="2:30" outlineLevel="1">
      <c r="E42" s="762"/>
      <c r="F42" s="762"/>
      <c r="G42" s="744"/>
      <c r="H42" s="744"/>
      <c r="I42" s="744"/>
      <c r="J42" s="744"/>
      <c r="K42" s="744"/>
      <c r="L42" s="744"/>
      <c r="M42" s="744"/>
      <c r="N42" s="744"/>
      <c r="R42" s="762"/>
      <c r="S42" s="762"/>
      <c r="T42" s="744"/>
      <c r="U42" s="744"/>
      <c r="V42" s="744"/>
      <c r="W42" s="744"/>
      <c r="X42" s="744"/>
      <c r="Y42" s="744"/>
      <c r="Z42" s="744"/>
      <c r="AA42" s="744"/>
      <c r="AC42" s="804"/>
      <c r="AD42" s="801"/>
    </row>
    <row r="43" spans="2:30" outlineLevel="1">
      <c r="AC43" s="799"/>
      <c r="AD43" s="799"/>
    </row>
    <row r="44" spans="2:30" s="162" customFormat="1">
      <c r="B44" s="163" t="s">
        <v>1576</v>
      </c>
      <c r="C44" s="163"/>
      <c r="D44" s="163"/>
      <c r="K44" s="790" t="s">
        <v>1917</v>
      </c>
      <c r="L44" s="771"/>
      <c r="M44" s="771"/>
      <c r="N44" s="771"/>
      <c r="O44" s="771"/>
      <c r="P44" s="771"/>
      <c r="Q44" s="771"/>
      <c r="R44" s="790" t="s">
        <v>2037</v>
      </c>
      <c r="S44" s="778"/>
      <c r="T44" s="778"/>
      <c r="U44" s="778"/>
      <c r="V44" s="742"/>
      <c r="W44" s="742"/>
      <c r="X44" s="790"/>
      <c r="Y44" s="780"/>
      <c r="Z44" s="780"/>
      <c r="AA44" s="780"/>
      <c r="AB44" s="742"/>
      <c r="AC44" s="806"/>
      <c r="AD44" s="800"/>
    </row>
    <row r="45" spans="2:30" s="162" customFormat="1">
      <c r="B45" s="163" t="s">
        <v>1817</v>
      </c>
      <c r="C45" s="163"/>
      <c r="D45" s="163"/>
      <c r="K45" s="790" t="s">
        <v>1841</v>
      </c>
      <c r="L45" s="771"/>
      <c r="M45" s="771"/>
      <c r="N45" s="771"/>
      <c r="O45" s="771"/>
      <c r="P45" s="771"/>
      <c r="Q45" s="771"/>
      <c r="R45" s="790" t="s">
        <v>1833</v>
      </c>
      <c r="S45" s="778"/>
      <c r="T45" s="778"/>
      <c r="U45" s="778"/>
      <c r="V45" s="742"/>
      <c r="W45" s="742"/>
      <c r="X45" s="790"/>
      <c r="Y45" s="780"/>
      <c r="Z45" s="780"/>
      <c r="AA45" s="780"/>
      <c r="AB45" s="742"/>
      <c r="AC45" s="806"/>
      <c r="AD45" s="800"/>
    </row>
    <row r="46" spans="2:30" s="162" customFormat="1">
      <c r="B46" s="163" t="s">
        <v>1818</v>
      </c>
      <c r="C46" s="163"/>
      <c r="D46" s="163"/>
      <c r="K46" s="790" t="s">
        <v>1842</v>
      </c>
      <c r="L46" s="771"/>
      <c r="M46" s="771"/>
      <c r="N46" s="771"/>
      <c r="O46" s="771"/>
      <c r="P46" s="771"/>
      <c r="Q46" s="771"/>
      <c r="R46" s="790" t="s">
        <v>1834</v>
      </c>
      <c r="S46" s="778"/>
      <c r="T46" s="778"/>
      <c r="U46" s="778"/>
      <c r="V46" s="742"/>
      <c r="W46" s="742"/>
      <c r="X46" s="790"/>
      <c r="Y46" s="778"/>
      <c r="Z46" s="778"/>
      <c r="AA46" s="778"/>
      <c r="AB46" s="742"/>
      <c r="AC46" s="806"/>
      <c r="AD46" s="800"/>
    </row>
    <row r="47" spans="2:30" outlineLevel="1">
      <c r="B47" s="111"/>
      <c r="C47" s="166" t="s">
        <v>164</v>
      </c>
      <c r="D47" s="111"/>
      <c r="E47" s="111"/>
      <c r="F47" s="111"/>
      <c r="G47" s="111"/>
      <c r="H47" s="111"/>
      <c r="I47" s="111"/>
      <c r="J47" s="111"/>
      <c r="K47" s="111"/>
      <c r="L47" s="111"/>
      <c r="M47" s="111"/>
      <c r="N47" s="111"/>
      <c r="P47" s="788" t="s">
        <v>167</v>
      </c>
      <c r="Q47" s="788"/>
      <c r="R47" s="111"/>
      <c r="S47" s="111"/>
      <c r="T47" s="111"/>
      <c r="U47" s="111"/>
      <c r="V47" s="111"/>
      <c r="W47" s="111"/>
      <c r="X47" s="111"/>
      <c r="Y47" s="111"/>
      <c r="Z47" s="111"/>
      <c r="AA47" s="111"/>
      <c r="AB47" s="111"/>
      <c r="AC47" s="807"/>
      <c r="AD47" s="802"/>
    </row>
    <row r="48" spans="2:30" outlineLevel="1">
      <c r="B48" s="111"/>
      <c r="C48" s="166"/>
      <c r="D48" s="166" t="s">
        <v>2043</v>
      </c>
      <c r="E48" s="111"/>
      <c r="F48" s="111"/>
      <c r="G48" s="111"/>
      <c r="H48" s="111"/>
      <c r="I48" s="111"/>
      <c r="J48" s="111"/>
      <c r="K48" s="111"/>
      <c r="L48" s="111"/>
      <c r="M48" s="111"/>
      <c r="N48" s="111"/>
      <c r="P48" s="788"/>
      <c r="Q48" s="788" t="s">
        <v>2043</v>
      </c>
      <c r="R48" s="111"/>
      <c r="S48" s="111"/>
      <c r="T48" s="111"/>
      <c r="U48" s="111"/>
      <c r="V48" s="111"/>
      <c r="W48" s="111"/>
      <c r="X48" s="111"/>
      <c r="Y48" s="111"/>
      <c r="Z48" s="111"/>
      <c r="AA48" s="111"/>
      <c r="AB48" s="111"/>
      <c r="AC48" s="807"/>
      <c r="AD48" s="802"/>
    </row>
    <row r="49" spans="2:30" ht="12.75" customHeight="1" outlineLevel="1">
      <c r="B49" s="111"/>
      <c r="C49" s="111"/>
      <c r="E49" s="111" t="s">
        <v>193</v>
      </c>
      <c r="F49" s="111"/>
      <c r="G49" s="111"/>
      <c r="H49" s="111"/>
      <c r="I49" s="111"/>
      <c r="J49" s="111"/>
      <c r="K49" s="111"/>
      <c r="L49" s="111"/>
      <c r="M49" s="111"/>
      <c r="N49" s="111"/>
      <c r="P49" s="789"/>
      <c r="R49" s="111" t="s">
        <v>193</v>
      </c>
      <c r="S49" s="111"/>
      <c r="T49" s="111"/>
      <c r="U49" s="111"/>
      <c r="V49" s="111"/>
      <c r="W49" s="111"/>
      <c r="X49" s="111"/>
      <c r="Y49" s="111"/>
      <c r="Z49" s="111"/>
      <c r="AA49" s="111"/>
      <c r="AB49" s="111"/>
      <c r="AC49" s="1741" t="s">
        <v>1816</v>
      </c>
      <c r="AD49" s="1741"/>
    </row>
    <row r="50" spans="2:30" outlineLevel="1">
      <c r="B50" s="111"/>
      <c r="C50" s="111"/>
      <c r="D50" s="166"/>
      <c r="E50" s="111" t="s">
        <v>194</v>
      </c>
      <c r="F50" s="111"/>
      <c r="G50" s="111"/>
      <c r="H50" s="111"/>
      <c r="I50" s="111"/>
      <c r="J50" s="111"/>
      <c r="K50" s="111"/>
      <c r="L50" s="111"/>
      <c r="M50" s="111"/>
      <c r="N50" s="111"/>
      <c r="P50" s="789"/>
      <c r="Q50" s="789"/>
      <c r="R50" s="787" t="s">
        <v>194</v>
      </c>
      <c r="S50" s="111"/>
      <c r="T50" s="111"/>
      <c r="U50" s="111"/>
      <c r="V50" s="111"/>
      <c r="W50" s="111"/>
      <c r="X50" s="111"/>
      <c r="Y50" s="111"/>
      <c r="Z50" s="111"/>
      <c r="AA50" s="111"/>
      <c r="AB50" s="111"/>
      <c r="AC50" s="1741"/>
      <c r="AD50" s="1741"/>
    </row>
    <row r="51" spans="2:30" ht="12.75" customHeight="1" outlineLevel="1">
      <c r="B51" s="111"/>
      <c r="C51" s="111"/>
      <c r="D51" s="166"/>
      <c r="E51" s="111" t="s">
        <v>195</v>
      </c>
      <c r="F51" s="111"/>
      <c r="G51" s="111"/>
      <c r="H51" s="111"/>
      <c r="I51" s="111"/>
      <c r="J51" s="111"/>
      <c r="K51" s="111"/>
      <c r="L51" s="111"/>
      <c r="M51" s="111"/>
      <c r="N51" s="111"/>
      <c r="P51" s="789"/>
      <c r="Q51" s="789"/>
      <c r="R51" s="787" t="s">
        <v>195</v>
      </c>
      <c r="S51" s="111"/>
      <c r="T51" s="111"/>
      <c r="U51" s="111"/>
      <c r="V51" s="111"/>
      <c r="W51" s="111"/>
      <c r="X51" s="111"/>
      <c r="Y51" s="111"/>
      <c r="Z51" s="111"/>
      <c r="AA51" s="111"/>
      <c r="AB51" s="111"/>
      <c r="AC51" s="1741"/>
      <c r="AD51" s="1741"/>
    </row>
    <row r="52" spans="2:30" outlineLevel="1">
      <c r="E52" s="1038" t="s">
        <v>165</v>
      </c>
      <c r="F52" s="1038" t="s">
        <v>166</v>
      </c>
      <c r="G52" s="1244">
        <v>7</v>
      </c>
      <c r="H52" s="1244">
        <v>6</v>
      </c>
      <c r="I52" s="1244">
        <v>5</v>
      </c>
      <c r="J52" s="1244">
        <v>4</v>
      </c>
      <c r="K52" s="1244">
        <v>3</v>
      </c>
      <c r="L52" s="1244">
        <v>2</v>
      </c>
      <c r="M52" s="1244">
        <v>1</v>
      </c>
      <c r="N52" s="1244">
        <v>0</v>
      </c>
      <c r="R52" s="1041" t="s">
        <v>165</v>
      </c>
      <c r="S52" s="1041" t="s">
        <v>166</v>
      </c>
      <c r="T52" s="1245">
        <v>7</v>
      </c>
      <c r="U52" s="1245">
        <v>6</v>
      </c>
      <c r="V52" s="1245">
        <v>5</v>
      </c>
      <c r="W52" s="1245">
        <v>4</v>
      </c>
      <c r="X52" s="1245">
        <v>3</v>
      </c>
      <c r="Y52" s="1245">
        <v>2</v>
      </c>
      <c r="Z52" s="1245">
        <v>1</v>
      </c>
      <c r="AA52" s="1245">
        <v>0</v>
      </c>
      <c r="AC52" s="1741"/>
      <c r="AD52" s="1741"/>
    </row>
    <row r="53" spans="2:30" outlineLevel="1">
      <c r="E53" s="1038" t="s">
        <v>1902</v>
      </c>
      <c r="F53" s="1038" t="s">
        <v>1903</v>
      </c>
      <c r="G53" s="1701" t="s">
        <v>1905</v>
      </c>
      <c r="H53" s="1702"/>
      <c r="I53" s="1702"/>
      <c r="J53" s="1702"/>
      <c r="K53" s="1702"/>
      <c r="L53" s="1702"/>
      <c r="M53" s="1702"/>
      <c r="N53" s="1703"/>
      <c r="R53" s="1041" t="s">
        <v>1902</v>
      </c>
      <c r="S53" s="1041" t="s">
        <v>1207</v>
      </c>
      <c r="T53" s="1701" t="s">
        <v>88</v>
      </c>
      <c r="U53" s="1702"/>
      <c r="V53" s="1702"/>
      <c r="W53" s="1702"/>
      <c r="X53" s="1702"/>
      <c r="Y53" s="1702"/>
      <c r="Z53" s="1702"/>
      <c r="AA53" s="1703"/>
      <c r="AC53" s="1741"/>
      <c r="AD53" s="1741"/>
    </row>
    <row r="54" spans="2:30" ht="12.75" customHeight="1" outlineLevel="1">
      <c r="E54" s="1704" t="s">
        <v>1906</v>
      </c>
      <c r="F54" s="1695" t="s">
        <v>1904</v>
      </c>
      <c r="G54" s="1706" t="s">
        <v>1907</v>
      </c>
      <c r="H54" s="1707"/>
      <c r="I54" s="1707"/>
      <c r="J54" s="1707"/>
      <c r="K54" s="1707"/>
      <c r="L54" s="1707"/>
      <c r="M54" s="1707"/>
      <c r="N54" s="1708"/>
      <c r="R54" s="1712" t="s">
        <v>1906</v>
      </c>
      <c r="S54" s="1714" t="s">
        <v>1904</v>
      </c>
      <c r="T54" s="1706" t="s">
        <v>1907</v>
      </c>
      <c r="U54" s="1707"/>
      <c r="V54" s="1707"/>
      <c r="W54" s="1707"/>
      <c r="X54" s="1707"/>
      <c r="Y54" s="1707"/>
      <c r="Z54" s="1707"/>
      <c r="AA54" s="1708"/>
      <c r="AC54" s="1741"/>
      <c r="AD54" s="1741"/>
    </row>
    <row r="55" spans="2:30" outlineLevel="1">
      <c r="E55" s="1705"/>
      <c r="F55" s="1696"/>
      <c r="G55" s="1709"/>
      <c r="H55" s="1710"/>
      <c r="I55" s="1710"/>
      <c r="J55" s="1710"/>
      <c r="K55" s="1710"/>
      <c r="L55" s="1710"/>
      <c r="M55" s="1710"/>
      <c r="N55" s="1711"/>
      <c r="R55" s="1713"/>
      <c r="S55" s="1715"/>
      <c r="T55" s="1709"/>
      <c r="U55" s="1710"/>
      <c r="V55" s="1710"/>
      <c r="W55" s="1710"/>
      <c r="X55" s="1710"/>
      <c r="Y55" s="1710"/>
      <c r="Z55" s="1710"/>
      <c r="AA55" s="1711"/>
      <c r="AC55" s="1741"/>
      <c r="AD55" s="1741"/>
    </row>
    <row r="56" spans="2:30" outlineLevel="1">
      <c r="E56" s="1038" t="s">
        <v>1562</v>
      </c>
      <c r="F56" s="1039" t="s">
        <v>1564</v>
      </c>
      <c r="G56" s="1716" t="s">
        <v>1566</v>
      </c>
      <c r="H56" s="1717"/>
      <c r="I56" s="1717"/>
      <c r="J56" s="1717"/>
      <c r="K56" s="1717"/>
      <c r="L56" s="1717"/>
      <c r="M56" s="1717"/>
      <c r="N56" s="1717"/>
      <c r="R56" s="1042" t="s">
        <v>1562</v>
      </c>
      <c r="S56" s="1042" t="s">
        <v>1564</v>
      </c>
      <c r="T56" s="1718" t="s">
        <v>2041</v>
      </c>
      <c r="U56" s="1718"/>
      <c r="V56" s="1718"/>
      <c r="W56" s="1718"/>
      <c r="X56" s="1718"/>
      <c r="Y56" s="1718"/>
      <c r="Z56" s="1718"/>
      <c r="AA56" s="1718"/>
      <c r="AB56" s="111"/>
      <c r="AC56" s="1741"/>
      <c r="AD56" s="1741"/>
    </row>
    <row r="57" spans="2:30" ht="12.75" customHeight="1" outlineLevel="1">
      <c r="E57" s="1699" t="s">
        <v>1563</v>
      </c>
      <c r="F57" s="1695" t="s">
        <v>1565</v>
      </c>
      <c r="G57" s="1728" t="s">
        <v>1887</v>
      </c>
      <c r="H57" s="1698" t="s">
        <v>1887</v>
      </c>
      <c r="I57" s="1697" t="s">
        <v>1889</v>
      </c>
      <c r="J57" s="1697" t="s">
        <v>1889</v>
      </c>
      <c r="K57" s="1697" t="s">
        <v>1889</v>
      </c>
      <c r="L57" s="1697" t="s">
        <v>1889</v>
      </c>
      <c r="M57" s="1697" t="s">
        <v>1889</v>
      </c>
      <c r="N57" s="1719" t="s">
        <v>1889</v>
      </c>
      <c r="R57" s="1720" t="s">
        <v>1563</v>
      </c>
      <c r="S57" s="1714" t="s">
        <v>1578</v>
      </c>
      <c r="T57" s="1728" t="s">
        <v>2044</v>
      </c>
      <c r="U57" s="1698" t="s">
        <v>2044</v>
      </c>
      <c r="V57" s="1731" t="s">
        <v>1889</v>
      </c>
      <c r="W57" s="1731" t="s">
        <v>1889</v>
      </c>
      <c r="X57" s="1731" t="s">
        <v>1889</v>
      </c>
      <c r="Y57" s="1731" t="s">
        <v>1889</v>
      </c>
      <c r="Z57" s="1731" t="s">
        <v>1889</v>
      </c>
      <c r="AA57" s="1733" t="s">
        <v>1889</v>
      </c>
      <c r="AB57" s="111"/>
      <c r="AC57" s="1741"/>
      <c r="AD57" s="1741"/>
    </row>
    <row r="58" spans="2:30" outlineLevel="1">
      <c r="E58" s="1699"/>
      <c r="F58" s="1696"/>
      <c r="G58" s="1728"/>
      <c r="H58" s="1698"/>
      <c r="I58" s="1697"/>
      <c r="J58" s="1697"/>
      <c r="K58" s="1697"/>
      <c r="L58" s="1697"/>
      <c r="M58" s="1697"/>
      <c r="N58" s="1719"/>
      <c r="R58" s="1720"/>
      <c r="S58" s="1715"/>
      <c r="T58" s="1728"/>
      <c r="U58" s="1698"/>
      <c r="V58" s="1732"/>
      <c r="W58" s="1732"/>
      <c r="X58" s="1732"/>
      <c r="Y58" s="1732"/>
      <c r="Z58" s="1732"/>
      <c r="AA58" s="1734"/>
      <c r="AB58" s="111"/>
      <c r="AC58" s="1741"/>
      <c r="AD58" s="1741"/>
    </row>
    <row r="59" spans="2:30" ht="12.75" customHeight="1" outlineLevel="1">
      <c r="E59" s="1699" t="s">
        <v>1577</v>
      </c>
      <c r="F59" s="1699" t="s">
        <v>1578</v>
      </c>
      <c r="G59" s="1728" t="s">
        <v>2044</v>
      </c>
      <c r="H59" s="1698" t="s">
        <v>2044</v>
      </c>
      <c r="I59" s="1697" t="s">
        <v>1889</v>
      </c>
      <c r="J59" s="1697" t="s">
        <v>1889</v>
      </c>
      <c r="K59" s="1697" t="s">
        <v>1889</v>
      </c>
      <c r="L59" s="1697" t="s">
        <v>1889</v>
      </c>
      <c r="M59" s="1697" t="s">
        <v>1889</v>
      </c>
      <c r="N59" s="1719" t="s">
        <v>1889</v>
      </c>
      <c r="R59" s="111"/>
      <c r="S59" s="111"/>
      <c r="T59" s="111"/>
      <c r="U59" s="111"/>
      <c r="V59" s="111"/>
      <c r="W59" s="111"/>
      <c r="X59" s="111"/>
      <c r="Y59" s="111"/>
      <c r="Z59" s="111"/>
      <c r="AA59" s="111"/>
      <c r="AB59" s="111"/>
      <c r="AC59" s="1741"/>
      <c r="AD59" s="1741"/>
    </row>
    <row r="60" spans="2:30" outlineLevel="1">
      <c r="E60" s="1699"/>
      <c r="F60" s="1699"/>
      <c r="G60" s="1728"/>
      <c r="H60" s="1698"/>
      <c r="I60" s="1697"/>
      <c r="J60" s="1697"/>
      <c r="K60" s="1697"/>
      <c r="L60" s="1697"/>
      <c r="M60" s="1697"/>
      <c r="N60" s="1719"/>
      <c r="R60" s="111"/>
      <c r="S60" s="111"/>
      <c r="T60" s="111"/>
      <c r="U60" s="111"/>
      <c r="V60" s="111"/>
      <c r="W60" s="111"/>
      <c r="X60" s="111"/>
      <c r="Y60" s="111"/>
      <c r="Z60" s="111"/>
      <c r="AA60" s="111"/>
      <c r="AB60" s="111"/>
      <c r="AC60" s="1741"/>
      <c r="AD60" s="1741"/>
    </row>
    <row r="61" spans="2:30" outlineLevel="1">
      <c r="B61" s="111"/>
      <c r="C61" s="111"/>
      <c r="D61" s="166"/>
      <c r="E61" s="111"/>
      <c r="F61" s="111"/>
      <c r="G61" s="111"/>
      <c r="H61" s="111"/>
      <c r="I61" s="111"/>
      <c r="J61" s="111"/>
      <c r="K61" s="111"/>
      <c r="L61" s="111"/>
      <c r="M61" s="111"/>
      <c r="N61" s="111"/>
      <c r="R61" s="111"/>
      <c r="S61" s="111"/>
      <c r="T61" s="111"/>
      <c r="U61" s="111"/>
      <c r="V61" s="111"/>
      <c r="W61" s="111"/>
      <c r="X61" s="111"/>
      <c r="Y61" s="111"/>
      <c r="Z61" s="111"/>
      <c r="AA61" s="111"/>
      <c r="AB61" s="111"/>
      <c r="AC61" s="1741"/>
      <c r="AD61" s="1741"/>
    </row>
    <row r="62" spans="2:30" outlineLevel="1">
      <c r="B62" s="111"/>
      <c r="D62" s="166" t="s">
        <v>2039</v>
      </c>
      <c r="E62" s="111"/>
      <c r="F62" s="111"/>
      <c r="G62" s="111"/>
      <c r="H62" s="111"/>
      <c r="I62" s="111"/>
      <c r="J62" s="111"/>
      <c r="K62" s="111"/>
      <c r="L62" s="111"/>
      <c r="M62" s="111"/>
      <c r="N62" s="111"/>
      <c r="P62" s="788" t="s">
        <v>2039</v>
      </c>
      <c r="Q62" s="789"/>
      <c r="R62" s="111"/>
      <c r="S62" s="111"/>
      <c r="T62" s="111"/>
      <c r="U62" s="111"/>
      <c r="V62" s="111"/>
      <c r="W62" s="111"/>
      <c r="X62" s="111"/>
      <c r="Y62" s="111"/>
      <c r="Z62" s="111"/>
      <c r="AA62" s="111"/>
      <c r="AB62" s="111"/>
      <c r="AC62" s="1741"/>
      <c r="AD62" s="1741"/>
    </row>
    <row r="63" spans="2:30" outlineLevel="1">
      <c r="B63" s="111"/>
      <c r="C63" s="111"/>
      <c r="D63" s="166"/>
      <c r="E63" s="1038" t="s">
        <v>165</v>
      </c>
      <c r="F63" s="1038" t="s">
        <v>166</v>
      </c>
      <c r="G63" s="1244">
        <v>7</v>
      </c>
      <c r="H63" s="1244">
        <v>6</v>
      </c>
      <c r="I63" s="1244">
        <v>5</v>
      </c>
      <c r="J63" s="1244">
        <v>4</v>
      </c>
      <c r="K63" s="1244">
        <v>3</v>
      </c>
      <c r="L63" s="1244">
        <v>2</v>
      </c>
      <c r="M63" s="1244">
        <v>1</v>
      </c>
      <c r="N63" s="1244">
        <v>0</v>
      </c>
      <c r="R63" s="1041" t="s">
        <v>165</v>
      </c>
      <c r="S63" s="1041" t="s">
        <v>166</v>
      </c>
      <c r="T63" s="1245">
        <v>7</v>
      </c>
      <c r="U63" s="1245">
        <v>6</v>
      </c>
      <c r="V63" s="1245">
        <v>5</v>
      </c>
      <c r="W63" s="1245">
        <v>4</v>
      </c>
      <c r="X63" s="1245">
        <v>3</v>
      </c>
      <c r="Y63" s="1245">
        <v>2</v>
      </c>
      <c r="Z63" s="1245">
        <v>1</v>
      </c>
      <c r="AA63" s="1245">
        <v>0</v>
      </c>
      <c r="AB63" s="111"/>
      <c r="AC63" s="1741"/>
      <c r="AD63" s="1741"/>
    </row>
    <row r="64" spans="2:30" outlineLevel="1">
      <c r="B64" s="111"/>
      <c r="C64" s="111"/>
      <c r="D64" s="166"/>
      <c r="E64" s="1038" t="s">
        <v>1902</v>
      </c>
      <c r="F64" s="1038" t="s">
        <v>1909</v>
      </c>
      <c r="G64" s="1701" t="s">
        <v>1910</v>
      </c>
      <c r="H64" s="1702"/>
      <c r="I64" s="1702"/>
      <c r="J64" s="1702"/>
      <c r="K64" s="1702"/>
      <c r="L64" s="1702"/>
      <c r="M64" s="1702"/>
      <c r="N64" s="1703"/>
      <c r="R64" s="1041" t="s">
        <v>1902</v>
      </c>
      <c r="S64" s="1041" t="s">
        <v>1909</v>
      </c>
      <c r="T64" s="1701" t="s">
        <v>1910</v>
      </c>
      <c r="U64" s="1702"/>
      <c r="V64" s="1702"/>
      <c r="W64" s="1702"/>
      <c r="X64" s="1702"/>
      <c r="Y64" s="1702"/>
      <c r="Z64" s="1702"/>
      <c r="AA64" s="1703"/>
      <c r="AB64" s="111"/>
      <c r="AC64" s="1741"/>
      <c r="AD64" s="1741"/>
    </row>
    <row r="65" spans="2:30" ht="12.75" customHeight="1" outlineLevel="1">
      <c r="B65" s="111"/>
      <c r="C65" s="111"/>
      <c r="D65" s="166"/>
      <c r="E65" s="1704" t="s">
        <v>1906</v>
      </c>
      <c r="F65" s="1695" t="s">
        <v>1904</v>
      </c>
      <c r="G65" s="1706" t="s">
        <v>1907</v>
      </c>
      <c r="H65" s="1707"/>
      <c r="I65" s="1707"/>
      <c r="J65" s="1707"/>
      <c r="K65" s="1707"/>
      <c r="L65" s="1707"/>
      <c r="M65" s="1707"/>
      <c r="N65" s="1708"/>
      <c r="R65" s="1712" t="s">
        <v>1906</v>
      </c>
      <c r="S65" s="1714" t="s">
        <v>1904</v>
      </c>
      <c r="T65" s="1706" t="s">
        <v>1907</v>
      </c>
      <c r="U65" s="1707"/>
      <c r="V65" s="1707"/>
      <c r="W65" s="1707"/>
      <c r="X65" s="1707"/>
      <c r="Y65" s="1707"/>
      <c r="Z65" s="1707"/>
      <c r="AA65" s="1708"/>
      <c r="AB65" s="111"/>
      <c r="AC65" s="1741"/>
      <c r="AD65" s="1741"/>
    </row>
    <row r="66" spans="2:30" outlineLevel="1">
      <c r="B66" s="111"/>
      <c r="C66" s="111"/>
      <c r="D66" s="166"/>
      <c r="E66" s="1705"/>
      <c r="F66" s="1696"/>
      <c r="G66" s="1709"/>
      <c r="H66" s="1710"/>
      <c r="I66" s="1710"/>
      <c r="J66" s="1710"/>
      <c r="K66" s="1710"/>
      <c r="L66" s="1710"/>
      <c r="M66" s="1710"/>
      <c r="N66" s="1711"/>
      <c r="R66" s="1713"/>
      <c r="S66" s="1715"/>
      <c r="T66" s="1709"/>
      <c r="U66" s="1710"/>
      <c r="V66" s="1710"/>
      <c r="W66" s="1710"/>
      <c r="X66" s="1710"/>
      <c r="Y66" s="1710"/>
      <c r="Z66" s="1710"/>
      <c r="AA66" s="1711"/>
      <c r="AB66" s="111"/>
      <c r="AC66" s="1741"/>
      <c r="AD66" s="1741"/>
    </row>
    <row r="67" spans="2:30" ht="12.75" customHeight="1" outlineLevel="1">
      <c r="B67" s="111"/>
      <c r="C67" s="111"/>
      <c r="D67" s="166"/>
      <c r="E67" s="1039" t="s">
        <v>1562</v>
      </c>
      <c r="F67" s="1039" t="s">
        <v>1564</v>
      </c>
      <c r="G67" s="1742" t="s">
        <v>1566</v>
      </c>
      <c r="H67" s="1743"/>
      <c r="I67" s="1743"/>
      <c r="J67" s="1743"/>
      <c r="K67" s="1743"/>
      <c r="L67" s="1743"/>
      <c r="M67" s="1743"/>
      <c r="N67" s="1744"/>
      <c r="R67" s="1043" t="s">
        <v>1562</v>
      </c>
      <c r="S67" s="1043" t="s">
        <v>1564</v>
      </c>
      <c r="T67" s="1718" t="s">
        <v>2041</v>
      </c>
      <c r="U67" s="1718"/>
      <c r="V67" s="1718"/>
      <c r="W67" s="1718"/>
      <c r="X67" s="1718"/>
      <c r="Y67" s="1718"/>
      <c r="Z67" s="1718"/>
      <c r="AA67" s="1718"/>
      <c r="AB67" s="111"/>
      <c r="AC67" s="1741"/>
      <c r="AD67" s="1741"/>
    </row>
    <row r="68" spans="2:30" ht="12.75" customHeight="1" outlineLevel="1">
      <c r="B68" s="111"/>
      <c r="C68" s="111"/>
      <c r="D68" s="166"/>
      <c r="E68" s="1695" t="s">
        <v>1563</v>
      </c>
      <c r="F68" s="1695" t="s">
        <v>1565</v>
      </c>
      <c r="G68" s="1728" t="s">
        <v>1887</v>
      </c>
      <c r="H68" s="1729" t="s">
        <v>1887</v>
      </c>
      <c r="I68" s="1697" t="s">
        <v>1889</v>
      </c>
      <c r="J68" s="1697" t="s">
        <v>1889</v>
      </c>
      <c r="K68" s="1697" t="s">
        <v>1889</v>
      </c>
      <c r="L68" s="1697" t="s">
        <v>1889</v>
      </c>
      <c r="M68" s="1697" t="s">
        <v>1889</v>
      </c>
      <c r="N68" s="1719" t="s">
        <v>1889</v>
      </c>
      <c r="R68" s="1714" t="s">
        <v>1563</v>
      </c>
      <c r="S68" s="1714" t="s">
        <v>1565</v>
      </c>
      <c r="T68" s="1728" t="s">
        <v>1887</v>
      </c>
      <c r="U68" s="1729" t="s">
        <v>1887</v>
      </c>
      <c r="V68" s="1697" t="s">
        <v>1889</v>
      </c>
      <c r="W68" s="1697" t="s">
        <v>1889</v>
      </c>
      <c r="X68" s="1697" t="s">
        <v>1889</v>
      </c>
      <c r="Y68" s="1697" t="s">
        <v>1889</v>
      </c>
      <c r="Z68" s="1697" t="s">
        <v>1889</v>
      </c>
      <c r="AA68" s="1719" t="s">
        <v>1889</v>
      </c>
      <c r="AB68" s="111"/>
      <c r="AC68" s="1741"/>
      <c r="AD68" s="1741"/>
    </row>
    <row r="69" spans="2:30" ht="12.75" customHeight="1" outlineLevel="1">
      <c r="B69" s="111"/>
      <c r="C69" s="111"/>
      <c r="D69" s="166"/>
      <c r="E69" s="1696"/>
      <c r="F69" s="1696"/>
      <c r="G69" s="1728"/>
      <c r="H69" s="1730"/>
      <c r="I69" s="1697"/>
      <c r="J69" s="1697"/>
      <c r="K69" s="1697"/>
      <c r="L69" s="1697"/>
      <c r="M69" s="1697"/>
      <c r="N69" s="1719"/>
      <c r="R69" s="1715"/>
      <c r="S69" s="1715"/>
      <c r="T69" s="1728"/>
      <c r="U69" s="1730"/>
      <c r="V69" s="1697"/>
      <c r="W69" s="1697"/>
      <c r="X69" s="1697"/>
      <c r="Y69" s="1697"/>
      <c r="Z69" s="1697"/>
      <c r="AA69" s="1719"/>
      <c r="AB69" s="111"/>
      <c r="AC69" s="1741"/>
      <c r="AD69" s="1741"/>
    </row>
    <row r="70" spans="2:30" outlineLevel="1">
      <c r="AC70" s="803"/>
      <c r="AD70" s="803"/>
    </row>
    <row r="71" spans="2:30" outlineLevel="1">
      <c r="AC71" s="799"/>
      <c r="AD71" s="799"/>
    </row>
    <row r="72" spans="2:30" s="162" customFormat="1">
      <c r="B72" s="163" t="s">
        <v>2045</v>
      </c>
      <c r="C72" s="163"/>
      <c r="D72" s="163"/>
      <c r="K72" s="770" t="s">
        <v>1916</v>
      </c>
      <c r="L72" s="778"/>
      <c r="M72" s="778"/>
      <c r="N72" s="778"/>
      <c r="O72" s="742"/>
      <c r="P72" s="742"/>
      <c r="Q72" s="742"/>
      <c r="R72" s="790" t="s">
        <v>1915</v>
      </c>
      <c r="S72" s="778"/>
      <c r="T72" s="778"/>
      <c r="U72" s="778"/>
      <c r="V72" s="742"/>
      <c r="W72" s="742"/>
      <c r="X72" s="790"/>
      <c r="Y72" s="779"/>
      <c r="Z72" s="779"/>
      <c r="AA72" s="779"/>
      <c r="AB72" s="785"/>
      <c r="AC72" s="806"/>
      <c r="AD72" s="800"/>
    </row>
    <row r="73" spans="2:30" outlineLevel="1">
      <c r="B73" s="111"/>
      <c r="C73" s="166" t="s">
        <v>164</v>
      </c>
      <c r="D73" s="111"/>
      <c r="E73" s="111"/>
      <c r="F73" s="111"/>
      <c r="G73" s="111"/>
      <c r="H73" s="111"/>
      <c r="I73" s="111"/>
      <c r="J73" s="111"/>
      <c r="K73" s="111"/>
      <c r="L73" s="111"/>
      <c r="M73" s="111"/>
      <c r="N73" s="111"/>
      <c r="P73" s="788" t="s">
        <v>167</v>
      </c>
      <c r="Q73" s="788"/>
      <c r="R73" s="111"/>
      <c r="S73" s="111"/>
      <c r="T73" s="111"/>
      <c r="U73" s="111"/>
      <c r="V73" s="111"/>
      <c r="W73" s="111"/>
      <c r="X73" s="111"/>
      <c r="Y73" s="111"/>
      <c r="Z73" s="111"/>
      <c r="AA73" s="111"/>
      <c r="AB73" s="111"/>
      <c r="AC73" s="807"/>
      <c r="AD73" s="802"/>
    </row>
    <row r="74" spans="2:30" outlineLevel="1">
      <c r="B74" s="111"/>
      <c r="C74" s="166"/>
      <c r="D74" s="166" t="s">
        <v>2043</v>
      </c>
      <c r="E74" s="111"/>
      <c r="F74" s="111"/>
      <c r="G74" s="111"/>
      <c r="H74" s="111"/>
      <c r="I74" s="111"/>
      <c r="J74" s="111"/>
      <c r="K74" s="111"/>
      <c r="L74" s="111"/>
      <c r="M74" s="111"/>
      <c r="N74" s="111"/>
      <c r="P74" s="788"/>
      <c r="Q74" s="788" t="s">
        <v>2043</v>
      </c>
      <c r="R74" s="111"/>
      <c r="S74" s="111"/>
      <c r="T74" s="111"/>
      <c r="U74" s="111"/>
      <c r="V74" s="111"/>
      <c r="W74" s="111"/>
      <c r="X74" s="111"/>
      <c r="Y74" s="111"/>
      <c r="Z74" s="111"/>
      <c r="AA74" s="111"/>
      <c r="AB74" s="111"/>
      <c r="AC74" s="807"/>
      <c r="AD74" s="802"/>
    </row>
    <row r="75" spans="2:30" ht="12.75" customHeight="1" outlineLevel="1">
      <c r="B75" s="111"/>
      <c r="C75" s="111"/>
      <c r="E75" s="111" t="s">
        <v>193</v>
      </c>
      <c r="F75" s="111"/>
      <c r="G75" s="111"/>
      <c r="H75" s="111"/>
      <c r="I75" s="111"/>
      <c r="J75" s="111"/>
      <c r="K75" s="111"/>
      <c r="L75" s="111"/>
      <c r="M75" s="111"/>
      <c r="N75" s="111"/>
      <c r="P75" s="789"/>
      <c r="R75" s="111" t="s">
        <v>193</v>
      </c>
      <c r="S75" s="111"/>
      <c r="T75" s="111"/>
      <c r="U75" s="111"/>
      <c r="V75" s="111"/>
      <c r="W75" s="111"/>
      <c r="X75" s="111"/>
      <c r="Y75" s="111"/>
      <c r="Z75" s="111"/>
      <c r="AA75" s="111"/>
      <c r="AB75" s="111"/>
      <c r="AC75" s="1700" t="s">
        <v>1816</v>
      </c>
      <c r="AD75" s="1700" t="s">
        <v>1858</v>
      </c>
    </row>
    <row r="76" spans="2:30" outlineLevel="1">
      <c r="B76" s="111"/>
      <c r="C76" s="111"/>
      <c r="D76" s="166"/>
      <c r="E76" s="787" t="s">
        <v>194</v>
      </c>
      <c r="F76" s="111"/>
      <c r="G76" s="111"/>
      <c r="H76" s="111"/>
      <c r="I76" s="111"/>
      <c r="J76" s="111"/>
      <c r="K76" s="111"/>
      <c r="L76" s="111"/>
      <c r="M76" s="111"/>
      <c r="N76" s="111"/>
      <c r="P76" s="789"/>
      <c r="Q76" s="789"/>
      <c r="R76" s="787" t="s">
        <v>194</v>
      </c>
      <c r="S76" s="111"/>
      <c r="T76" s="111"/>
      <c r="U76" s="111"/>
      <c r="V76" s="111"/>
      <c r="W76" s="111"/>
      <c r="X76" s="111"/>
      <c r="Y76" s="111"/>
      <c r="Z76" s="111"/>
      <c r="AA76" s="111"/>
      <c r="AB76" s="111"/>
      <c r="AC76" s="1700"/>
      <c r="AD76" s="1700"/>
    </row>
    <row r="77" spans="2:30" ht="12.75" customHeight="1" outlineLevel="1">
      <c r="B77" s="111"/>
      <c r="C77" s="111"/>
      <c r="D77" s="166"/>
      <c r="E77" s="787" t="s">
        <v>195</v>
      </c>
      <c r="F77" s="111"/>
      <c r="G77" s="111"/>
      <c r="H77" s="111"/>
      <c r="I77" s="111"/>
      <c r="J77" s="111"/>
      <c r="K77" s="111"/>
      <c r="L77" s="111"/>
      <c r="M77" s="111"/>
      <c r="N77" s="111"/>
      <c r="P77" s="789"/>
      <c r="Q77" s="789"/>
      <c r="R77" s="787" t="s">
        <v>195</v>
      </c>
      <c r="S77" s="111"/>
      <c r="T77" s="111"/>
      <c r="U77" s="111"/>
      <c r="V77" s="111"/>
      <c r="W77" s="111"/>
      <c r="X77" s="111"/>
      <c r="Y77" s="111"/>
      <c r="Z77" s="111"/>
      <c r="AA77" s="111"/>
      <c r="AB77" s="111"/>
      <c r="AC77" s="1700"/>
      <c r="AD77" s="1700"/>
    </row>
    <row r="78" spans="2:30" outlineLevel="1">
      <c r="E78" s="1038" t="s">
        <v>165</v>
      </c>
      <c r="F78" s="1038" t="s">
        <v>166</v>
      </c>
      <c r="G78" s="1244">
        <v>7</v>
      </c>
      <c r="H78" s="1244">
        <v>6</v>
      </c>
      <c r="I78" s="1244">
        <v>5</v>
      </c>
      <c r="J78" s="1244">
        <v>4</v>
      </c>
      <c r="K78" s="1244">
        <v>3</v>
      </c>
      <c r="L78" s="1244">
        <v>2</v>
      </c>
      <c r="M78" s="1244">
        <v>1</v>
      </c>
      <c r="N78" s="1244">
        <v>0</v>
      </c>
      <c r="R78" s="1041" t="s">
        <v>165</v>
      </c>
      <c r="S78" s="1041" t="s">
        <v>166</v>
      </c>
      <c r="T78" s="1245">
        <v>7</v>
      </c>
      <c r="U78" s="1245">
        <v>6</v>
      </c>
      <c r="V78" s="1245">
        <v>5</v>
      </c>
      <c r="W78" s="1245">
        <v>4</v>
      </c>
      <c r="X78" s="1245">
        <v>3</v>
      </c>
      <c r="Y78" s="1245">
        <v>2</v>
      </c>
      <c r="Z78" s="1245">
        <v>1</v>
      </c>
      <c r="AA78" s="1245">
        <v>0</v>
      </c>
      <c r="AC78" s="1700"/>
      <c r="AD78" s="1700"/>
    </row>
    <row r="79" spans="2:30" outlineLevel="1">
      <c r="E79" s="1038" t="s">
        <v>1902</v>
      </c>
      <c r="F79" s="1038" t="s">
        <v>1207</v>
      </c>
      <c r="G79" s="1701" t="s">
        <v>88</v>
      </c>
      <c r="H79" s="1702"/>
      <c r="I79" s="1702"/>
      <c r="J79" s="1702"/>
      <c r="K79" s="1702"/>
      <c r="L79" s="1702"/>
      <c r="M79" s="1702"/>
      <c r="N79" s="1703"/>
      <c r="R79" s="1041" t="s">
        <v>1902</v>
      </c>
      <c r="S79" s="1041" t="s">
        <v>1207</v>
      </c>
      <c r="T79" s="1701" t="s">
        <v>88</v>
      </c>
      <c r="U79" s="1702"/>
      <c r="V79" s="1702"/>
      <c r="W79" s="1702"/>
      <c r="X79" s="1702"/>
      <c r="Y79" s="1702"/>
      <c r="Z79" s="1702"/>
      <c r="AA79" s="1703"/>
      <c r="AC79" s="1700"/>
      <c r="AD79" s="1700"/>
    </row>
    <row r="80" spans="2:30" ht="12.75" customHeight="1" outlineLevel="1">
      <c r="E80" s="1704" t="s">
        <v>1906</v>
      </c>
      <c r="F80" s="1695" t="s">
        <v>1904</v>
      </c>
      <c r="G80" s="1706" t="s">
        <v>1911</v>
      </c>
      <c r="H80" s="1707"/>
      <c r="I80" s="1707"/>
      <c r="J80" s="1707"/>
      <c r="K80" s="1707"/>
      <c r="L80" s="1707"/>
      <c r="M80" s="1707"/>
      <c r="N80" s="1708"/>
      <c r="R80" s="1712" t="s">
        <v>1906</v>
      </c>
      <c r="S80" s="1714" t="s">
        <v>1904</v>
      </c>
      <c r="T80" s="1706" t="s">
        <v>1911</v>
      </c>
      <c r="U80" s="1707"/>
      <c r="V80" s="1707"/>
      <c r="W80" s="1707"/>
      <c r="X80" s="1707"/>
      <c r="Y80" s="1707"/>
      <c r="Z80" s="1707"/>
      <c r="AA80" s="1708"/>
      <c r="AC80" s="1700"/>
      <c r="AD80" s="1700"/>
    </row>
    <row r="81" spans="2:30" outlineLevel="1">
      <c r="E81" s="1705"/>
      <c r="F81" s="1696"/>
      <c r="G81" s="1709"/>
      <c r="H81" s="1710"/>
      <c r="I81" s="1710"/>
      <c r="J81" s="1710"/>
      <c r="K81" s="1710"/>
      <c r="L81" s="1710"/>
      <c r="M81" s="1710"/>
      <c r="N81" s="1711"/>
      <c r="R81" s="1713"/>
      <c r="S81" s="1715"/>
      <c r="T81" s="1709"/>
      <c r="U81" s="1710"/>
      <c r="V81" s="1710"/>
      <c r="W81" s="1710"/>
      <c r="X81" s="1710"/>
      <c r="Y81" s="1710"/>
      <c r="Z81" s="1710"/>
      <c r="AA81" s="1711"/>
      <c r="AC81" s="1700"/>
      <c r="AD81" s="1700"/>
    </row>
    <row r="82" spans="2:30" outlineLevel="1">
      <c r="E82" s="1038" t="s">
        <v>1562</v>
      </c>
      <c r="F82" s="1039" t="s">
        <v>1564</v>
      </c>
      <c r="G82" s="1716" t="s">
        <v>1566</v>
      </c>
      <c r="H82" s="1717"/>
      <c r="I82" s="1717"/>
      <c r="J82" s="1717"/>
      <c r="K82" s="1717"/>
      <c r="L82" s="1717"/>
      <c r="M82" s="1717"/>
      <c r="N82" s="1717"/>
      <c r="R82" s="1041" t="s">
        <v>1562</v>
      </c>
      <c r="S82" s="1043" t="s">
        <v>1564</v>
      </c>
      <c r="T82" s="1718" t="s">
        <v>2041</v>
      </c>
      <c r="U82" s="1718"/>
      <c r="V82" s="1718"/>
      <c r="W82" s="1718"/>
      <c r="X82" s="1718"/>
      <c r="Y82" s="1718"/>
      <c r="Z82" s="1718"/>
      <c r="AA82" s="1718"/>
      <c r="AC82" s="1700"/>
      <c r="AD82" s="1700"/>
    </row>
    <row r="83" spans="2:30" ht="12.75" customHeight="1" outlineLevel="1">
      <c r="E83" s="1699" t="s">
        <v>1563</v>
      </c>
      <c r="F83" s="1699" t="s">
        <v>1565</v>
      </c>
      <c r="G83" s="1697" t="s">
        <v>1889</v>
      </c>
      <c r="H83" s="1698" t="s">
        <v>1887</v>
      </c>
      <c r="I83" s="1697" t="s">
        <v>1889</v>
      </c>
      <c r="J83" s="1697" t="s">
        <v>1889</v>
      </c>
      <c r="K83" s="1697" t="s">
        <v>1889</v>
      </c>
      <c r="L83" s="1697" t="s">
        <v>1889</v>
      </c>
      <c r="M83" s="1697" t="s">
        <v>1889</v>
      </c>
      <c r="N83" s="1719" t="s">
        <v>1889</v>
      </c>
      <c r="R83" s="1720" t="s">
        <v>1563</v>
      </c>
      <c r="S83" s="1720" t="s">
        <v>1578</v>
      </c>
      <c r="T83" s="1697" t="s">
        <v>1889</v>
      </c>
      <c r="U83" s="1698" t="s">
        <v>2044</v>
      </c>
      <c r="V83" s="1697" t="s">
        <v>1889</v>
      </c>
      <c r="W83" s="1697" t="s">
        <v>1889</v>
      </c>
      <c r="X83" s="1697" t="s">
        <v>1889</v>
      </c>
      <c r="Y83" s="1697" t="s">
        <v>1889</v>
      </c>
      <c r="Z83" s="1697" t="s">
        <v>1889</v>
      </c>
      <c r="AA83" s="1719" t="s">
        <v>1889</v>
      </c>
      <c r="AB83" s="111"/>
      <c r="AC83" s="1700"/>
      <c r="AD83" s="1700"/>
    </row>
    <row r="84" spans="2:30" outlineLevel="1">
      <c r="E84" s="1699"/>
      <c r="F84" s="1699"/>
      <c r="G84" s="1697"/>
      <c r="H84" s="1698"/>
      <c r="I84" s="1697"/>
      <c r="J84" s="1697"/>
      <c r="K84" s="1697"/>
      <c r="L84" s="1697"/>
      <c r="M84" s="1697"/>
      <c r="N84" s="1719"/>
      <c r="R84" s="1720"/>
      <c r="S84" s="1720"/>
      <c r="T84" s="1697"/>
      <c r="U84" s="1698"/>
      <c r="V84" s="1697"/>
      <c r="W84" s="1697"/>
      <c r="X84" s="1697"/>
      <c r="Y84" s="1697"/>
      <c r="Z84" s="1697"/>
      <c r="AA84" s="1719"/>
      <c r="AB84" s="111"/>
      <c r="AC84" s="1700"/>
      <c r="AD84" s="1700"/>
    </row>
    <row r="85" spans="2:30" ht="12.75" customHeight="1" outlineLevel="1">
      <c r="E85" s="1699" t="s">
        <v>1577</v>
      </c>
      <c r="F85" s="1699" t="s">
        <v>1578</v>
      </c>
      <c r="G85" s="1697" t="s">
        <v>1889</v>
      </c>
      <c r="H85" s="1698" t="s">
        <v>2044</v>
      </c>
      <c r="I85" s="1697" t="s">
        <v>1889</v>
      </c>
      <c r="J85" s="1697" t="s">
        <v>1889</v>
      </c>
      <c r="K85" s="1697" t="s">
        <v>1889</v>
      </c>
      <c r="L85" s="1697" t="s">
        <v>1889</v>
      </c>
      <c r="M85" s="1697" t="s">
        <v>1889</v>
      </c>
      <c r="N85" s="1719" t="s">
        <v>1889</v>
      </c>
      <c r="R85" s="111"/>
      <c r="S85" s="111"/>
      <c r="T85" s="111"/>
      <c r="U85" s="111"/>
      <c r="V85" s="111"/>
      <c r="W85" s="111"/>
      <c r="X85" s="111"/>
      <c r="Y85" s="111"/>
      <c r="Z85" s="111"/>
      <c r="AA85" s="111"/>
      <c r="AB85" s="111"/>
      <c r="AC85" s="1700"/>
      <c r="AD85" s="1700"/>
    </row>
    <row r="86" spans="2:30" outlineLevel="1">
      <c r="E86" s="1699"/>
      <c r="F86" s="1699"/>
      <c r="G86" s="1697"/>
      <c r="H86" s="1698"/>
      <c r="I86" s="1697"/>
      <c r="J86" s="1697"/>
      <c r="K86" s="1697"/>
      <c r="L86" s="1697"/>
      <c r="M86" s="1697"/>
      <c r="N86" s="1719"/>
      <c r="R86" s="111"/>
      <c r="S86" s="111"/>
      <c r="T86" s="111"/>
      <c r="U86" s="111"/>
      <c r="V86" s="111"/>
      <c r="W86" s="111"/>
      <c r="X86" s="111"/>
      <c r="Y86" s="111"/>
      <c r="Z86" s="111"/>
      <c r="AA86" s="111"/>
      <c r="AB86" s="111"/>
      <c r="AC86" s="1700"/>
      <c r="AD86" s="1700"/>
    </row>
    <row r="87" spans="2:30" outlineLevel="1">
      <c r="B87" s="111"/>
      <c r="C87" s="111"/>
      <c r="D87" s="166"/>
      <c r="E87" s="111"/>
      <c r="F87" s="111"/>
      <c r="G87" s="111"/>
      <c r="H87" s="111"/>
      <c r="I87" s="111"/>
      <c r="J87" s="111"/>
      <c r="K87" s="111"/>
      <c r="L87" s="111"/>
      <c r="M87" s="111"/>
      <c r="N87" s="111"/>
      <c r="R87" s="111"/>
      <c r="S87" s="111"/>
      <c r="T87" s="111"/>
      <c r="U87" s="111"/>
      <c r="V87" s="111"/>
      <c r="W87" s="111"/>
      <c r="X87" s="111"/>
      <c r="Y87" s="111"/>
      <c r="Z87" s="111"/>
      <c r="AA87" s="111"/>
      <c r="AB87" s="111"/>
      <c r="AC87" s="1700"/>
      <c r="AD87" s="1700"/>
    </row>
    <row r="88" spans="2:30" outlineLevel="1">
      <c r="B88" s="111"/>
      <c r="D88" s="166" t="s">
        <v>2039</v>
      </c>
      <c r="E88" s="111"/>
      <c r="F88" s="111"/>
      <c r="G88" s="111"/>
      <c r="H88" s="111"/>
      <c r="I88" s="111"/>
      <c r="J88" s="111"/>
      <c r="K88" s="111"/>
      <c r="L88" s="111"/>
      <c r="M88" s="111"/>
      <c r="N88" s="111"/>
      <c r="P88" s="788" t="s">
        <v>2039</v>
      </c>
      <c r="Q88" s="789"/>
      <c r="R88" s="111"/>
      <c r="S88" s="111"/>
      <c r="T88" s="111"/>
      <c r="U88" s="111"/>
      <c r="V88" s="111"/>
      <c r="W88" s="111"/>
      <c r="X88" s="111"/>
      <c r="Y88" s="111"/>
      <c r="Z88" s="111"/>
      <c r="AA88" s="111"/>
      <c r="AB88" s="111"/>
      <c r="AC88" s="1700"/>
      <c r="AD88" s="1700"/>
    </row>
    <row r="89" spans="2:30" outlineLevel="1">
      <c r="B89" s="111"/>
      <c r="C89" s="111"/>
      <c r="D89" s="166"/>
      <c r="E89" s="1038" t="s">
        <v>165</v>
      </c>
      <c r="F89" s="1038" t="s">
        <v>166</v>
      </c>
      <c r="G89" s="1244">
        <v>7</v>
      </c>
      <c r="H89" s="1244">
        <v>6</v>
      </c>
      <c r="I89" s="1244">
        <v>5</v>
      </c>
      <c r="J89" s="1244">
        <v>4</v>
      </c>
      <c r="K89" s="1244">
        <v>3</v>
      </c>
      <c r="L89" s="1244">
        <v>2</v>
      </c>
      <c r="M89" s="1244">
        <v>1</v>
      </c>
      <c r="N89" s="1244">
        <v>0</v>
      </c>
      <c r="R89" s="1041" t="s">
        <v>165</v>
      </c>
      <c r="S89" s="1041" t="s">
        <v>166</v>
      </c>
      <c r="T89" s="1245">
        <v>7</v>
      </c>
      <c r="U89" s="1245">
        <v>6</v>
      </c>
      <c r="V89" s="1245">
        <v>5</v>
      </c>
      <c r="W89" s="1245">
        <v>4</v>
      </c>
      <c r="X89" s="1245">
        <v>3</v>
      </c>
      <c r="Y89" s="1245">
        <v>2</v>
      </c>
      <c r="Z89" s="1245">
        <v>1</v>
      </c>
      <c r="AA89" s="1245">
        <v>0</v>
      </c>
      <c r="AB89" s="111"/>
      <c r="AC89" s="1700"/>
      <c r="AD89" s="1700"/>
    </row>
    <row r="90" spans="2:30" outlineLevel="1">
      <c r="B90" s="111"/>
      <c r="C90" s="111"/>
      <c r="D90" s="166"/>
      <c r="E90" s="1038" t="s">
        <v>1902</v>
      </c>
      <c r="F90" s="1038" t="s">
        <v>1909</v>
      </c>
      <c r="G90" s="1701" t="s">
        <v>1910</v>
      </c>
      <c r="H90" s="1702"/>
      <c r="I90" s="1702"/>
      <c r="J90" s="1702"/>
      <c r="K90" s="1702"/>
      <c r="L90" s="1702"/>
      <c r="M90" s="1702"/>
      <c r="N90" s="1703"/>
      <c r="R90" s="1041" t="s">
        <v>1902</v>
      </c>
      <c r="S90" s="1041" t="s">
        <v>1909</v>
      </c>
      <c r="T90" s="1701" t="s">
        <v>1910</v>
      </c>
      <c r="U90" s="1702"/>
      <c r="V90" s="1702"/>
      <c r="W90" s="1702"/>
      <c r="X90" s="1702"/>
      <c r="Y90" s="1702"/>
      <c r="Z90" s="1702"/>
      <c r="AA90" s="1703"/>
      <c r="AB90" s="111"/>
      <c r="AC90" s="1700"/>
      <c r="AD90" s="1700"/>
    </row>
    <row r="91" spans="2:30" ht="12.75" customHeight="1" outlineLevel="1">
      <c r="B91" s="111"/>
      <c r="C91" s="111"/>
      <c r="D91" s="166"/>
      <c r="E91" s="1704" t="s">
        <v>1906</v>
      </c>
      <c r="F91" s="1695" t="s">
        <v>1904</v>
      </c>
      <c r="G91" s="1706" t="s">
        <v>1911</v>
      </c>
      <c r="H91" s="1707"/>
      <c r="I91" s="1707"/>
      <c r="J91" s="1707"/>
      <c r="K91" s="1707"/>
      <c r="L91" s="1707"/>
      <c r="M91" s="1707"/>
      <c r="N91" s="1708"/>
      <c r="R91" s="1712" t="s">
        <v>1906</v>
      </c>
      <c r="S91" s="1714" t="s">
        <v>1904</v>
      </c>
      <c r="T91" s="1706" t="s">
        <v>1911</v>
      </c>
      <c r="U91" s="1707"/>
      <c r="V91" s="1707"/>
      <c r="W91" s="1707"/>
      <c r="X91" s="1707"/>
      <c r="Y91" s="1707"/>
      <c r="Z91" s="1707"/>
      <c r="AA91" s="1708"/>
      <c r="AB91" s="111"/>
      <c r="AC91" s="1700"/>
      <c r="AD91" s="1700"/>
    </row>
    <row r="92" spans="2:30" outlineLevel="1">
      <c r="B92" s="111"/>
      <c r="C92" s="111"/>
      <c r="D92" s="166"/>
      <c r="E92" s="1705"/>
      <c r="F92" s="1696"/>
      <c r="G92" s="1709"/>
      <c r="H92" s="1710"/>
      <c r="I92" s="1710"/>
      <c r="J92" s="1710"/>
      <c r="K92" s="1710"/>
      <c r="L92" s="1710"/>
      <c r="M92" s="1710"/>
      <c r="N92" s="1711"/>
      <c r="R92" s="1713"/>
      <c r="S92" s="1715"/>
      <c r="T92" s="1709"/>
      <c r="U92" s="1710"/>
      <c r="V92" s="1710"/>
      <c r="W92" s="1710"/>
      <c r="X92" s="1710"/>
      <c r="Y92" s="1710"/>
      <c r="Z92" s="1710"/>
      <c r="AA92" s="1711"/>
      <c r="AB92" s="111"/>
      <c r="AC92" s="1700"/>
      <c r="AD92" s="1700"/>
    </row>
    <row r="93" spans="2:30" outlineLevel="1">
      <c r="B93" s="111"/>
      <c r="C93" s="111"/>
      <c r="D93" s="166"/>
      <c r="E93" s="1040" t="s">
        <v>174</v>
      </c>
      <c r="F93" s="1039" t="s">
        <v>1564</v>
      </c>
      <c r="G93" s="1742" t="s">
        <v>1566</v>
      </c>
      <c r="H93" s="1743"/>
      <c r="I93" s="1743"/>
      <c r="J93" s="1743"/>
      <c r="K93" s="1743"/>
      <c r="L93" s="1743"/>
      <c r="M93" s="1743"/>
      <c r="N93" s="1744"/>
      <c r="R93" s="1044" t="s">
        <v>174</v>
      </c>
      <c r="S93" s="1043" t="s">
        <v>1564</v>
      </c>
      <c r="T93" s="1718" t="s">
        <v>2041</v>
      </c>
      <c r="U93" s="1718"/>
      <c r="V93" s="1718"/>
      <c r="W93" s="1718"/>
      <c r="X93" s="1718"/>
      <c r="Y93" s="1718"/>
      <c r="Z93" s="1718"/>
      <c r="AA93" s="1718"/>
      <c r="AB93" s="111"/>
      <c r="AC93" s="1700"/>
      <c r="AD93" s="1700"/>
    </row>
    <row r="94" spans="2:30" ht="12.75" customHeight="1" outlineLevel="1">
      <c r="B94" s="111"/>
      <c r="C94" s="111"/>
      <c r="D94" s="166"/>
      <c r="E94" s="1695" t="s">
        <v>1563</v>
      </c>
      <c r="F94" s="1695" t="s">
        <v>1565</v>
      </c>
      <c r="G94" s="1697" t="s">
        <v>1889</v>
      </c>
      <c r="H94" s="1698" t="s">
        <v>1887</v>
      </c>
      <c r="I94" s="1697" t="s">
        <v>1889</v>
      </c>
      <c r="J94" s="1697" t="s">
        <v>1889</v>
      </c>
      <c r="K94" s="1697" t="s">
        <v>1889</v>
      </c>
      <c r="L94" s="1697" t="s">
        <v>1889</v>
      </c>
      <c r="M94" s="1697" t="s">
        <v>1889</v>
      </c>
      <c r="N94" s="1719" t="s">
        <v>1889</v>
      </c>
      <c r="R94" s="1714" t="s">
        <v>1563</v>
      </c>
      <c r="S94" s="1714" t="s">
        <v>1565</v>
      </c>
      <c r="T94" s="1697" t="s">
        <v>1889</v>
      </c>
      <c r="U94" s="1698" t="s">
        <v>1887</v>
      </c>
      <c r="V94" s="1697" t="s">
        <v>1889</v>
      </c>
      <c r="W94" s="1697" t="s">
        <v>1889</v>
      </c>
      <c r="X94" s="1697" t="s">
        <v>1889</v>
      </c>
      <c r="Y94" s="1697" t="s">
        <v>1889</v>
      </c>
      <c r="Z94" s="1697" t="s">
        <v>1889</v>
      </c>
      <c r="AA94" s="1719" t="s">
        <v>1889</v>
      </c>
      <c r="AB94" s="111"/>
      <c r="AC94" s="1700"/>
      <c r="AD94" s="1700"/>
    </row>
    <row r="95" spans="2:30">
      <c r="E95" s="1696"/>
      <c r="F95" s="1696"/>
      <c r="G95" s="1697"/>
      <c r="H95" s="1698"/>
      <c r="I95" s="1697"/>
      <c r="J95" s="1697"/>
      <c r="K95" s="1697"/>
      <c r="L95" s="1697"/>
      <c r="M95" s="1697"/>
      <c r="N95" s="1719"/>
      <c r="R95" s="1715"/>
      <c r="S95" s="1715"/>
      <c r="T95" s="1697"/>
      <c r="U95" s="1698"/>
      <c r="V95" s="1697"/>
      <c r="W95" s="1697"/>
      <c r="X95" s="1697"/>
      <c r="Y95" s="1697"/>
      <c r="Z95" s="1697"/>
      <c r="AA95" s="1719"/>
      <c r="AC95" s="1700"/>
      <c r="AD95" s="1700"/>
    </row>
    <row r="96" spans="2:30">
      <c r="E96" s="762"/>
      <c r="F96" s="762"/>
      <c r="G96" s="763"/>
      <c r="H96" s="763"/>
      <c r="I96" s="763"/>
      <c r="J96" s="763"/>
      <c r="K96" s="763"/>
      <c r="L96" s="763"/>
      <c r="M96" s="763"/>
      <c r="N96" s="763"/>
      <c r="R96" s="762"/>
      <c r="S96" s="762"/>
      <c r="T96" s="763"/>
      <c r="U96" s="763"/>
      <c r="V96" s="763"/>
      <c r="W96" s="763"/>
      <c r="X96" s="763"/>
      <c r="Y96" s="763"/>
      <c r="Z96" s="763"/>
      <c r="AA96" s="763"/>
      <c r="AC96" s="804"/>
      <c r="AD96" s="804"/>
    </row>
    <row r="97" spans="2:30">
      <c r="AC97" s="805"/>
      <c r="AD97" s="798"/>
    </row>
    <row r="98" spans="2:30" s="162" customFormat="1">
      <c r="B98" s="163" t="s">
        <v>2046</v>
      </c>
      <c r="C98" s="163"/>
      <c r="D98" s="163"/>
      <c r="K98" s="770" t="s">
        <v>1916</v>
      </c>
      <c r="L98" s="778"/>
      <c r="M98" s="778"/>
      <c r="N98" s="778"/>
      <c r="O98" s="742"/>
      <c r="P98" s="742"/>
      <c r="Q98" s="742"/>
      <c r="R98" s="790" t="s">
        <v>1915</v>
      </c>
      <c r="S98" s="778"/>
      <c r="T98" s="778"/>
      <c r="U98" s="778"/>
      <c r="V98" s="742"/>
      <c r="W98" s="742"/>
      <c r="X98" s="790"/>
      <c r="Y98" s="779"/>
      <c r="Z98" s="779"/>
      <c r="AA98" s="779"/>
      <c r="AB98" s="785"/>
      <c r="AC98" s="806"/>
      <c r="AD98" s="800"/>
    </row>
    <row r="99" spans="2:30" outlineLevel="1">
      <c r="B99" s="111"/>
      <c r="C99" s="166" t="s">
        <v>164</v>
      </c>
      <c r="D99" s="111"/>
      <c r="E99" s="111"/>
      <c r="F99" s="111"/>
      <c r="G99" s="111"/>
      <c r="H99" s="111"/>
      <c r="I99" s="111"/>
      <c r="J99" s="111"/>
      <c r="K99" s="111"/>
      <c r="L99" s="111"/>
      <c r="M99" s="111"/>
      <c r="N99" s="111"/>
      <c r="P99" s="788" t="s">
        <v>167</v>
      </c>
      <c r="Q99" s="788"/>
      <c r="R99" s="111"/>
      <c r="S99" s="111"/>
      <c r="T99" s="111"/>
      <c r="U99" s="111"/>
      <c r="V99" s="111"/>
      <c r="W99" s="111"/>
      <c r="X99" s="111"/>
      <c r="Y99" s="111"/>
      <c r="Z99" s="111"/>
      <c r="AA99" s="111"/>
      <c r="AB99" s="111"/>
      <c r="AC99" s="807"/>
      <c r="AD99" s="802"/>
    </row>
    <row r="100" spans="2:30" outlineLevel="1">
      <c r="B100" s="111"/>
      <c r="C100" s="166"/>
      <c r="D100" s="166" t="s">
        <v>2043</v>
      </c>
      <c r="E100" s="111"/>
      <c r="F100" s="111"/>
      <c r="G100" s="111"/>
      <c r="H100" s="111"/>
      <c r="I100" s="111"/>
      <c r="J100" s="111"/>
      <c r="K100" s="111"/>
      <c r="L100" s="111"/>
      <c r="M100" s="111"/>
      <c r="N100" s="111"/>
      <c r="P100" s="788"/>
      <c r="Q100" s="788" t="s">
        <v>2043</v>
      </c>
      <c r="R100" s="111"/>
      <c r="S100" s="111"/>
      <c r="T100" s="111"/>
      <c r="U100" s="111"/>
      <c r="V100" s="111"/>
      <c r="W100" s="111"/>
      <c r="X100" s="111"/>
      <c r="Y100" s="111"/>
      <c r="Z100" s="111"/>
      <c r="AA100" s="111"/>
      <c r="AB100" s="111"/>
      <c r="AC100" s="807"/>
      <c r="AD100" s="802"/>
    </row>
    <row r="101" spans="2:30" ht="12.75" customHeight="1" outlineLevel="1">
      <c r="B101" s="111"/>
      <c r="C101" s="111"/>
      <c r="E101" s="111" t="s">
        <v>193</v>
      </c>
      <c r="F101" s="111"/>
      <c r="G101" s="111"/>
      <c r="H101" s="111"/>
      <c r="I101" s="111"/>
      <c r="J101" s="111"/>
      <c r="K101" s="111"/>
      <c r="L101" s="111"/>
      <c r="M101" s="111"/>
      <c r="N101" s="111"/>
      <c r="P101" s="789"/>
      <c r="R101" s="111" t="s">
        <v>193</v>
      </c>
      <c r="S101" s="111"/>
      <c r="T101" s="111"/>
      <c r="U101" s="111"/>
      <c r="V101" s="111"/>
      <c r="W101" s="111"/>
      <c r="X101" s="111"/>
      <c r="Y101" s="111"/>
      <c r="Z101" s="111"/>
      <c r="AA101" s="111"/>
      <c r="AB101" s="111"/>
      <c r="AC101" s="1700" t="s">
        <v>1816</v>
      </c>
      <c r="AD101" s="1700" t="s">
        <v>1858</v>
      </c>
    </row>
    <row r="102" spans="2:30" outlineLevel="1">
      <c r="B102" s="111"/>
      <c r="C102" s="111"/>
      <c r="D102" s="166"/>
      <c r="E102" s="787" t="s">
        <v>194</v>
      </c>
      <c r="F102" s="111"/>
      <c r="G102" s="111"/>
      <c r="H102" s="111"/>
      <c r="I102" s="111"/>
      <c r="J102" s="111"/>
      <c r="K102" s="111"/>
      <c r="L102" s="111"/>
      <c r="M102" s="111"/>
      <c r="N102" s="111"/>
      <c r="P102" s="789"/>
      <c r="Q102" s="789"/>
      <c r="R102" s="787" t="s">
        <v>194</v>
      </c>
      <c r="S102" s="111"/>
      <c r="T102" s="111"/>
      <c r="U102" s="111"/>
      <c r="V102" s="111"/>
      <c r="W102" s="111"/>
      <c r="X102" s="111"/>
      <c r="Y102" s="111"/>
      <c r="Z102" s="111"/>
      <c r="AA102" s="111"/>
      <c r="AB102" s="111"/>
      <c r="AC102" s="1700"/>
      <c r="AD102" s="1700"/>
    </row>
    <row r="103" spans="2:30" ht="12.75" customHeight="1" outlineLevel="1">
      <c r="B103" s="111"/>
      <c r="C103" s="111"/>
      <c r="D103" s="166"/>
      <c r="E103" s="787" t="s">
        <v>195</v>
      </c>
      <c r="F103" s="111"/>
      <c r="G103" s="111"/>
      <c r="H103" s="111"/>
      <c r="I103" s="111"/>
      <c r="J103" s="111"/>
      <c r="K103" s="111"/>
      <c r="L103" s="111"/>
      <c r="M103" s="111"/>
      <c r="N103" s="111"/>
      <c r="P103" s="789"/>
      <c r="Q103" s="789"/>
      <c r="R103" s="787" t="s">
        <v>195</v>
      </c>
      <c r="S103" s="111"/>
      <c r="T103" s="111"/>
      <c r="U103" s="111"/>
      <c r="V103" s="111"/>
      <c r="W103" s="111"/>
      <c r="X103" s="111"/>
      <c r="Y103" s="111"/>
      <c r="Z103" s="111"/>
      <c r="AA103" s="111"/>
      <c r="AB103" s="111"/>
      <c r="AC103" s="1700"/>
      <c r="AD103" s="1700"/>
    </row>
    <row r="104" spans="2:30" outlineLevel="1">
      <c r="E104" s="1038" t="s">
        <v>165</v>
      </c>
      <c r="F104" s="1038" t="s">
        <v>166</v>
      </c>
      <c r="G104" s="1244">
        <v>7</v>
      </c>
      <c r="H104" s="1244">
        <v>6</v>
      </c>
      <c r="I104" s="1244">
        <v>5</v>
      </c>
      <c r="J104" s="1244">
        <v>4</v>
      </c>
      <c r="K104" s="1244">
        <v>3</v>
      </c>
      <c r="L104" s="1244">
        <v>2</v>
      </c>
      <c r="M104" s="1244">
        <v>1</v>
      </c>
      <c r="N104" s="1244">
        <v>0</v>
      </c>
      <c r="R104" s="1041" t="s">
        <v>165</v>
      </c>
      <c r="S104" s="1041" t="s">
        <v>166</v>
      </c>
      <c r="T104" s="1245">
        <v>7</v>
      </c>
      <c r="U104" s="1245">
        <v>6</v>
      </c>
      <c r="V104" s="1245">
        <v>5</v>
      </c>
      <c r="W104" s="1245">
        <v>4</v>
      </c>
      <c r="X104" s="1245">
        <v>3</v>
      </c>
      <c r="Y104" s="1245">
        <v>2</v>
      </c>
      <c r="Z104" s="1245">
        <v>1</v>
      </c>
      <c r="AA104" s="1245">
        <v>0</v>
      </c>
      <c r="AC104" s="1700"/>
      <c r="AD104" s="1700"/>
    </row>
    <row r="105" spans="2:30" outlineLevel="1">
      <c r="E105" s="1038" t="s">
        <v>1902</v>
      </c>
      <c r="F105" s="1038" t="s">
        <v>1903</v>
      </c>
      <c r="G105" s="1701" t="s">
        <v>1905</v>
      </c>
      <c r="H105" s="1702"/>
      <c r="I105" s="1702"/>
      <c r="J105" s="1702"/>
      <c r="K105" s="1702"/>
      <c r="L105" s="1702"/>
      <c r="M105" s="1702"/>
      <c r="N105" s="1703"/>
      <c r="R105" s="1041" t="s">
        <v>1902</v>
      </c>
      <c r="S105" s="1041" t="s">
        <v>1207</v>
      </c>
      <c r="T105" s="1701" t="s">
        <v>88</v>
      </c>
      <c r="U105" s="1702"/>
      <c r="V105" s="1702"/>
      <c r="W105" s="1702"/>
      <c r="X105" s="1702"/>
      <c r="Y105" s="1702"/>
      <c r="Z105" s="1702"/>
      <c r="AA105" s="1703"/>
      <c r="AC105" s="1700"/>
      <c r="AD105" s="1700"/>
    </row>
    <row r="106" spans="2:30" ht="12.75" customHeight="1" outlineLevel="1">
      <c r="E106" s="1704" t="s">
        <v>1906</v>
      </c>
      <c r="F106" s="1695" t="s">
        <v>1904</v>
      </c>
      <c r="G106" s="1706" t="s">
        <v>1911</v>
      </c>
      <c r="H106" s="1707"/>
      <c r="I106" s="1707"/>
      <c r="J106" s="1707"/>
      <c r="K106" s="1707"/>
      <c r="L106" s="1707"/>
      <c r="M106" s="1707"/>
      <c r="N106" s="1708"/>
      <c r="R106" s="1712" t="s">
        <v>1906</v>
      </c>
      <c r="S106" s="1714" t="s">
        <v>1904</v>
      </c>
      <c r="T106" s="1706" t="s">
        <v>1911</v>
      </c>
      <c r="U106" s="1707"/>
      <c r="V106" s="1707"/>
      <c r="W106" s="1707"/>
      <c r="X106" s="1707"/>
      <c r="Y106" s="1707"/>
      <c r="Z106" s="1707"/>
      <c r="AA106" s="1708"/>
      <c r="AC106" s="1700"/>
      <c r="AD106" s="1700"/>
    </row>
    <row r="107" spans="2:30" outlineLevel="1">
      <c r="E107" s="1705"/>
      <c r="F107" s="1696"/>
      <c r="G107" s="1709"/>
      <c r="H107" s="1710"/>
      <c r="I107" s="1710"/>
      <c r="J107" s="1710"/>
      <c r="K107" s="1710"/>
      <c r="L107" s="1710"/>
      <c r="M107" s="1710"/>
      <c r="N107" s="1711"/>
      <c r="R107" s="1713"/>
      <c r="S107" s="1715"/>
      <c r="T107" s="1709"/>
      <c r="U107" s="1710"/>
      <c r="V107" s="1710"/>
      <c r="W107" s="1710"/>
      <c r="X107" s="1710"/>
      <c r="Y107" s="1710"/>
      <c r="Z107" s="1710"/>
      <c r="AA107" s="1711"/>
      <c r="AC107" s="1700"/>
      <c r="AD107" s="1700"/>
    </row>
    <row r="108" spans="2:30" outlineLevel="1">
      <c r="E108" s="1038" t="s">
        <v>1562</v>
      </c>
      <c r="F108" s="1039" t="s">
        <v>1564</v>
      </c>
      <c r="G108" s="1716" t="s">
        <v>1566</v>
      </c>
      <c r="H108" s="1717"/>
      <c r="I108" s="1717"/>
      <c r="J108" s="1717"/>
      <c r="K108" s="1717"/>
      <c r="L108" s="1717"/>
      <c r="M108" s="1717"/>
      <c r="N108" s="1717"/>
      <c r="R108" s="1041" t="s">
        <v>1562</v>
      </c>
      <c r="S108" s="1043" t="s">
        <v>1564</v>
      </c>
      <c r="T108" s="1718" t="s">
        <v>2041</v>
      </c>
      <c r="U108" s="1718"/>
      <c r="V108" s="1718"/>
      <c r="W108" s="1718"/>
      <c r="X108" s="1718"/>
      <c r="Y108" s="1718"/>
      <c r="Z108" s="1718"/>
      <c r="AA108" s="1718"/>
      <c r="AC108" s="1700"/>
      <c r="AD108" s="1700"/>
    </row>
    <row r="109" spans="2:30" ht="12.75" customHeight="1" outlineLevel="1">
      <c r="E109" s="1699" t="s">
        <v>1563</v>
      </c>
      <c r="F109" s="1699" t="s">
        <v>1565</v>
      </c>
      <c r="G109" s="1697" t="s">
        <v>1889</v>
      </c>
      <c r="H109" s="1698" t="s">
        <v>1887</v>
      </c>
      <c r="I109" s="1697" t="s">
        <v>2072</v>
      </c>
      <c r="J109" s="1698" t="s">
        <v>1887</v>
      </c>
      <c r="K109" s="1697" t="s">
        <v>1889</v>
      </c>
      <c r="L109" s="1697" t="s">
        <v>1889</v>
      </c>
      <c r="M109" s="1697" t="s">
        <v>1889</v>
      </c>
      <c r="N109" s="1719" t="s">
        <v>1889</v>
      </c>
      <c r="R109" s="1720" t="s">
        <v>1563</v>
      </c>
      <c r="S109" s="1720" t="s">
        <v>1578</v>
      </c>
      <c r="T109" s="1697" t="s">
        <v>1889</v>
      </c>
      <c r="U109" s="1698" t="s">
        <v>2044</v>
      </c>
      <c r="V109" s="1697" t="s">
        <v>1889</v>
      </c>
      <c r="W109" s="1698" t="s">
        <v>2044</v>
      </c>
      <c r="X109" s="1697" t="s">
        <v>1889</v>
      </c>
      <c r="Y109" s="1697" t="s">
        <v>1889</v>
      </c>
      <c r="Z109" s="1697" t="s">
        <v>1889</v>
      </c>
      <c r="AA109" s="1719" t="s">
        <v>1889</v>
      </c>
      <c r="AB109" s="111"/>
      <c r="AC109" s="1700"/>
      <c r="AD109" s="1700"/>
    </row>
    <row r="110" spans="2:30" outlineLevel="1">
      <c r="E110" s="1699"/>
      <c r="F110" s="1699"/>
      <c r="G110" s="1697"/>
      <c r="H110" s="1698"/>
      <c r="I110" s="1697"/>
      <c r="J110" s="1698"/>
      <c r="K110" s="1697"/>
      <c r="L110" s="1697"/>
      <c r="M110" s="1697"/>
      <c r="N110" s="1719"/>
      <c r="R110" s="1720"/>
      <c r="S110" s="1720"/>
      <c r="T110" s="1697"/>
      <c r="U110" s="1698"/>
      <c r="V110" s="1697"/>
      <c r="W110" s="1698"/>
      <c r="X110" s="1697"/>
      <c r="Y110" s="1697"/>
      <c r="Z110" s="1697"/>
      <c r="AA110" s="1719"/>
      <c r="AB110" s="111"/>
      <c r="AC110" s="1700"/>
      <c r="AD110" s="1700"/>
    </row>
    <row r="111" spans="2:30" ht="12.75" customHeight="1" outlineLevel="1">
      <c r="E111" s="1699" t="s">
        <v>1577</v>
      </c>
      <c r="F111" s="1699" t="s">
        <v>1578</v>
      </c>
      <c r="G111" s="1697" t="s">
        <v>1889</v>
      </c>
      <c r="H111" s="1698" t="s">
        <v>2044</v>
      </c>
      <c r="I111" s="1697" t="s">
        <v>1889</v>
      </c>
      <c r="J111" s="1698" t="s">
        <v>2044</v>
      </c>
      <c r="K111" s="1697" t="s">
        <v>1889</v>
      </c>
      <c r="L111" s="1697" t="s">
        <v>1889</v>
      </c>
      <c r="M111" s="1697" t="s">
        <v>1889</v>
      </c>
      <c r="N111" s="1719" t="s">
        <v>1889</v>
      </c>
      <c r="R111" s="111"/>
      <c r="S111" s="111"/>
      <c r="T111" s="111"/>
      <c r="U111" s="111"/>
      <c r="V111" s="111"/>
      <c r="W111" s="111"/>
      <c r="X111" s="111"/>
      <c r="Y111" s="111"/>
      <c r="Z111" s="111"/>
      <c r="AA111" s="111"/>
      <c r="AB111" s="111"/>
      <c r="AC111" s="1700"/>
      <c r="AD111" s="1700"/>
    </row>
    <row r="112" spans="2:30" outlineLevel="1">
      <c r="E112" s="1699"/>
      <c r="F112" s="1699"/>
      <c r="G112" s="1697"/>
      <c r="H112" s="1698"/>
      <c r="I112" s="1697"/>
      <c r="J112" s="1698"/>
      <c r="K112" s="1697"/>
      <c r="L112" s="1697"/>
      <c r="M112" s="1697"/>
      <c r="N112" s="1719"/>
      <c r="R112" s="111"/>
      <c r="S112" s="111"/>
      <c r="T112" s="111"/>
      <c r="U112" s="111"/>
      <c r="V112" s="111"/>
      <c r="W112" s="111"/>
      <c r="X112" s="111"/>
      <c r="Y112" s="111"/>
      <c r="Z112" s="111"/>
      <c r="AA112" s="111"/>
      <c r="AB112" s="111"/>
      <c r="AC112" s="1700"/>
      <c r="AD112" s="1700"/>
    </row>
    <row r="113" spans="2:30" outlineLevel="1">
      <c r="B113" s="111"/>
      <c r="C113" s="111"/>
      <c r="D113" s="166"/>
      <c r="E113" s="111"/>
      <c r="F113" s="111"/>
      <c r="G113" s="111"/>
      <c r="H113" s="111"/>
      <c r="I113" s="901" t="s">
        <v>1920</v>
      </c>
      <c r="J113" s="111"/>
      <c r="K113" s="111"/>
      <c r="L113" s="111"/>
      <c r="M113" s="111"/>
      <c r="N113" s="111"/>
      <c r="O113" s="111"/>
      <c r="P113" s="789"/>
      <c r="Q113" s="789"/>
      <c r="R113" s="111"/>
      <c r="S113" s="111"/>
      <c r="T113" s="111"/>
      <c r="U113" s="111"/>
      <c r="V113" s="111"/>
      <c r="W113" s="111"/>
      <c r="X113" s="111"/>
      <c r="Y113" s="111"/>
      <c r="Z113" s="111"/>
      <c r="AA113" s="111"/>
      <c r="AB113" s="111"/>
      <c r="AC113" s="1700"/>
      <c r="AD113" s="1700"/>
    </row>
    <row r="114" spans="2:30" outlineLevel="1">
      <c r="B114" s="111"/>
      <c r="D114" s="166" t="s">
        <v>2039</v>
      </c>
      <c r="E114" s="111"/>
      <c r="F114" s="111"/>
      <c r="G114" s="111"/>
      <c r="H114" s="111"/>
      <c r="I114" s="111"/>
      <c r="J114" s="111"/>
      <c r="K114" s="111"/>
      <c r="L114" s="111"/>
      <c r="M114" s="111"/>
      <c r="N114" s="111"/>
      <c r="P114" s="788" t="s">
        <v>2039</v>
      </c>
      <c r="Q114" s="789"/>
      <c r="R114" s="111"/>
      <c r="S114" s="111"/>
      <c r="T114" s="111"/>
      <c r="U114" s="111"/>
      <c r="V114" s="111"/>
      <c r="W114" s="111"/>
      <c r="X114" s="111"/>
      <c r="Y114" s="111"/>
      <c r="Z114" s="111"/>
      <c r="AA114" s="111"/>
      <c r="AB114" s="111"/>
      <c r="AC114" s="1700"/>
      <c r="AD114" s="1700"/>
    </row>
    <row r="115" spans="2:30" outlineLevel="1">
      <c r="B115" s="111"/>
      <c r="C115" s="111"/>
      <c r="D115" s="166"/>
      <c r="E115" s="1038" t="s">
        <v>165</v>
      </c>
      <c r="F115" s="1038" t="s">
        <v>166</v>
      </c>
      <c r="G115" s="1244">
        <v>7</v>
      </c>
      <c r="H115" s="1244">
        <v>6</v>
      </c>
      <c r="I115" s="1244">
        <v>5</v>
      </c>
      <c r="J115" s="1244">
        <v>4</v>
      </c>
      <c r="K115" s="1244">
        <v>3</v>
      </c>
      <c r="L115" s="1244">
        <v>2</v>
      </c>
      <c r="M115" s="1244">
        <v>1</v>
      </c>
      <c r="N115" s="1244">
        <v>0</v>
      </c>
      <c r="R115" s="1041" t="s">
        <v>165</v>
      </c>
      <c r="S115" s="1041" t="s">
        <v>166</v>
      </c>
      <c r="T115" s="1245">
        <v>7</v>
      </c>
      <c r="U115" s="1245">
        <v>6</v>
      </c>
      <c r="V115" s="1245">
        <v>5</v>
      </c>
      <c r="W115" s="1245">
        <v>4</v>
      </c>
      <c r="X115" s="1245">
        <v>3</v>
      </c>
      <c r="Y115" s="1245">
        <v>2</v>
      </c>
      <c r="Z115" s="1245">
        <v>1</v>
      </c>
      <c r="AA115" s="1245">
        <v>0</v>
      </c>
      <c r="AB115" s="111"/>
      <c r="AC115" s="1700"/>
      <c r="AD115" s="1700"/>
    </row>
    <row r="116" spans="2:30" outlineLevel="1">
      <c r="B116" s="111"/>
      <c r="C116" s="111"/>
      <c r="D116" s="166"/>
      <c r="E116" s="1038" t="s">
        <v>1902</v>
      </c>
      <c r="F116" s="1038" t="s">
        <v>1909</v>
      </c>
      <c r="G116" s="1701" t="s">
        <v>1910</v>
      </c>
      <c r="H116" s="1702"/>
      <c r="I116" s="1702"/>
      <c r="J116" s="1702"/>
      <c r="K116" s="1702"/>
      <c r="L116" s="1702"/>
      <c r="M116" s="1702"/>
      <c r="N116" s="1703"/>
      <c r="R116" s="1041" t="s">
        <v>1902</v>
      </c>
      <c r="S116" s="1041" t="s">
        <v>1909</v>
      </c>
      <c r="T116" s="1701" t="s">
        <v>1910</v>
      </c>
      <c r="U116" s="1702"/>
      <c r="V116" s="1702"/>
      <c r="W116" s="1702"/>
      <c r="X116" s="1702"/>
      <c r="Y116" s="1702"/>
      <c r="Z116" s="1702"/>
      <c r="AA116" s="1703"/>
      <c r="AB116" s="111"/>
      <c r="AC116" s="1700"/>
      <c r="AD116" s="1700"/>
    </row>
    <row r="117" spans="2:30" ht="12.75" customHeight="1" outlineLevel="1">
      <c r="B117" s="111"/>
      <c r="C117" s="111"/>
      <c r="D117" s="166"/>
      <c r="E117" s="1704" t="s">
        <v>1906</v>
      </c>
      <c r="F117" s="1695" t="s">
        <v>1904</v>
      </c>
      <c r="G117" s="1706" t="s">
        <v>1911</v>
      </c>
      <c r="H117" s="1707"/>
      <c r="I117" s="1707"/>
      <c r="J117" s="1707"/>
      <c r="K117" s="1707"/>
      <c r="L117" s="1707"/>
      <c r="M117" s="1707"/>
      <c r="N117" s="1708"/>
      <c r="R117" s="1712" t="s">
        <v>1906</v>
      </c>
      <c r="S117" s="1714" t="s">
        <v>1904</v>
      </c>
      <c r="T117" s="1706" t="s">
        <v>1911</v>
      </c>
      <c r="U117" s="1707"/>
      <c r="V117" s="1707"/>
      <c r="W117" s="1707"/>
      <c r="X117" s="1707"/>
      <c r="Y117" s="1707"/>
      <c r="Z117" s="1707"/>
      <c r="AA117" s="1708"/>
      <c r="AB117" s="111"/>
      <c r="AC117" s="1700"/>
      <c r="AD117" s="1700"/>
    </row>
    <row r="118" spans="2:30" outlineLevel="1">
      <c r="B118" s="111"/>
      <c r="C118" s="111"/>
      <c r="D118" s="166"/>
      <c r="E118" s="1705"/>
      <c r="F118" s="1696"/>
      <c r="G118" s="1709"/>
      <c r="H118" s="1710"/>
      <c r="I118" s="1710"/>
      <c r="J118" s="1710"/>
      <c r="K118" s="1710"/>
      <c r="L118" s="1710"/>
      <c r="M118" s="1710"/>
      <c r="N118" s="1711"/>
      <c r="R118" s="1713"/>
      <c r="S118" s="1715"/>
      <c r="T118" s="1709"/>
      <c r="U118" s="1710"/>
      <c r="V118" s="1710"/>
      <c r="W118" s="1710"/>
      <c r="X118" s="1710"/>
      <c r="Y118" s="1710"/>
      <c r="Z118" s="1710"/>
      <c r="AA118" s="1711"/>
      <c r="AB118" s="111"/>
      <c r="AC118" s="1700"/>
      <c r="AD118" s="1700"/>
    </row>
    <row r="119" spans="2:30" outlineLevel="1">
      <c r="B119" s="111"/>
      <c r="C119" s="111"/>
      <c r="D119" s="166"/>
      <c r="E119" s="1040" t="s">
        <v>174</v>
      </c>
      <c r="F119" s="1039" t="s">
        <v>1564</v>
      </c>
      <c r="G119" s="1742" t="s">
        <v>1566</v>
      </c>
      <c r="H119" s="1743"/>
      <c r="I119" s="1743"/>
      <c r="J119" s="1743"/>
      <c r="K119" s="1743"/>
      <c r="L119" s="1743"/>
      <c r="M119" s="1743"/>
      <c r="N119" s="1744"/>
      <c r="R119" s="1044" t="s">
        <v>174</v>
      </c>
      <c r="S119" s="1043" t="s">
        <v>1564</v>
      </c>
      <c r="T119" s="1718" t="s">
        <v>2041</v>
      </c>
      <c r="U119" s="1718"/>
      <c r="V119" s="1718"/>
      <c r="W119" s="1718"/>
      <c r="X119" s="1718"/>
      <c r="Y119" s="1718"/>
      <c r="Z119" s="1718"/>
      <c r="AA119" s="1718"/>
      <c r="AB119" s="111"/>
      <c r="AC119" s="1700"/>
      <c r="AD119" s="1700"/>
    </row>
    <row r="120" spans="2:30" ht="12.75" customHeight="1" outlineLevel="1">
      <c r="B120" s="111"/>
      <c r="C120" s="111"/>
      <c r="D120" s="166"/>
      <c r="E120" s="1695" t="s">
        <v>1563</v>
      </c>
      <c r="F120" s="1695" t="s">
        <v>1565</v>
      </c>
      <c r="G120" s="1697" t="s">
        <v>1889</v>
      </c>
      <c r="H120" s="1698" t="s">
        <v>1887</v>
      </c>
      <c r="I120" s="1697" t="s">
        <v>1889</v>
      </c>
      <c r="J120" s="1698" t="s">
        <v>1887</v>
      </c>
      <c r="K120" s="1697" t="s">
        <v>1889</v>
      </c>
      <c r="L120" s="1697" t="s">
        <v>1889</v>
      </c>
      <c r="M120" s="1697" t="s">
        <v>1889</v>
      </c>
      <c r="N120" s="1719" t="s">
        <v>1889</v>
      </c>
      <c r="R120" s="1714" t="s">
        <v>1563</v>
      </c>
      <c r="S120" s="1714" t="s">
        <v>1565</v>
      </c>
      <c r="T120" s="1697" t="s">
        <v>1889</v>
      </c>
      <c r="U120" s="1698" t="s">
        <v>1887</v>
      </c>
      <c r="V120" s="1697" t="s">
        <v>1889</v>
      </c>
      <c r="W120" s="1698" t="s">
        <v>1887</v>
      </c>
      <c r="X120" s="1697" t="s">
        <v>1889</v>
      </c>
      <c r="Y120" s="1697" t="s">
        <v>1889</v>
      </c>
      <c r="Z120" s="1697" t="s">
        <v>1889</v>
      </c>
      <c r="AA120" s="1719" t="s">
        <v>1889</v>
      </c>
      <c r="AB120" s="111"/>
      <c r="AC120" s="1700"/>
      <c r="AD120" s="1700"/>
    </row>
    <row r="121" spans="2:30">
      <c r="E121" s="1696"/>
      <c r="F121" s="1696"/>
      <c r="G121" s="1697"/>
      <c r="H121" s="1698"/>
      <c r="I121" s="1697"/>
      <c r="J121" s="1698"/>
      <c r="K121" s="1697"/>
      <c r="L121" s="1697"/>
      <c r="M121" s="1697"/>
      <c r="N121" s="1719"/>
      <c r="R121" s="1715"/>
      <c r="S121" s="1715"/>
      <c r="T121" s="1697"/>
      <c r="U121" s="1698"/>
      <c r="V121" s="1697"/>
      <c r="W121" s="1698"/>
      <c r="X121" s="1697"/>
      <c r="Y121" s="1697"/>
      <c r="Z121" s="1697"/>
      <c r="AA121" s="1719"/>
      <c r="AC121" s="1700"/>
      <c r="AD121" s="1700"/>
    </row>
    <row r="122" spans="2:30">
      <c r="E122" s="762"/>
      <c r="F122" s="762"/>
      <c r="G122" s="763"/>
      <c r="H122" s="763"/>
      <c r="I122" s="763"/>
      <c r="J122" s="763"/>
      <c r="K122" s="763"/>
      <c r="L122" s="763"/>
      <c r="M122" s="763"/>
      <c r="N122" s="763"/>
      <c r="R122" s="762"/>
      <c r="S122" s="762"/>
      <c r="T122" s="763"/>
      <c r="U122" s="763"/>
      <c r="V122" s="763"/>
      <c r="W122" s="763"/>
      <c r="X122" s="763"/>
      <c r="Y122" s="763"/>
      <c r="Z122" s="763"/>
      <c r="AA122" s="763"/>
      <c r="AC122" s="804"/>
      <c r="AD122" s="804"/>
    </row>
    <row r="123" spans="2:30">
      <c r="AC123" s="805"/>
      <c r="AD123" s="798"/>
    </row>
    <row r="124" spans="2:30" s="162" customFormat="1">
      <c r="B124" s="163" t="s">
        <v>1844</v>
      </c>
      <c r="C124" s="163"/>
      <c r="D124" s="163"/>
      <c r="K124" s="769" t="s">
        <v>1857</v>
      </c>
      <c r="L124" s="783"/>
      <c r="M124" s="783"/>
      <c r="N124" s="783"/>
      <c r="O124" s="742"/>
      <c r="P124" s="742"/>
      <c r="Q124" s="742"/>
      <c r="R124" s="791" t="s">
        <v>1559</v>
      </c>
      <c r="S124" s="783"/>
      <c r="T124" s="783"/>
      <c r="U124" s="783"/>
      <c r="V124" s="742"/>
      <c r="W124" s="742"/>
      <c r="X124" s="770"/>
      <c r="Y124" s="786"/>
      <c r="Z124" s="786"/>
      <c r="AA124" s="786"/>
      <c r="AB124" s="786"/>
      <c r="AC124" s="806"/>
      <c r="AD124" s="800"/>
    </row>
    <row r="125" spans="2:30" outlineLevel="1">
      <c r="B125" s="111"/>
      <c r="C125" s="166" t="s">
        <v>164</v>
      </c>
      <c r="D125" s="111"/>
      <c r="E125" s="111"/>
      <c r="F125" s="111"/>
      <c r="G125" s="111"/>
      <c r="H125" s="111"/>
      <c r="I125" s="111"/>
      <c r="J125" s="111"/>
      <c r="K125" s="111"/>
      <c r="L125" s="111"/>
      <c r="M125" s="111"/>
      <c r="N125" s="111"/>
      <c r="P125" s="788" t="s">
        <v>167</v>
      </c>
      <c r="Q125" s="788"/>
      <c r="R125" s="111"/>
      <c r="S125" s="111"/>
      <c r="T125" s="111"/>
      <c r="U125" s="111"/>
      <c r="V125" s="111"/>
      <c r="W125" s="111"/>
      <c r="X125" s="111"/>
      <c r="Y125" s="111"/>
      <c r="Z125" s="111"/>
      <c r="AA125" s="111"/>
      <c r="AB125" s="111"/>
      <c r="AC125" s="807"/>
      <c r="AD125" s="802"/>
    </row>
    <row r="126" spans="2:30" ht="12.75" customHeight="1" outlineLevel="1">
      <c r="B126" s="111"/>
      <c r="C126" s="166"/>
      <c r="D126" s="166" t="s">
        <v>2043</v>
      </c>
      <c r="E126" s="111"/>
      <c r="F126" s="111"/>
      <c r="G126" s="111"/>
      <c r="H126" s="111"/>
      <c r="I126" s="111"/>
      <c r="J126" s="111"/>
      <c r="K126" s="111"/>
      <c r="L126" s="111"/>
      <c r="M126" s="111"/>
      <c r="N126" s="111"/>
      <c r="P126" s="788"/>
      <c r="Q126" s="788" t="s">
        <v>2043</v>
      </c>
      <c r="R126" s="111"/>
      <c r="S126" s="111"/>
      <c r="T126" s="111"/>
      <c r="U126" s="111"/>
      <c r="V126" s="111"/>
      <c r="W126" s="111"/>
      <c r="X126" s="111"/>
      <c r="Y126" s="111"/>
      <c r="Z126" s="111"/>
      <c r="AA126" s="111"/>
      <c r="AB126" s="111"/>
      <c r="AC126" s="1741" t="s">
        <v>1816</v>
      </c>
      <c r="AD126" s="1741"/>
    </row>
    <row r="127" spans="2:30" outlineLevel="1">
      <c r="B127" s="111"/>
      <c r="C127" s="111"/>
      <c r="E127" s="111" t="s">
        <v>193</v>
      </c>
      <c r="F127" s="111"/>
      <c r="G127" s="111"/>
      <c r="H127" s="111"/>
      <c r="I127" s="111"/>
      <c r="J127" s="111"/>
      <c r="K127" s="111"/>
      <c r="L127" s="111"/>
      <c r="M127" s="111"/>
      <c r="N127" s="111"/>
      <c r="P127" s="789"/>
      <c r="R127" s="111" t="s">
        <v>193</v>
      </c>
      <c r="S127" s="111"/>
      <c r="T127" s="111"/>
      <c r="U127" s="111"/>
      <c r="V127" s="111"/>
      <c r="W127" s="111"/>
      <c r="X127" s="111"/>
      <c r="Y127" s="111"/>
      <c r="Z127" s="111"/>
      <c r="AA127" s="111"/>
      <c r="AB127" s="111"/>
      <c r="AC127" s="1741"/>
      <c r="AD127" s="1741"/>
    </row>
    <row r="128" spans="2:30" outlineLevel="1">
      <c r="B128" s="111"/>
      <c r="C128" s="111"/>
      <c r="D128" s="166"/>
      <c r="E128" s="787" t="s">
        <v>194</v>
      </c>
      <c r="F128" s="111"/>
      <c r="G128" s="111"/>
      <c r="H128" s="111"/>
      <c r="I128" s="111"/>
      <c r="J128" s="111"/>
      <c r="K128" s="111"/>
      <c r="L128" s="111"/>
      <c r="M128" s="111"/>
      <c r="N128" s="111"/>
      <c r="P128" s="789"/>
      <c r="Q128" s="789"/>
      <c r="R128" s="787" t="s">
        <v>194</v>
      </c>
      <c r="S128" s="111"/>
      <c r="T128" s="111"/>
      <c r="U128" s="111"/>
      <c r="V128" s="111"/>
      <c r="W128" s="111"/>
      <c r="X128" s="111"/>
      <c r="Y128" s="111"/>
      <c r="Z128" s="111"/>
      <c r="AA128" s="111"/>
      <c r="AB128" s="111"/>
      <c r="AC128" s="1741"/>
      <c r="AD128" s="1741"/>
    </row>
    <row r="129" spans="2:30" outlineLevel="1">
      <c r="B129" s="111"/>
      <c r="C129" s="111"/>
      <c r="D129" s="166"/>
      <c r="E129" s="787" t="s">
        <v>195</v>
      </c>
      <c r="F129" s="111"/>
      <c r="G129" s="111"/>
      <c r="H129" s="111"/>
      <c r="I129" s="111"/>
      <c r="J129" s="111"/>
      <c r="K129" s="111"/>
      <c r="L129" s="111"/>
      <c r="M129" s="111"/>
      <c r="N129" s="111"/>
      <c r="P129" s="789"/>
      <c r="Q129" s="789"/>
      <c r="R129" s="787" t="s">
        <v>195</v>
      </c>
      <c r="S129" s="111"/>
      <c r="T129" s="111"/>
      <c r="U129" s="111"/>
      <c r="V129" s="111"/>
      <c r="W129" s="111"/>
      <c r="X129" s="111"/>
      <c r="Y129" s="111"/>
      <c r="Z129" s="111"/>
      <c r="AA129" s="111"/>
      <c r="AB129" s="111"/>
      <c r="AC129" s="1741"/>
      <c r="AD129" s="1741"/>
    </row>
    <row r="130" spans="2:30" outlineLevel="1">
      <c r="B130" s="111"/>
      <c r="C130" s="111"/>
      <c r="D130" s="166"/>
      <c r="E130" s="1038" t="s">
        <v>165</v>
      </c>
      <c r="F130" s="1038" t="s">
        <v>166</v>
      </c>
      <c r="G130" s="1244">
        <v>7</v>
      </c>
      <c r="H130" s="1244">
        <v>6</v>
      </c>
      <c r="I130" s="1244">
        <v>5</v>
      </c>
      <c r="J130" s="1244">
        <v>4</v>
      </c>
      <c r="K130" s="1244">
        <v>3</v>
      </c>
      <c r="L130" s="1244">
        <v>2</v>
      </c>
      <c r="M130" s="1244">
        <v>1</v>
      </c>
      <c r="N130" s="1244">
        <v>0</v>
      </c>
      <c r="R130" s="1041" t="s">
        <v>165</v>
      </c>
      <c r="S130" s="1041" t="s">
        <v>166</v>
      </c>
      <c r="T130" s="1245">
        <v>7</v>
      </c>
      <c r="U130" s="1245">
        <v>6</v>
      </c>
      <c r="V130" s="1245">
        <v>5</v>
      </c>
      <c r="W130" s="1245">
        <v>4</v>
      </c>
      <c r="X130" s="1245">
        <v>3</v>
      </c>
      <c r="Y130" s="1245">
        <v>2</v>
      </c>
      <c r="Z130" s="1245">
        <v>1</v>
      </c>
      <c r="AA130" s="1245">
        <v>0</v>
      </c>
      <c r="AB130" s="111"/>
      <c r="AC130" s="1741"/>
      <c r="AD130" s="1741"/>
    </row>
    <row r="131" spans="2:30" outlineLevel="1">
      <c r="B131" s="111"/>
      <c r="C131" s="111"/>
      <c r="D131" s="166"/>
      <c r="E131" s="1038" t="s">
        <v>1902</v>
      </c>
      <c r="F131" s="1038" t="s">
        <v>1903</v>
      </c>
      <c r="G131" s="1701" t="s">
        <v>1905</v>
      </c>
      <c r="H131" s="1702"/>
      <c r="I131" s="1702"/>
      <c r="J131" s="1702"/>
      <c r="K131" s="1702"/>
      <c r="L131" s="1702"/>
      <c r="M131" s="1702"/>
      <c r="N131" s="1703"/>
      <c r="R131" s="1041" t="s">
        <v>1902</v>
      </c>
      <c r="S131" s="1041" t="s">
        <v>1207</v>
      </c>
      <c r="T131" s="1701" t="s">
        <v>88</v>
      </c>
      <c r="U131" s="1702"/>
      <c r="V131" s="1702"/>
      <c r="W131" s="1702"/>
      <c r="X131" s="1702"/>
      <c r="Y131" s="1702"/>
      <c r="Z131" s="1702"/>
      <c r="AA131" s="1703"/>
      <c r="AB131" s="111"/>
      <c r="AC131" s="1741"/>
      <c r="AD131" s="1741"/>
    </row>
    <row r="132" spans="2:30" ht="12.75" customHeight="1" outlineLevel="1">
      <c r="B132" s="111"/>
      <c r="C132" s="111"/>
      <c r="D132" s="166"/>
      <c r="E132" s="1704" t="s">
        <v>1906</v>
      </c>
      <c r="F132" s="1695" t="s">
        <v>1904</v>
      </c>
      <c r="G132" s="1706" t="s">
        <v>1912</v>
      </c>
      <c r="H132" s="1707"/>
      <c r="I132" s="1707"/>
      <c r="J132" s="1707"/>
      <c r="K132" s="1707"/>
      <c r="L132" s="1707"/>
      <c r="M132" s="1707"/>
      <c r="N132" s="1708"/>
      <c r="R132" s="1712" t="s">
        <v>1906</v>
      </c>
      <c r="S132" s="1714" t="s">
        <v>1904</v>
      </c>
      <c r="T132" s="1706" t="s">
        <v>1912</v>
      </c>
      <c r="U132" s="1707"/>
      <c r="V132" s="1707"/>
      <c r="W132" s="1707"/>
      <c r="X132" s="1707"/>
      <c r="Y132" s="1707"/>
      <c r="Z132" s="1707"/>
      <c r="AA132" s="1708"/>
      <c r="AB132" s="111"/>
      <c r="AC132" s="1741"/>
      <c r="AD132" s="1741"/>
    </row>
    <row r="133" spans="2:30" outlineLevel="1">
      <c r="B133" s="111"/>
      <c r="C133" s="111"/>
      <c r="D133" s="166"/>
      <c r="E133" s="1705"/>
      <c r="F133" s="1696"/>
      <c r="G133" s="1709"/>
      <c r="H133" s="1710"/>
      <c r="I133" s="1710"/>
      <c r="J133" s="1710"/>
      <c r="K133" s="1710"/>
      <c r="L133" s="1710"/>
      <c r="M133" s="1710"/>
      <c r="N133" s="1711"/>
      <c r="R133" s="1713"/>
      <c r="S133" s="1715"/>
      <c r="T133" s="1709"/>
      <c r="U133" s="1710"/>
      <c r="V133" s="1710"/>
      <c r="W133" s="1710"/>
      <c r="X133" s="1710"/>
      <c r="Y133" s="1710"/>
      <c r="Z133" s="1710"/>
      <c r="AA133" s="1711"/>
      <c r="AB133" s="111"/>
      <c r="AC133" s="1741"/>
      <c r="AD133" s="1741"/>
    </row>
    <row r="134" spans="2:30" outlineLevel="1">
      <c r="B134" s="111"/>
      <c r="C134" s="111"/>
      <c r="D134" s="166"/>
      <c r="E134" s="1038" t="s">
        <v>1562</v>
      </c>
      <c r="F134" s="1039" t="s">
        <v>1564</v>
      </c>
      <c r="G134" s="1745" t="s">
        <v>1566</v>
      </c>
      <c r="H134" s="1746"/>
      <c r="I134" s="1746"/>
      <c r="J134" s="1746"/>
      <c r="K134" s="1746"/>
      <c r="L134" s="1746"/>
      <c r="M134" s="1746"/>
      <c r="N134" s="1747"/>
      <c r="R134" s="1041" t="s">
        <v>1562</v>
      </c>
      <c r="S134" s="1043" t="s">
        <v>1564</v>
      </c>
      <c r="T134" s="1718" t="s">
        <v>2041</v>
      </c>
      <c r="U134" s="1718"/>
      <c r="V134" s="1718"/>
      <c r="W134" s="1718"/>
      <c r="X134" s="1718"/>
      <c r="Y134" s="1718"/>
      <c r="Z134" s="1718"/>
      <c r="AA134" s="1718"/>
      <c r="AB134" s="111"/>
      <c r="AC134" s="1741"/>
      <c r="AD134" s="1741"/>
    </row>
    <row r="135" spans="2:30" ht="12.75" customHeight="1" outlineLevel="1">
      <c r="B135" s="111"/>
      <c r="C135" s="111"/>
      <c r="D135" s="166"/>
      <c r="E135" s="1753" t="s">
        <v>1862</v>
      </c>
      <c r="F135" s="1695" t="s">
        <v>1565</v>
      </c>
      <c r="G135" s="1722" t="s">
        <v>1863</v>
      </c>
      <c r="H135" s="1723"/>
      <c r="I135" s="1723"/>
      <c r="J135" s="1723"/>
      <c r="K135" s="1723"/>
      <c r="L135" s="1723"/>
      <c r="M135" s="1723"/>
      <c r="N135" s="1724"/>
      <c r="R135" s="1721" t="s">
        <v>1862</v>
      </c>
      <c r="S135" s="1714" t="s">
        <v>1565</v>
      </c>
      <c r="T135" s="1722" t="s">
        <v>1863</v>
      </c>
      <c r="U135" s="1723"/>
      <c r="V135" s="1723"/>
      <c r="W135" s="1723"/>
      <c r="X135" s="1723"/>
      <c r="Y135" s="1723"/>
      <c r="Z135" s="1723"/>
      <c r="AA135" s="1724"/>
      <c r="AB135" s="111"/>
      <c r="AC135" s="1741"/>
      <c r="AD135" s="1741"/>
    </row>
    <row r="136" spans="2:30" outlineLevel="1">
      <c r="B136" s="111"/>
      <c r="C136" s="111"/>
      <c r="D136" s="166"/>
      <c r="E136" s="1696"/>
      <c r="F136" s="1696"/>
      <c r="G136" s="1725"/>
      <c r="H136" s="1726"/>
      <c r="I136" s="1726"/>
      <c r="J136" s="1726"/>
      <c r="K136" s="1726"/>
      <c r="L136" s="1726"/>
      <c r="M136" s="1726"/>
      <c r="N136" s="1727"/>
      <c r="R136" s="1715"/>
      <c r="S136" s="1715"/>
      <c r="T136" s="1725"/>
      <c r="U136" s="1726"/>
      <c r="V136" s="1726"/>
      <c r="W136" s="1726"/>
      <c r="X136" s="1726"/>
      <c r="Y136" s="1726"/>
      <c r="Z136" s="1726"/>
      <c r="AA136" s="1727"/>
      <c r="AB136" s="111"/>
      <c r="AC136" s="1741"/>
      <c r="AD136" s="1741"/>
    </row>
    <row r="137" spans="2:30" outlineLevel="1">
      <c r="B137" s="111"/>
      <c r="C137" s="111"/>
      <c r="D137" s="166"/>
      <c r="E137" s="172"/>
      <c r="F137" s="172"/>
      <c r="G137" s="172"/>
      <c r="H137" s="172"/>
      <c r="I137" s="172"/>
      <c r="J137" s="172"/>
      <c r="K137" s="172"/>
      <c r="L137" s="172"/>
      <c r="M137" s="172"/>
      <c r="N137" s="172"/>
      <c r="R137" s="111"/>
      <c r="S137" s="111"/>
      <c r="T137" s="111"/>
      <c r="U137" s="111"/>
      <c r="V137" s="111"/>
      <c r="W137" s="111"/>
      <c r="X137" s="111"/>
      <c r="Y137" s="111"/>
      <c r="Z137" s="111"/>
      <c r="AA137" s="111"/>
      <c r="AB137" s="111"/>
      <c r="AC137" s="1741"/>
      <c r="AD137" s="1741"/>
    </row>
    <row r="138" spans="2:30" outlineLevel="1">
      <c r="B138" s="111"/>
      <c r="D138" s="166" t="s">
        <v>2039</v>
      </c>
      <c r="E138" s="111"/>
      <c r="F138" s="111"/>
      <c r="G138" s="111"/>
      <c r="H138" s="111"/>
      <c r="I138" s="111"/>
      <c r="J138" s="111"/>
      <c r="K138" s="111"/>
      <c r="L138" s="111"/>
      <c r="M138" s="111"/>
      <c r="N138" s="111"/>
      <c r="P138" s="788" t="s">
        <v>2039</v>
      </c>
      <c r="Q138" s="789"/>
      <c r="R138" s="111"/>
      <c r="S138" s="111"/>
      <c r="T138" s="111"/>
      <c r="U138" s="111"/>
      <c r="V138" s="111"/>
      <c r="W138" s="111"/>
      <c r="X138" s="111"/>
      <c r="Y138" s="111"/>
      <c r="Z138" s="111"/>
      <c r="AA138" s="111"/>
      <c r="AB138" s="111"/>
      <c r="AC138" s="1741"/>
      <c r="AD138" s="1741"/>
    </row>
    <row r="139" spans="2:30" outlineLevel="1">
      <c r="B139" s="111"/>
      <c r="C139" s="111"/>
      <c r="D139" s="166"/>
      <c r="E139" s="1038" t="s">
        <v>165</v>
      </c>
      <c r="F139" s="1038" t="s">
        <v>166</v>
      </c>
      <c r="G139" s="1244">
        <v>7</v>
      </c>
      <c r="H139" s="1244">
        <v>6</v>
      </c>
      <c r="I139" s="1244">
        <v>5</v>
      </c>
      <c r="J139" s="1244">
        <v>4</v>
      </c>
      <c r="K139" s="1244">
        <v>3</v>
      </c>
      <c r="L139" s="1244">
        <v>2</v>
      </c>
      <c r="M139" s="1244">
        <v>1</v>
      </c>
      <c r="N139" s="1244">
        <v>0</v>
      </c>
      <c r="R139" s="1041" t="s">
        <v>165</v>
      </c>
      <c r="S139" s="1041" t="s">
        <v>166</v>
      </c>
      <c r="T139" s="1245">
        <v>7</v>
      </c>
      <c r="U139" s="1245">
        <v>6</v>
      </c>
      <c r="V139" s="1245">
        <v>5</v>
      </c>
      <c r="W139" s="1245">
        <v>4</v>
      </c>
      <c r="X139" s="1245">
        <v>3</v>
      </c>
      <c r="Y139" s="1245">
        <v>2</v>
      </c>
      <c r="Z139" s="1245">
        <v>1</v>
      </c>
      <c r="AA139" s="1245">
        <v>0</v>
      </c>
      <c r="AB139" s="111"/>
      <c r="AC139" s="1741"/>
      <c r="AD139" s="1741"/>
    </row>
    <row r="140" spans="2:30" outlineLevel="1">
      <c r="B140" s="111"/>
      <c r="C140" s="111"/>
      <c r="D140" s="166"/>
      <c r="E140" s="1038" t="s">
        <v>1902</v>
      </c>
      <c r="F140" s="1038" t="s">
        <v>1909</v>
      </c>
      <c r="G140" s="1701" t="s">
        <v>1905</v>
      </c>
      <c r="H140" s="1702"/>
      <c r="I140" s="1702"/>
      <c r="J140" s="1702"/>
      <c r="K140" s="1702"/>
      <c r="L140" s="1702"/>
      <c r="M140" s="1702"/>
      <c r="N140" s="1703"/>
      <c r="R140" s="1041" t="s">
        <v>1902</v>
      </c>
      <c r="S140" s="1041" t="s">
        <v>1909</v>
      </c>
      <c r="T140" s="1701" t="s">
        <v>88</v>
      </c>
      <c r="U140" s="1702"/>
      <c r="V140" s="1702"/>
      <c r="W140" s="1702"/>
      <c r="X140" s="1702"/>
      <c r="Y140" s="1702"/>
      <c r="Z140" s="1702"/>
      <c r="AA140" s="1703"/>
      <c r="AB140" s="111"/>
      <c r="AC140" s="1741"/>
      <c r="AD140" s="1741"/>
    </row>
    <row r="141" spans="2:30" ht="12.75" customHeight="1" outlineLevel="1">
      <c r="B141" s="111"/>
      <c r="C141" s="111"/>
      <c r="D141" s="166"/>
      <c r="E141" s="1704" t="s">
        <v>1906</v>
      </c>
      <c r="F141" s="1695" t="s">
        <v>1904</v>
      </c>
      <c r="G141" s="1706" t="s">
        <v>1912</v>
      </c>
      <c r="H141" s="1707"/>
      <c r="I141" s="1707"/>
      <c r="J141" s="1707"/>
      <c r="K141" s="1707"/>
      <c r="L141" s="1707"/>
      <c r="M141" s="1707"/>
      <c r="N141" s="1708"/>
      <c r="R141" s="1712" t="s">
        <v>1906</v>
      </c>
      <c r="S141" s="1714" t="s">
        <v>1904</v>
      </c>
      <c r="T141" s="1706" t="s">
        <v>1912</v>
      </c>
      <c r="U141" s="1707"/>
      <c r="V141" s="1707"/>
      <c r="W141" s="1707"/>
      <c r="X141" s="1707"/>
      <c r="Y141" s="1707"/>
      <c r="Z141" s="1707"/>
      <c r="AA141" s="1708"/>
      <c r="AB141" s="111"/>
      <c r="AC141" s="1741"/>
      <c r="AD141" s="1741"/>
    </row>
    <row r="142" spans="2:30" outlineLevel="1">
      <c r="B142" s="111"/>
      <c r="C142" s="111"/>
      <c r="D142" s="166"/>
      <c r="E142" s="1705"/>
      <c r="F142" s="1696"/>
      <c r="G142" s="1709"/>
      <c r="H142" s="1710"/>
      <c r="I142" s="1710"/>
      <c r="J142" s="1710"/>
      <c r="K142" s="1710"/>
      <c r="L142" s="1710"/>
      <c r="M142" s="1710"/>
      <c r="N142" s="1711"/>
      <c r="R142" s="1713"/>
      <c r="S142" s="1715"/>
      <c r="T142" s="1709"/>
      <c r="U142" s="1710"/>
      <c r="V142" s="1710"/>
      <c r="W142" s="1710"/>
      <c r="X142" s="1710"/>
      <c r="Y142" s="1710"/>
      <c r="Z142" s="1710"/>
      <c r="AA142" s="1711"/>
      <c r="AB142" s="111"/>
      <c r="AC142" s="1741"/>
      <c r="AD142" s="1741"/>
    </row>
    <row r="143" spans="2:30" outlineLevel="1">
      <c r="B143" s="111"/>
      <c r="C143" s="111"/>
      <c r="D143" s="166"/>
      <c r="E143" s="1040" t="s">
        <v>174</v>
      </c>
      <c r="F143" s="1039" t="s">
        <v>1564</v>
      </c>
      <c r="G143" s="1742" t="s">
        <v>1566</v>
      </c>
      <c r="H143" s="1743"/>
      <c r="I143" s="1743"/>
      <c r="J143" s="1743"/>
      <c r="K143" s="1743"/>
      <c r="L143" s="1743"/>
      <c r="M143" s="1743"/>
      <c r="N143" s="1744"/>
      <c r="R143" s="1044" t="s">
        <v>174</v>
      </c>
      <c r="S143" s="1043" t="s">
        <v>1564</v>
      </c>
      <c r="T143" s="1718" t="s">
        <v>2041</v>
      </c>
      <c r="U143" s="1718"/>
      <c r="V143" s="1718"/>
      <c r="W143" s="1718"/>
      <c r="X143" s="1718"/>
      <c r="Y143" s="1718"/>
      <c r="Z143" s="1718"/>
      <c r="AA143" s="1718"/>
      <c r="AB143" s="111"/>
      <c r="AC143" s="1741"/>
      <c r="AD143" s="1741"/>
    </row>
    <row r="144" spans="2:30" ht="12.75" customHeight="1" outlineLevel="1">
      <c r="B144" s="111"/>
      <c r="C144" s="111"/>
      <c r="D144" s="166"/>
      <c r="E144" s="1753" t="s">
        <v>1862</v>
      </c>
      <c r="F144" s="1695" t="s">
        <v>1565</v>
      </c>
      <c r="G144" s="1722" t="s">
        <v>1863</v>
      </c>
      <c r="H144" s="1723"/>
      <c r="I144" s="1723"/>
      <c r="J144" s="1723"/>
      <c r="K144" s="1723"/>
      <c r="L144" s="1723"/>
      <c r="M144" s="1723"/>
      <c r="N144" s="1724"/>
      <c r="R144" s="1721" t="s">
        <v>1862</v>
      </c>
      <c r="S144" s="1714" t="s">
        <v>1565</v>
      </c>
      <c r="T144" s="1722" t="s">
        <v>1863</v>
      </c>
      <c r="U144" s="1723"/>
      <c r="V144" s="1723"/>
      <c r="W144" s="1723"/>
      <c r="X144" s="1723"/>
      <c r="Y144" s="1723"/>
      <c r="Z144" s="1723"/>
      <c r="AA144" s="1724"/>
      <c r="AB144" s="111"/>
      <c r="AC144" s="1741"/>
      <c r="AD144" s="1741"/>
    </row>
    <row r="145" spans="2:30" outlineLevel="1">
      <c r="B145" s="111"/>
      <c r="C145" s="111"/>
      <c r="D145" s="166"/>
      <c r="E145" s="1696"/>
      <c r="F145" s="1696"/>
      <c r="G145" s="1725"/>
      <c r="H145" s="1726"/>
      <c r="I145" s="1726"/>
      <c r="J145" s="1726"/>
      <c r="K145" s="1726"/>
      <c r="L145" s="1726"/>
      <c r="M145" s="1726"/>
      <c r="N145" s="1727"/>
      <c r="R145" s="1715"/>
      <c r="S145" s="1715"/>
      <c r="T145" s="1725"/>
      <c r="U145" s="1726"/>
      <c r="V145" s="1726"/>
      <c r="W145" s="1726"/>
      <c r="X145" s="1726"/>
      <c r="Y145" s="1726"/>
      <c r="Z145" s="1726"/>
      <c r="AA145" s="1727"/>
      <c r="AB145" s="111"/>
      <c r="AC145" s="1741"/>
      <c r="AD145" s="1741"/>
    </row>
    <row r="146" spans="2:30" outlineLevel="1">
      <c r="E146" s="172"/>
      <c r="F146" s="172"/>
      <c r="G146" s="172"/>
      <c r="H146" s="172"/>
      <c r="I146" s="172"/>
      <c r="J146" s="172"/>
      <c r="K146" s="172"/>
      <c r="L146" s="172"/>
      <c r="M146" s="172"/>
      <c r="N146" s="172"/>
      <c r="R146" s="172"/>
      <c r="S146" s="172"/>
      <c r="T146" s="172"/>
      <c r="U146" s="172"/>
      <c r="V146" s="172"/>
      <c r="W146" s="172"/>
      <c r="X146" s="172"/>
      <c r="Y146" s="172"/>
      <c r="Z146" s="172"/>
      <c r="AA146" s="172"/>
      <c r="AC146" s="803"/>
      <c r="AD146" s="801"/>
    </row>
    <row r="147" spans="2:30" outlineLevel="1">
      <c r="AC147" s="799"/>
      <c r="AD147" s="799"/>
    </row>
    <row r="148" spans="2:30" s="162" customFormat="1">
      <c r="B148" s="163" t="s">
        <v>1847</v>
      </c>
      <c r="C148" s="163"/>
      <c r="D148" s="163"/>
      <c r="K148" s="791" t="s">
        <v>1857</v>
      </c>
      <c r="L148" s="783"/>
      <c r="M148" s="783"/>
      <c r="N148" s="783"/>
      <c r="O148" s="742"/>
      <c r="P148" s="742"/>
      <c r="Q148" s="742"/>
      <c r="R148" s="791" t="s">
        <v>1559</v>
      </c>
      <c r="S148" s="783"/>
      <c r="T148" s="783"/>
      <c r="U148" s="783"/>
      <c r="V148" s="742"/>
      <c r="W148" s="742"/>
      <c r="X148" s="791"/>
      <c r="Y148" s="782"/>
      <c r="Z148" s="782"/>
      <c r="AA148" s="782"/>
      <c r="AB148" s="781"/>
      <c r="AC148" s="806"/>
      <c r="AD148" s="800"/>
    </row>
    <row r="149" spans="2:30" s="162" customFormat="1">
      <c r="B149" s="163" t="s">
        <v>1848</v>
      </c>
      <c r="C149" s="163"/>
      <c r="D149" s="163"/>
      <c r="K149" s="791" t="s">
        <v>1857</v>
      </c>
      <c r="L149" s="783"/>
      <c r="M149" s="783"/>
      <c r="N149" s="783"/>
      <c r="O149" s="742"/>
      <c r="P149" s="742"/>
      <c r="Q149" s="742"/>
      <c r="R149" s="791" t="s">
        <v>1559</v>
      </c>
      <c r="S149" s="783"/>
      <c r="T149" s="783"/>
      <c r="U149" s="783"/>
      <c r="V149" s="742"/>
      <c r="W149" s="742"/>
      <c r="X149" s="791"/>
      <c r="Y149" s="782"/>
      <c r="Z149" s="782"/>
      <c r="AA149" s="782"/>
      <c r="AB149" s="781"/>
      <c r="AC149" s="806"/>
      <c r="AD149" s="800"/>
    </row>
    <row r="150" spans="2:30" s="162" customFormat="1">
      <c r="B150" s="163" t="s">
        <v>1850</v>
      </c>
      <c r="C150" s="163"/>
      <c r="D150" s="163"/>
      <c r="K150" s="791" t="s">
        <v>1857</v>
      </c>
      <c r="L150" s="783"/>
      <c r="M150" s="783"/>
      <c r="N150" s="783"/>
      <c r="O150" s="742"/>
      <c r="P150" s="742"/>
      <c r="Q150" s="742"/>
      <c r="R150" s="791" t="s">
        <v>1559</v>
      </c>
      <c r="S150" s="783"/>
      <c r="T150" s="783"/>
      <c r="U150" s="783"/>
      <c r="V150" s="742"/>
      <c r="W150" s="742"/>
      <c r="X150" s="791"/>
      <c r="Y150" s="782"/>
      <c r="Z150" s="782"/>
      <c r="AA150" s="782"/>
      <c r="AB150" s="781"/>
      <c r="AC150" s="806"/>
      <c r="AD150" s="800"/>
    </row>
    <row r="151" spans="2:30" s="162" customFormat="1">
      <c r="B151" s="163" t="s">
        <v>1852</v>
      </c>
      <c r="C151" s="163"/>
      <c r="D151" s="163"/>
      <c r="K151" s="791" t="s">
        <v>1857</v>
      </c>
      <c r="L151" s="783"/>
      <c r="M151" s="783"/>
      <c r="N151" s="783"/>
      <c r="O151" s="742"/>
      <c r="P151" s="742"/>
      <c r="Q151" s="742"/>
      <c r="R151" s="791" t="s">
        <v>1559</v>
      </c>
      <c r="S151" s="783"/>
      <c r="T151" s="783"/>
      <c r="U151" s="783"/>
      <c r="V151" s="742"/>
      <c r="W151" s="742"/>
      <c r="X151" s="791"/>
      <c r="Y151" s="782"/>
      <c r="Z151" s="782"/>
      <c r="AA151" s="782"/>
      <c r="AB151" s="781"/>
      <c r="AC151" s="806"/>
      <c r="AD151" s="800"/>
    </row>
    <row r="152" spans="2:30" s="162" customFormat="1">
      <c r="B152" s="163" t="s">
        <v>1856</v>
      </c>
      <c r="C152" s="163"/>
      <c r="D152" s="163"/>
      <c r="K152" s="791" t="s">
        <v>1857</v>
      </c>
      <c r="L152" s="783"/>
      <c r="M152" s="783"/>
      <c r="N152" s="783"/>
      <c r="O152" s="742"/>
      <c r="P152" s="742"/>
      <c r="Q152" s="742"/>
      <c r="R152" s="791" t="s">
        <v>1559</v>
      </c>
      <c r="S152" s="783"/>
      <c r="T152" s="783"/>
      <c r="U152" s="783"/>
      <c r="V152" s="742"/>
      <c r="W152" s="742"/>
      <c r="X152" s="791"/>
      <c r="Y152" s="782"/>
      <c r="Z152" s="782"/>
      <c r="AA152" s="782"/>
      <c r="AB152" s="781"/>
      <c r="AC152" s="806"/>
      <c r="AD152" s="800"/>
    </row>
    <row r="153" spans="2:30" outlineLevel="1">
      <c r="B153" s="111"/>
      <c r="C153" s="166" t="s">
        <v>164</v>
      </c>
      <c r="D153" s="111"/>
      <c r="E153" s="111"/>
      <c r="F153" s="111"/>
      <c r="G153" s="111"/>
      <c r="H153" s="111"/>
      <c r="I153" s="111"/>
      <c r="J153" s="111"/>
      <c r="K153" s="111"/>
      <c r="L153" s="111"/>
      <c r="M153" s="111"/>
      <c r="N153" s="111"/>
      <c r="P153" s="788" t="s">
        <v>167</v>
      </c>
      <c r="Q153" s="788"/>
      <c r="R153" s="111"/>
      <c r="S153" s="111"/>
      <c r="T153" s="111"/>
      <c r="U153" s="111"/>
      <c r="V153" s="111"/>
      <c r="W153" s="111"/>
      <c r="X153" s="111"/>
      <c r="Y153" s="111"/>
      <c r="Z153" s="111"/>
      <c r="AA153" s="111"/>
      <c r="AB153" s="111"/>
      <c r="AC153" s="807"/>
      <c r="AD153" s="802"/>
    </row>
    <row r="154" spans="2:30" ht="12.75" customHeight="1" outlineLevel="1">
      <c r="B154" s="111"/>
      <c r="C154" s="166"/>
      <c r="D154" s="166" t="s">
        <v>2043</v>
      </c>
      <c r="E154" s="111"/>
      <c r="F154" s="111"/>
      <c r="G154" s="111"/>
      <c r="H154" s="111"/>
      <c r="I154" s="111"/>
      <c r="J154" s="111"/>
      <c r="K154" s="111"/>
      <c r="L154" s="111"/>
      <c r="M154" s="111"/>
      <c r="N154" s="111"/>
      <c r="P154" s="788"/>
      <c r="Q154" s="788" t="s">
        <v>2043</v>
      </c>
      <c r="R154" s="111"/>
      <c r="S154" s="111"/>
      <c r="T154" s="111"/>
      <c r="U154" s="111"/>
      <c r="V154" s="111"/>
      <c r="W154" s="111"/>
      <c r="X154" s="111"/>
      <c r="Y154" s="111"/>
      <c r="Z154" s="111"/>
      <c r="AA154" s="111"/>
      <c r="AB154" s="111"/>
      <c r="AC154" s="1741" t="s">
        <v>1816</v>
      </c>
      <c r="AD154" s="1741"/>
    </row>
    <row r="155" spans="2:30" outlineLevel="1">
      <c r="B155" s="111"/>
      <c r="C155" s="111"/>
      <c r="E155" s="111" t="s">
        <v>193</v>
      </c>
      <c r="F155" s="111"/>
      <c r="G155" s="111"/>
      <c r="H155" s="111"/>
      <c r="I155" s="111"/>
      <c r="J155" s="111"/>
      <c r="K155" s="111"/>
      <c r="L155" s="111"/>
      <c r="M155" s="111"/>
      <c r="N155" s="111"/>
      <c r="P155" s="789"/>
      <c r="R155" s="111" t="s">
        <v>193</v>
      </c>
      <c r="S155" s="111"/>
      <c r="T155" s="111"/>
      <c r="U155" s="111"/>
      <c r="V155" s="111"/>
      <c r="W155" s="111"/>
      <c r="X155" s="111"/>
      <c r="Y155" s="111"/>
      <c r="Z155" s="111"/>
      <c r="AA155" s="111"/>
      <c r="AB155" s="111"/>
      <c r="AC155" s="1741"/>
      <c r="AD155" s="1741"/>
    </row>
    <row r="156" spans="2:30" outlineLevel="1">
      <c r="B156" s="111"/>
      <c r="C156" s="111"/>
      <c r="D156" s="166"/>
      <c r="E156" s="787" t="s">
        <v>194</v>
      </c>
      <c r="F156" s="111"/>
      <c r="G156" s="111"/>
      <c r="H156" s="111"/>
      <c r="I156" s="111"/>
      <c r="J156" s="111"/>
      <c r="K156" s="111"/>
      <c r="L156" s="111"/>
      <c r="M156" s="111"/>
      <c r="N156" s="111"/>
      <c r="P156" s="789"/>
      <c r="Q156" s="789"/>
      <c r="R156" s="787" t="s">
        <v>194</v>
      </c>
      <c r="S156" s="111"/>
      <c r="T156" s="111"/>
      <c r="U156" s="111"/>
      <c r="V156" s="111"/>
      <c r="W156" s="111"/>
      <c r="X156" s="111"/>
      <c r="Y156" s="111"/>
      <c r="Z156" s="111"/>
      <c r="AA156" s="111"/>
      <c r="AB156" s="111"/>
      <c r="AC156" s="1741"/>
      <c r="AD156" s="1741"/>
    </row>
    <row r="157" spans="2:30" outlineLevel="1">
      <c r="B157" s="111"/>
      <c r="C157" s="111"/>
      <c r="D157" s="166"/>
      <c r="E157" s="787" t="s">
        <v>195</v>
      </c>
      <c r="F157" s="111"/>
      <c r="G157" s="111"/>
      <c r="H157" s="111"/>
      <c r="I157" s="111"/>
      <c r="J157" s="111"/>
      <c r="K157" s="111"/>
      <c r="L157" s="111"/>
      <c r="M157" s="111"/>
      <c r="N157" s="111"/>
      <c r="P157" s="789"/>
      <c r="Q157" s="789"/>
      <c r="R157" s="787" t="s">
        <v>195</v>
      </c>
      <c r="S157" s="111"/>
      <c r="T157" s="111"/>
      <c r="U157" s="111"/>
      <c r="V157" s="111"/>
      <c r="W157" s="111"/>
      <c r="X157" s="111"/>
      <c r="Y157" s="111"/>
      <c r="Z157" s="111"/>
      <c r="AA157" s="111"/>
      <c r="AB157" s="111"/>
      <c r="AC157" s="1741"/>
      <c r="AD157" s="1741"/>
    </row>
    <row r="158" spans="2:30" outlineLevel="1">
      <c r="B158" s="111"/>
      <c r="C158" s="111"/>
      <c r="D158" s="166"/>
      <c r="E158" s="1038" t="s">
        <v>165</v>
      </c>
      <c r="F158" s="1038" t="s">
        <v>166</v>
      </c>
      <c r="G158" s="1244">
        <v>7</v>
      </c>
      <c r="H158" s="1244">
        <v>6</v>
      </c>
      <c r="I158" s="1244">
        <v>5</v>
      </c>
      <c r="J158" s="1244">
        <v>4</v>
      </c>
      <c r="K158" s="1244">
        <v>3</v>
      </c>
      <c r="L158" s="1244">
        <v>2</v>
      </c>
      <c r="M158" s="1244">
        <v>1</v>
      </c>
      <c r="N158" s="1244">
        <v>0</v>
      </c>
      <c r="R158" s="1041" t="s">
        <v>165</v>
      </c>
      <c r="S158" s="1041" t="s">
        <v>166</v>
      </c>
      <c r="T158" s="1245">
        <v>7</v>
      </c>
      <c r="U158" s="1245">
        <v>6</v>
      </c>
      <c r="V158" s="1245">
        <v>5</v>
      </c>
      <c r="W158" s="1245">
        <v>4</v>
      </c>
      <c r="X158" s="1245">
        <v>3</v>
      </c>
      <c r="Y158" s="1245">
        <v>2</v>
      </c>
      <c r="Z158" s="1245">
        <v>1</v>
      </c>
      <c r="AA158" s="1245">
        <v>0</v>
      </c>
      <c r="AB158" s="111"/>
      <c r="AC158" s="1741"/>
      <c r="AD158" s="1741"/>
    </row>
    <row r="159" spans="2:30" outlineLevel="1">
      <c r="B159" s="111"/>
      <c r="C159" s="111"/>
      <c r="D159" s="166"/>
      <c r="E159" s="1038" t="s">
        <v>1902</v>
      </c>
      <c r="F159" s="1038" t="s">
        <v>1903</v>
      </c>
      <c r="G159" s="1701" t="s">
        <v>1905</v>
      </c>
      <c r="H159" s="1702"/>
      <c r="I159" s="1702"/>
      <c r="J159" s="1702"/>
      <c r="K159" s="1702"/>
      <c r="L159" s="1702"/>
      <c r="M159" s="1702"/>
      <c r="N159" s="1703"/>
      <c r="R159" s="1041" t="s">
        <v>1902</v>
      </c>
      <c r="S159" s="1041" t="s">
        <v>1207</v>
      </c>
      <c r="T159" s="1701" t="s">
        <v>88</v>
      </c>
      <c r="U159" s="1702"/>
      <c r="V159" s="1702"/>
      <c r="W159" s="1702"/>
      <c r="X159" s="1702"/>
      <c r="Y159" s="1702"/>
      <c r="Z159" s="1702"/>
      <c r="AA159" s="1703"/>
      <c r="AB159" s="111"/>
      <c r="AC159" s="1741"/>
      <c r="AD159" s="1741"/>
    </row>
    <row r="160" spans="2:30" ht="12.75" customHeight="1" outlineLevel="1">
      <c r="B160" s="111"/>
      <c r="C160" s="111"/>
      <c r="D160" s="166"/>
      <c r="E160" s="1704" t="s">
        <v>1906</v>
      </c>
      <c r="F160" s="1695" t="s">
        <v>1904</v>
      </c>
      <c r="G160" s="1706" t="s">
        <v>1913</v>
      </c>
      <c r="H160" s="1707"/>
      <c r="I160" s="1707"/>
      <c r="J160" s="1707"/>
      <c r="K160" s="1707"/>
      <c r="L160" s="1707"/>
      <c r="M160" s="1707"/>
      <c r="N160" s="1708"/>
      <c r="R160" s="1712" t="s">
        <v>1906</v>
      </c>
      <c r="S160" s="1714" t="s">
        <v>1904</v>
      </c>
      <c r="T160" s="1706" t="s">
        <v>1913</v>
      </c>
      <c r="U160" s="1707"/>
      <c r="V160" s="1707"/>
      <c r="W160" s="1707"/>
      <c r="X160" s="1707"/>
      <c r="Y160" s="1707"/>
      <c r="Z160" s="1707"/>
      <c r="AA160" s="1708"/>
      <c r="AB160" s="111"/>
      <c r="AC160" s="1741"/>
      <c r="AD160" s="1741"/>
    </row>
    <row r="161" spans="2:30" outlineLevel="1">
      <c r="B161" s="111"/>
      <c r="C161" s="111"/>
      <c r="D161" s="166"/>
      <c r="E161" s="1705"/>
      <c r="F161" s="1696"/>
      <c r="G161" s="1709"/>
      <c r="H161" s="1710"/>
      <c r="I161" s="1710"/>
      <c r="J161" s="1710"/>
      <c r="K161" s="1710"/>
      <c r="L161" s="1710"/>
      <c r="M161" s="1710"/>
      <c r="N161" s="1711"/>
      <c r="R161" s="1713"/>
      <c r="S161" s="1715"/>
      <c r="T161" s="1709"/>
      <c r="U161" s="1710"/>
      <c r="V161" s="1710"/>
      <c r="W161" s="1710"/>
      <c r="X161" s="1710"/>
      <c r="Y161" s="1710"/>
      <c r="Z161" s="1710"/>
      <c r="AA161" s="1711"/>
      <c r="AB161" s="111"/>
      <c r="AC161" s="1741"/>
      <c r="AD161" s="1741"/>
    </row>
    <row r="162" spans="2:30" outlineLevel="1">
      <c r="B162" s="111"/>
      <c r="C162" s="111"/>
      <c r="D162" s="166"/>
      <c r="E162" s="1038" t="s">
        <v>1562</v>
      </c>
      <c r="F162" s="1039" t="s">
        <v>1564</v>
      </c>
      <c r="G162" s="1745" t="s">
        <v>1566</v>
      </c>
      <c r="H162" s="1746"/>
      <c r="I162" s="1746"/>
      <c r="J162" s="1746"/>
      <c r="K162" s="1746"/>
      <c r="L162" s="1746"/>
      <c r="M162" s="1746"/>
      <c r="N162" s="1747"/>
      <c r="R162" s="1041" t="s">
        <v>1562</v>
      </c>
      <c r="S162" s="1043" t="s">
        <v>1564</v>
      </c>
      <c r="T162" s="1718" t="s">
        <v>2041</v>
      </c>
      <c r="U162" s="1718"/>
      <c r="V162" s="1718"/>
      <c r="W162" s="1718"/>
      <c r="X162" s="1718"/>
      <c r="Y162" s="1718"/>
      <c r="Z162" s="1718"/>
      <c r="AA162" s="1718"/>
      <c r="AB162" s="111"/>
      <c r="AC162" s="1741"/>
      <c r="AD162" s="1741"/>
    </row>
    <row r="163" spans="2:30" ht="12.75" customHeight="1" outlineLevel="1">
      <c r="B163" s="111"/>
      <c r="C163" s="111"/>
      <c r="D163" s="166"/>
      <c r="E163" s="1695" t="s">
        <v>1563</v>
      </c>
      <c r="F163" s="1695" t="s">
        <v>1565</v>
      </c>
      <c r="G163" s="1722" t="s">
        <v>1864</v>
      </c>
      <c r="H163" s="1723"/>
      <c r="I163" s="1723"/>
      <c r="J163" s="1723"/>
      <c r="K163" s="1723"/>
      <c r="L163" s="1723"/>
      <c r="M163" s="1723"/>
      <c r="N163" s="1724"/>
      <c r="R163" s="1714" t="s">
        <v>1563</v>
      </c>
      <c r="S163" s="1714" t="s">
        <v>1565</v>
      </c>
      <c r="T163" s="1722" t="s">
        <v>1864</v>
      </c>
      <c r="U163" s="1723"/>
      <c r="V163" s="1723"/>
      <c r="W163" s="1723"/>
      <c r="X163" s="1723"/>
      <c r="Y163" s="1723"/>
      <c r="Z163" s="1723"/>
      <c r="AA163" s="1724"/>
      <c r="AB163" s="111"/>
      <c r="AC163" s="1741"/>
      <c r="AD163" s="1741"/>
    </row>
    <row r="164" spans="2:30" outlineLevel="1">
      <c r="B164" s="111"/>
      <c r="C164" s="111"/>
      <c r="D164" s="166"/>
      <c r="E164" s="1696"/>
      <c r="F164" s="1696"/>
      <c r="G164" s="1725"/>
      <c r="H164" s="1726"/>
      <c r="I164" s="1726"/>
      <c r="J164" s="1726"/>
      <c r="K164" s="1726"/>
      <c r="L164" s="1726"/>
      <c r="M164" s="1726"/>
      <c r="N164" s="1727"/>
      <c r="R164" s="1715"/>
      <c r="S164" s="1715"/>
      <c r="T164" s="1725"/>
      <c r="U164" s="1726"/>
      <c r="V164" s="1726"/>
      <c r="W164" s="1726"/>
      <c r="X164" s="1726"/>
      <c r="Y164" s="1726"/>
      <c r="Z164" s="1726"/>
      <c r="AA164" s="1727"/>
      <c r="AB164" s="111"/>
      <c r="AC164" s="1741"/>
      <c r="AD164" s="1741"/>
    </row>
    <row r="165" spans="2:30" outlineLevel="1">
      <c r="B165" s="111"/>
      <c r="C165" s="111"/>
      <c r="D165" s="166"/>
      <c r="E165" s="172"/>
      <c r="F165" s="172"/>
      <c r="G165" s="172"/>
      <c r="H165" s="172"/>
      <c r="I165" s="172"/>
      <c r="J165" s="172"/>
      <c r="K165" s="172"/>
      <c r="L165" s="172"/>
      <c r="M165" s="172"/>
      <c r="N165" s="172"/>
      <c r="R165" s="172"/>
      <c r="S165" s="172"/>
      <c r="T165" s="172"/>
      <c r="U165" s="172"/>
      <c r="V165" s="172"/>
      <c r="W165" s="172"/>
      <c r="X165" s="172"/>
      <c r="Y165" s="172"/>
      <c r="Z165" s="172"/>
      <c r="AA165" s="172"/>
      <c r="AB165" s="111"/>
      <c r="AC165" s="1741"/>
      <c r="AD165" s="1741"/>
    </row>
    <row r="166" spans="2:30" outlineLevel="1">
      <c r="B166" s="111"/>
      <c r="D166" s="166" t="s">
        <v>2039</v>
      </c>
      <c r="E166" s="111"/>
      <c r="F166" s="111"/>
      <c r="G166" s="111"/>
      <c r="H166" s="111"/>
      <c r="I166" s="111"/>
      <c r="J166" s="111"/>
      <c r="K166" s="111"/>
      <c r="L166" s="111"/>
      <c r="M166" s="111"/>
      <c r="N166" s="111"/>
      <c r="P166" s="788" t="s">
        <v>2039</v>
      </c>
      <c r="Q166" s="789"/>
      <c r="R166" s="111"/>
      <c r="S166" s="111"/>
      <c r="T166" s="111"/>
      <c r="U166" s="111"/>
      <c r="V166" s="111"/>
      <c r="W166" s="111"/>
      <c r="X166" s="111"/>
      <c r="Y166" s="111"/>
      <c r="Z166" s="111"/>
      <c r="AA166" s="111"/>
      <c r="AB166" s="111"/>
      <c r="AC166" s="1741"/>
      <c r="AD166" s="1741"/>
    </row>
    <row r="167" spans="2:30" outlineLevel="1">
      <c r="B167" s="111"/>
      <c r="C167" s="111"/>
      <c r="D167" s="166"/>
      <c r="E167" s="1038" t="s">
        <v>165</v>
      </c>
      <c r="F167" s="1038" t="s">
        <v>166</v>
      </c>
      <c r="G167" s="1244">
        <v>7</v>
      </c>
      <c r="H167" s="1244">
        <v>6</v>
      </c>
      <c r="I167" s="1244">
        <v>5</v>
      </c>
      <c r="J167" s="1244">
        <v>4</v>
      </c>
      <c r="K167" s="1244">
        <v>3</v>
      </c>
      <c r="L167" s="1244">
        <v>2</v>
      </c>
      <c r="M167" s="1244">
        <v>1</v>
      </c>
      <c r="N167" s="1244">
        <v>0</v>
      </c>
      <c r="R167" s="1041" t="s">
        <v>165</v>
      </c>
      <c r="S167" s="1041" t="s">
        <v>166</v>
      </c>
      <c r="T167" s="1245">
        <v>7</v>
      </c>
      <c r="U167" s="1245">
        <v>6</v>
      </c>
      <c r="V167" s="1245">
        <v>5</v>
      </c>
      <c r="W167" s="1245">
        <v>4</v>
      </c>
      <c r="X167" s="1245">
        <v>3</v>
      </c>
      <c r="Y167" s="1245">
        <v>2</v>
      </c>
      <c r="Z167" s="1245">
        <v>1</v>
      </c>
      <c r="AA167" s="1245">
        <v>0</v>
      </c>
      <c r="AB167" s="111"/>
      <c r="AC167" s="1741"/>
      <c r="AD167" s="1741"/>
    </row>
    <row r="168" spans="2:30" outlineLevel="1">
      <c r="B168" s="111"/>
      <c r="C168" s="111"/>
      <c r="D168" s="166"/>
      <c r="E168" s="1038" t="s">
        <v>1902</v>
      </c>
      <c r="F168" s="1038" t="s">
        <v>1909</v>
      </c>
      <c r="G168" s="1701" t="s">
        <v>1905</v>
      </c>
      <c r="H168" s="1702"/>
      <c r="I168" s="1702"/>
      <c r="J168" s="1702"/>
      <c r="K168" s="1702"/>
      <c r="L168" s="1702"/>
      <c r="M168" s="1702"/>
      <c r="N168" s="1703"/>
      <c r="R168" s="1041" t="s">
        <v>1902</v>
      </c>
      <c r="S168" s="1041" t="s">
        <v>1909</v>
      </c>
      <c r="T168" s="1701" t="s">
        <v>88</v>
      </c>
      <c r="U168" s="1702"/>
      <c r="V168" s="1702"/>
      <c r="W168" s="1702"/>
      <c r="X168" s="1702"/>
      <c r="Y168" s="1702"/>
      <c r="Z168" s="1702"/>
      <c r="AA168" s="1703"/>
      <c r="AB168" s="111"/>
      <c r="AC168" s="1741"/>
      <c r="AD168" s="1741"/>
    </row>
    <row r="169" spans="2:30" ht="12.75" customHeight="1" outlineLevel="1">
      <c r="B169" s="111"/>
      <c r="C169" s="111"/>
      <c r="D169" s="166"/>
      <c r="E169" s="1704" t="s">
        <v>1906</v>
      </c>
      <c r="F169" s="1695" t="s">
        <v>1904</v>
      </c>
      <c r="G169" s="1706" t="s">
        <v>1913</v>
      </c>
      <c r="H169" s="1707"/>
      <c r="I169" s="1707"/>
      <c r="J169" s="1707"/>
      <c r="K169" s="1707"/>
      <c r="L169" s="1707"/>
      <c r="M169" s="1707"/>
      <c r="N169" s="1708"/>
      <c r="R169" s="1712" t="s">
        <v>1906</v>
      </c>
      <c r="S169" s="1714" t="s">
        <v>1904</v>
      </c>
      <c r="T169" s="1706" t="s">
        <v>1913</v>
      </c>
      <c r="U169" s="1707"/>
      <c r="V169" s="1707"/>
      <c r="W169" s="1707"/>
      <c r="X169" s="1707"/>
      <c r="Y169" s="1707"/>
      <c r="Z169" s="1707"/>
      <c r="AA169" s="1708"/>
      <c r="AB169" s="111"/>
      <c r="AC169" s="1741"/>
      <c r="AD169" s="1741"/>
    </row>
    <row r="170" spans="2:30" outlineLevel="1">
      <c r="B170" s="111"/>
      <c r="C170" s="111"/>
      <c r="D170" s="166"/>
      <c r="E170" s="1705"/>
      <c r="F170" s="1696"/>
      <c r="G170" s="1709"/>
      <c r="H170" s="1710"/>
      <c r="I170" s="1710"/>
      <c r="J170" s="1710"/>
      <c r="K170" s="1710"/>
      <c r="L170" s="1710"/>
      <c r="M170" s="1710"/>
      <c r="N170" s="1711"/>
      <c r="R170" s="1713"/>
      <c r="S170" s="1715"/>
      <c r="T170" s="1709"/>
      <c r="U170" s="1710"/>
      <c r="V170" s="1710"/>
      <c r="W170" s="1710"/>
      <c r="X170" s="1710"/>
      <c r="Y170" s="1710"/>
      <c r="Z170" s="1710"/>
      <c r="AA170" s="1711"/>
      <c r="AB170" s="111"/>
      <c r="AC170" s="1741"/>
      <c r="AD170" s="1741"/>
    </row>
    <row r="171" spans="2:30" outlineLevel="1">
      <c r="B171" s="111"/>
      <c r="C171" s="111"/>
      <c r="D171" s="166"/>
      <c r="E171" s="1040" t="s">
        <v>174</v>
      </c>
      <c r="F171" s="1039" t="s">
        <v>1564</v>
      </c>
      <c r="G171" s="1742" t="s">
        <v>1566</v>
      </c>
      <c r="H171" s="1743"/>
      <c r="I171" s="1743"/>
      <c r="J171" s="1743"/>
      <c r="K171" s="1743"/>
      <c r="L171" s="1743"/>
      <c r="M171" s="1743"/>
      <c r="N171" s="1744"/>
      <c r="R171" s="1044" t="s">
        <v>174</v>
      </c>
      <c r="S171" s="1043" t="s">
        <v>1564</v>
      </c>
      <c r="T171" s="1718" t="s">
        <v>2041</v>
      </c>
      <c r="U171" s="1718"/>
      <c r="V171" s="1718"/>
      <c r="W171" s="1718"/>
      <c r="X171" s="1718"/>
      <c r="Y171" s="1718"/>
      <c r="Z171" s="1718"/>
      <c r="AA171" s="1718"/>
      <c r="AB171" s="111"/>
      <c r="AC171" s="1741"/>
      <c r="AD171" s="1741"/>
    </row>
    <row r="172" spans="2:30" ht="12.75" customHeight="1" outlineLevel="1">
      <c r="B172" s="111"/>
      <c r="C172" s="111"/>
      <c r="D172" s="166"/>
      <c r="E172" s="1695" t="s">
        <v>1563</v>
      </c>
      <c r="F172" s="1695" t="s">
        <v>1565</v>
      </c>
      <c r="G172" s="1722" t="s">
        <v>1864</v>
      </c>
      <c r="H172" s="1723"/>
      <c r="I172" s="1723"/>
      <c r="J172" s="1723"/>
      <c r="K172" s="1723"/>
      <c r="L172" s="1723"/>
      <c r="M172" s="1723"/>
      <c r="N172" s="1724"/>
      <c r="R172" s="1714" t="s">
        <v>1563</v>
      </c>
      <c r="S172" s="1714" t="s">
        <v>1565</v>
      </c>
      <c r="T172" s="1722" t="s">
        <v>1864</v>
      </c>
      <c r="U172" s="1723"/>
      <c r="V172" s="1723"/>
      <c r="W172" s="1723"/>
      <c r="X172" s="1723"/>
      <c r="Y172" s="1723"/>
      <c r="Z172" s="1723"/>
      <c r="AA172" s="1724"/>
      <c r="AB172" s="111"/>
      <c r="AC172" s="1741"/>
      <c r="AD172" s="1741"/>
    </row>
    <row r="173" spans="2:30" outlineLevel="1">
      <c r="B173" s="111"/>
      <c r="C173" s="111"/>
      <c r="D173" s="166"/>
      <c r="E173" s="1696"/>
      <c r="F173" s="1696"/>
      <c r="G173" s="1725"/>
      <c r="H173" s="1726"/>
      <c r="I173" s="1726"/>
      <c r="J173" s="1726"/>
      <c r="K173" s="1726"/>
      <c r="L173" s="1726"/>
      <c r="M173" s="1726"/>
      <c r="N173" s="1727"/>
      <c r="R173" s="1715"/>
      <c r="S173" s="1715"/>
      <c r="T173" s="1725"/>
      <c r="U173" s="1726"/>
      <c r="V173" s="1726"/>
      <c r="W173" s="1726"/>
      <c r="X173" s="1726"/>
      <c r="Y173" s="1726"/>
      <c r="Z173" s="1726"/>
      <c r="AA173" s="1727"/>
      <c r="AB173" s="111"/>
      <c r="AC173" s="1741"/>
      <c r="AD173" s="1741"/>
    </row>
    <row r="174" spans="2:30" outlineLevel="1">
      <c r="R174" s="172"/>
      <c r="S174" s="172"/>
      <c r="T174" s="172"/>
      <c r="U174" s="172"/>
      <c r="V174" s="172"/>
      <c r="W174" s="172"/>
      <c r="X174" s="172"/>
      <c r="Y174" s="172"/>
      <c r="Z174" s="172"/>
      <c r="AA174" s="172"/>
      <c r="AC174" s="803"/>
      <c r="AD174" s="801"/>
    </row>
    <row r="175" spans="2:30" outlineLevel="1">
      <c r="AC175" s="799"/>
      <c r="AD175" s="799"/>
    </row>
    <row r="176" spans="2:30" s="162" customFormat="1">
      <c r="B176" s="163"/>
      <c r="C176" s="163"/>
      <c r="D176" s="163"/>
      <c r="K176" s="793"/>
      <c r="L176" s="783"/>
      <c r="M176" s="783"/>
      <c r="N176" s="783"/>
      <c r="O176" s="792"/>
      <c r="P176" s="742"/>
      <c r="Q176" s="742"/>
      <c r="R176" s="742"/>
      <c r="S176" s="742"/>
      <c r="T176" s="742"/>
      <c r="U176" s="742"/>
      <c r="V176" s="742"/>
      <c r="W176" s="742"/>
      <c r="X176" s="793"/>
      <c r="Y176" s="783"/>
      <c r="Z176" s="783"/>
      <c r="AA176" s="783"/>
      <c r="AB176" s="781"/>
      <c r="AC176" s="806"/>
      <c r="AD176" s="800"/>
    </row>
  </sheetData>
  <mergeCells count="322">
    <mergeCell ref="G172:N173"/>
    <mergeCell ref="I68:I69"/>
    <mergeCell ref="J68:J69"/>
    <mergeCell ref="K68:K69"/>
    <mergeCell ref="E91:E92"/>
    <mergeCell ref="F91:F92"/>
    <mergeCell ref="G91:N92"/>
    <mergeCell ref="G93:N93"/>
    <mergeCell ref="AD126:AD145"/>
    <mergeCell ref="AC154:AC173"/>
    <mergeCell ref="AD154:AD173"/>
    <mergeCell ref="AC49:AC69"/>
    <mergeCell ref="F160:F161"/>
    <mergeCell ref="G160:N161"/>
    <mergeCell ref="G168:N168"/>
    <mergeCell ref="E169:E170"/>
    <mergeCell ref="F169:F170"/>
    <mergeCell ref="G169:N170"/>
    <mergeCell ref="G143:N143"/>
    <mergeCell ref="E132:E133"/>
    <mergeCell ref="F132:F133"/>
    <mergeCell ref="G132:N133"/>
    <mergeCell ref="G134:N134"/>
    <mergeCell ref="G140:N140"/>
    <mergeCell ref="E141:E142"/>
    <mergeCell ref="F141:F142"/>
    <mergeCell ref="E172:E173"/>
    <mergeCell ref="F172:F173"/>
    <mergeCell ref="G144:N145"/>
    <mergeCell ref="E106:E107"/>
    <mergeCell ref="F106:F107"/>
    <mergeCell ref="G106:N107"/>
    <mergeCell ref="G116:N116"/>
    <mergeCell ref="E117:E118"/>
    <mergeCell ref="F117:F118"/>
    <mergeCell ref="G117:N118"/>
    <mergeCell ref="G119:N119"/>
    <mergeCell ref="E120:E121"/>
    <mergeCell ref="F135:F136"/>
    <mergeCell ref="G135:N136"/>
    <mergeCell ref="E163:E164"/>
    <mergeCell ref="F163:F164"/>
    <mergeCell ref="G163:N164"/>
    <mergeCell ref="F109:F110"/>
    <mergeCell ref="E135:E136"/>
    <mergeCell ref="G141:N142"/>
    <mergeCell ref="E144:E145"/>
    <mergeCell ref="F144:F145"/>
    <mergeCell ref="AD49:AD69"/>
    <mergeCell ref="AD23:AD41"/>
    <mergeCell ref="E160:E161"/>
    <mergeCell ref="F120:F121"/>
    <mergeCell ref="K120:K121"/>
    <mergeCell ref="L120:L121"/>
    <mergeCell ref="M120:M121"/>
    <mergeCell ref="E28:E29"/>
    <mergeCell ref="F28:F29"/>
    <mergeCell ref="G28:N29"/>
    <mergeCell ref="E37:E38"/>
    <mergeCell ref="F37:F38"/>
    <mergeCell ref="G37:N38"/>
    <mergeCell ref="G36:N36"/>
    <mergeCell ref="E40:E41"/>
    <mergeCell ref="F40:F41"/>
    <mergeCell ref="G40:N41"/>
    <mergeCell ref="G39:N39"/>
    <mergeCell ref="E31:E32"/>
    <mergeCell ref="F31:F32"/>
    <mergeCell ref="J120:J121"/>
    <mergeCell ref="E111:E112"/>
    <mergeCell ref="F111:F112"/>
    <mergeCell ref="E109:E110"/>
    <mergeCell ref="K2:N2"/>
    <mergeCell ref="K3:N3"/>
    <mergeCell ref="K57:K58"/>
    <mergeCell ref="L57:L58"/>
    <mergeCell ref="M57:M58"/>
    <mergeCell ref="K8:N8"/>
    <mergeCell ref="K9:N9"/>
    <mergeCell ref="K6:N6"/>
    <mergeCell ref="AD101:AD121"/>
    <mergeCell ref="K5:N5"/>
    <mergeCell ref="G56:N56"/>
    <mergeCell ref="I59:I60"/>
    <mergeCell ref="J59:J60"/>
    <mergeCell ref="K59:K60"/>
    <mergeCell ref="L59:L60"/>
    <mergeCell ref="N57:N58"/>
    <mergeCell ref="M59:M60"/>
    <mergeCell ref="N59:N60"/>
    <mergeCell ref="I57:I58"/>
    <mergeCell ref="J57:J58"/>
    <mergeCell ref="AC23:AC41"/>
    <mergeCell ref="K109:K110"/>
    <mergeCell ref="L109:L110"/>
    <mergeCell ref="M109:M110"/>
    <mergeCell ref="K7:N7"/>
    <mergeCell ref="M111:M112"/>
    <mergeCell ref="N111:N112"/>
    <mergeCell ref="K111:K112"/>
    <mergeCell ref="L111:L112"/>
    <mergeCell ref="N109:N110"/>
    <mergeCell ref="G53:N53"/>
    <mergeCell ref="G64:N64"/>
    <mergeCell ref="G27:N27"/>
    <mergeCell ref="G65:N66"/>
    <mergeCell ref="G67:N67"/>
    <mergeCell ref="G54:N55"/>
    <mergeCell ref="G30:N30"/>
    <mergeCell ref="G31:N32"/>
    <mergeCell ref="G57:G58"/>
    <mergeCell ref="L68:L69"/>
    <mergeCell ref="M68:M69"/>
    <mergeCell ref="N68:N69"/>
    <mergeCell ref="G105:N105"/>
    <mergeCell ref="G90:N90"/>
    <mergeCell ref="G108:N108"/>
    <mergeCell ref="N85:N86"/>
    <mergeCell ref="N94:N95"/>
    <mergeCell ref="E65:E66"/>
    <mergeCell ref="F65:F66"/>
    <mergeCell ref="F68:F69"/>
    <mergeCell ref="E68:E69"/>
    <mergeCell ref="E54:E55"/>
    <mergeCell ref="F54:F55"/>
    <mergeCell ref="E59:E60"/>
    <mergeCell ref="F59:F60"/>
    <mergeCell ref="H57:H58"/>
    <mergeCell ref="G59:G60"/>
    <mergeCell ref="H59:H60"/>
    <mergeCell ref="E57:E58"/>
    <mergeCell ref="F57:F58"/>
    <mergeCell ref="G68:G69"/>
    <mergeCell ref="H68:H69"/>
    <mergeCell ref="T27:AA27"/>
    <mergeCell ref="G159:N159"/>
    <mergeCell ref="AC126:AC145"/>
    <mergeCell ref="G171:N171"/>
    <mergeCell ref="G162:N162"/>
    <mergeCell ref="N120:N121"/>
    <mergeCell ref="G109:G110"/>
    <mergeCell ref="H109:H110"/>
    <mergeCell ref="I109:I110"/>
    <mergeCell ref="J109:J110"/>
    <mergeCell ref="G111:G112"/>
    <mergeCell ref="H111:H112"/>
    <mergeCell ref="I111:I112"/>
    <mergeCell ref="J111:J112"/>
    <mergeCell ref="G120:G121"/>
    <mergeCell ref="H120:H121"/>
    <mergeCell ref="I120:I121"/>
    <mergeCell ref="AC101:AC121"/>
    <mergeCell ref="G131:N131"/>
    <mergeCell ref="R120:R121"/>
    <mergeCell ref="S120:S121"/>
    <mergeCell ref="T120:T121"/>
    <mergeCell ref="U120:U121"/>
    <mergeCell ref="V120:V121"/>
    <mergeCell ref="R40:R41"/>
    <mergeCell ref="S40:S41"/>
    <mergeCell ref="T40:AA41"/>
    <mergeCell ref="T53:AA53"/>
    <mergeCell ref="R54:R55"/>
    <mergeCell ref="S54:S55"/>
    <mergeCell ref="T54:AA55"/>
    <mergeCell ref="R28:R29"/>
    <mergeCell ref="S28:S29"/>
    <mergeCell ref="T28:AA29"/>
    <mergeCell ref="T30:AA30"/>
    <mergeCell ref="T36:AA36"/>
    <mergeCell ref="R37:R38"/>
    <mergeCell ref="S37:S38"/>
    <mergeCell ref="T37:AA38"/>
    <mergeCell ref="T39:AA39"/>
    <mergeCell ref="R57:R58"/>
    <mergeCell ref="S57:S58"/>
    <mergeCell ref="T57:T58"/>
    <mergeCell ref="U57:U58"/>
    <mergeCell ref="V57:V58"/>
    <mergeCell ref="W57:W58"/>
    <mergeCell ref="X57:X58"/>
    <mergeCell ref="Y57:Y58"/>
    <mergeCell ref="T56:AA56"/>
    <mergeCell ref="Z57:Z58"/>
    <mergeCell ref="AA57:AA58"/>
    <mergeCell ref="R68:R69"/>
    <mergeCell ref="S68:S69"/>
    <mergeCell ref="T68:T69"/>
    <mergeCell ref="U68:U69"/>
    <mergeCell ref="V68:V69"/>
    <mergeCell ref="W68:W69"/>
    <mergeCell ref="X68:X69"/>
    <mergeCell ref="Y68:Y69"/>
    <mergeCell ref="T64:AA64"/>
    <mergeCell ref="R65:R66"/>
    <mergeCell ref="S65:S66"/>
    <mergeCell ref="T65:AA66"/>
    <mergeCell ref="T67:AA67"/>
    <mergeCell ref="Z68:Z69"/>
    <mergeCell ref="AA68:AA69"/>
    <mergeCell ref="Y109:Y110"/>
    <mergeCell ref="T105:AA105"/>
    <mergeCell ref="R106:R107"/>
    <mergeCell ref="S106:S107"/>
    <mergeCell ref="T106:AA107"/>
    <mergeCell ref="T108:AA108"/>
    <mergeCell ref="Z109:Z110"/>
    <mergeCell ref="AA109:AA110"/>
    <mergeCell ref="T83:T84"/>
    <mergeCell ref="U83:U84"/>
    <mergeCell ref="V83:V84"/>
    <mergeCell ref="W83:W84"/>
    <mergeCell ref="X83:X84"/>
    <mergeCell ref="Y83:Y84"/>
    <mergeCell ref="Z83:Z84"/>
    <mergeCell ref="AA83:AA84"/>
    <mergeCell ref="R94:R95"/>
    <mergeCell ref="S94:S95"/>
    <mergeCell ref="T94:T95"/>
    <mergeCell ref="U94:U95"/>
    <mergeCell ref="V94:V95"/>
    <mergeCell ref="W94:W95"/>
    <mergeCell ref="X94:X95"/>
    <mergeCell ref="Y94:Y95"/>
    <mergeCell ref="T159:AA159"/>
    <mergeCell ref="S160:S161"/>
    <mergeCell ref="T160:AA161"/>
    <mergeCell ref="T162:AA162"/>
    <mergeCell ref="S163:S164"/>
    <mergeCell ref="T163:AA164"/>
    <mergeCell ref="R141:R142"/>
    <mergeCell ref="S141:S142"/>
    <mergeCell ref="T141:AA142"/>
    <mergeCell ref="T143:AA143"/>
    <mergeCell ref="R144:R145"/>
    <mergeCell ref="S144:S145"/>
    <mergeCell ref="T144:AA145"/>
    <mergeCell ref="T168:AA168"/>
    <mergeCell ref="R169:R170"/>
    <mergeCell ref="S169:S170"/>
    <mergeCell ref="T169:AA170"/>
    <mergeCell ref="T171:AA171"/>
    <mergeCell ref="R172:R173"/>
    <mergeCell ref="S172:S173"/>
    <mergeCell ref="T172:AA173"/>
    <mergeCell ref="R160:R161"/>
    <mergeCell ref="R163:R164"/>
    <mergeCell ref="T116:AA116"/>
    <mergeCell ref="R117:R118"/>
    <mergeCell ref="S117:S118"/>
    <mergeCell ref="T117:AA118"/>
    <mergeCell ref="T119:AA119"/>
    <mergeCell ref="Z120:Z121"/>
    <mergeCell ref="AA120:AA121"/>
    <mergeCell ref="T90:AA90"/>
    <mergeCell ref="R91:R92"/>
    <mergeCell ref="S91:S92"/>
    <mergeCell ref="T91:AA92"/>
    <mergeCell ref="T93:AA93"/>
    <mergeCell ref="Z94:Z95"/>
    <mergeCell ref="AA94:AA95"/>
    <mergeCell ref="W120:W121"/>
    <mergeCell ref="X120:X121"/>
    <mergeCell ref="Y120:Y121"/>
    <mergeCell ref="R109:R110"/>
    <mergeCell ref="S109:S110"/>
    <mergeCell ref="T109:T110"/>
    <mergeCell ref="U109:U110"/>
    <mergeCell ref="V109:V110"/>
    <mergeCell ref="W109:W110"/>
    <mergeCell ref="X109:X110"/>
    <mergeCell ref="T131:AA131"/>
    <mergeCell ref="R132:R133"/>
    <mergeCell ref="S132:S133"/>
    <mergeCell ref="T132:AA133"/>
    <mergeCell ref="T134:AA134"/>
    <mergeCell ref="R135:R136"/>
    <mergeCell ref="S135:S136"/>
    <mergeCell ref="T135:AA136"/>
    <mergeCell ref="T140:AA140"/>
    <mergeCell ref="AC75:AC95"/>
    <mergeCell ref="AD75:AD95"/>
    <mergeCell ref="G79:N79"/>
    <mergeCell ref="T79:AA79"/>
    <mergeCell ref="E80:E81"/>
    <mergeCell ref="F80:F81"/>
    <mergeCell ref="G80:N81"/>
    <mergeCell ref="R80:R81"/>
    <mergeCell ref="S80:S81"/>
    <mergeCell ref="T80:AA81"/>
    <mergeCell ref="G82:N82"/>
    <mergeCell ref="T82:AA82"/>
    <mergeCell ref="E83:E84"/>
    <mergeCell ref="F83:F84"/>
    <mergeCell ref="G83:G84"/>
    <mergeCell ref="H83:H84"/>
    <mergeCell ref="I83:I84"/>
    <mergeCell ref="J83:J84"/>
    <mergeCell ref="K83:K84"/>
    <mergeCell ref="L83:L84"/>
    <mergeCell ref="M83:M84"/>
    <mergeCell ref="N83:N84"/>
    <mergeCell ref="R83:R84"/>
    <mergeCell ref="S83:S84"/>
    <mergeCell ref="E85:E86"/>
    <mergeCell ref="F85:F86"/>
    <mergeCell ref="G85:G86"/>
    <mergeCell ref="H85:H86"/>
    <mergeCell ref="I85:I86"/>
    <mergeCell ref="J85:J86"/>
    <mergeCell ref="K85:K86"/>
    <mergeCell ref="L85:L86"/>
    <mergeCell ref="M85:M86"/>
    <mergeCell ref="E94:E95"/>
    <mergeCell ref="F94:F95"/>
    <mergeCell ref="G94:G95"/>
    <mergeCell ref="H94:H95"/>
    <mergeCell ref="I94:I95"/>
    <mergeCell ref="J94:J95"/>
    <mergeCell ref="K94:K95"/>
    <mergeCell ref="L94:L95"/>
    <mergeCell ref="M94:M95"/>
  </mergeCells>
  <phoneticPr fontId="13"/>
  <pageMargins left="0.7" right="0.7" top="0.75" bottom="0.75" header="0.3" footer="0.3"/>
  <pageSetup paperSize="9" scale="26"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7C1EC9-943D-42A6-A865-BB98B4C4D1F5}">
  <sheetPr codeName="Sheet7">
    <tabColor theme="1"/>
  </sheetPr>
  <dimension ref="A1"/>
  <sheetViews>
    <sheetView zoomScale="85" zoomScaleNormal="85" workbookViewId="0"/>
  </sheetViews>
  <sheetFormatPr defaultRowHeight="11.4"/>
  <sheetData/>
  <phoneticPr fontId="13"/>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16A25B-256D-4F1E-94AF-05469D64A031}">
  <sheetPr codeName="Sheet9">
    <outlinePr summaryBelow="0" summaryRight="0"/>
  </sheetPr>
  <dimension ref="A1:AN112"/>
  <sheetViews>
    <sheetView showGridLines="0" topLeftCell="C1" zoomScaleNormal="100" workbookViewId="0">
      <selection activeCell="C32" sqref="C32"/>
    </sheetView>
  </sheetViews>
  <sheetFormatPr defaultColWidth="9.125" defaultRowHeight="13.2" outlineLevelCol="1"/>
  <cols>
    <col min="1" max="2" width="2.75" style="745" customWidth="1"/>
    <col min="3" max="3" width="9.375" style="745" bestFit="1" customWidth="1"/>
    <col min="4" max="4" width="10" style="745" bestFit="1" customWidth="1"/>
    <col min="5" max="12" width="15.375" style="745" customWidth="1"/>
    <col min="13" max="13" width="2.75" style="745" customWidth="1"/>
    <col min="14" max="14" width="8.625" style="745" bestFit="1" customWidth="1"/>
    <col min="15" max="15" width="5.25" style="745" bestFit="1" customWidth="1"/>
    <col min="16" max="23" width="2.875" style="745" customWidth="1" outlineLevel="1"/>
    <col min="24" max="24" width="6.875" style="745" bestFit="1" customWidth="1"/>
    <col min="25" max="32" width="2.875" style="745" customWidth="1" outlineLevel="1"/>
    <col min="33" max="33" width="2.75" style="745" customWidth="1"/>
    <col min="34" max="35" width="5.625" style="745" bestFit="1" customWidth="1"/>
    <col min="36" max="36" width="4.125" style="745" bestFit="1" customWidth="1"/>
    <col min="37" max="38" width="5.625" style="745" bestFit="1" customWidth="1"/>
    <col min="39" max="39" width="19.625" style="745" bestFit="1" customWidth="1"/>
    <col min="40" max="40" width="53.375" style="745" bestFit="1" customWidth="1"/>
    <col min="41" max="16384" width="9.125" style="745"/>
  </cols>
  <sheetData>
    <row r="1" spans="1:40" ht="22.2">
      <c r="A1" s="100" t="s">
        <v>2042</v>
      </c>
    </row>
    <row r="3" spans="1:40" s="162" customFormat="1">
      <c r="B3" s="163" t="s">
        <v>1576</v>
      </c>
      <c r="C3" s="163"/>
      <c r="D3" s="163"/>
      <c r="K3" s="1757" t="s">
        <v>1917</v>
      </c>
      <c r="L3" s="1749"/>
      <c r="M3" s="1749"/>
      <c r="N3" s="1758"/>
      <c r="O3" s="1757" t="s">
        <v>1918</v>
      </c>
      <c r="P3" s="1759"/>
      <c r="Q3" s="1759"/>
      <c r="R3" s="1760"/>
      <c r="S3" s="164"/>
      <c r="T3" s="164"/>
      <c r="U3" s="165"/>
    </row>
    <row r="4" spans="1:40" s="162" customFormat="1">
      <c r="B4" s="163" t="s">
        <v>1817</v>
      </c>
      <c r="C4" s="163"/>
      <c r="D4" s="163"/>
      <c r="K4" s="1757" t="s">
        <v>1841</v>
      </c>
      <c r="L4" s="1749"/>
      <c r="M4" s="1749"/>
      <c r="N4" s="1758"/>
      <c r="O4" s="1757" t="s">
        <v>1833</v>
      </c>
      <c r="P4" s="1759"/>
      <c r="Q4" s="1759"/>
      <c r="R4" s="1760"/>
      <c r="S4" s="164"/>
      <c r="T4" s="164"/>
      <c r="U4" s="165"/>
    </row>
    <row r="5" spans="1:40" s="162" customFormat="1">
      <c r="B5" s="163" t="s">
        <v>1818</v>
      </c>
      <c r="C5" s="163"/>
      <c r="D5" s="163"/>
      <c r="K5" s="1757" t="s">
        <v>1842</v>
      </c>
      <c r="L5" s="1749"/>
      <c r="M5" s="1749"/>
      <c r="N5" s="1758"/>
      <c r="O5" s="1757" t="s">
        <v>1834</v>
      </c>
      <c r="P5" s="1749"/>
      <c r="Q5" s="1749"/>
      <c r="R5" s="1758"/>
      <c r="S5" s="164"/>
      <c r="T5" s="164"/>
      <c r="U5" s="165"/>
    </row>
    <row r="7" spans="1:40" ht="12.75" customHeight="1">
      <c r="B7" s="761"/>
      <c r="C7" s="761"/>
      <c r="D7" s="761"/>
      <c r="E7" s="1756"/>
      <c r="F7" s="1756"/>
      <c r="P7" s="764" t="s">
        <v>1897</v>
      </c>
      <c r="Q7" s="764" t="s">
        <v>1898</v>
      </c>
      <c r="R7" s="764"/>
      <c r="S7" s="764"/>
      <c r="T7" s="764"/>
      <c r="U7" s="764"/>
      <c r="V7" s="764"/>
      <c r="W7" s="764"/>
      <c r="X7" s="764"/>
      <c r="Y7" s="764" t="s">
        <v>1897</v>
      </c>
      <c r="Z7" s="764" t="s">
        <v>1898</v>
      </c>
      <c r="AA7" s="764"/>
      <c r="AB7" s="764"/>
      <c r="AC7" s="764"/>
      <c r="AD7" s="764"/>
      <c r="AE7" s="764"/>
      <c r="AF7" s="764"/>
      <c r="AH7" s="1756" t="s">
        <v>1896</v>
      </c>
      <c r="AI7" s="1756"/>
      <c r="AK7" s="1756" t="s">
        <v>1896</v>
      </c>
      <c r="AL7" s="1756"/>
      <c r="AM7" s="745" t="s">
        <v>1893</v>
      </c>
      <c r="AN7" s="745" t="s">
        <v>104</v>
      </c>
    </row>
    <row r="8" spans="1:40">
      <c r="E8" s="746" t="s">
        <v>1900</v>
      </c>
      <c r="F8" s="746" t="s">
        <v>1901</v>
      </c>
      <c r="N8" s="746"/>
      <c r="O8" s="748" t="s">
        <v>1565</v>
      </c>
      <c r="P8" s="760">
        <v>8</v>
      </c>
      <c r="Q8" s="760">
        <v>7</v>
      </c>
      <c r="R8" s="748">
        <v>6</v>
      </c>
      <c r="S8" s="748">
        <v>5</v>
      </c>
      <c r="T8" s="748">
        <v>4</v>
      </c>
      <c r="U8" s="748">
        <v>3</v>
      </c>
      <c r="V8" s="748">
        <v>2</v>
      </c>
      <c r="W8" s="748">
        <v>1</v>
      </c>
      <c r="X8" s="748" t="s">
        <v>1578</v>
      </c>
      <c r="Y8" s="760">
        <v>8</v>
      </c>
      <c r="Z8" s="760">
        <v>7</v>
      </c>
      <c r="AA8" s="748">
        <v>6</v>
      </c>
      <c r="AB8" s="748">
        <v>5</v>
      </c>
      <c r="AC8" s="748">
        <v>4</v>
      </c>
      <c r="AD8" s="748">
        <v>3</v>
      </c>
      <c r="AE8" s="748">
        <v>2</v>
      </c>
      <c r="AF8" s="748">
        <v>1</v>
      </c>
      <c r="AH8" s="746" t="s">
        <v>1897</v>
      </c>
      <c r="AI8" s="746" t="s">
        <v>1898</v>
      </c>
      <c r="AJ8" s="747" t="s">
        <v>1890</v>
      </c>
      <c r="AK8" s="746" t="s">
        <v>1897</v>
      </c>
      <c r="AL8" s="746" t="s">
        <v>1898</v>
      </c>
    </row>
    <row r="9" spans="1:40">
      <c r="C9" s="743" t="s">
        <v>165</v>
      </c>
      <c r="D9" s="743" t="s">
        <v>166</v>
      </c>
      <c r="E9" s="743" t="s">
        <v>1819</v>
      </c>
      <c r="F9" s="743" t="s">
        <v>1820</v>
      </c>
      <c r="G9" s="743" t="s">
        <v>1821</v>
      </c>
      <c r="H9" s="743" t="s">
        <v>1822</v>
      </c>
      <c r="I9" s="743" t="s">
        <v>1823</v>
      </c>
      <c r="J9" s="743" t="s">
        <v>1824</v>
      </c>
      <c r="K9" s="743" t="s">
        <v>1825</v>
      </c>
      <c r="L9" s="743" t="s">
        <v>1826</v>
      </c>
      <c r="N9" s="748" t="s">
        <v>1894</v>
      </c>
      <c r="O9" s="748" t="str">
        <f>BIN2HEX(P9&amp;Q9&amp;R9&amp;S9&amp;T9&amp;U9&amp;V9&amp;W9)</f>
        <v>C0</v>
      </c>
      <c r="P9" s="755">
        <v>1</v>
      </c>
      <c r="Q9" s="755">
        <v>1</v>
      </c>
      <c r="R9" s="756">
        <v>0</v>
      </c>
      <c r="S9" s="757">
        <v>0</v>
      </c>
      <c r="T9" s="757">
        <v>0</v>
      </c>
      <c r="U9" s="757">
        <v>0</v>
      </c>
      <c r="V9" s="757">
        <v>0</v>
      </c>
      <c r="W9" s="757">
        <v>0</v>
      </c>
      <c r="X9" s="748" t="str">
        <f>BIN2HEX(Y9&amp;Z9&amp;AA9&amp;AB9&amp;AC9&amp;AD9&amp;AE9&amp;AF9)</f>
        <v>C0</v>
      </c>
      <c r="Y9" s="755">
        <v>1</v>
      </c>
      <c r="Z9" s="755">
        <v>1</v>
      </c>
      <c r="AA9" s="756">
        <v>0</v>
      </c>
      <c r="AB9" s="757">
        <v>0</v>
      </c>
      <c r="AC9" s="757">
        <v>0</v>
      </c>
      <c r="AD9" s="757">
        <v>0</v>
      </c>
      <c r="AE9" s="757">
        <v>0</v>
      </c>
      <c r="AF9" s="757">
        <v>0</v>
      </c>
      <c r="AH9" s="749" t="s">
        <v>1891</v>
      </c>
      <c r="AI9" s="749" t="s">
        <v>1891</v>
      </c>
      <c r="AJ9" s="747" t="s">
        <v>1890</v>
      </c>
      <c r="AK9" s="750" t="s">
        <v>1892</v>
      </c>
      <c r="AL9" s="750" t="s">
        <v>1892</v>
      </c>
      <c r="AM9" s="745" t="s">
        <v>1895</v>
      </c>
    </row>
    <row r="10" spans="1:40">
      <c r="C10" s="743" t="s">
        <v>1562</v>
      </c>
      <c r="D10" s="743" t="s">
        <v>1564</v>
      </c>
      <c r="E10" s="1754" t="s">
        <v>1566</v>
      </c>
      <c r="F10" s="1755"/>
      <c r="G10" s="1755"/>
      <c r="H10" s="1755"/>
      <c r="I10" s="1755"/>
      <c r="J10" s="1755"/>
      <c r="K10" s="1755"/>
      <c r="L10" s="1755"/>
      <c r="N10" s="748" t="s">
        <v>1894</v>
      </c>
      <c r="O10" s="748" t="str">
        <f>BIN2HEX(P10&amp;Q10&amp;R10&amp;S10&amp;T10&amp;U10&amp;V10&amp;W10)</f>
        <v>C0</v>
      </c>
      <c r="P10" s="755">
        <v>1</v>
      </c>
      <c r="Q10" s="755">
        <v>1</v>
      </c>
      <c r="R10" s="756">
        <v>0</v>
      </c>
      <c r="S10" s="757">
        <v>0</v>
      </c>
      <c r="T10" s="757">
        <v>0</v>
      </c>
      <c r="U10" s="757">
        <v>0</v>
      </c>
      <c r="V10" s="757">
        <v>0</v>
      </c>
      <c r="W10" s="757">
        <v>0</v>
      </c>
      <c r="X10" s="748" t="str">
        <f>BIN2HEX(Y10&amp;Z10&amp;AA10&amp;AB10&amp;AC10&amp;AD10&amp;AE10&amp;AF10)</f>
        <v>C0</v>
      </c>
      <c r="Y10" s="755">
        <v>1</v>
      </c>
      <c r="Z10" s="755">
        <v>1</v>
      </c>
      <c r="AA10" s="756">
        <v>0</v>
      </c>
      <c r="AB10" s="757">
        <v>0</v>
      </c>
      <c r="AC10" s="757">
        <v>0</v>
      </c>
      <c r="AD10" s="757">
        <v>0</v>
      </c>
      <c r="AE10" s="757">
        <v>0</v>
      </c>
      <c r="AF10" s="757">
        <v>0</v>
      </c>
      <c r="AH10" s="750" t="s">
        <v>1892</v>
      </c>
      <c r="AI10" s="750" t="s">
        <v>1892</v>
      </c>
      <c r="AJ10" s="747" t="s">
        <v>1890</v>
      </c>
      <c r="AK10" s="750" t="s">
        <v>1892</v>
      </c>
      <c r="AL10" s="750" t="s">
        <v>1892</v>
      </c>
      <c r="AM10" s="745" t="s">
        <v>1895</v>
      </c>
    </row>
    <row r="11" spans="1:40" ht="12.75" customHeight="1">
      <c r="C11" s="1672" t="s">
        <v>1563</v>
      </c>
      <c r="D11" s="1672" t="s">
        <v>1565</v>
      </c>
      <c r="E11" s="1728" t="s">
        <v>1887</v>
      </c>
      <c r="F11" s="1698" t="s">
        <v>1887</v>
      </c>
      <c r="G11" s="1697" t="s">
        <v>1889</v>
      </c>
      <c r="H11" s="1697" t="s">
        <v>1889</v>
      </c>
      <c r="I11" s="1697" t="s">
        <v>1889</v>
      </c>
      <c r="J11" s="1697" t="s">
        <v>1889</v>
      </c>
      <c r="K11" s="1697" t="s">
        <v>1889</v>
      </c>
      <c r="L11" s="1719" t="s">
        <v>1889</v>
      </c>
      <c r="N11" s="746"/>
      <c r="O11" s="746"/>
      <c r="P11" s="753"/>
      <c r="Q11" s="753"/>
      <c r="R11" s="757"/>
      <c r="S11" s="757"/>
      <c r="T11" s="757"/>
      <c r="U11" s="757"/>
      <c r="V11" s="757"/>
      <c r="W11" s="757"/>
      <c r="X11" s="746"/>
      <c r="Y11" s="753"/>
      <c r="Z11" s="753"/>
      <c r="AA11" s="757"/>
      <c r="AB11" s="757"/>
      <c r="AC11" s="757"/>
      <c r="AD11" s="757"/>
      <c r="AE11" s="757"/>
      <c r="AF11" s="757"/>
      <c r="AH11" s="746"/>
      <c r="AI11" s="746"/>
      <c r="AJ11" s="746"/>
      <c r="AK11" s="746"/>
      <c r="AL11" s="746"/>
    </row>
    <row r="12" spans="1:40">
      <c r="C12" s="1672"/>
      <c r="D12" s="1672"/>
      <c r="E12" s="1728"/>
      <c r="F12" s="1698"/>
      <c r="G12" s="1697"/>
      <c r="H12" s="1697"/>
      <c r="I12" s="1697"/>
      <c r="J12" s="1697"/>
      <c r="K12" s="1697"/>
      <c r="L12" s="1719"/>
      <c r="N12" s="748" t="s">
        <v>1894</v>
      </c>
      <c r="O12" s="748" t="str">
        <f>BIN2HEX(P12&amp;Q12&amp;R12&amp;S12&amp;T12&amp;U12&amp;V12&amp;W12)</f>
        <v>C0</v>
      </c>
      <c r="P12" s="755">
        <v>1</v>
      </c>
      <c r="Q12" s="755">
        <v>1</v>
      </c>
      <c r="R12" s="756">
        <v>0</v>
      </c>
      <c r="S12" s="757">
        <v>0</v>
      </c>
      <c r="T12" s="757">
        <v>0</v>
      </c>
      <c r="U12" s="757">
        <v>0</v>
      </c>
      <c r="V12" s="757">
        <v>0</v>
      </c>
      <c r="W12" s="757">
        <v>0</v>
      </c>
      <c r="X12" s="748" t="str">
        <f>BIN2HEX(Y12&amp;Z12&amp;AA12&amp;AB12&amp;AC12&amp;AD12&amp;AE12&amp;AF12)</f>
        <v>80</v>
      </c>
      <c r="Y12" s="755">
        <v>1</v>
      </c>
      <c r="Z12" s="755">
        <v>0</v>
      </c>
      <c r="AA12" s="756">
        <v>0</v>
      </c>
      <c r="AB12" s="757">
        <v>0</v>
      </c>
      <c r="AC12" s="757">
        <v>0</v>
      </c>
      <c r="AD12" s="757">
        <v>0</v>
      </c>
      <c r="AE12" s="757">
        <v>0</v>
      </c>
      <c r="AF12" s="757">
        <v>0</v>
      </c>
      <c r="AH12" s="749" t="s">
        <v>1891</v>
      </c>
      <c r="AI12" s="749" t="s">
        <v>1891</v>
      </c>
      <c r="AJ12" s="747" t="s">
        <v>1890</v>
      </c>
      <c r="AK12" s="750" t="s">
        <v>1892</v>
      </c>
      <c r="AL12" s="749" t="s">
        <v>1891</v>
      </c>
      <c r="AM12" s="745" t="s">
        <v>1895</v>
      </c>
      <c r="AN12" s="751" t="s">
        <v>1925</v>
      </c>
    </row>
    <row r="13" spans="1:40" ht="12.75" customHeight="1">
      <c r="C13" s="1672" t="s">
        <v>1577</v>
      </c>
      <c r="D13" s="1672" t="s">
        <v>1578</v>
      </c>
      <c r="E13" s="1728" t="s">
        <v>1888</v>
      </c>
      <c r="F13" s="1698" t="s">
        <v>1888</v>
      </c>
      <c r="G13" s="1697" t="s">
        <v>1889</v>
      </c>
      <c r="H13" s="1697" t="s">
        <v>1889</v>
      </c>
      <c r="I13" s="1697" t="s">
        <v>1889</v>
      </c>
      <c r="J13" s="1697" t="s">
        <v>1889</v>
      </c>
      <c r="K13" s="1697" t="s">
        <v>1889</v>
      </c>
      <c r="L13" s="1719" t="s">
        <v>1889</v>
      </c>
      <c r="N13" s="748" t="s">
        <v>1894</v>
      </c>
      <c r="O13" s="748" t="str">
        <f>BIN2HEX(P13&amp;Q13&amp;R13&amp;S13&amp;T13&amp;U13&amp;V13&amp;W13)</f>
        <v>C0</v>
      </c>
      <c r="P13" s="755">
        <v>1</v>
      </c>
      <c r="Q13" s="755">
        <v>1</v>
      </c>
      <c r="R13" s="756">
        <v>0</v>
      </c>
      <c r="S13" s="757">
        <v>0</v>
      </c>
      <c r="T13" s="757">
        <v>0</v>
      </c>
      <c r="U13" s="757">
        <v>0</v>
      </c>
      <c r="V13" s="757">
        <v>0</v>
      </c>
      <c r="W13" s="757">
        <v>0</v>
      </c>
      <c r="X13" s="748" t="str">
        <f>BIN2HEX(Y13&amp;Z13&amp;AA13&amp;AB13&amp;AC13&amp;AD13&amp;AE13&amp;AF13)</f>
        <v>80</v>
      </c>
      <c r="Y13" s="755">
        <v>1</v>
      </c>
      <c r="Z13" s="755">
        <v>0</v>
      </c>
      <c r="AA13" s="756">
        <v>0</v>
      </c>
      <c r="AB13" s="757">
        <v>0</v>
      </c>
      <c r="AC13" s="757">
        <v>0</v>
      </c>
      <c r="AD13" s="757">
        <v>0</v>
      </c>
      <c r="AE13" s="757">
        <v>0</v>
      </c>
      <c r="AF13" s="757">
        <v>0</v>
      </c>
      <c r="AH13" s="750" t="s">
        <v>1892</v>
      </c>
      <c r="AI13" s="750" t="s">
        <v>1892</v>
      </c>
      <c r="AJ13" s="747" t="s">
        <v>1890</v>
      </c>
      <c r="AK13" s="750" t="s">
        <v>1892</v>
      </c>
      <c r="AL13" s="750" t="s">
        <v>1892</v>
      </c>
      <c r="AM13" s="745" t="s">
        <v>1895</v>
      </c>
      <c r="AN13" s="751" t="s">
        <v>1925</v>
      </c>
    </row>
    <row r="14" spans="1:40">
      <c r="C14" s="1672"/>
      <c r="D14" s="1672"/>
      <c r="E14" s="1728"/>
      <c r="F14" s="1698"/>
      <c r="G14" s="1697"/>
      <c r="H14" s="1697"/>
      <c r="I14" s="1697"/>
      <c r="J14" s="1697"/>
      <c r="K14" s="1697"/>
      <c r="L14" s="1719"/>
      <c r="P14" s="754"/>
      <c r="Q14" s="754"/>
      <c r="R14" s="758"/>
      <c r="S14" s="758"/>
      <c r="T14" s="758"/>
      <c r="U14" s="758"/>
      <c r="V14" s="758"/>
      <c r="W14" s="758"/>
      <c r="Y14" s="754"/>
      <c r="Z14" s="754"/>
      <c r="AA14" s="758"/>
      <c r="AB14" s="758"/>
      <c r="AC14" s="758"/>
      <c r="AD14" s="758"/>
      <c r="AE14" s="758"/>
      <c r="AF14" s="758"/>
      <c r="AH14" s="746"/>
      <c r="AI14" s="746"/>
      <c r="AJ14" s="746"/>
      <c r="AK14" s="746"/>
      <c r="AL14" s="746"/>
    </row>
    <row r="15" spans="1:40">
      <c r="N15" s="748" t="s">
        <v>1894</v>
      </c>
      <c r="O15" s="748" t="str">
        <f>BIN2HEX(P15&amp;Q15&amp;R15&amp;S15&amp;T15&amp;U15&amp;V15&amp;W15)</f>
        <v>C0</v>
      </c>
      <c r="P15" s="755">
        <v>1</v>
      </c>
      <c r="Q15" s="755">
        <v>1</v>
      </c>
      <c r="R15" s="756">
        <v>0</v>
      </c>
      <c r="S15" s="757">
        <v>0</v>
      </c>
      <c r="T15" s="757">
        <v>0</v>
      </c>
      <c r="U15" s="757">
        <v>0</v>
      </c>
      <c r="V15" s="757">
        <v>0</v>
      </c>
      <c r="W15" s="757">
        <v>0</v>
      </c>
      <c r="X15" s="748" t="str">
        <f>BIN2HEX(Y15&amp;Z15&amp;AA15&amp;AB15&amp;AC15&amp;AD15&amp;AE15&amp;AF15)</f>
        <v>0</v>
      </c>
      <c r="Y15" s="755">
        <v>0</v>
      </c>
      <c r="Z15" s="755">
        <v>0</v>
      </c>
      <c r="AA15" s="756">
        <v>0</v>
      </c>
      <c r="AB15" s="757">
        <v>0</v>
      </c>
      <c r="AC15" s="757">
        <v>0</v>
      </c>
      <c r="AD15" s="757">
        <v>0</v>
      </c>
      <c r="AE15" s="757">
        <v>0</v>
      </c>
      <c r="AF15" s="757">
        <v>0</v>
      </c>
      <c r="AH15" s="749" t="s">
        <v>1891</v>
      </c>
      <c r="AI15" s="749" t="s">
        <v>1891</v>
      </c>
      <c r="AJ15" s="747" t="s">
        <v>1890</v>
      </c>
      <c r="AK15" s="749" t="s">
        <v>1891</v>
      </c>
      <c r="AL15" s="749" t="s">
        <v>1891</v>
      </c>
      <c r="AM15" s="745" t="s">
        <v>1895</v>
      </c>
      <c r="AN15" s="1036" t="s">
        <v>1924</v>
      </c>
    </row>
    <row r="16" spans="1:40">
      <c r="N16" s="748" t="s">
        <v>1894</v>
      </c>
      <c r="O16" s="748" t="str">
        <f>BIN2HEX(P16&amp;Q16&amp;R16&amp;S16&amp;T16&amp;U16&amp;V16&amp;W16)</f>
        <v>C0</v>
      </c>
      <c r="P16" s="755">
        <v>1</v>
      </c>
      <c r="Q16" s="755">
        <v>1</v>
      </c>
      <c r="R16" s="756">
        <v>0</v>
      </c>
      <c r="S16" s="757">
        <v>0</v>
      </c>
      <c r="T16" s="757">
        <v>0</v>
      </c>
      <c r="U16" s="757">
        <v>0</v>
      </c>
      <c r="V16" s="757">
        <v>0</v>
      </c>
      <c r="W16" s="757">
        <v>0</v>
      </c>
      <c r="X16" s="748" t="str">
        <f>BIN2HEX(Y16&amp;Z16&amp;AA16&amp;AB16&amp;AC16&amp;AD16&amp;AE16&amp;AF16)</f>
        <v>0</v>
      </c>
      <c r="Y16" s="755">
        <v>0</v>
      </c>
      <c r="Z16" s="755">
        <v>0</v>
      </c>
      <c r="AA16" s="756">
        <v>0</v>
      </c>
      <c r="AB16" s="757">
        <v>0</v>
      </c>
      <c r="AC16" s="757">
        <v>0</v>
      </c>
      <c r="AD16" s="757">
        <v>0</v>
      </c>
      <c r="AE16" s="757">
        <v>0</v>
      </c>
      <c r="AF16" s="757">
        <v>0</v>
      </c>
      <c r="AH16" s="750" t="s">
        <v>1892</v>
      </c>
      <c r="AI16" s="750" t="s">
        <v>1892</v>
      </c>
      <c r="AJ16" s="747" t="s">
        <v>1890</v>
      </c>
      <c r="AK16" s="750" t="s">
        <v>1892</v>
      </c>
      <c r="AL16" s="750" t="s">
        <v>1892</v>
      </c>
      <c r="AM16" s="745" t="s">
        <v>1895</v>
      </c>
      <c r="AN16" s="1036" t="s">
        <v>1924</v>
      </c>
    </row>
    <row r="17" spans="14:40">
      <c r="P17" s="754"/>
      <c r="Q17" s="754"/>
      <c r="R17" s="758"/>
      <c r="S17" s="758"/>
      <c r="T17" s="758"/>
      <c r="U17" s="758"/>
      <c r="V17" s="758"/>
      <c r="W17" s="758"/>
      <c r="Y17" s="754"/>
      <c r="Z17" s="754"/>
      <c r="AA17" s="758"/>
      <c r="AB17" s="758"/>
      <c r="AC17" s="758"/>
      <c r="AD17" s="758"/>
      <c r="AE17" s="758"/>
      <c r="AF17" s="758"/>
      <c r="AH17" s="746"/>
      <c r="AI17" s="746"/>
      <c r="AJ17" s="746"/>
      <c r="AK17" s="746"/>
      <c r="AL17" s="746"/>
    </row>
    <row r="18" spans="14:40">
      <c r="N18" s="748" t="s">
        <v>1894</v>
      </c>
      <c r="O18" s="748" t="str">
        <f>BIN2HEX(P18&amp;Q18&amp;R18&amp;S18&amp;T18&amp;U18&amp;V18&amp;W18)</f>
        <v>80</v>
      </c>
      <c r="P18" s="755">
        <v>1</v>
      </c>
      <c r="Q18" s="755">
        <v>0</v>
      </c>
      <c r="R18" s="756">
        <v>0</v>
      </c>
      <c r="S18" s="757">
        <v>0</v>
      </c>
      <c r="T18" s="757">
        <v>0</v>
      </c>
      <c r="U18" s="757">
        <v>0</v>
      </c>
      <c r="V18" s="757">
        <v>0</v>
      </c>
      <c r="W18" s="757">
        <v>0</v>
      </c>
      <c r="X18" s="748" t="str">
        <f>BIN2HEX(Y18&amp;Z18&amp;AA18&amp;AB18&amp;AC18&amp;AD18&amp;AE18&amp;AF18)</f>
        <v>C0</v>
      </c>
      <c r="Y18" s="755">
        <v>1</v>
      </c>
      <c r="Z18" s="755">
        <v>1</v>
      </c>
      <c r="AA18" s="756">
        <v>0</v>
      </c>
      <c r="AB18" s="757">
        <v>0</v>
      </c>
      <c r="AC18" s="757">
        <v>0</v>
      </c>
      <c r="AD18" s="757">
        <v>0</v>
      </c>
      <c r="AE18" s="757">
        <v>0</v>
      </c>
      <c r="AF18" s="757">
        <v>0</v>
      </c>
      <c r="AH18" s="749" t="s">
        <v>1891</v>
      </c>
      <c r="AI18" s="749" t="s">
        <v>1891</v>
      </c>
      <c r="AJ18" s="747" t="s">
        <v>1890</v>
      </c>
      <c r="AK18" s="750" t="s">
        <v>1892</v>
      </c>
      <c r="AL18" s="749" t="s">
        <v>1891</v>
      </c>
      <c r="AM18" s="745" t="s">
        <v>1895</v>
      </c>
    </row>
    <row r="19" spans="14:40">
      <c r="N19" s="748" t="s">
        <v>1894</v>
      </c>
      <c r="O19" s="748" t="str">
        <f>BIN2HEX(P19&amp;Q19&amp;R19&amp;S19&amp;T19&amp;U19&amp;V19&amp;W19)</f>
        <v>80</v>
      </c>
      <c r="P19" s="755">
        <v>1</v>
      </c>
      <c r="Q19" s="755">
        <v>0</v>
      </c>
      <c r="R19" s="756">
        <v>0</v>
      </c>
      <c r="S19" s="757">
        <v>0</v>
      </c>
      <c r="T19" s="757">
        <v>0</v>
      </c>
      <c r="U19" s="757">
        <v>0</v>
      </c>
      <c r="V19" s="757">
        <v>0</v>
      </c>
      <c r="W19" s="757">
        <v>0</v>
      </c>
      <c r="X19" s="748" t="str">
        <f>BIN2HEX(Y19&amp;Z19&amp;AA19&amp;AB19&amp;AC19&amp;AD19&amp;AE19&amp;AF19)</f>
        <v>C0</v>
      </c>
      <c r="Y19" s="755">
        <v>1</v>
      </c>
      <c r="Z19" s="755">
        <v>1</v>
      </c>
      <c r="AA19" s="756">
        <v>0</v>
      </c>
      <c r="AB19" s="757">
        <v>0</v>
      </c>
      <c r="AC19" s="757">
        <v>0</v>
      </c>
      <c r="AD19" s="757">
        <v>0</v>
      </c>
      <c r="AE19" s="757">
        <v>0</v>
      </c>
      <c r="AF19" s="757">
        <v>0</v>
      </c>
      <c r="AH19" s="750" t="s">
        <v>1892</v>
      </c>
      <c r="AI19" s="750" t="s">
        <v>1892</v>
      </c>
      <c r="AJ19" s="747" t="s">
        <v>1890</v>
      </c>
      <c r="AK19" s="750" t="s">
        <v>1892</v>
      </c>
      <c r="AL19" s="749" t="s">
        <v>1891</v>
      </c>
      <c r="AM19" s="745" t="s">
        <v>1895</v>
      </c>
    </row>
    <row r="20" spans="14:40">
      <c r="P20" s="754"/>
      <c r="Q20" s="754"/>
      <c r="R20" s="758"/>
      <c r="S20" s="758"/>
      <c r="T20" s="758"/>
      <c r="U20" s="758"/>
      <c r="V20" s="758"/>
      <c r="W20" s="758"/>
      <c r="Y20" s="754"/>
      <c r="Z20" s="754"/>
      <c r="AA20" s="758"/>
      <c r="AB20" s="758"/>
      <c r="AC20" s="758"/>
      <c r="AD20" s="758"/>
      <c r="AE20" s="758"/>
      <c r="AF20" s="758"/>
    </row>
    <row r="21" spans="14:40">
      <c r="N21" s="748" t="s">
        <v>1894</v>
      </c>
      <c r="O21" s="748" t="str">
        <f>BIN2HEX(P21&amp;Q21&amp;R21&amp;S21&amp;T21&amp;U21&amp;V21&amp;W21)</f>
        <v>0</v>
      </c>
      <c r="P21" s="755">
        <v>0</v>
      </c>
      <c r="Q21" s="755">
        <v>0</v>
      </c>
      <c r="R21" s="756">
        <v>0</v>
      </c>
      <c r="S21" s="757">
        <v>0</v>
      </c>
      <c r="T21" s="757">
        <v>0</v>
      </c>
      <c r="U21" s="757">
        <v>0</v>
      </c>
      <c r="V21" s="757">
        <v>0</v>
      </c>
      <c r="W21" s="757">
        <v>0</v>
      </c>
      <c r="X21" s="748" t="str">
        <f>BIN2HEX(Y21&amp;Z21&amp;AA21&amp;AB21&amp;AC21&amp;AD21&amp;AE21&amp;AF21)</f>
        <v>C0</v>
      </c>
      <c r="Y21" s="755">
        <v>1</v>
      </c>
      <c r="Z21" s="755">
        <v>1</v>
      </c>
      <c r="AA21" s="756">
        <v>0</v>
      </c>
      <c r="AB21" s="757">
        <v>0</v>
      </c>
      <c r="AC21" s="757">
        <v>0</v>
      </c>
      <c r="AD21" s="757">
        <v>0</v>
      </c>
      <c r="AE21" s="757">
        <v>0</v>
      </c>
      <c r="AF21" s="757">
        <v>0</v>
      </c>
      <c r="AH21" s="749" t="s">
        <v>1891</v>
      </c>
      <c r="AI21" s="749" t="s">
        <v>1891</v>
      </c>
      <c r="AJ21" s="747" t="s">
        <v>1890</v>
      </c>
      <c r="AK21" s="749" t="s">
        <v>1891</v>
      </c>
      <c r="AL21" s="749" t="s">
        <v>1891</v>
      </c>
      <c r="AM21" s="745" t="s">
        <v>1895</v>
      </c>
    </row>
    <row r="22" spans="14:40">
      <c r="N22" s="748" t="s">
        <v>1894</v>
      </c>
      <c r="O22" s="748" t="str">
        <f>BIN2HEX(P22&amp;Q22&amp;R22&amp;S22&amp;T22&amp;U22&amp;V22&amp;W22)</f>
        <v>0</v>
      </c>
      <c r="P22" s="755">
        <v>0</v>
      </c>
      <c r="Q22" s="755">
        <v>0</v>
      </c>
      <c r="R22" s="756">
        <v>0</v>
      </c>
      <c r="S22" s="757">
        <v>0</v>
      </c>
      <c r="T22" s="757">
        <v>0</v>
      </c>
      <c r="U22" s="757">
        <v>0</v>
      </c>
      <c r="V22" s="757">
        <v>0</v>
      </c>
      <c r="W22" s="757">
        <v>0</v>
      </c>
      <c r="X22" s="748" t="str">
        <f>BIN2HEX(Y22&amp;Z22&amp;AA22&amp;AB22&amp;AC22&amp;AD22&amp;AE22&amp;AF22)</f>
        <v>C0</v>
      </c>
      <c r="Y22" s="755">
        <v>1</v>
      </c>
      <c r="Z22" s="755">
        <v>1</v>
      </c>
      <c r="AA22" s="756">
        <v>0</v>
      </c>
      <c r="AB22" s="757">
        <v>0</v>
      </c>
      <c r="AC22" s="757">
        <v>0</v>
      </c>
      <c r="AD22" s="757">
        <v>0</v>
      </c>
      <c r="AE22" s="757">
        <v>0</v>
      </c>
      <c r="AF22" s="757">
        <v>0</v>
      </c>
      <c r="AH22" s="750" t="s">
        <v>1892</v>
      </c>
      <c r="AI22" s="750" t="s">
        <v>1892</v>
      </c>
      <c r="AJ22" s="747" t="s">
        <v>1890</v>
      </c>
      <c r="AK22" s="749" t="s">
        <v>1891</v>
      </c>
      <c r="AL22" s="749" t="s">
        <v>1891</v>
      </c>
      <c r="AM22" s="745" t="s">
        <v>1895</v>
      </c>
    </row>
    <row r="23" spans="14:40">
      <c r="P23" s="754"/>
      <c r="Q23" s="754"/>
      <c r="R23" s="758"/>
      <c r="S23" s="758"/>
      <c r="T23" s="758"/>
      <c r="U23" s="758"/>
      <c r="V23" s="758"/>
      <c r="W23" s="758"/>
      <c r="Y23" s="754"/>
      <c r="Z23" s="754"/>
      <c r="AA23" s="758"/>
      <c r="AB23" s="758"/>
      <c r="AC23" s="758"/>
      <c r="AD23" s="758"/>
      <c r="AE23" s="758"/>
      <c r="AF23" s="758"/>
    </row>
    <row r="24" spans="14:40">
      <c r="N24" s="748" t="s">
        <v>1894</v>
      </c>
      <c r="O24" s="748" t="str">
        <f t="shared" ref="O24:O29" si="0">BIN2HEX(P24&amp;Q24&amp;R24&amp;S24&amp;T24&amp;U24&amp;V24&amp;W24)</f>
        <v>C0</v>
      </c>
      <c r="P24" s="755">
        <v>1</v>
      </c>
      <c r="Q24" s="755">
        <v>1</v>
      </c>
      <c r="R24" s="756">
        <v>0</v>
      </c>
      <c r="S24" s="757">
        <v>0</v>
      </c>
      <c r="T24" s="757">
        <v>0</v>
      </c>
      <c r="U24" s="757">
        <v>0</v>
      </c>
      <c r="V24" s="757">
        <v>0</v>
      </c>
      <c r="W24" s="757">
        <v>0</v>
      </c>
      <c r="X24" s="748" t="str">
        <f t="shared" ref="X24:X29" si="1">BIN2HEX(Y24&amp;Z24&amp;AA24&amp;AB24&amp;AC24&amp;AD24&amp;AE24&amp;AF24)</f>
        <v>0</v>
      </c>
      <c r="Y24" s="755">
        <v>0</v>
      </c>
      <c r="Z24" s="755">
        <v>0</v>
      </c>
      <c r="AA24" s="756">
        <v>0</v>
      </c>
      <c r="AB24" s="757">
        <v>0</v>
      </c>
      <c r="AC24" s="757">
        <v>0</v>
      </c>
      <c r="AD24" s="757">
        <v>0</v>
      </c>
      <c r="AE24" s="757">
        <v>0</v>
      </c>
      <c r="AF24" s="757">
        <v>0</v>
      </c>
      <c r="AH24" s="749" t="s">
        <v>1891</v>
      </c>
      <c r="AI24" s="749" t="s">
        <v>1891</v>
      </c>
      <c r="AJ24" s="747" t="s">
        <v>1890</v>
      </c>
      <c r="AK24" s="749" t="s">
        <v>1891</v>
      </c>
      <c r="AL24" s="749" t="s">
        <v>1891</v>
      </c>
      <c r="AM24" s="745" t="s">
        <v>1895</v>
      </c>
      <c r="AN24" s="1036" t="s">
        <v>1924</v>
      </c>
    </row>
    <row r="25" spans="14:40">
      <c r="N25" s="748" t="s">
        <v>1894</v>
      </c>
      <c r="O25" s="748" t="str">
        <f t="shared" si="0"/>
        <v>C0</v>
      </c>
      <c r="P25" s="755">
        <v>1</v>
      </c>
      <c r="Q25" s="755">
        <v>1</v>
      </c>
      <c r="R25" s="756">
        <v>0</v>
      </c>
      <c r="S25" s="757">
        <v>0</v>
      </c>
      <c r="T25" s="757">
        <v>0</v>
      </c>
      <c r="U25" s="757">
        <v>0</v>
      </c>
      <c r="V25" s="757">
        <v>0</v>
      </c>
      <c r="W25" s="757">
        <v>0</v>
      </c>
      <c r="X25" s="748" t="str">
        <f t="shared" si="1"/>
        <v>80</v>
      </c>
      <c r="Y25" s="755">
        <v>1</v>
      </c>
      <c r="Z25" s="755">
        <v>0</v>
      </c>
      <c r="AA25" s="756">
        <v>0</v>
      </c>
      <c r="AB25" s="757">
        <v>0</v>
      </c>
      <c r="AC25" s="757">
        <v>0</v>
      </c>
      <c r="AD25" s="757">
        <v>0</v>
      </c>
      <c r="AE25" s="757">
        <v>0</v>
      </c>
      <c r="AF25" s="757">
        <v>0</v>
      </c>
      <c r="AH25" s="749" t="s">
        <v>1891</v>
      </c>
      <c r="AI25" s="749" t="s">
        <v>1891</v>
      </c>
      <c r="AJ25" s="747" t="s">
        <v>1890</v>
      </c>
      <c r="AK25" s="750" t="s">
        <v>1892</v>
      </c>
      <c r="AL25" s="749" t="s">
        <v>1891</v>
      </c>
      <c r="AM25" s="745" t="s">
        <v>1895</v>
      </c>
      <c r="AN25" s="751" t="s">
        <v>1925</v>
      </c>
    </row>
    <row r="26" spans="14:40">
      <c r="N26" s="748" t="s">
        <v>1894</v>
      </c>
      <c r="O26" s="748" t="str">
        <f t="shared" si="0"/>
        <v>C0</v>
      </c>
      <c r="P26" s="755">
        <v>1</v>
      </c>
      <c r="Q26" s="755">
        <v>1</v>
      </c>
      <c r="R26" s="756">
        <v>0</v>
      </c>
      <c r="S26" s="757">
        <v>0</v>
      </c>
      <c r="T26" s="757">
        <v>0</v>
      </c>
      <c r="U26" s="757">
        <v>0</v>
      </c>
      <c r="V26" s="757">
        <v>0</v>
      </c>
      <c r="W26" s="757">
        <v>0</v>
      </c>
      <c r="X26" s="748" t="str">
        <f t="shared" si="1"/>
        <v>C0</v>
      </c>
      <c r="Y26" s="755">
        <v>1</v>
      </c>
      <c r="Z26" s="755">
        <v>1</v>
      </c>
      <c r="AA26" s="756">
        <v>0</v>
      </c>
      <c r="AB26" s="757">
        <v>0</v>
      </c>
      <c r="AC26" s="757">
        <v>0</v>
      </c>
      <c r="AD26" s="757">
        <v>0</v>
      </c>
      <c r="AE26" s="757">
        <v>0</v>
      </c>
      <c r="AF26" s="757">
        <v>0</v>
      </c>
      <c r="AH26" s="749" t="s">
        <v>1891</v>
      </c>
      <c r="AI26" s="749" t="s">
        <v>1891</v>
      </c>
      <c r="AJ26" s="747" t="s">
        <v>1890</v>
      </c>
      <c r="AK26" s="750" t="s">
        <v>1892</v>
      </c>
      <c r="AL26" s="750" t="s">
        <v>1892</v>
      </c>
      <c r="AM26" s="745" t="s">
        <v>1895</v>
      </c>
    </row>
    <row r="27" spans="14:40">
      <c r="N27" s="748" t="s">
        <v>1894</v>
      </c>
      <c r="O27" s="748" t="str">
        <f t="shared" si="0"/>
        <v>C0</v>
      </c>
      <c r="P27" s="755">
        <v>1</v>
      </c>
      <c r="Q27" s="755">
        <v>1</v>
      </c>
      <c r="R27" s="756">
        <v>0</v>
      </c>
      <c r="S27" s="757">
        <v>0</v>
      </c>
      <c r="T27" s="757">
        <v>0</v>
      </c>
      <c r="U27" s="757">
        <v>0</v>
      </c>
      <c r="V27" s="757">
        <v>0</v>
      </c>
      <c r="W27" s="757">
        <v>0</v>
      </c>
      <c r="X27" s="748" t="str">
        <f t="shared" si="1"/>
        <v>E0</v>
      </c>
      <c r="Y27" s="755">
        <v>1</v>
      </c>
      <c r="Z27" s="755">
        <v>1</v>
      </c>
      <c r="AA27" s="756">
        <v>1</v>
      </c>
      <c r="AB27" s="757">
        <v>0</v>
      </c>
      <c r="AC27" s="757">
        <v>0</v>
      </c>
      <c r="AD27" s="757">
        <v>0</v>
      </c>
      <c r="AE27" s="757">
        <v>0</v>
      </c>
      <c r="AF27" s="757">
        <v>0</v>
      </c>
      <c r="AH27" s="749" t="s">
        <v>1891</v>
      </c>
      <c r="AI27" s="749" t="s">
        <v>1891</v>
      </c>
      <c r="AJ27" s="747" t="s">
        <v>1890</v>
      </c>
      <c r="AK27" s="749" t="s">
        <v>1891</v>
      </c>
      <c r="AL27" s="749" t="s">
        <v>1891</v>
      </c>
      <c r="AM27" s="752" t="s">
        <v>1899</v>
      </c>
      <c r="AN27" s="1035" t="s">
        <v>2335</v>
      </c>
    </row>
    <row r="28" spans="14:40">
      <c r="N28" s="748" t="s">
        <v>1894</v>
      </c>
      <c r="O28" s="748" t="str">
        <f t="shared" si="0"/>
        <v>C0</v>
      </c>
      <c r="P28" s="755">
        <v>1</v>
      </c>
      <c r="Q28" s="755">
        <v>1</v>
      </c>
      <c r="R28" s="756">
        <v>0</v>
      </c>
      <c r="S28" s="757">
        <v>0</v>
      </c>
      <c r="T28" s="757">
        <v>0</v>
      </c>
      <c r="U28" s="757">
        <v>0</v>
      </c>
      <c r="V28" s="757">
        <v>0</v>
      </c>
      <c r="W28" s="757">
        <v>0</v>
      </c>
      <c r="X28" s="748" t="str">
        <f t="shared" si="1"/>
        <v>F0</v>
      </c>
      <c r="Y28" s="755">
        <v>1</v>
      </c>
      <c r="Z28" s="755">
        <v>1</v>
      </c>
      <c r="AA28" s="756">
        <v>1</v>
      </c>
      <c r="AB28" s="757">
        <v>1</v>
      </c>
      <c r="AC28" s="757">
        <v>0</v>
      </c>
      <c r="AD28" s="757">
        <v>0</v>
      </c>
      <c r="AE28" s="757">
        <v>0</v>
      </c>
      <c r="AF28" s="757">
        <v>0</v>
      </c>
      <c r="AH28" s="749" t="s">
        <v>1891</v>
      </c>
      <c r="AI28" s="749" t="s">
        <v>1891</v>
      </c>
      <c r="AJ28" s="747" t="s">
        <v>1890</v>
      </c>
      <c r="AK28" s="749" t="s">
        <v>1891</v>
      </c>
      <c r="AL28" s="749" t="s">
        <v>1891</v>
      </c>
      <c r="AM28" s="752" t="s">
        <v>1899</v>
      </c>
      <c r="AN28" s="1035" t="s">
        <v>2335</v>
      </c>
    </row>
    <row r="29" spans="14:40">
      <c r="N29" s="748" t="s">
        <v>1894</v>
      </c>
      <c r="O29" s="748" t="str">
        <f t="shared" si="0"/>
        <v>C0</v>
      </c>
      <c r="P29" s="755">
        <v>1</v>
      </c>
      <c r="Q29" s="755">
        <v>1</v>
      </c>
      <c r="R29" s="756">
        <v>0</v>
      </c>
      <c r="S29" s="757">
        <v>0</v>
      </c>
      <c r="T29" s="757">
        <v>0</v>
      </c>
      <c r="U29" s="757">
        <v>0</v>
      </c>
      <c r="V29" s="757">
        <v>0</v>
      </c>
      <c r="W29" s="757">
        <v>0</v>
      </c>
      <c r="X29" s="748" t="str">
        <f t="shared" si="1"/>
        <v>F8</v>
      </c>
      <c r="Y29" s="755">
        <v>1</v>
      </c>
      <c r="Z29" s="755">
        <v>1</v>
      </c>
      <c r="AA29" s="756">
        <v>1</v>
      </c>
      <c r="AB29" s="757">
        <v>1</v>
      </c>
      <c r="AC29" s="757">
        <v>1</v>
      </c>
      <c r="AD29" s="757">
        <v>0</v>
      </c>
      <c r="AE29" s="757">
        <v>0</v>
      </c>
      <c r="AF29" s="757">
        <v>0</v>
      </c>
      <c r="AH29" s="749" t="s">
        <v>1891</v>
      </c>
      <c r="AI29" s="749" t="s">
        <v>1891</v>
      </c>
      <c r="AJ29" s="747" t="s">
        <v>1890</v>
      </c>
      <c r="AK29" s="749" t="s">
        <v>1891</v>
      </c>
      <c r="AL29" s="749" t="s">
        <v>1891</v>
      </c>
      <c r="AM29" s="752" t="s">
        <v>1899</v>
      </c>
      <c r="AN29" s="1035" t="s">
        <v>2335</v>
      </c>
    </row>
    <row r="30" spans="14:40">
      <c r="N30" s="748" t="s">
        <v>1894</v>
      </c>
      <c r="O30" s="748" t="str">
        <f t="shared" ref="O30:O32" si="2">BIN2HEX(P30&amp;Q30&amp;R30&amp;S30&amp;T30&amp;U30&amp;V30&amp;W30)</f>
        <v>C0</v>
      </c>
      <c r="P30" s="755">
        <v>1</v>
      </c>
      <c r="Q30" s="755">
        <v>1</v>
      </c>
      <c r="R30" s="756">
        <v>0</v>
      </c>
      <c r="S30" s="757">
        <v>0</v>
      </c>
      <c r="T30" s="757">
        <v>0</v>
      </c>
      <c r="U30" s="757">
        <v>0</v>
      </c>
      <c r="V30" s="757">
        <v>0</v>
      </c>
      <c r="W30" s="757">
        <v>0</v>
      </c>
      <c r="X30" s="748" t="str">
        <f t="shared" ref="X30:X32" si="3">BIN2HEX(Y30&amp;Z30&amp;AA30&amp;AB30&amp;AC30&amp;AD30&amp;AE30&amp;AF30)</f>
        <v>FC</v>
      </c>
      <c r="Y30" s="755">
        <v>1</v>
      </c>
      <c r="Z30" s="755">
        <v>1</v>
      </c>
      <c r="AA30" s="756">
        <v>1</v>
      </c>
      <c r="AB30" s="757">
        <v>1</v>
      </c>
      <c r="AC30" s="757">
        <v>1</v>
      </c>
      <c r="AD30" s="757">
        <v>1</v>
      </c>
      <c r="AE30" s="757">
        <v>0</v>
      </c>
      <c r="AF30" s="757">
        <v>0</v>
      </c>
      <c r="AH30" s="749" t="s">
        <v>1891</v>
      </c>
      <c r="AI30" s="749" t="s">
        <v>1891</v>
      </c>
      <c r="AJ30" s="747" t="s">
        <v>1890</v>
      </c>
      <c r="AK30" s="749" t="s">
        <v>1891</v>
      </c>
      <c r="AL30" s="749" t="s">
        <v>1891</v>
      </c>
      <c r="AM30" s="752" t="s">
        <v>1899</v>
      </c>
      <c r="AN30" s="1035" t="s">
        <v>2335</v>
      </c>
    </row>
    <row r="31" spans="14:40">
      <c r="N31" s="748" t="s">
        <v>1894</v>
      </c>
      <c r="O31" s="748" t="str">
        <f t="shared" si="2"/>
        <v>C0</v>
      </c>
      <c r="P31" s="755">
        <v>1</v>
      </c>
      <c r="Q31" s="755">
        <v>1</v>
      </c>
      <c r="R31" s="756">
        <v>0</v>
      </c>
      <c r="S31" s="757">
        <v>0</v>
      </c>
      <c r="T31" s="757">
        <v>0</v>
      </c>
      <c r="U31" s="757">
        <v>0</v>
      </c>
      <c r="V31" s="757">
        <v>0</v>
      </c>
      <c r="W31" s="757">
        <v>0</v>
      </c>
      <c r="X31" s="748" t="str">
        <f t="shared" si="3"/>
        <v>FE</v>
      </c>
      <c r="Y31" s="755">
        <v>1</v>
      </c>
      <c r="Z31" s="755">
        <v>1</v>
      </c>
      <c r="AA31" s="756">
        <v>1</v>
      </c>
      <c r="AB31" s="757">
        <v>1</v>
      </c>
      <c r="AC31" s="757">
        <v>1</v>
      </c>
      <c r="AD31" s="757">
        <v>1</v>
      </c>
      <c r="AE31" s="757">
        <v>1</v>
      </c>
      <c r="AF31" s="757">
        <v>0</v>
      </c>
      <c r="AH31" s="749" t="s">
        <v>1891</v>
      </c>
      <c r="AI31" s="749" t="s">
        <v>1891</v>
      </c>
      <c r="AJ31" s="747" t="s">
        <v>1890</v>
      </c>
      <c r="AK31" s="749" t="s">
        <v>1891</v>
      </c>
      <c r="AL31" s="749" t="s">
        <v>1891</v>
      </c>
      <c r="AM31" s="752" t="s">
        <v>1899</v>
      </c>
      <c r="AN31" s="1035" t="s">
        <v>2335</v>
      </c>
    </row>
    <row r="32" spans="14:40">
      <c r="N32" s="748" t="s">
        <v>1894</v>
      </c>
      <c r="O32" s="748" t="str">
        <f t="shared" si="2"/>
        <v>C0</v>
      </c>
      <c r="P32" s="755">
        <v>1</v>
      </c>
      <c r="Q32" s="755">
        <v>1</v>
      </c>
      <c r="R32" s="756">
        <v>0</v>
      </c>
      <c r="S32" s="757">
        <v>0</v>
      </c>
      <c r="T32" s="757">
        <v>0</v>
      </c>
      <c r="U32" s="757">
        <v>0</v>
      </c>
      <c r="V32" s="757">
        <v>0</v>
      </c>
      <c r="W32" s="757">
        <v>0</v>
      </c>
      <c r="X32" s="748" t="str">
        <f t="shared" si="3"/>
        <v>FF</v>
      </c>
      <c r="Y32" s="755">
        <v>1</v>
      </c>
      <c r="Z32" s="755">
        <v>1</v>
      </c>
      <c r="AA32" s="756">
        <v>1</v>
      </c>
      <c r="AB32" s="757">
        <v>1</v>
      </c>
      <c r="AC32" s="757">
        <v>1</v>
      </c>
      <c r="AD32" s="757">
        <v>1</v>
      </c>
      <c r="AE32" s="757">
        <v>1</v>
      </c>
      <c r="AF32" s="757">
        <v>1</v>
      </c>
      <c r="AH32" s="749" t="s">
        <v>1891</v>
      </c>
      <c r="AI32" s="749" t="s">
        <v>1891</v>
      </c>
      <c r="AJ32" s="747" t="s">
        <v>1890</v>
      </c>
      <c r="AK32" s="749" t="s">
        <v>1891</v>
      </c>
      <c r="AL32" s="749" t="s">
        <v>1891</v>
      </c>
      <c r="AM32" s="752" t="s">
        <v>1899</v>
      </c>
      <c r="AN32" s="1035" t="s">
        <v>2335</v>
      </c>
    </row>
    <row r="33" spans="14:40">
      <c r="P33" s="754"/>
      <c r="Q33" s="754"/>
      <c r="R33" s="758"/>
      <c r="S33" s="758"/>
      <c r="T33" s="758"/>
      <c r="U33" s="758"/>
      <c r="V33" s="758"/>
      <c r="W33" s="758"/>
      <c r="Y33" s="754"/>
      <c r="Z33" s="754"/>
      <c r="AA33" s="758"/>
      <c r="AB33" s="758"/>
      <c r="AC33" s="758"/>
      <c r="AD33" s="758"/>
      <c r="AE33" s="758"/>
      <c r="AF33" s="758"/>
    </row>
    <row r="34" spans="14:40">
      <c r="N34" s="748" t="s">
        <v>1894</v>
      </c>
      <c r="O34" s="748" t="str">
        <f t="shared" ref="O34:O39" si="4">BIN2HEX(P34&amp;Q34&amp;R34&amp;S34&amp;T34&amp;U34&amp;V34&amp;W34)</f>
        <v>0</v>
      </c>
      <c r="P34" s="755">
        <v>0</v>
      </c>
      <c r="Q34" s="755">
        <v>0</v>
      </c>
      <c r="R34" s="756">
        <v>0</v>
      </c>
      <c r="S34" s="757">
        <v>0</v>
      </c>
      <c r="T34" s="757">
        <v>0</v>
      </c>
      <c r="U34" s="757">
        <v>0</v>
      </c>
      <c r="V34" s="757">
        <v>0</v>
      </c>
      <c r="W34" s="757">
        <v>0</v>
      </c>
      <c r="X34" s="748" t="str">
        <f t="shared" ref="X34:X42" si="5">BIN2HEX(Y34&amp;Z34&amp;AA34&amp;AB34&amp;AC34&amp;AD34&amp;AE34&amp;AF34)</f>
        <v>C0</v>
      </c>
      <c r="Y34" s="755">
        <v>1</v>
      </c>
      <c r="Z34" s="755">
        <v>1</v>
      </c>
      <c r="AA34" s="756">
        <v>0</v>
      </c>
      <c r="AB34" s="757">
        <v>0</v>
      </c>
      <c r="AC34" s="757">
        <v>0</v>
      </c>
      <c r="AD34" s="757">
        <v>0</v>
      </c>
      <c r="AE34" s="757">
        <v>0</v>
      </c>
      <c r="AF34" s="757">
        <v>0</v>
      </c>
      <c r="AH34" s="749" t="s">
        <v>1891</v>
      </c>
      <c r="AI34" s="749" t="s">
        <v>1891</v>
      </c>
      <c r="AJ34" s="747" t="s">
        <v>1890</v>
      </c>
      <c r="AK34" s="749" t="s">
        <v>1891</v>
      </c>
      <c r="AL34" s="749" t="s">
        <v>1891</v>
      </c>
      <c r="AM34" s="745" t="s">
        <v>1895</v>
      </c>
    </row>
    <row r="35" spans="14:40">
      <c r="N35" s="748" t="s">
        <v>1894</v>
      </c>
      <c r="O35" s="748" t="str">
        <f t="shared" si="4"/>
        <v>80</v>
      </c>
      <c r="P35" s="755">
        <v>1</v>
      </c>
      <c r="Q35" s="755">
        <v>0</v>
      </c>
      <c r="R35" s="756">
        <v>0</v>
      </c>
      <c r="S35" s="757">
        <v>0</v>
      </c>
      <c r="T35" s="757">
        <v>0</v>
      </c>
      <c r="U35" s="757">
        <v>0</v>
      </c>
      <c r="V35" s="757">
        <v>0</v>
      </c>
      <c r="W35" s="757">
        <v>0</v>
      </c>
      <c r="X35" s="748" t="str">
        <f t="shared" si="5"/>
        <v>C0</v>
      </c>
      <c r="Y35" s="755">
        <v>1</v>
      </c>
      <c r="Z35" s="755">
        <v>1</v>
      </c>
      <c r="AA35" s="756">
        <v>0</v>
      </c>
      <c r="AB35" s="757">
        <v>0</v>
      </c>
      <c r="AC35" s="757">
        <v>0</v>
      </c>
      <c r="AD35" s="757">
        <v>0</v>
      </c>
      <c r="AE35" s="757">
        <v>0</v>
      </c>
      <c r="AF35" s="757">
        <v>0</v>
      </c>
      <c r="AH35" s="749" t="s">
        <v>1891</v>
      </c>
      <c r="AI35" s="749" t="s">
        <v>1891</v>
      </c>
      <c r="AJ35" s="747" t="s">
        <v>1890</v>
      </c>
      <c r="AK35" s="750" t="s">
        <v>1892</v>
      </c>
      <c r="AL35" s="749" t="s">
        <v>1891</v>
      </c>
      <c r="AM35" s="745" t="s">
        <v>1895</v>
      </c>
    </row>
    <row r="36" spans="14:40">
      <c r="N36" s="748" t="s">
        <v>1894</v>
      </c>
      <c r="O36" s="748" t="str">
        <f t="shared" si="4"/>
        <v>C0</v>
      </c>
      <c r="P36" s="755">
        <v>1</v>
      </c>
      <c r="Q36" s="755">
        <v>1</v>
      </c>
      <c r="R36" s="756">
        <v>0</v>
      </c>
      <c r="S36" s="757">
        <v>0</v>
      </c>
      <c r="T36" s="757">
        <v>0</v>
      </c>
      <c r="U36" s="757">
        <v>0</v>
      </c>
      <c r="V36" s="757">
        <v>0</v>
      </c>
      <c r="W36" s="757">
        <v>0</v>
      </c>
      <c r="X36" s="748" t="str">
        <f t="shared" si="5"/>
        <v>C0</v>
      </c>
      <c r="Y36" s="755">
        <v>1</v>
      </c>
      <c r="Z36" s="755">
        <v>1</v>
      </c>
      <c r="AA36" s="756">
        <v>0</v>
      </c>
      <c r="AB36" s="757">
        <v>0</v>
      </c>
      <c r="AC36" s="757">
        <v>0</v>
      </c>
      <c r="AD36" s="757">
        <v>0</v>
      </c>
      <c r="AE36" s="757">
        <v>0</v>
      </c>
      <c r="AF36" s="757">
        <v>0</v>
      </c>
      <c r="AH36" s="749" t="s">
        <v>1891</v>
      </c>
      <c r="AI36" s="749" t="s">
        <v>1891</v>
      </c>
      <c r="AJ36" s="747" t="s">
        <v>1890</v>
      </c>
      <c r="AK36" s="750" t="s">
        <v>1892</v>
      </c>
      <c r="AL36" s="750" t="s">
        <v>1892</v>
      </c>
      <c r="AM36" s="745" t="s">
        <v>1895</v>
      </c>
    </row>
    <row r="37" spans="14:40">
      <c r="N37" s="748" t="s">
        <v>1894</v>
      </c>
      <c r="O37" s="748" t="str">
        <f t="shared" si="4"/>
        <v>E0</v>
      </c>
      <c r="P37" s="755">
        <v>1</v>
      </c>
      <c r="Q37" s="755">
        <v>1</v>
      </c>
      <c r="R37" s="756">
        <v>1</v>
      </c>
      <c r="S37" s="757">
        <v>0</v>
      </c>
      <c r="T37" s="757">
        <v>0</v>
      </c>
      <c r="U37" s="757">
        <v>0</v>
      </c>
      <c r="V37" s="757">
        <v>0</v>
      </c>
      <c r="W37" s="757">
        <v>0</v>
      </c>
      <c r="X37" s="748" t="str">
        <f t="shared" si="5"/>
        <v>C0</v>
      </c>
      <c r="Y37" s="755">
        <v>1</v>
      </c>
      <c r="Z37" s="755">
        <v>1</v>
      </c>
      <c r="AA37" s="756">
        <v>0</v>
      </c>
      <c r="AB37" s="757">
        <v>0</v>
      </c>
      <c r="AC37" s="757">
        <v>0</v>
      </c>
      <c r="AD37" s="757">
        <v>0</v>
      </c>
      <c r="AE37" s="757">
        <v>0</v>
      </c>
      <c r="AF37" s="757">
        <v>0</v>
      </c>
      <c r="AH37" s="749" t="s">
        <v>1891</v>
      </c>
      <c r="AI37" s="749" t="s">
        <v>1891</v>
      </c>
      <c r="AJ37" s="747" t="s">
        <v>1890</v>
      </c>
      <c r="AK37" s="749" t="s">
        <v>1891</v>
      </c>
      <c r="AL37" s="749" t="s">
        <v>1891</v>
      </c>
      <c r="AM37" s="752" t="s">
        <v>1899</v>
      </c>
      <c r="AN37" s="1035" t="s">
        <v>2335</v>
      </c>
    </row>
    <row r="38" spans="14:40">
      <c r="N38" s="748" t="s">
        <v>1894</v>
      </c>
      <c r="O38" s="748" t="str">
        <f t="shared" si="4"/>
        <v>F0</v>
      </c>
      <c r="P38" s="755">
        <v>1</v>
      </c>
      <c r="Q38" s="755">
        <v>1</v>
      </c>
      <c r="R38" s="756">
        <v>1</v>
      </c>
      <c r="S38" s="757">
        <v>1</v>
      </c>
      <c r="T38" s="757">
        <v>0</v>
      </c>
      <c r="U38" s="757">
        <v>0</v>
      </c>
      <c r="V38" s="757">
        <v>0</v>
      </c>
      <c r="W38" s="757">
        <v>0</v>
      </c>
      <c r="X38" s="748" t="str">
        <f t="shared" si="5"/>
        <v>C0</v>
      </c>
      <c r="Y38" s="755">
        <v>1</v>
      </c>
      <c r="Z38" s="755">
        <v>1</v>
      </c>
      <c r="AA38" s="756">
        <v>0</v>
      </c>
      <c r="AB38" s="757">
        <v>0</v>
      </c>
      <c r="AC38" s="757">
        <v>0</v>
      </c>
      <c r="AD38" s="757">
        <v>0</v>
      </c>
      <c r="AE38" s="757">
        <v>0</v>
      </c>
      <c r="AF38" s="757">
        <v>0</v>
      </c>
      <c r="AH38" s="749" t="s">
        <v>1891</v>
      </c>
      <c r="AI38" s="749" t="s">
        <v>1891</v>
      </c>
      <c r="AJ38" s="747" t="s">
        <v>1890</v>
      </c>
      <c r="AK38" s="749" t="s">
        <v>1891</v>
      </c>
      <c r="AL38" s="749" t="s">
        <v>1891</v>
      </c>
      <c r="AM38" s="752" t="s">
        <v>1899</v>
      </c>
      <c r="AN38" s="1035" t="s">
        <v>2335</v>
      </c>
    </row>
    <row r="39" spans="14:40">
      <c r="N39" s="748" t="s">
        <v>1894</v>
      </c>
      <c r="O39" s="748" t="str">
        <f t="shared" si="4"/>
        <v>F8</v>
      </c>
      <c r="P39" s="755">
        <v>1</v>
      </c>
      <c r="Q39" s="755">
        <v>1</v>
      </c>
      <c r="R39" s="756">
        <v>1</v>
      </c>
      <c r="S39" s="757">
        <v>1</v>
      </c>
      <c r="T39" s="757">
        <v>1</v>
      </c>
      <c r="U39" s="757">
        <v>0</v>
      </c>
      <c r="V39" s="757">
        <v>0</v>
      </c>
      <c r="W39" s="757">
        <v>0</v>
      </c>
      <c r="X39" s="748" t="str">
        <f t="shared" si="5"/>
        <v>C0</v>
      </c>
      <c r="Y39" s="755">
        <v>1</v>
      </c>
      <c r="Z39" s="755">
        <v>1</v>
      </c>
      <c r="AA39" s="756">
        <v>0</v>
      </c>
      <c r="AB39" s="757">
        <v>0</v>
      </c>
      <c r="AC39" s="757">
        <v>0</v>
      </c>
      <c r="AD39" s="757">
        <v>0</v>
      </c>
      <c r="AE39" s="757">
        <v>0</v>
      </c>
      <c r="AF39" s="757">
        <v>0</v>
      </c>
      <c r="AH39" s="749" t="s">
        <v>1891</v>
      </c>
      <c r="AI39" s="749" t="s">
        <v>1891</v>
      </c>
      <c r="AJ39" s="747" t="s">
        <v>1890</v>
      </c>
      <c r="AK39" s="749" t="s">
        <v>1891</v>
      </c>
      <c r="AL39" s="749" t="s">
        <v>1891</v>
      </c>
      <c r="AM39" s="752" t="s">
        <v>1899</v>
      </c>
      <c r="AN39" s="1035" t="s">
        <v>2335</v>
      </c>
    </row>
    <row r="40" spans="14:40">
      <c r="N40" s="748" t="s">
        <v>1894</v>
      </c>
      <c r="O40" s="748" t="str">
        <f t="shared" ref="O40:O42" si="6">BIN2HEX(P40&amp;Q40&amp;R40&amp;S40&amp;T40&amp;U40&amp;V40&amp;W40)</f>
        <v>FC</v>
      </c>
      <c r="P40" s="755">
        <v>1</v>
      </c>
      <c r="Q40" s="755">
        <v>1</v>
      </c>
      <c r="R40" s="756">
        <v>1</v>
      </c>
      <c r="S40" s="757">
        <v>1</v>
      </c>
      <c r="T40" s="757">
        <v>1</v>
      </c>
      <c r="U40" s="757">
        <v>1</v>
      </c>
      <c r="V40" s="757">
        <v>0</v>
      </c>
      <c r="W40" s="757">
        <v>0</v>
      </c>
      <c r="X40" s="748" t="str">
        <f t="shared" si="5"/>
        <v>C0</v>
      </c>
      <c r="Y40" s="755">
        <v>1</v>
      </c>
      <c r="Z40" s="755">
        <v>1</v>
      </c>
      <c r="AA40" s="756">
        <v>0</v>
      </c>
      <c r="AB40" s="757">
        <v>0</v>
      </c>
      <c r="AC40" s="757">
        <v>0</v>
      </c>
      <c r="AD40" s="757">
        <v>0</v>
      </c>
      <c r="AE40" s="757">
        <v>0</v>
      </c>
      <c r="AF40" s="757">
        <v>0</v>
      </c>
      <c r="AH40" s="749" t="s">
        <v>1891</v>
      </c>
      <c r="AI40" s="749" t="s">
        <v>1891</v>
      </c>
      <c r="AJ40" s="747" t="s">
        <v>1890</v>
      </c>
      <c r="AK40" s="749" t="s">
        <v>1891</v>
      </c>
      <c r="AL40" s="749" t="s">
        <v>1891</v>
      </c>
      <c r="AM40" s="752" t="s">
        <v>1899</v>
      </c>
      <c r="AN40" s="1035" t="s">
        <v>2335</v>
      </c>
    </row>
    <row r="41" spans="14:40">
      <c r="N41" s="748" t="s">
        <v>1894</v>
      </c>
      <c r="O41" s="748" t="str">
        <f t="shared" si="6"/>
        <v>FE</v>
      </c>
      <c r="P41" s="755">
        <v>1</v>
      </c>
      <c r="Q41" s="755">
        <v>1</v>
      </c>
      <c r="R41" s="756">
        <v>1</v>
      </c>
      <c r="S41" s="757">
        <v>1</v>
      </c>
      <c r="T41" s="757">
        <v>1</v>
      </c>
      <c r="U41" s="757">
        <v>1</v>
      </c>
      <c r="V41" s="757">
        <v>1</v>
      </c>
      <c r="W41" s="757">
        <v>0</v>
      </c>
      <c r="X41" s="748" t="str">
        <f t="shared" si="5"/>
        <v>C0</v>
      </c>
      <c r="Y41" s="755">
        <v>1</v>
      </c>
      <c r="Z41" s="755">
        <v>1</v>
      </c>
      <c r="AA41" s="756">
        <v>0</v>
      </c>
      <c r="AB41" s="757">
        <v>0</v>
      </c>
      <c r="AC41" s="757">
        <v>0</v>
      </c>
      <c r="AD41" s="757">
        <v>0</v>
      </c>
      <c r="AE41" s="757">
        <v>0</v>
      </c>
      <c r="AF41" s="757">
        <v>0</v>
      </c>
      <c r="AH41" s="749" t="s">
        <v>1891</v>
      </c>
      <c r="AI41" s="749" t="s">
        <v>1891</v>
      </c>
      <c r="AJ41" s="747" t="s">
        <v>1890</v>
      </c>
      <c r="AK41" s="749" t="s">
        <v>1891</v>
      </c>
      <c r="AL41" s="749" t="s">
        <v>1891</v>
      </c>
      <c r="AM41" s="752" t="s">
        <v>1899</v>
      </c>
      <c r="AN41" s="1035" t="s">
        <v>2335</v>
      </c>
    </row>
    <row r="42" spans="14:40">
      <c r="N42" s="748" t="s">
        <v>1894</v>
      </c>
      <c r="O42" s="748" t="str">
        <f t="shared" si="6"/>
        <v>FF</v>
      </c>
      <c r="P42" s="755">
        <v>1</v>
      </c>
      <c r="Q42" s="755">
        <v>1</v>
      </c>
      <c r="R42" s="756">
        <v>1</v>
      </c>
      <c r="S42" s="757">
        <v>1</v>
      </c>
      <c r="T42" s="757">
        <v>1</v>
      </c>
      <c r="U42" s="757">
        <v>1</v>
      </c>
      <c r="V42" s="757">
        <v>1</v>
      </c>
      <c r="W42" s="757">
        <v>1</v>
      </c>
      <c r="X42" s="748" t="str">
        <f t="shared" si="5"/>
        <v>C0</v>
      </c>
      <c r="Y42" s="755">
        <v>1</v>
      </c>
      <c r="Z42" s="755">
        <v>1</v>
      </c>
      <c r="AA42" s="756">
        <v>0</v>
      </c>
      <c r="AB42" s="757">
        <v>0</v>
      </c>
      <c r="AC42" s="757">
        <v>0</v>
      </c>
      <c r="AD42" s="757">
        <v>0</v>
      </c>
      <c r="AE42" s="757">
        <v>0</v>
      </c>
      <c r="AF42" s="757">
        <v>0</v>
      </c>
      <c r="AH42" s="749" t="s">
        <v>1891</v>
      </c>
      <c r="AI42" s="749" t="s">
        <v>1891</v>
      </c>
      <c r="AJ42" s="747" t="s">
        <v>1890</v>
      </c>
      <c r="AK42" s="749" t="s">
        <v>1891</v>
      </c>
      <c r="AL42" s="749" t="s">
        <v>1891</v>
      </c>
      <c r="AM42" s="752" t="s">
        <v>1899</v>
      </c>
      <c r="AN42" s="1035" t="s">
        <v>2335</v>
      </c>
    </row>
    <row r="43" spans="14:40">
      <c r="P43" s="754"/>
      <c r="Q43" s="754"/>
      <c r="R43" s="758"/>
      <c r="S43" s="758"/>
      <c r="T43" s="758"/>
      <c r="U43" s="758"/>
      <c r="V43" s="758"/>
      <c r="W43" s="758"/>
      <c r="Y43" s="754"/>
      <c r="Z43" s="754"/>
      <c r="AA43" s="758"/>
      <c r="AB43" s="758"/>
      <c r="AC43" s="758"/>
      <c r="AD43" s="758"/>
      <c r="AE43" s="758"/>
      <c r="AF43" s="758"/>
    </row>
    <row r="44" spans="14:40">
      <c r="N44" s="748" t="s">
        <v>1894</v>
      </c>
      <c r="O44" s="748" t="str">
        <f t="shared" ref="O44:O52" si="7">BIN2HEX(P44&amp;Q44&amp;R44&amp;S44&amp;T44&amp;U44&amp;V44&amp;W44)</f>
        <v>C0</v>
      </c>
      <c r="P44" s="755">
        <v>1</v>
      </c>
      <c r="Q44" s="755">
        <v>1</v>
      </c>
      <c r="R44" s="756">
        <v>0</v>
      </c>
      <c r="S44" s="757">
        <v>0</v>
      </c>
      <c r="T44" s="757">
        <v>0</v>
      </c>
      <c r="U44" s="757">
        <v>0</v>
      </c>
      <c r="V44" s="757">
        <v>0</v>
      </c>
      <c r="W44" s="757">
        <v>0</v>
      </c>
      <c r="X44" s="748" t="str">
        <f t="shared" ref="X44:X52" si="8">BIN2HEX(Y44&amp;Z44&amp;AA44&amp;AB44&amp;AC44&amp;AD44&amp;AE44&amp;AF44)</f>
        <v>0</v>
      </c>
      <c r="Y44" s="755">
        <v>0</v>
      </c>
      <c r="Z44" s="755">
        <v>0</v>
      </c>
      <c r="AA44" s="756">
        <v>0</v>
      </c>
      <c r="AB44" s="757">
        <v>0</v>
      </c>
      <c r="AC44" s="757">
        <v>0</v>
      </c>
      <c r="AD44" s="757">
        <v>0</v>
      </c>
      <c r="AE44" s="757">
        <v>0</v>
      </c>
      <c r="AF44" s="757">
        <v>0</v>
      </c>
      <c r="AH44" s="750" t="s">
        <v>1892</v>
      </c>
      <c r="AI44" s="750" t="s">
        <v>1892</v>
      </c>
      <c r="AJ44" s="747" t="s">
        <v>1890</v>
      </c>
      <c r="AK44" s="750" t="s">
        <v>1892</v>
      </c>
      <c r="AL44" s="750" t="s">
        <v>1892</v>
      </c>
      <c r="AM44" s="745" t="s">
        <v>1895</v>
      </c>
      <c r="AN44" s="1036" t="s">
        <v>1924</v>
      </c>
    </row>
    <row r="45" spans="14:40">
      <c r="N45" s="748" t="s">
        <v>1894</v>
      </c>
      <c r="O45" s="748" t="str">
        <f t="shared" si="7"/>
        <v>C0</v>
      </c>
      <c r="P45" s="755">
        <v>1</v>
      </c>
      <c r="Q45" s="755">
        <v>1</v>
      </c>
      <c r="R45" s="756">
        <v>0</v>
      </c>
      <c r="S45" s="757">
        <v>0</v>
      </c>
      <c r="T45" s="757">
        <v>0</v>
      </c>
      <c r="U45" s="757">
        <v>0</v>
      </c>
      <c r="V45" s="757">
        <v>0</v>
      </c>
      <c r="W45" s="757">
        <v>0</v>
      </c>
      <c r="X45" s="748" t="str">
        <f t="shared" si="8"/>
        <v>80</v>
      </c>
      <c r="Y45" s="755">
        <v>1</v>
      </c>
      <c r="Z45" s="755">
        <v>0</v>
      </c>
      <c r="AA45" s="756">
        <v>0</v>
      </c>
      <c r="AB45" s="757">
        <v>0</v>
      </c>
      <c r="AC45" s="757">
        <v>0</v>
      </c>
      <c r="AD45" s="757">
        <v>0</v>
      </c>
      <c r="AE45" s="757">
        <v>0</v>
      </c>
      <c r="AF45" s="757">
        <v>0</v>
      </c>
      <c r="AH45" s="750" t="s">
        <v>1892</v>
      </c>
      <c r="AI45" s="750" t="s">
        <v>1892</v>
      </c>
      <c r="AJ45" s="747" t="s">
        <v>1890</v>
      </c>
      <c r="AK45" s="750" t="s">
        <v>1892</v>
      </c>
      <c r="AL45" s="750" t="s">
        <v>1892</v>
      </c>
      <c r="AM45" s="745" t="s">
        <v>1895</v>
      </c>
      <c r="AN45" s="751" t="s">
        <v>1925</v>
      </c>
    </row>
    <row r="46" spans="14:40">
      <c r="N46" s="748" t="s">
        <v>1894</v>
      </c>
      <c r="O46" s="748" t="str">
        <f t="shared" si="7"/>
        <v>C0</v>
      </c>
      <c r="P46" s="755">
        <v>1</v>
      </c>
      <c r="Q46" s="755">
        <v>1</v>
      </c>
      <c r="R46" s="756">
        <v>0</v>
      </c>
      <c r="S46" s="757">
        <v>0</v>
      </c>
      <c r="T46" s="757">
        <v>0</v>
      </c>
      <c r="U46" s="757">
        <v>0</v>
      </c>
      <c r="V46" s="757">
        <v>0</v>
      </c>
      <c r="W46" s="757">
        <v>0</v>
      </c>
      <c r="X46" s="748" t="str">
        <f t="shared" si="8"/>
        <v>C0</v>
      </c>
      <c r="Y46" s="755">
        <v>1</v>
      </c>
      <c r="Z46" s="755">
        <v>1</v>
      </c>
      <c r="AA46" s="756">
        <v>0</v>
      </c>
      <c r="AB46" s="757">
        <v>0</v>
      </c>
      <c r="AC46" s="757">
        <v>0</v>
      </c>
      <c r="AD46" s="757">
        <v>0</v>
      </c>
      <c r="AE46" s="757">
        <v>0</v>
      </c>
      <c r="AF46" s="757">
        <v>0</v>
      </c>
      <c r="AH46" s="750" t="s">
        <v>1892</v>
      </c>
      <c r="AI46" s="750" t="s">
        <v>1892</v>
      </c>
      <c r="AJ46" s="747" t="s">
        <v>1890</v>
      </c>
      <c r="AK46" s="750" t="s">
        <v>1892</v>
      </c>
      <c r="AL46" s="750" t="s">
        <v>1892</v>
      </c>
      <c r="AM46" s="745" t="s">
        <v>1895</v>
      </c>
    </row>
    <row r="47" spans="14:40">
      <c r="N47" s="748" t="s">
        <v>1894</v>
      </c>
      <c r="O47" s="748" t="str">
        <f t="shared" si="7"/>
        <v>C0</v>
      </c>
      <c r="P47" s="755">
        <v>1</v>
      </c>
      <c r="Q47" s="755">
        <v>1</v>
      </c>
      <c r="R47" s="756">
        <v>0</v>
      </c>
      <c r="S47" s="757">
        <v>0</v>
      </c>
      <c r="T47" s="757">
        <v>0</v>
      </c>
      <c r="U47" s="757">
        <v>0</v>
      </c>
      <c r="V47" s="757">
        <v>0</v>
      </c>
      <c r="W47" s="757">
        <v>0</v>
      </c>
      <c r="X47" s="748" t="str">
        <f t="shared" si="8"/>
        <v>E0</v>
      </c>
      <c r="Y47" s="755">
        <v>1</v>
      </c>
      <c r="Z47" s="755">
        <v>1</v>
      </c>
      <c r="AA47" s="756">
        <v>1</v>
      </c>
      <c r="AB47" s="757">
        <v>0</v>
      </c>
      <c r="AC47" s="757">
        <v>0</v>
      </c>
      <c r="AD47" s="757">
        <v>0</v>
      </c>
      <c r="AE47" s="757">
        <v>0</v>
      </c>
      <c r="AF47" s="757">
        <v>0</v>
      </c>
      <c r="AH47" s="750" t="s">
        <v>1892</v>
      </c>
      <c r="AI47" s="750" t="s">
        <v>1892</v>
      </c>
      <c r="AJ47" s="747" t="s">
        <v>1890</v>
      </c>
      <c r="AK47" s="749" t="s">
        <v>1891</v>
      </c>
      <c r="AL47" s="749" t="s">
        <v>1891</v>
      </c>
      <c r="AM47" s="752" t="s">
        <v>1899</v>
      </c>
      <c r="AN47" s="1035" t="s">
        <v>2335</v>
      </c>
    </row>
    <row r="48" spans="14:40">
      <c r="N48" s="748" t="s">
        <v>1894</v>
      </c>
      <c r="O48" s="748" t="str">
        <f t="shared" si="7"/>
        <v>C0</v>
      </c>
      <c r="P48" s="755">
        <v>1</v>
      </c>
      <c r="Q48" s="755">
        <v>1</v>
      </c>
      <c r="R48" s="756">
        <v>0</v>
      </c>
      <c r="S48" s="757">
        <v>0</v>
      </c>
      <c r="T48" s="757">
        <v>0</v>
      </c>
      <c r="U48" s="757">
        <v>0</v>
      </c>
      <c r="V48" s="757">
        <v>0</v>
      </c>
      <c r="W48" s="757">
        <v>0</v>
      </c>
      <c r="X48" s="748" t="str">
        <f t="shared" si="8"/>
        <v>F0</v>
      </c>
      <c r="Y48" s="755">
        <v>1</v>
      </c>
      <c r="Z48" s="755">
        <v>1</v>
      </c>
      <c r="AA48" s="756">
        <v>1</v>
      </c>
      <c r="AB48" s="757">
        <v>1</v>
      </c>
      <c r="AC48" s="757">
        <v>0</v>
      </c>
      <c r="AD48" s="757">
        <v>0</v>
      </c>
      <c r="AE48" s="757">
        <v>0</v>
      </c>
      <c r="AF48" s="757">
        <v>0</v>
      </c>
      <c r="AH48" s="750" t="s">
        <v>1892</v>
      </c>
      <c r="AI48" s="750" t="s">
        <v>1892</v>
      </c>
      <c r="AJ48" s="747" t="s">
        <v>1890</v>
      </c>
      <c r="AK48" s="749" t="s">
        <v>1891</v>
      </c>
      <c r="AL48" s="749" t="s">
        <v>1891</v>
      </c>
      <c r="AM48" s="752" t="s">
        <v>1899</v>
      </c>
      <c r="AN48" s="1035" t="s">
        <v>2335</v>
      </c>
    </row>
    <row r="49" spans="14:40">
      <c r="N49" s="748" t="s">
        <v>1894</v>
      </c>
      <c r="O49" s="748" t="str">
        <f t="shared" si="7"/>
        <v>C0</v>
      </c>
      <c r="P49" s="755">
        <v>1</v>
      </c>
      <c r="Q49" s="755">
        <v>1</v>
      </c>
      <c r="R49" s="756">
        <v>0</v>
      </c>
      <c r="S49" s="757">
        <v>0</v>
      </c>
      <c r="T49" s="757">
        <v>0</v>
      </c>
      <c r="U49" s="757">
        <v>0</v>
      </c>
      <c r="V49" s="757">
        <v>0</v>
      </c>
      <c r="W49" s="757">
        <v>0</v>
      </c>
      <c r="X49" s="748" t="str">
        <f t="shared" si="8"/>
        <v>F8</v>
      </c>
      <c r="Y49" s="755">
        <v>1</v>
      </c>
      <c r="Z49" s="755">
        <v>1</v>
      </c>
      <c r="AA49" s="756">
        <v>1</v>
      </c>
      <c r="AB49" s="757">
        <v>1</v>
      </c>
      <c r="AC49" s="757">
        <v>1</v>
      </c>
      <c r="AD49" s="757">
        <v>0</v>
      </c>
      <c r="AE49" s="757">
        <v>0</v>
      </c>
      <c r="AF49" s="757">
        <v>0</v>
      </c>
      <c r="AH49" s="750" t="s">
        <v>1892</v>
      </c>
      <c r="AI49" s="750" t="s">
        <v>1892</v>
      </c>
      <c r="AJ49" s="747" t="s">
        <v>1890</v>
      </c>
      <c r="AK49" s="749" t="s">
        <v>1891</v>
      </c>
      <c r="AL49" s="749" t="s">
        <v>1891</v>
      </c>
      <c r="AM49" s="752" t="s">
        <v>1899</v>
      </c>
      <c r="AN49" s="1035" t="s">
        <v>2335</v>
      </c>
    </row>
    <row r="50" spans="14:40">
      <c r="N50" s="748" t="s">
        <v>1894</v>
      </c>
      <c r="O50" s="748" t="str">
        <f t="shared" si="7"/>
        <v>C0</v>
      </c>
      <c r="P50" s="755">
        <v>1</v>
      </c>
      <c r="Q50" s="755">
        <v>1</v>
      </c>
      <c r="R50" s="756">
        <v>0</v>
      </c>
      <c r="S50" s="757">
        <v>0</v>
      </c>
      <c r="T50" s="757">
        <v>0</v>
      </c>
      <c r="U50" s="757">
        <v>0</v>
      </c>
      <c r="V50" s="757">
        <v>0</v>
      </c>
      <c r="W50" s="757">
        <v>0</v>
      </c>
      <c r="X50" s="748" t="str">
        <f t="shared" si="8"/>
        <v>FC</v>
      </c>
      <c r="Y50" s="755">
        <v>1</v>
      </c>
      <c r="Z50" s="755">
        <v>1</v>
      </c>
      <c r="AA50" s="756">
        <v>1</v>
      </c>
      <c r="AB50" s="757">
        <v>1</v>
      </c>
      <c r="AC50" s="757">
        <v>1</v>
      </c>
      <c r="AD50" s="757">
        <v>1</v>
      </c>
      <c r="AE50" s="757">
        <v>0</v>
      </c>
      <c r="AF50" s="757">
        <v>0</v>
      </c>
      <c r="AH50" s="750" t="s">
        <v>1892</v>
      </c>
      <c r="AI50" s="750" t="s">
        <v>1892</v>
      </c>
      <c r="AJ50" s="747" t="s">
        <v>1890</v>
      </c>
      <c r="AK50" s="749" t="s">
        <v>1891</v>
      </c>
      <c r="AL50" s="749" t="s">
        <v>1891</v>
      </c>
      <c r="AM50" s="752" t="s">
        <v>1899</v>
      </c>
      <c r="AN50" s="1035" t="s">
        <v>2335</v>
      </c>
    </row>
    <row r="51" spans="14:40">
      <c r="N51" s="748" t="s">
        <v>1894</v>
      </c>
      <c r="O51" s="748" t="str">
        <f t="shared" si="7"/>
        <v>C0</v>
      </c>
      <c r="P51" s="755">
        <v>1</v>
      </c>
      <c r="Q51" s="755">
        <v>1</v>
      </c>
      <c r="R51" s="756">
        <v>0</v>
      </c>
      <c r="S51" s="757">
        <v>0</v>
      </c>
      <c r="T51" s="757">
        <v>0</v>
      </c>
      <c r="U51" s="757">
        <v>0</v>
      </c>
      <c r="V51" s="757">
        <v>0</v>
      </c>
      <c r="W51" s="757">
        <v>0</v>
      </c>
      <c r="X51" s="748" t="str">
        <f t="shared" si="8"/>
        <v>FE</v>
      </c>
      <c r="Y51" s="755">
        <v>1</v>
      </c>
      <c r="Z51" s="755">
        <v>1</v>
      </c>
      <c r="AA51" s="756">
        <v>1</v>
      </c>
      <c r="AB51" s="757">
        <v>1</v>
      </c>
      <c r="AC51" s="757">
        <v>1</v>
      </c>
      <c r="AD51" s="757">
        <v>1</v>
      </c>
      <c r="AE51" s="757">
        <v>1</v>
      </c>
      <c r="AF51" s="757">
        <v>0</v>
      </c>
      <c r="AH51" s="750" t="s">
        <v>1892</v>
      </c>
      <c r="AI51" s="750" t="s">
        <v>1892</v>
      </c>
      <c r="AJ51" s="747" t="s">
        <v>1890</v>
      </c>
      <c r="AK51" s="749" t="s">
        <v>1891</v>
      </c>
      <c r="AL51" s="749" t="s">
        <v>1891</v>
      </c>
      <c r="AM51" s="752" t="s">
        <v>1899</v>
      </c>
      <c r="AN51" s="1035" t="s">
        <v>2335</v>
      </c>
    </row>
    <row r="52" spans="14:40">
      <c r="N52" s="748" t="s">
        <v>1894</v>
      </c>
      <c r="O52" s="748" t="str">
        <f t="shared" si="7"/>
        <v>C0</v>
      </c>
      <c r="P52" s="755">
        <v>1</v>
      </c>
      <c r="Q52" s="755">
        <v>1</v>
      </c>
      <c r="R52" s="756">
        <v>0</v>
      </c>
      <c r="S52" s="757">
        <v>0</v>
      </c>
      <c r="T52" s="757">
        <v>0</v>
      </c>
      <c r="U52" s="757">
        <v>0</v>
      </c>
      <c r="V52" s="757">
        <v>0</v>
      </c>
      <c r="W52" s="757">
        <v>0</v>
      </c>
      <c r="X52" s="748" t="str">
        <f t="shared" si="8"/>
        <v>FF</v>
      </c>
      <c r="Y52" s="755">
        <v>1</v>
      </c>
      <c r="Z52" s="755">
        <v>1</v>
      </c>
      <c r="AA52" s="756">
        <v>1</v>
      </c>
      <c r="AB52" s="757">
        <v>1</v>
      </c>
      <c r="AC52" s="757">
        <v>1</v>
      </c>
      <c r="AD52" s="757">
        <v>1</v>
      </c>
      <c r="AE52" s="757">
        <v>1</v>
      </c>
      <c r="AF52" s="757">
        <v>1</v>
      </c>
      <c r="AH52" s="750" t="s">
        <v>1892</v>
      </c>
      <c r="AI52" s="750" t="s">
        <v>1892</v>
      </c>
      <c r="AJ52" s="747" t="s">
        <v>1890</v>
      </c>
      <c r="AK52" s="749" t="s">
        <v>1891</v>
      </c>
      <c r="AL52" s="749" t="s">
        <v>1891</v>
      </c>
      <c r="AM52" s="752" t="s">
        <v>1899</v>
      </c>
      <c r="AN52" s="1035" t="s">
        <v>2335</v>
      </c>
    </row>
    <row r="53" spans="14:40">
      <c r="P53" s="754"/>
      <c r="Q53" s="754"/>
      <c r="R53" s="758"/>
      <c r="S53" s="758"/>
      <c r="T53" s="758"/>
      <c r="U53" s="758"/>
      <c r="V53" s="758"/>
      <c r="W53" s="758"/>
      <c r="Y53" s="754"/>
      <c r="Z53" s="754"/>
      <c r="AA53" s="758"/>
      <c r="AB53" s="758"/>
      <c r="AC53" s="758"/>
      <c r="AD53" s="758"/>
      <c r="AE53" s="758"/>
      <c r="AF53" s="758"/>
    </row>
    <row r="54" spans="14:40">
      <c r="N54" s="748" t="s">
        <v>1894</v>
      </c>
      <c r="O54" s="748" t="str">
        <f t="shared" ref="O54:O62" si="9">BIN2HEX(P54&amp;Q54&amp;R54&amp;S54&amp;T54&amp;U54&amp;V54&amp;W54)</f>
        <v>0</v>
      </c>
      <c r="P54" s="755">
        <v>0</v>
      </c>
      <c r="Q54" s="755">
        <v>0</v>
      </c>
      <c r="R54" s="756">
        <v>0</v>
      </c>
      <c r="S54" s="757">
        <v>0</v>
      </c>
      <c r="T54" s="757">
        <v>0</v>
      </c>
      <c r="U54" s="757">
        <v>0</v>
      </c>
      <c r="V54" s="757">
        <v>0</v>
      </c>
      <c r="W54" s="757">
        <v>0</v>
      </c>
      <c r="X54" s="748" t="str">
        <f t="shared" ref="X54:X62" si="10">BIN2HEX(Y54&amp;Z54&amp;AA54&amp;AB54&amp;AC54&amp;AD54&amp;AE54&amp;AF54)</f>
        <v>C0</v>
      </c>
      <c r="Y54" s="755">
        <v>1</v>
      </c>
      <c r="Z54" s="755">
        <v>1</v>
      </c>
      <c r="AA54" s="756">
        <v>0</v>
      </c>
      <c r="AB54" s="757">
        <v>0</v>
      </c>
      <c r="AC54" s="757">
        <v>0</v>
      </c>
      <c r="AD54" s="757">
        <v>0</v>
      </c>
      <c r="AE54" s="757">
        <v>0</v>
      </c>
      <c r="AF54" s="757">
        <v>0</v>
      </c>
      <c r="AH54" s="750" t="s">
        <v>1892</v>
      </c>
      <c r="AI54" s="750" t="s">
        <v>1892</v>
      </c>
      <c r="AJ54" s="747" t="s">
        <v>1890</v>
      </c>
      <c r="AK54" s="750" t="s">
        <v>1892</v>
      </c>
      <c r="AL54" s="750" t="s">
        <v>1892</v>
      </c>
      <c r="AM54" s="745" t="s">
        <v>1895</v>
      </c>
    </row>
    <row r="55" spans="14:40">
      <c r="N55" s="748" t="s">
        <v>1894</v>
      </c>
      <c r="O55" s="748" t="str">
        <f t="shared" si="9"/>
        <v>80</v>
      </c>
      <c r="P55" s="755">
        <v>1</v>
      </c>
      <c r="Q55" s="755">
        <v>0</v>
      </c>
      <c r="R55" s="756">
        <v>0</v>
      </c>
      <c r="S55" s="757">
        <v>0</v>
      </c>
      <c r="T55" s="757">
        <v>0</v>
      </c>
      <c r="U55" s="757">
        <v>0</v>
      </c>
      <c r="V55" s="757">
        <v>0</v>
      </c>
      <c r="W55" s="757">
        <v>0</v>
      </c>
      <c r="X55" s="748" t="str">
        <f t="shared" si="10"/>
        <v>C0</v>
      </c>
      <c r="Y55" s="755">
        <v>1</v>
      </c>
      <c r="Z55" s="755">
        <v>1</v>
      </c>
      <c r="AA55" s="756">
        <v>0</v>
      </c>
      <c r="AB55" s="757">
        <v>0</v>
      </c>
      <c r="AC55" s="757">
        <v>0</v>
      </c>
      <c r="AD55" s="757">
        <v>0</v>
      </c>
      <c r="AE55" s="757">
        <v>0</v>
      </c>
      <c r="AF55" s="757">
        <v>0</v>
      </c>
      <c r="AH55" s="750" t="s">
        <v>1892</v>
      </c>
      <c r="AI55" s="750" t="s">
        <v>1892</v>
      </c>
      <c r="AJ55" s="747" t="s">
        <v>1890</v>
      </c>
      <c r="AK55" s="750" t="s">
        <v>1892</v>
      </c>
      <c r="AL55" s="749" t="s">
        <v>1891</v>
      </c>
      <c r="AM55" s="745" t="s">
        <v>1895</v>
      </c>
    </row>
    <row r="56" spans="14:40">
      <c r="N56" s="748" t="s">
        <v>1894</v>
      </c>
      <c r="O56" s="748" t="str">
        <f t="shared" si="9"/>
        <v>C0</v>
      </c>
      <c r="P56" s="755">
        <v>1</v>
      </c>
      <c r="Q56" s="755">
        <v>1</v>
      </c>
      <c r="R56" s="756">
        <v>0</v>
      </c>
      <c r="S56" s="757">
        <v>0</v>
      </c>
      <c r="T56" s="757">
        <v>0</v>
      </c>
      <c r="U56" s="757">
        <v>0</v>
      </c>
      <c r="V56" s="757">
        <v>0</v>
      </c>
      <c r="W56" s="757">
        <v>0</v>
      </c>
      <c r="X56" s="748" t="str">
        <f t="shared" si="10"/>
        <v>C0</v>
      </c>
      <c r="Y56" s="755">
        <v>1</v>
      </c>
      <c r="Z56" s="755">
        <v>1</v>
      </c>
      <c r="AA56" s="756">
        <v>0</v>
      </c>
      <c r="AB56" s="757">
        <v>0</v>
      </c>
      <c r="AC56" s="757">
        <v>0</v>
      </c>
      <c r="AD56" s="757">
        <v>0</v>
      </c>
      <c r="AE56" s="757">
        <v>0</v>
      </c>
      <c r="AF56" s="757">
        <v>0</v>
      </c>
      <c r="AH56" s="750" t="s">
        <v>1892</v>
      </c>
      <c r="AI56" s="750" t="s">
        <v>1892</v>
      </c>
      <c r="AJ56" s="747" t="s">
        <v>1890</v>
      </c>
      <c r="AK56" s="750" t="s">
        <v>1892</v>
      </c>
      <c r="AL56" s="750" t="s">
        <v>1892</v>
      </c>
      <c r="AM56" s="745" t="s">
        <v>1895</v>
      </c>
    </row>
    <row r="57" spans="14:40">
      <c r="N57" s="748" t="s">
        <v>1894</v>
      </c>
      <c r="O57" s="748" t="str">
        <f t="shared" si="9"/>
        <v>E0</v>
      </c>
      <c r="P57" s="755">
        <v>1</v>
      </c>
      <c r="Q57" s="755">
        <v>1</v>
      </c>
      <c r="R57" s="756">
        <v>1</v>
      </c>
      <c r="S57" s="757">
        <v>0</v>
      </c>
      <c r="T57" s="757">
        <v>0</v>
      </c>
      <c r="U57" s="757">
        <v>0</v>
      </c>
      <c r="V57" s="757">
        <v>0</v>
      </c>
      <c r="W57" s="757">
        <v>0</v>
      </c>
      <c r="X57" s="748" t="str">
        <f t="shared" si="10"/>
        <v>C0</v>
      </c>
      <c r="Y57" s="755">
        <v>1</v>
      </c>
      <c r="Z57" s="755">
        <v>1</v>
      </c>
      <c r="AA57" s="756">
        <v>0</v>
      </c>
      <c r="AB57" s="757">
        <v>0</v>
      </c>
      <c r="AC57" s="757">
        <v>0</v>
      </c>
      <c r="AD57" s="757">
        <v>0</v>
      </c>
      <c r="AE57" s="757">
        <v>0</v>
      </c>
      <c r="AF57" s="757">
        <v>0</v>
      </c>
      <c r="AH57" s="750" t="s">
        <v>1892</v>
      </c>
      <c r="AI57" s="750" t="s">
        <v>1892</v>
      </c>
      <c r="AJ57" s="747" t="s">
        <v>1890</v>
      </c>
      <c r="AK57" s="749" t="s">
        <v>1891</v>
      </c>
      <c r="AL57" s="749" t="s">
        <v>1891</v>
      </c>
      <c r="AM57" s="752" t="s">
        <v>1899</v>
      </c>
      <c r="AN57" s="1035" t="s">
        <v>2335</v>
      </c>
    </row>
    <row r="58" spans="14:40">
      <c r="N58" s="748" t="s">
        <v>1894</v>
      </c>
      <c r="O58" s="748" t="str">
        <f t="shared" si="9"/>
        <v>F0</v>
      </c>
      <c r="P58" s="755">
        <v>1</v>
      </c>
      <c r="Q58" s="755">
        <v>1</v>
      </c>
      <c r="R58" s="756">
        <v>1</v>
      </c>
      <c r="S58" s="757">
        <v>1</v>
      </c>
      <c r="T58" s="757">
        <v>0</v>
      </c>
      <c r="U58" s="757">
        <v>0</v>
      </c>
      <c r="V58" s="757">
        <v>0</v>
      </c>
      <c r="W58" s="757">
        <v>0</v>
      </c>
      <c r="X58" s="748" t="str">
        <f t="shared" si="10"/>
        <v>C0</v>
      </c>
      <c r="Y58" s="755">
        <v>1</v>
      </c>
      <c r="Z58" s="755">
        <v>1</v>
      </c>
      <c r="AA58" s="756">
        <v>0</v>
      </c>
      <c r="AB58" s="757">
        <v>0</v>
      </c>
      <c r="AC58" s="757">
        <v>0</v>
      </c>
      <c r="AD58" s="757">
        <v>0</v>
      </c>
      <c r="AE58" s="757">
        <v>0</v>
      </c>
      <c r="AF58" s="757">
        <v>0</v>
      </c>
      <c r="AH58" s="750" t="s">
        <v>1892</v>
      </c>
      <c r="AI58" s="750" t="s">
        <v>1892</v>
      </c>
      <c r="AJ58" s="747" t="s">
        <v>1890</v>
      </c>
      <c r="AK58" s="749" t="s">
        <v>1891</v>
      </c>
      <c r="AL58" s="749" t="s">
        <v>1891</v>
      </c>
      <c r="AM58" s="752" t="s">
        <v>1899</v>
      </c>
      <c r="AN58" s="1035" t="s">
        <v>2335</v>
      </c>
    </row>
    <row r="59" spans="14:40">
      <c r="N59" s="748" t="s">
        <v>1894</v>
      </c>
      <c r="O59" s="748" t="str">
        <f t="shared" si="9"/>
        <v>F8</v>
      </c>
      <c r="P59" s="755">
        <v>1</v>
      </c>
      <c r="Q59" s="755">
        <v>1</v>
      </c>
      <c r="R59" s="756">
        <v>1</v>
      </c>
      <c r="S59" s="757">
        <v>1</v>
      </c>
      <c r="T59" s="757">
        <v>1</v>
      </c>
      <c r="U59" s="757">
        <v>0</v>
      </c>
      <c r="V59" s="757">
        <v>0</v>
      </c>
      <c r="W59" s="757">
        <v>0</v>
      </c>
      <c r="X59" s="748" t="str">
        <f t="shared" si="10"/>
        <v>C0</v>
      </c>
      <c r="Y59" s="755">
        <v>1</v>
      </c>
      <c r="Z59" s="755">
        <v>1</v>
      </c>
      <c r="AA59" s="756">
        <v>0</v>
      </c>
      <c r="AB59" s="757">
        <v>0</v>
      </c>
      <c r="AC59" s="757">
        <v>0</v>
      </c>
      <c r="AD59" s="757">
        <v>0</v>
      </c>
      <c r="AE59" s="757">
        <v>0</v>
      </c>
      <c r="AF59" s="757">
        <v>0</v>
      </c>
      <c r="AH59" s="750" t="s">
        <v>1892</v>
      </c>
      <c r="AI59" s="750" t="s">
        <v>1892</v>
      </c>
      <c r="AJ59" s="747" t="s">
        <v>1890</v>
      </c>
      <c r="AK59" s="749" t="s">
        <v>1891</v>
      </c>
      <c r="AL59" s="749" t="s">
        <v>1891</v>
      </c>
      <c r="AM59" s="752" t="s">
        <v>1899</v>
      </c>
      <c r="AN59" s="1035" t="s">
        <v>2335</v>
      </c>
    </row>
    <row r="60" spans="14:40">
      <c r="N60" s="748" t="s">
        <v>1894</v>
      </c>
      <c r="O60" s="748" t="str">
        <f t="shared" si="9"/>
        <v>FC</v>
      </c>
      <c r="P60" s="755">
        <v>1</v>
      </c>
      <c r="Q60" s="755">
        <v>1</v>
      </c>
      <c r="R60" s="756">
        <v>1</v>
      </c>
      <c r="S60" s="757">
        <v>1</v>
      </c>
      <c r="T60" s="757">
        <v>1</v>
      </c>
      <c r="U60" s="757">
        <v>1</v>
      </c>
      <c r="V60" s="757">
        <v>0</v>
      </c>
      <c r="W60" s="757">
        <v>0</v>
      </c>
      <c r="X60" s="748" t="str">
        <f t="shared" si="10"/>
        <v>C0</v>
      </c>
      <c r="Y60" s="755">
        <v>1</v>
      </c>
      <c r="Z60" s="755">
        <v>1</v>
      </c>
      <c r="AA60" s="756">
        <v>0</v>
      </c>
      <c r="AB60" s="757">
        <v>0</v>
      </c>
      <c r="AC60" s="757">
        <v>0</v>
      </c>
      <c r="AD60" s="757">
        <v>0</v>
      </c>
      <c r="AE60" s="757">
        <v>0</v>
      </c>
      <c r="AF60" s="757">
        <v>0</v>
      </c>
      <c r="AH60" s="750" t="s">
        <v>1892</v>
      </c>
      <c r="AI60" s="750" t="s">
        <v>1892</v>
      </c>
      <c r="AJ60" s="747" t="s">
        <v>1890</v>
      </c>
      <c r="AK60" s="749" t="s">
        <v>1891</v>
      </c>
      <c r="AL60" s="749" t="s">
        <v>1891</v>
      </c>
      <c r="AM60" s="752" t="s">
        <v>1899</v>
      </c>
      <c r="AN60" s="1035" t="s">
        <v>2335</v>
      </c>
    </row>
    <row r="61" spans="14:40">
      <c r="N61" s="748" t="s">
        <v>1894</v>
      </c>
      <c r="O61" s="748" t="str">
        <f t="shared" si="9"/>
        <v>FE</v>
      </c>
      <c r="P61" s="755">
        <v>1</v>
      </c>
      <c r="Q61" s="755">
        <v>1</v>
      </c>
      <c r="R61" s="756">
        <v>1</v>
      </c>
      <c r="S61" s="757">
        <v>1</v>
      </c>
      <c r="T61" s="757">
        <v>1</v>
      </c>
      <c r="U61" s="757">
        <v>1</v>
      </c>
      <c r="V61" s="757">
        <v>1</v>
      </c>
      <c r="W61" s="757">
        <v>0</v>
      </c>
      <c r="X61" s="748" t="str">
        <f t="shared" si="10"/>
        <v>C0</v>
      </c>
      <c r="Y61" s="755">
        <v>1</v>
      </c>
      <c r="Z61" s="755">
        <v>1</v>
      </c>
      <c r="AA61" s="756">
        <v>0</v>
      </c>
      <c r="AB61" s="757">
        <v>0</v>
      </c>
      <c r="AC61" s="757">
        <v>0</v>
      </c>
      <c r="AD61" s="757">
        <v>0</v>
      </c>
      <c r="AE61" s="757">
        <v>0</v>
      </c>
      <c r="AF61" s="757">
        <v>0</v>
      </c>
      <c r="AH61" s="750" t="s">
        <v>1892</v>
      </c>
      <c r="AI61" s="750" t="s">
        <v>1892</v>
      </c>
      <c r="AJ61" s="747" t="s">
        <v>1890</v>
      </c>
      <c r="AK61" s="749" t="s">
        <v>1891</v>
      </c>
      <c r="AL61" s="749" t="s">
        <v>1891</v>
      </c>
      <c r="AM61" s="752" t="s">
        <v>1899</v>
      </c>
      <c r="AN61" s="1035" t="s">
        <v>2335</v>
      </c>
    </row>
    <row r="62" spans="14:40">
      <c r="N62" s="748" t="s">
        <v>1894</v>
      </c>
      <c r="O62" s="748" t="str">
        <f t="shared" si="9"/>
        <v>FF</v>
      </c>
      <c r="P62" s="755">
        <v>1</v>
      </c>
      <c r="Q62" s="755">
        <v>1</v>
      </c>
      <c r="R62" s="756">
        <v>1</v>
      </c>
      <c r="S62" s="757">
        <v>1</v>
      </c>
      <c r="T62" s="757">
        <v>1</v>
      </c>
      <c r="U62" s="757">
        <v>1</v>
      </c>
      <c r="V62" s="757">
        <v>1</v>
      </c>
      <c r="W62" s="757">
        <v>1</v>
      </c>
      <c r="X62" s="748" t="str">
        <f t="shared" si="10"/>
        <v>C0</v>
      </c>
      <c r="Y62" s="755">
        <v>1</v>
      </c>
      <c r="Z62" s="755">
        <v>1</v>
      </c>
      <c r="AA62" s="756">
        <v>0</v>
      </c>
      <c r="AB62" s="757">
        <v>0</v>
      </c>
      <c r="AC62" s="757">
        <v>0</v>
      </c>
      <c r="AD62" s="757">
        <v>0</v>
      </c>
      <c r="AE62" s="757">
        <v>0</v>
      </c>
      <c r="AF62" s="757">
        <v>0</v>
      </c>
      <c r="AH62" s="750" t="s">
        <v>1892</v>
      </c>
      <c r="AI62" s="750" t="s">
        <v>1892</v>
      </c>
      <c r="AJ62" s="747" t="s">
        <v>1890</v>
      </c>
      <c r="AK62" s="749" t="s">
        <v>1891</v>
      </c>
      <c r="AL62" s="749" t="s">
        <v>1891</v>
      </c>
      <c r="AM62" s="752" t="s">
        <v>1899</v>
      </c>
      <c r="AN62" s="1035" t="s">
        <v>2335</v>
      </c>
    </row>
    <row r="65" spans="2:39" s="162" customFormat="1">
      <c r="B65" s="163" t="s">
        <v>1843</v>
      </c>
      <c r="C65" s="163"/>
      <c r="D65" s="163"/>
      <c r="K65" s="1757" t="s">
        <v>1916</v>
      </c>
      <c r="L65" s="1749"/>
      <c r="M65" s="1749"/>
      <c r="N65" s="1758"/>
      <c r="O65" s="1757" t="s">
        <v>1915</v>
      </c>
      <c r="P65" s="1759"/>
      <c r="Q65" s="1759"/>
      <c r="R65" s="1760"/>
      <c r="S65" s="164"/>
      <c r="T65" s="164"/>
      <c r="U65" s="165"/>
    </row>
    <row r="67" spans="2:39" ht="20.399999999999999">
      <c r="C67" s="776" t="s">
        <v>2034</v>
      </c>
      <c r="F67" s="764" t="s">
        <v>1900</v>
      </c>
      <c r="H67" s="764" t="s">
        <v>1901</v>
      </c>
    </row>
    <row r="68" spans="2:39">
      <c r="C68" s="765" t="s">
        <v>165</v>
      </c>
      <c r="D68" s="765" t="s">
        <v>166</v>
      </c>
      <c r="E68" s="765" t="s">
        <v>1819</v>
      </c>
      <c r="F68" s="765" t="s">
        <v>1820</v>
      </c>
      <c r="G68" s="765" t="s">
        <v>1821</v>
      </c>
      <c r="H68" s="765" t="s">
        <v>1822</v>
      </c>
      <c r="I68" s="765" t="s">
        <v>1823</v>
      </c>
      <c r="J68" s="765" t="s">
        <v>1824</v>
      </c>
      <c r="K68" s="765" t="s">
        <v>1825</v>
      </c>
      <c r="L68" s="765" t="s">
        <v>1826</v>
      </c>
    </row>
    <row r="69" spans="2:39">
      <c r="C69" s="765" t="s">
        <v>1562</v>
      </c>
      <c r="D69" s="765" t="s">
        <v>1564</v>
      </c>
      <c r="E69" s="1754" t="s">
        <v>1566</v>
      </c>
      <c r="F69" s="1755"/>
      <c r="G69" s="1755"/>
      <c r="H69" s="1755"/>
      <c r="I69" s="1755"/>
      <c r="J69" s="1755"/>
      <c r="K69" s="1755"/>
      <c r="L69" s="1755"/>
    </row>
    <row r="70" spans="2:39" ht="12.75" customHeight="1">
      <c r="C70" s="1672" t="s">
        <v>1563</v>
      </c>
      <c r="D70" s="1672" t="s">
        <v>1565</v>
      </c>
      <c r="E70" s="1697" t="s">
        <v>1889</v>
      </c>
      <c r="F70" s="1698" t="s">
        <v>1887</v>
      </c>
      <c r="G70" s="1697" t="s">
        <v>1889</v>
      </c>
      <c r="H70" s="1697" t="s">
        <v>1889</v>
      </c>
      <c r="I70" s="1697" t="s">
        <v>1889</v>
      </c>
      <c r="J70" s="1697" t="s">
        <v>1889</v>
      </c>
      <c r="K70" s="1697" t="s">
        <v>1889</v>
      </c>
      <c r="L70" s="1719" t="s">
        <v>1889</v>
      </c>
    </row>
    <row r="71" spans="2:39">
      <c r="C71" s="1672"/>
      <c r="D71" s="1672"/>
      <c r="E71" s="1697"/>
      <c r="F71" s="1698"/>
      <c r="G71" s="1697"/>
      <c r="H71" s="1697"/>
      <c r="I71" s="1697"/>
      <c r="J71" s="1697"/>
      <c r="K71" s="1697"/>
      <c r="L71" s="1719"/>
    </row>
    <row r="72" spans="2:39" ht="12.75" customHeight="1">
      <c r="C72" s="1672" t="s">
        <v>1577</v>
      </c>
      <c r="D72" s="1672" t="s">
        <v>1578</v>
      </c>
      <c r="E72" s="1697" t="s">
        <v>1889</v>
      </c>
      <c r="F72" s="1698" t="s">
        <v>1888</v>
      </c>
      <c r="G72" s="1697" t="s">
        <v>1889</v>
      </c>
      <c r="H72" s="1697" t="s">
        <v>1889</v>
      </c>
      <c r="I72" s="1697" t="s">
        <v>1889</v>
      </c>
      <c r="J72" s="1697" t="s">
        <v>1889</v>
      </c>
      <c r="K72" s="1697" t="s">
        <v>1889</v>
      </c>
      <c r="L72" s="1719" t="s">
        <v>1889</v>
      </c>
    </row>
    <row r="73" spans="2:39">
      <c r="C73" s="1672"/>
      <c r="D73" s="1672"/>
      <c r="E73" s="1697"/>
      <c r="F73" s="1698"/>
      <c r="G73" s="1697"/>
      <c r="H73" s="1697"/>
      <c r="I73" s="1697"/>
      <c r="J73" s="1697"/>
      <c r="K73" s="1697"/>
      <c r="L73" s="1719"/>
    </row>
    <row r="76" spans="2:39" ht="20.399999999999999">
      <c r="C76" s="776" t="s">
        <v>2035</v>
      </c>
      <c r="F76" s="775" t="s">
        <v>1900</v>
      </c>
      <c r="H76" s="775" t="s">
        <v>1901</v>
      </c>
    </row>
    <row r="77" spans="2:39">
      <c r="C77" s="774" t="s">
        <v>165</v>
      </c>
      <c r="D77" s="774" t="s">
        <v>166</v>
      </c>
      <c r="E77" s="774" t="s">
        <v>1819</v>
      </c>
      <c r="F77" s="774" t="s">
        <v>1820</v>
      </c>
      <c r="G77" s="774" t="s">
        <v>1821</v>
      </c>
      <c r="H77" s="774" t="s">
        <v>1822</v>
      </c>
      <c r="I77" s="774" t="s">
        <v>1823</v>
      </c>
      <c r="J77" s="774" t="s">
        <v>1824</v>
      </c>
      <c r="K77" s="774" t="s">
        <v>1825</v>
      </c>
      <c r="L77" s="774" t="s">
        <v>1826</v>
      </c>
      <c r="P77" s="764"/>
      <c r="Q77" s="764" t="s">
        <v>1897</v>
      </c>
      <c r="R77" s="764"/>
      <c r="S77" s="764" t="s">
        <v>1898</v>
      </c>
      <c r="T77" s="764"/>
      <c r="U77" s="764"/>
      <c r="V77" s="764"/>
      <c r="W77" s="764"/>
      <c r="X77" s="764"/>
      <c r="Y77" s="764"/>
      <c r="Z77" s="764" t="s">
        <v>1897</v>
      </c>
      <c r="AA77" s="764"/>
      <c r="AB77" s="764" t="s">
        <v>1898</v>
      </c>
      <c r="AC77" s="764"/>
      <c r="AD77" s="764"/>
      <c r="AE77" s="764"/>
      <c r="AF77" s="764"/>
      <c r="AG77" s="764"/>
      <c r="AH77" s="1756" t="s">
        <v>1896</v>
      </c>
      <c r="AI77" s="1756"/>
      <c r="AK77" s="1756" t="s">
        <v>1896</v>
      </c>
      <c r="AL77" s="1756"/>
      <c r="AM77" s="745" t="s">
        <v>1893</v>
      </c>
    </row>
    <row r="78" spans="2:39">
      <c r="C78" s="774" t="s">
        <v>1562</v>
      </c>
      <c r="D78" s="774" t="s">
        <v>1564</v>
      </c>
      <c r="E78" s="1754" t="s">
        <v>1566</v>
      </c>
      <c r="F78" s="1755"/>
      <c r="G78" s="1755"/>
      <c r="H78" s="1755"/>
      <c r="I78" s="1755"/>
      <c r="J78" s="1755"/>
      <c r="K78" s="1755"/>
      <c r="L78" s="1755"/>
      <c r="N78" s="764"/>
      <c r="O78" s="748" t="s">
        <v>1565</v>
      </c>
      <c r="P78" s="759">
        <v>8</v>
      </c>
      <c r="Q78" s="760">
        <v>7</v>
      </c>
      <c r="R78" s="759">
        <v>6</v>
      </c>
      <c r="S78" s="760">
        <v>5</v>
      </c>
      <c r="T78" s="759">
        <v>4</v>
      </c>
      <c r="U78" s="759">
        <v>3</v>
      </c>
      <c r="V78" s="759">
        <v>2</v>
      </c>
      <c r="W78" s="759">
        <v>1</v>
      </c>
      <c r="X78" s="748" t="s">
        <v>1578</v>
      </c>
      <c r="Y78" s="759">
        <v>8</v>
      </c>
      <c r="Z78" s="760">
        <v>7</v>
      </c>
      <c r="AA78" s="759">
        <v>6</v>
      </c>
      <c r="AB78" s="760">
        <v>5</v>
      </c>
      <c r="AC78" s="759">
        <v>4</v>
      </c>
      <c r="AD78" s="759">
        <v>3</v>
      </c>
      <c r="AE78" s="759">
        <v>2</v>
      </c>
      <c r="AF78" s="759">
        <v>1</v>
      </c>
      <c r="AH78" s="764" t="s">
        <v>1897</v>
      </c>
      <c r="AI78" s="764" t="s">
        <v>1898</v>
      </c>
      <c r="AJ78" s="747" t="s">
        <v>1890</v>
      </c>
      <c r="AK78" s="764" t="s">
        <v>1897</v>
      </c>
      <c r="AL78" s="764" t="s">
        <v>1898</v>
      </c>
    </row>
    <row r="79" spans="2:39">
      <c r="C79" s="1672" t="s">
        <v>1563</v>
      </c>
      <c r="D79" s="1672" t="s">
        <v>1565</v>
      </c>
      <c r="E79" s="1697" t="s">
        <v>1889</v>
      </c>
      <c r="F79" s="1698" t="s">
        <v>1887</v>
      </c>
      <c r="G79" s="1697" t="s">
        <v>1919</v>
      </c>
      <c r="H79" s="1729" t="s">
        <v>1887</v>
      </c>
      <c r="I79" s="1697" t="s">
        <v>1889</v>
      </c>
      <c r="J79" s="1697" t="s">
        <v>1889</v>
      </c>
      <c r="K79" s="1697" t="s">
        <v>1889</v>
      </c>
      <c r="L79" s="1719" t="s">
        <v>1889</v>
      </c>
      <c r="N79" s="748" t="s">
        <v>1894</v>
      </c>
      <c r="O79" s="748" t="str">
        <f>BIN2HEX(P79&amp;Q79&amp;R79&amp;S79&amp;T79&amp;U79&amp;V79&amp;W79)</f>
        <v>50</v>
      </c>
      <c r="P79" s="757">
        <v>0</v>
      </c>
      <c r="Q79" s="755">
        <v>1</v>
      </c>
      <c r="R79" s="757">
        <v>0</v>
      </c>
      <c r="S79" s="755">
        <v>1</v>
      </c>
      <c r="T79" s="757">
        <v>0</v>
      </c>
      <c r="U79" s="757">
        <v>0</v>
      </c>
      <c r="V79" s="757">
        <v>0</v>
      </c>
      <c r="W79" s="757">
        <v>0</v>
      </c>
      <c r="X79" s="759" t="str">
        <f>BIN2HEX(Y79&amp;Z79&amp;AA79&amp;AB79&amp;AC79&amp;AD79&amp;AE79&amp;AF79)</f>
        <v>50</v>
      </c>
      <c r="Y79" s="757">
        <v>0</v>
      </c>
      <c r="Z79" s="755">
        <v>1</v>
      </c>
      <c r="AA79" s="757">
        <v>0</v>
      </c>
      <c r="AB79" s="755">
        <v>1</v>
      </c>
      <c r="AC79" s="757">
        <v>0</v>
      </c>
      <c r="AD79" s="757">
        <v>0</v>
      </c>
      <c r="AE79" s="757">
        <v>0</v>
      </c>
      <c r="AF79" s="757">
        <v>0</v>
      </c>
      <c r="AG79" s="766"/>
      <c r="AH79" s="749" t="s">
        <v>1891</v>
      </c>
      <c r="AI79" s="749" t="s">
        <v>1891</v>
      </c>
      <c r="AJ79" s="747" t="s">
        <v>1890</v>
      </c>
      <c r="AK79" s="750" t="s">
        <v>1892</v>
      </c>
      <c r="AL79" s="750" t="s">
        <v>1892</v>
      </c>
      <c r="AM79" s="745" t="s">
        <v>1895</v>
      </c>
    </row>
    <row r="80" spans="2:39">
      <c r="C80" s="1672"/>
      <c r="D80" s="1672"/>
      <c r="E80" s="1697"/>
      <c r="F80" s="1698"/>
      <c r="G80" s="1697"/>
      <c r="H80" s="1730"/>
      <c r="I80" s="1697"/>
      <c r="J80" s="1697"/>
      <c r="K80" s="1697"/>
      <c r="L80" s="1719"/>
      <c r="N80" s="748" t="s">
        <v>1894</v>
      </c>
      <c r="O80" s="748" t="str">
        <f>BIN2HEX(P80&amp;Q80&amp;R80&amp;S80&amp;T80&amp;U80&amp;V80&amp;W80)</f>
        <v>50</v>
      </c>
      <c r="P80" s="757">
        <v>0</v>
      </c>
      <c r="Q80" s="755">
        <v>1</v>
      </c>
      <c r="R80" s="757">
        <v>0</v>
      </c>
      <c r="S80" s="755">
        <v>1</v>
      </c>
      <c r="T80" s="757">
        <v>0</v>
      </c>
      <c r="U80" s="757">
        <v>0</v>
      </c>
      <c r="V80" s="757">
        <v>0</v>
      </c>
      <c r="W80" s="757">
        <v>0</v>
      </c>
      <c r="X80" s="759" t="str">
        <f>BIN2HEX(Y80&amp;Z80&amp;AA80&amp;AB80&amp;AC80&amp;AD80&amp;AE80&amp;AF80)</f>
        <v>50</v>
      </c>
      <c r="Y80" s="757">
        <v>0</v>
      </c>
      <c r="Z80" s="755">
        <v>1</v>
      </c>
      <c r="AA80" s="757">
        <v>0</v>
      </c>
      <c r="AB80" s="755">
        <v>1</v>
      </c>
      <c r="AC80" s="757">
        <v>0</v>
      </c>
      <c r="AD80" s="757">
        <v>0</v>
      </c>
      <c r="AE80" s="757">
        <v>0</v>
      </c>
      <c r="AF80" s="757">
        <v>0</v>
      </c>
      <c r="AG80" s="766"/>
      <c r="AH80" s="750" t="s">
        <v>1892</v>
      </c>
      <c r="AI80" s="750" t="s">
        <v>1892</v>
      </c>
      <c r="AJ80" s="747" t="s">
        <v>1890</v>
      </c>
      <c r="AK80" s="750" t="s">
        <v>1892</v>
      </c>
      <c r="AL80" s="750" t="s">
        <v>1892</v>
      </c>
      <c r="AM80" s="745" t="s">
        <v>1895</v>
      </c>
    </row>
    <row r="81" spans="3:40">
      <c r="C81" s="1672" t="s">
        <v>1577</v>
      </c>
      <c r="D81" s="1672" t="s">
        <v>1578</v>
      </c>
      <c r="E81" s="1697" t="s">
        <v>1889</v>
      </c>
      <c r="F81" s="1698" t="s">
        <v>1888</v>
      </c>
      <c r="G81" s="1697" t="s">
        <v>1889</v>
      </c>
      <c r="H81" s="1729" t="s">
        <v>1888</v>
      </c>
      <c r="I81" s="1697" t="s">
        <v>1889</v>
      </c>
      <c r="J81" s="1697" t="s">
        <v>1889</v>
      </c>
      <c r="K81" s="1697" t="s">
        <v>1889</v>
      </c>
      <c r="L81" s="1719" t="s">
        <v>1889</v>
      </c>
      <c r="N81" s="764"/>
      <c r="O81" s="764"/>
      <c r="P81" s="757"/>
      <c r="Q81" s="757"/>
      <c r="R81" s="757"/>
      <c r="S81" s="757"/>
      <c r="T81" s="757"/>
      <c r="U81" s="757"/>
      <c r="V81" s="757"/>
      <c r="W81" s="757"/>
      <c r="X81" s="767"/>
      <c r="Y81" s="757"/>
      <c r="Z81" s="757"/>
      <c r="AA81" s="757"/>
      <c r="AB81" s="757"/>
      <c r="AC81" s="757"/>
      <c r="AD81" s="757"/>
      <c r="AE81" s="757"/>
      <c r="AF81" s="757"/>
      <c r="AG81" s="766"/>
      <c r="AH81" s="764"/>
      <c r="AI81" s="764"/>
      <c r="AJ81" s="764"/>
    </row>
    <row r="82" spans="3:40">
      <c r="C82" s="1672"/>
      <c r="D82" s="1672"/>
      <c r="E82" s="1697"/>
      <c r="F82" s="1698"/>
      <c r="G82" s="1697"/>
      <c r="H82" s="1730"/>
      <c r="I82" s="1697"/>
      <c r="J82" s="1697"/>
      <c r="K82" s="1697"/>
      <c r="L82" s="1719"/>
      <c r="N82" s="748" t="s">
        <v>1894</v>
      </c>
      <c r="O82" s="748" t="str">
        <f>BIN2HEX(P82&amp;Q82&amp;R82&amp;S82&amp;T82&amp;U82&amp;V82&amp;W82)</f>
        <v>50</v>
      </c>
      <c r="P82" s="757">
        <v>0</v>
      </c>
      <c r="Q82" s="755">
        <v>1</v>
      </c>
      <c r="R82" s="757">
        <v>0</v>
      </c>
      <c r="S82" s="755">
        <v>1</v>
      </c>
      <c r="T82" s="757">
        <v>0</v>
      </c>
      <c r="U82" s="757">
        <v>0</v>
      </c>
      <c r="V82" s="757">
        <v>0</v>
      </c>
      <c r="W82" s="757">
        <v>0</v>
      </c>
      <c r="X82" s="759" t="str">
        <f>BIN2HEX(Y82&amp;Z82&amp;AA82&amp;AB82&amp;AC82&amp;AD82&amp;AE82&amp;AF82)</f>
        <v>40</v>
      </c>
      <c r="Y82" s="757"/>
      <c r="Z82" s="755">
        <v>1</v>
      </c>
      <c r="AA82" s="757">
        <v>0</v>
      </c>
      <c r="AB82" s="755">
        <v>0</v>
      </c>
      <c r="AC82" s="757">
        <v>0</v>
      </c>
      <c r="AD82" s="757">
        <v>0</v>
      </c>
      <c r="AE82" s="757">
        <v>0</v>
      </c>
      <c r="AF82" s="757">
        <v>0</v>
      </c>
      <c r="AG82" s="766"/>
      <c r="AH82" s="749" t="s">
        <v>1891</v>
      </c>
      <c r="AI82" s="749" t="s">
        <v>1891</v>
      </c>
      <c r="AJ82" s="747" t="s">
        <v>1890</v>
      </c>
      <c r="AK82" s="750" t="s">
        <v>1892</v>
      </c>
      <c r="AL82" s="749" t="s">
        <v>1891</v>
      </c>
      <c r="AM82" s="745" t="s">
        <v>1895</v>
      </c>
      <c r="AN82" s="751" t="s">
        <v>1923</v>
      </c>
    </row>
    <row r="83" spans="3:40">
      <c r="G83" s="751" t="s">
        <v>1920</v>
      </c>
      <c r="N83" s="748" t="s">
        <v>1894</v>
      </c>
      <c r="O83" s="748" t="str">
        <f>BIN2HEX(P83&amp;Q83&amp;R83&amp;S83&amp;T83&amp;U83&amp;V83&amp;W83)</f>
        <v>50</v>
      </c>
      <c r="P83" s="757">
        <v>0</v>
      </c>
      <c r="Q83" s="755">
        <v>1</v>
      </c>
      <c r="R83" s="757">
        <v>0</v>
      </c>
      <c r="S83" s="755">
        <v>1</v>
      </c>
      <c r="T83" s="757">
        <v>0</v>
      </c>
      <c r="U83" s="757">
        <v>0</v>
      </c>
      <c r="V83" s="757">
        <v>0</v>
      </c>
      <c r="W83" s="757">
        <v>0</v>
      </c>
      <c r="X83" s="759" t="str">
        <f>BIN2HEX(Y83&amp;Z83&amp;AA83&amp;AB83&amp;AC83&amp;AD83&amp;AE83&amp;AF83)</f>
        <v>40</v>
      </c>
      <c r="Y83" s="757"/>
      <c r="Z83" s="755">
        <v>1</v>
      </c>
      <c r="AA83" s="757">
        <v>0</v>
      </c>
      <c r="AB83" s="755">
        <v>0</v>
      </c>
      <c r="AC83" s="757">
        <v>0</v>
      </c>
      <c r="AD83" s="757">
        <v>0</v>
      </c>
      <c r="AE83" s="757">
        <v>0</v>
      </c>
      <c r="AF83" s="757">
        <v>0</v>
      </c>
      <c r="AG83" s="766"/>
      <c r="AH83" s="750" t="s">
        <v>1892</v>
      </c>
      <c r="AI83" s="750" t="s">
        <v>1892</v>
      </c>
      <c r="AJ83" s="747" t="s">
        <v>1890</v>
      </c>
      <c r="AK83" s="750" t="s">
        <v>1892</v>
      </c>
      <c r="AL83" s="750" t="s">
        <v>1892</v>
      </c>
      <c r="AM83" s="745" t="s">
        <v>1895</v>
      </c>
      <c r="AN83" s="751" t="s">
        <v>1923</v>
      </c>
    </row>
    <row r="84" spans="3:40">
      <c r="P84" s="758"/>
      <c r="Q84" s="758"/>
      <c r="R84" s="758"/>
      <c r="S84" s="758"/>
      <c r="T84" s="758"/>
      <c r="U84" s="758"/>
      <c r="V84" s="758"/>
      <c r="W84" s="758"/>
      <c r="X84" s="766"/>
      <c r="Y84" s="758"/>
      <c r="Z84" s="758"/>
      <c r="AA84" s="758"/>
      <c r="AB84" s="758"/>
      <c r="AC84" s="758"/>
      <c r="AD84" s="758"/>
      <c r="AE84" s="758"/>
      <c r="AF84" s="758"/>
      <c r="AG84" s="766"/>
      <c r="AH84" s="764"/>
      <c r="AI84" s="764"/>
      <c r="AJ84" s="764"/>
    </row>
    <row r="85" spans="3:40">
      <c r="N85" s="748" t="s">
        <v>1894</v>
      </c>
      <c r="O85" s="748" t="str">
        <f>BIN2HEX(P85&amp;Q85&amp;R85&amp;S85&amp;T85&amp;U85&amp;V85&amp;W85)</f>
        <v>50</v>
      </c>
      <c r="P85" s="757">
        <v>0</v>
      </c>
      <c r="Q85" s="755">
        <v>1</v>
      </c>
      <c r="R85" s="757">
        <v>0</v>
      </c>
      <c r="S85" s="755">
        <v>1</v>
      </c>
      <c r="T85" s="757">
        <v>0</v>
      </c>
      <c r="U85" s="757">
        <v>0</v>
      </c>
      <c r="V85" s="757">
        <v>0</v>
      </c>
      <c r="W85" s="757">
        <v>0</v>
      </c>
      <c r="X85" s="759" t="str">
        <f>BIN2HEX(Y85&amp;Z85&amp;AA85&amp;AB85&amp;AC85&amp;AD85&amp;AE85&amp;AF85)</f>
        <v>0</v>
      </c>
      <c r="Y85" s="757">
        <v>0</v>
      </c>
      <c r="Z85" s="755">
        <v>0</v>
      </c>
      <c r="AA85" s="757">
        <v>0</v>
      </c>
      <c r="AB85" s="755">
        <v>0</v>
      </c>
      <c r="AC85" s="757">
        <v>0</v>
      </c>
      <c r="AD85" s="757">
        <v>0</v>
      </c>
      <c r="AE85" s="757">
        <v>0</v>
      </c>
      <c r="AF85" s="757">
        <v>0</v>
      </c>
      <c r="AG85" s="766"/>
      <c r="AH85" s="749" t="s">
        <v>1891</v>
      </c>
      <c r="AI85" s="749" t="s">
        <v>1891</v>
      </c>
      <c r="AJ85" s="747" t="s">
        <v>1890</v>
      </c>
      <c r="AK85" s="749" t="s">
        <v>1891</v>
      </c>
      <c r="AL85" s="749" t="s">
        <v>1891</v>
      </c>
      <c r="AM85" s="745" t="s">
        <v>1895</v>
      </c>
      <c r="AN85" s="751" t="s">
        <v>1922</v>
      </c>
    </row>
    <row r="86" spans="3:40">
      <c r="N86" s="748" t="s">
        <v>1894</v>
      </c>
      <c r="O86" s="748" t="str">
        <f>BIN2HEX(P86&amp;Q86&amp;R86&amp;S86&amp;T86&amp;U86&amp;V86&amp;W86)</f>
        <v>50</v>
      </c>
      <c r="P86" s="757">
        <v>0</v>
      </c>
      <c r="Q86" s="755">
        <v>1</v>
      </c>
      <c r="R86" s="757">
        <v>0</v>
      </c>
      <c r="S86" s="755">
        <v>1</v>
      </c>
      <c r="T86" s="757">
        <v>0</v>
      </c>
      <c r="U86" s="757">
        <v>0</v>
      </c>
      <c r="V86" s="757">
        <v>0</v>
      </c>
      <c r="W86" s="757">
        <v>0</v>
      </c>
      <c r="X86" s="759" t="str">
        <f>BIN2HEX(Y86&amp;Z86&amp;AA86&amp;AB86&amp;AC86&amp;AD86&amp;AE86&amp;AF86)</f>
        <v>0</v>
      </c>
      <c r="Y86" s="757">
        <v>0</v>
      </c>
      <c r="Z86" s="755">
        <v>0</v>
      </c>
      <c r="AA86" s="757">
        <v>0</v>
      </c>
      <c r="AB86" s="755">
        <v>0</v>
      </c>
      <c r="AC86" s="757">
        <v>0</v>
      </c>
      <c r="AD86" s="757">
        <v>0</v>
      </c>
      <c r="AE86" s="757">
        <v>0</v>
      </c>
      <c r="AF86" s="757">
        <v>0</v>
      </c>
      <c r="AG86" s="766"/>
      <c r="AH86" s="750" t="s">
        <v>1892</v>
      </c>
      <c r="AI86" s="750" t="s">
        <v>1892</v>
      </c>
      <c r="AJ86" s="747" t="s">
        <v>1890</v>
      </c>
      <c r="AK86" s="750" t="s">
        <v>1892</v>
      </c>
      <c r="AL86" s="750" t="s">
        <v>1892</v>
      </c>
      <c r="AM86" s="745" t="s">
        <v>1895</v>
      </c>
      <c r="AN86" s="751" t="s">
        <v>1921</v>
      </c>
    </row>
    <row r="87" spans="3:40">
      <c r="P87" s="758"/>
      <c r="Q87" s="758"/>
      <c r="R87" s="758"/>
      <c r="S87" s="758"/>
      <c r="T87" s="758"/>
      <c r="U87" s="758"/>
      <c r="V87" s="758"/>
      <c r="W87" s="758"/>
      <c r="X87" s="766"/>
      <c r="Y87" s="758"/>
      <c r="Z87" s="758"/>
      <c r="AA87" s="758"/>
      <c r="AB87" s="758"/>
      <c r="AC87" s="758"/>
      <c r="AD87" s="758"/>
      <c r="AE87" s="758"/>
      <c r="AF87" s="758"/>
      <c r="AG87" s="766"/>
      <c r="AH87" s="764"/>
      <c r="AI87" s="764"/>
      <c r="AJ87" s="764"/>
    </row>
    <row r="88" spans="3:40">
      <c r="N88" s="748" t="s">
        <v>1894</v>
      </c>
      <c r="O88" s="748" t="str">
        <f>BIN2HEX(P88&amp;Q88&amp;R88&amp;S88&amp;T88&amp;U88&amp;V88&amp;W88)</f>
        <v>40</v>
      </c>
      <c r="P88" s="757">
        <v>0</v>
      </c>
      <c r="Q88" s="755">
        <v>1</v>
      </c>
      <c r="R88" s="757">
        <v>0</v>
      </c>
      <c r="S88" s="755">
        <v>0</v>
      </c>
      <c r="T88" s="757">
        <v>0</v>
      </c>
      <c r="U88" s="757">
        <v>0</v>
      </c>
      <c r="V88" s="757">
        <v>0</v>
      </c>
      <c r="W88" s="757">
        <v>0</v>
      </c>
      <c r="X88" s="759" t="str">
        <f>BIN2HEX(Y88&amp;Z88&amp;AA88&amp;AB88&amp;AC88&amp;AD88&amp;AE88&amp;AF88)</f>
        <v>50</v>
      </c>
      <c r="Y88" s="757">
        <v>0</v>
      </c>
      <c r="Z88" s="755">
        <v>1</v>
      </c>
      <c r="AA88" s="757">
        <v>0</v>
      </c>
      <c r="AB88" s="755">
        <v>1</v>
      </c>
      <c r="AC88" s="757">
        <v>0</v>
      </c>
      <c r="AD88" s="757">
        <v>0</v>
      </c>
      <c r="AE88" s="757">
        <v>0</v>
      </c>
      <c r="AF88" s="757">
        <v>0</v>
      </c>
      <c r="AG88" s="766"/>
      <c r="AH88" s="749" t="s">
        <v>1891</v>
      </c>
      <c r="AI88" s="749" t="s">
        <v>1891</v>
      </c>
      <c r="AJ88" s="747" t="s">
        <v>1890</v>
      </c>
      <c r="AK88" s="750" t="s">
        <v>1892</v>
      </c>
      <c r="AL88" s="749" t="s">
        <v>1891</v>
      </c>
      <c r="AM88" s="745" t="s">
        <v>1895</v>
      </c>
    </row>
    <row r="89" spans="3:40">
      <c r="N89" s="748" t="s">
        <v>1894</v>
      </c>
      <c r="O89" s="748" t="str">
        <f>BIN2HEX(P89&amp;Q89&amp;R89&amp;S89&amp;T89&amp;U89&amp;V89&amp;W89)</f>
        <v>40</v>
      </c>
      <c r="P89" s="757">
        <v>0</v>
      </c>
      <c r="Q89" s="755">
        <v>1</v>
      </c>
      <c r="R89" s="757">
        <v>0</v>
      </c>
      <c r="S89" s="755">
        <v>0</v>
      </c>
      <c r="T89" s="757">
        <v>0</v>
      </c>
      <c r="U89" s="757">
        <v>0</v>
      </c>
      <c r="V89" s="757">
        <v>0</v>
      </c>
      <c r="W89" s="757">
        <v>0</v>
      </c>
      <c r="X89" s="759" t="str">
        <f>BIN2HEX(Y89&amp;Z89&amp;AA89&amp;AB89&amp;AC89&amp;AD89&amp;AE89&amp;AF89)</f>
        <v>50</v>
      </c>
      <c r="Y89" s="757">
        <v>0</v>
      </c>
      <c r="Z89" s="755">
        <v>1</v>
      </c>
      <c r="AA89" s="757">
        <v>0</v>
      </c>
      <c r="AB89" s="755">
        <v>1</v>
      </c>
      <c r="AC89" s="757">
        <v>0</v>
      </c>
      <c r="AD89" s="757">
        <v>0</v>
      </c>
      <c r="AE89" s="757">
        <v>0</v>
      </c>
      <c r="AF89" s="757">
        <v>0</v>
      </c>
      <c r="AG89" s="766"/>
      <c r="AH89" s="750" t="s">
        <v>1892</v>
      </c>
      <c r="AI89" s="750" t="s">
        <v>1892</v>
      </c>
      <c r="AJ89" s="747" t="s">
        <v>1890</v>
      </c>
      <c r="AK89" s="750" t="s">
        <v>1892</v>
      </c>
      <c r="AL89" s="749" t="s">
        <v>1891</v>
      </c>
      <c r="AM89" s="745" t="s">
        <v>1895</v>
      </c>
    </row>
    <row r="90" spans="3:40">
      <c r="P90" s="758"/>
      <c r="Q90" s="758"/>
      <c r="R90" s="758"/>
      <c r="S90" s="758"/>
      <c r="T90" s="758"/>
      <c r="U90" s="758"/>
      <c r="V90" s="758"/>
      <c r="W90" s="758"/>
      <c r="X90" s="766"/>
      <c r="Y90" s="758"/>
      <c r="Z90" s="758"/>
      <c r="AA90" s="758"/>
      <c r="AB90" s="758"/>
      <c r="AC90" s="758"/>
      <c r="AD90" s="758"/>
      <c r="AE90" s="758"/>
      <c r="AF90" s="758"/>
      <c r="AG90" s="766"/>
    </row>
    <row r="91" spans="3:40">
      <c r="N91" s="748" t="s">
        <v>1894</v>
      </c>
      <c r="O91" s="748" t="str">
        <f>BIN2HEX(P91&amp;Q91&amp;R91&amp;S91&amp;T91&amp;U91&amp;V91&amp;W91)</f>
        <v>0</v>
      </c>
      <c r="P91" s="757">
        <v>0</v>
      </c>
      <c r="Q91" s="755">
        <v>0</v>
      </c>
      <c r="R91" s="757">
        <v>0</v>
      </c>
      <c r="S91" s="755">
        <v>0</v>
      </c>
      <c r="T91" s="757">
        <v>0</v>
      </c>
      <c r="U91" s="757">
        <v>0</v>
      </c>
      <c r="V91" s="757">
        <v>0</v>
      </c>
      <c r="W91" s="757">
        <v>0</v>
      </c>
      <c r="X91" s="759" t="str">
        <f>BIN2HEX(Y91&amp;Z91&amp;AA91&amp;AB91&amp;AC91&amp;AD91&amp;AE91&amp;AF91)</f>
        <v>50</v>
      </c>
      <c r="Y91" s="757">
        <v>0</v>
      </c>
      <c r="Z91" s="755">
        <v>1</v>
      </c>
      <c r="AA91" s="757">
        <v>0</v>
      </c>
      <c r="AB91" s="755">
        <v>1</v>
      </c>
      <c r="AC91" s="757">
        <v>0</v>
      </c>
      <c r="AD91" s="757">
        <v>0</v>
      </c>
      <c r="AE91" s="757">
        <v>0</v>
      </c>
      <c r="AF91" s="757">
        <v>0</v>
      </c>
      <c r="AG91" s="766"/>
      <c r="AH91" s="749" t="s">
        <v>1891</v>
      </c>
      <c r="AI91" s="749" t="s">
        <v>1891</v>
      </c>
      <c r="AJ91" s="747" t="s">
        <v>1890</v>
      </c>
      <c r="AK91" s="749" t="s">
        <v>1891</v>
      </c>
      <c r="AL91" s="749" t="s">
        <v>1891</v>
      </c>
      <c r="AM91" s="745" t="s">
        <v>1895</v>
      </c>
    </row>
    <row r="92" spans="3:40">
      <c r="N92" s="748" t="s">
        <v>1894</v>
      </c>
      <c r="O92" s="748" t="str">
        <f>BIN2HEX(P92&amp;Q92&amp;R92&amp;S92&amp;T92&amp;U92&amp;V92&amp;W92)</f>
        <v>0</v>
      </c>
      <c r="P92" s="757">
        <v>0</v>
      </c>
      <c r="Q92" s="755">
        <v>0</v>
      </c>
      <c r="R92" s="757">
        <v>0</v>
      </c>
      <c r="S92" s="755">
        <v>0</v>
      </c>
      <c r="T92" s="757">
        <v>0</v>
      </c>
      <c r="U92" s="757">
        <v>0</v>
      </c>
      <c r="V92" s="757">
        <v>0</v>
      </c>
      <c r="W92" s="757">
        <v>0</v>
      </c>
      <c r="X92" s="759" t="str">
        <f>BIN2HEX(Y92&amp;Z92&amp;AA92&amp;AB92&amp;AC92&amp;AD92&amp;AE92&amp;AF92)</f>
        <v>50</v>
      </c>
      <c r="Y92" s="757">
        <v>0</v>
      </c>
      <c r="Z92" s="755">
        <v>1</v>
      </c>
      <c r="AA92" s="757">
        <v>0</v>
      </c>
      <c r="AB92" s="755">
        <v>1</v>
      </c>
      <c r="AC92" s="757">
        <v>0</v>
      </c>
      <c r="AD92" s="757">
        <v>0</v>
      </c>
      <c r="AE92" s="757">
        <v>0</v>
      </c>
      <c r="AF92" s="757">
        <v>0</v>
      </c>
      <c r="AG92" s="766"/>
      <c r="AH92" s="750" t="s">
        <v>1892</v>
      </c>
      <c r="AI92" s="750" t="s">
        <v>1892</v>
      </c>
      <c r="AJ92" s="747" t="s">
        <v>1890</v>
      </c>
      <c r="AK92" s="749" t="s">
        <v>1891</v>
      </c>
      <c r="AL92" s="749" t="s">
        <v>1891</v>
      </c>
      <c r="AM92" s="745" t="s">
        <v>1895</v>
      </c>
    </row>
    <row r="93" spans="3:40">
      <c r="P93" s="758"/>
      <c r="Q93" s="758"/>
      <c r="R93" s="758"/>
      <c r="S93" s="758"/>
      <c r="T93" s="758"/>
      <c r="U93" s="758"/>
      <c r="V93" s="758"/>
      <c r="W93" s="758"/>
      <c r="X93" s="766"/>
      <c r="Y93" s="758"/>
      <c r="Z93" s="758"/>
      <c r="AA93" s="758"/>
      <c r="AB93" s="758"/>
      <c r="AC93" s="758"/>
      <c r="AD93" s="758"/>
      <c r="AE93" s="758"/>
      <c r="AF93" s="758"/>
      <c r="AG93" s="766"/>
    </row>
    <row r="94" spans="3:40">
      <c r="N94" s="748" t="s">
        <v>1894</v>
      </c>
      <c r="O94" s="748" t="str">
        <f t="shared" ref="O94:O102" si="11">BIN2HEX(P94&amp;Q94&amp;R94&amp;S94&amp;T94&amp;U94&amp;V94&amp;W94)</f>
        <v>50</v>
      </c>
      <c r="P94" s="757">
        <v>0</v>
      </c>
      <c r="Q94" s="755">
        <v>1</v>
      </c>
      <c r="R94" s="757">
        <v>0</v>
      </c>
      <c r="S94" s="755">
        <v>1</v>
      </c>
      <c r="T94" s="757">
        <v>0</v>
      </c>
      <c r="U94" s="757">
        <v>0</v>
      </c>
      <c r="V94" s="757">
        <v>0</v>
      </c>
      <c r="W94" s="757">
        <v>0</v>
      </c>
      <c r="X94" s="759" t="str">
        <f t="shared" ref="X94:X102" si="12">BIN2HEX(Y94&amp;Z94&amp;AA94&amp;AB94&amp;AC94&amp;AD94&amp;AE94&amp;AF94)</f>
        <v>0</v>
      </c>
      <c r="Y94" s="757">
        <v>0</v>
      </c>
      <c r="Z94" s="755">
        <v>0</v>
      </c>
      <c r="AA94" s="757">
        <v>0</v>
      </c>
      <c r="AB94" s="755">
        <v>0</v>
      </c>
      <c r="AC94" s="757">
        <v>0</v>
      </c>
      <c r="AD94" s="757">
        <v>0</v>
      </c>
      <c r="AE94" s="757">
        <v>0</v>
      </c>
      <c r="AF94" s="757">
        <v>0</v>
      </c>
      <c r="AG94" s="766"/>
      <c r="AH94" s="749" t="s">
        <v>1891</v>
      </c>
      <c r="AI94" s="749" t="s">
        <v>1891</v>
      </c>
      <c r="AJ94" s="747" t="s">
        <v>1890</v>
      </c>
      <c r="AK94" s="749" t="s">
        <v>1891</v>
      </c>
      <c r="AL94" s="749" t="s">
        <v>1891</v>
      </c>
      <c r="AM94" s="745" t="s">
        <v>1895</v>
      </c>
      <c r="AN94" s="751"/>
    </row>
    <row r="95" spans="3:40">
      <c r="N95" s="748" t="s">
        <v>1894</v>
      </c>
      <c r="O95" s="748" t="str">
        <f t="shared" si="11"/>
        <v>50</v>
      </c>
      <c r="P95" s="757">
        <v>0</v>
      </c>
      <c r="Q95" s="755">
        <v>1</v>
      </c>
      <c r="R95" s="757">
        <v>0</v>
      </c>
      <c r="S95" s="755">
        <v>1</v>
      </c>
      <c r="T95" s="757">
        <v>0</v>
      </c>
      <c r="U95" s="757">
        <v>0</v>
      </c>
      <c r="V95" s="757">
        <v>0</v>
      </c>
      <c r="W95" s="757">
        <v>0</v>
      </c>
      <c r="X95" s="759" t="str">
        <f t="shared" si="12"/>
        <v>80</v>
      </c>
      <c r="Y95" s="757">
        <v>1</v>
      </c>
      <c r="Z95" s="755">
        <v>0</v>
      </c>
      <c r="AA95" s="757">
        <v>0</v>
      </c>
      <c r="AB95" s="755">
        <v>0</v>
      </c>
      <c r="AC95" s="757">
        <v>0</v>
      </c>
      <c r="AD95" s="757">
        <v>0</v>
      </c>
      <c r="AE95" s="757">
        <v>0</v>
      </c>
      <c r="AF95" s="757">
        <v>0</v>
      </c>
      <c r="AG95" s="766"/>
      <c r="AH95" s="749" t="s">
        <v>1891</v>
      </c>
      <c r="AI95" s="749" t="s">
        <v>1891</v>
      </c>
      <c r="AJ95" s="747" t="s">
        <v>1890</v>
      </c>
      <c r="AK95" s="749" t="s">
        <v>1891</v>
      </c>
      <c r="AL95" s="749" t="s">
        <v>1891</v>
      </c>
      <c r="AM95" s="752" t="s">
        <v>1899</v>
      </c>
      <c r="AN95" s="751" t="s">
        <v>1922</v>
      </c>
    </row>
    <row r="96" spans="3:40">
      <c r="N96" s="748" t="s">
        <v>1894</v>
      </c>
      <c r="O96" s="748" t="str">
        <f t="shared" si="11"/>
        <v>50</v>
      </c>
      <c r="P96" s="757">
        <v>0</v>
      </c>
      <c r="Q96" s="755">
        <v>1</v>
      </c>
      <c r="R96" s="757">
        <v>0</v>
      </c>
      <c r="S96" s="755">
        <v>1</v>
      </c>
      <c r="T96" s="757">
        <v>0</v>
      </c>
      <c r="U96" s="757">
        <v>0</v>
      </c>
      <c r="V96" s="757">
        <v>0</v>
      </c>
      <c r="W96" s="757">
        <v>0</v>
      </c>
      <c r="X96" s="759" t="str">
        <f t="shared" si="12"/>
        <v>C0</v>
      </c>
      <c r="Y96" s="757">
        <v>1</v>
      </c>
      <c r="Z96" s="755">
        <v>1</v>
      </c>
      <c r="AA96" s="757">
        <v>0</v>
      </c>
      <c r="AB96" s="755">
        <v>0</v>
      </c>
      <c r="AC96" s="757">
        <v>0</v>
      </c>
      <c r="AD96" s="757">
        <v>0</v>
      </c>
      <c r="AE96" s="757">
        <v>0</v>
      </c>
      <c r="AF96" s="757">
        <v>0</v>
      </c>
      <c r="AG96" s="766"/>
      <c r="AH96" s="749" t="s">
        <v>1891</v>
      </c>
      <c r="AI96" s="749" t="s">
        <v>1891</v>
      </c>
      <c r="AJ96" s="747" t="s">
        <v>1890</v>
      </c>
      <c r="AK96" s="749" t="s">
        <v>1891</v>
      </c>
      <c r="AL96" s="749" t="s">
        <v>1891</v>
      </c>
      <c r="AM96" s="752" t="s">
        <v>1899</v>
      </c>
      <c r="AN96" s="751" t="s">
        <v>1922</v>
      </c>
    </row>
    <row r="97" spans="14:40">
      <c r="N97" s="748" t="s">
        <v>1894</v>
      </c>
      <c r="O97" s="748" t="str">
        <f t="shared" si="11"/>
        <v>50</v>
      </c>
      <c r="P97" s="757">
        <v>0</v>
      </c>
      <c r="Q97" s="755">
        <v>1</v>
      </c>
      <c r="R97" s="757">
        <v>0</v>
      </c>
      <c r="S97" s="755">
        <v>1</v>
      </c>
      <c r="T97" s="757">
        <v>0</v>
      </c>
      <c r="U97" s="757">
        <v>0</v>
      </c>
      <c r="V97" s="757">
        <v>0</v>
      </c>
      <c r="W97" s="757">
        <v>0</v>
      </c>
      <c r="X97" s="759" t="str">
        <f t="shared" si="12"/>
        <v>E0</v>
      </c>
      <c r="Y97" s="757">
        <v>1</v>
      </c>
      <c r="Z97" s="755">
        <v>1</v>
      </c>
      <c r="AA97" s="757">
        <v>1</v>
      </c>
      <c r="AB97" s="755">
        <v>0</v>
      </c>
      <c r="AC97" s="757">
        <v>0</v>
      </c>
      <c r="AD97" s="757">
        <v>0</v>
      </c>
      <c r="AE97" s="757">
        <v>0</v>
      </c>
      <c r="AF97" s="757">
        <v>0</v>
      </c>
      <c r="AG97" s="766"/>
      <c r="AH97" s="749" t="s">
        <v>1891</v>
      </c>
      <c r="AI97" s="749" t="s">
        <v>1891</v>
      </c>
      <c r="AJ97" s="747" t="s">
        <v>1890</v>
      </c>
      <c r="AK97" s="749" t="s">
        <v>1891</v>
      </c>
      <c r="AL97" s="749" t="s">
        <v>1891</v>
      </c>
      <c r="AM97" s="752" t="s">
        <v>1899</v>
      </c>
      <c r="AN97" s="751" t="s">
        <v>1922</v>
      </c>
    </row>
    <row r="98" spans="14:40">
      <c r="N98" s="748" t="s">
        <v>1894</v>
      </c>
      <c r="O98" s="748" t="str">
        <f t="shared" si="11"/>
        <v>50</v>
      </c>
      <c r="P98" s="757">
        <v>0</v>
      </c>
      <c r="Q98" s="755">
        <v>1</v>
      </c>
      <c r="R98" s="757">
        <v>0</v>
      </c>
      <c r="S98" s="755">
        <v>1</v>
      </c>
      <c r="T98" s="757">
        <v>0</v>
      </c>
      <c r="U98" s="757">
        <v>0</v>
      </c>
      <c r="V98" s="757">
        <v>0</v>
      </c>
      <c r="W98" s="757">
        <v>0</v>
      </c>
      <c r="X98" s="759" t="str">
        <f t="shared" si="12"/>
        <v>F0</v>
      </c>
      <c r="Y98" s="757">
        <v>1</v>
      </c>
      <c r="Z98" s="755">
        <v>1</v>
      </c>
      <c r="AA98" s="757">
        <v>1</v>
      </c>
      <c r="AB98" s="755">
        <v>1</v>
      </c>
      <c r="AC98" s="757">
        <v>0</v>
      </c>
      <c r="AD98" s="757">
        <v>0</v>
      </c>
      <c r="AE98" s="757">
        <v>0</v>
      </c>
      <c r="AF98" s="757">
        <v>0</v>
      </c>
      <c r="AG98" s="766"/>
      <c r="AH98" s="749" t="s">
        <v>1891</v>
      </c>
      <c r="AI98" s="749" t="s">
        <v>1891</v>
      </c>
      <c r="AJ98" s="747" t="s">
        <v>1890</v>
      </c>
      <c r="AK98" s="749" t="s">
        <v>1891</v>
      </c>
      <c r="AL98" s="749" t="s">
        <v>1891</v>
      </c>
      <c r="AM98" s="752" t="s">
        <v>1899</v>
      </c>
      <c r="AN98" s="751" t="s">
        <v>1922</v>
      </c>
    </row>
    <row r="99" spans="14:40">
      <c r="N99" s="748" t="s">
        <v>1894</v>
      </c>
      <c r="O99" s="748" t="str">
        <f t="shared" si="11"/>
        <v>50</v>
      </c>
      <c r="P99" s="757">
        <v>0</v>
      </c>
      <c r="Q99" s="755">
        <v>1</v>
      </c>
      <c r="R99" s="757">
        <v>0</v>
      </c>
      <c r="S99" s="755">
        <v>1</v>
      </c>
      <c r="T99" s="757">
        <v>0</v>
      </c>
      <c r="U99" s="757">
        <v>0</v>
      </c>
      <c r="V99" s="757">
        <v>0</v>
      </c>
      <c r="W99" s="757">
        <v>0</v>
      </c>
      <c r="X99" s="759" t="str">
        <f t="shared" si="12"/>
        <v>F8</v>
      </c>
      <c r="Y99" s="757">
        <v>1</v>
      </c>
      <c r="Z99" s="755">
        <v>1</v>
      </c>
      <c r="AA99" s="757">
        <v>1</v>
      </c>
      <c r="AB99" s="755">
        <v>1</v>
      </c>
      <c r="AC99" s="757">
        <v>1</v>
      </c>
      <c r="AD99" s="757">
        <v>0</v>
      </c>
      <c r="AE99" s="757">
        <v>0</v>
      </c>
      <c r="AF99" s="757">
        <v>0</v>
      </c>
      <c r="AG99" s="766"/>
      <c r="AH99" s="749" t="s">
        <v>1891</v>
      </c>
      <c r="AI99" s="749" t="s">
        <v>1891</v>
      </c>
      <c r="AJ99" s="747" t="s">
        <v>1890</v>
      </c>
      <c r="AK99" s="749" t="s">
        <v>1891</v>
      </c>
      <c r="AL99" s="749" t="s">
        <v>1891</v>
      </c>
      <c r="AM99" s="752" t="s">
        <v>1899</v>
      </c>
      <c r="AN99" s="751" t="s">
        <v>1922</v>
      </c>
    </row>
    <row r="100" spans="14:40">
      <c r="N100" s="748" t="s">
        <v>1894</v>
      </c>
      <c r="O100" s="748" t="str">
        <f t="shared" si="11"/>
        <v>50</v>
      </c>
      <c r="P100" s="757">
        <v>0</v>
      </c>
      <c r="Q100" s="755">
        <v>1</v>
      </c>
      <c r="R100" s="757">
        <v>0</v>
      </c>
      <c r="S100" s="755">
        <v>1</v>
      </c>
      <c r="T100" s="757">
        <v>0</v>
      </c>
      <c r="U100" s="757">
        <v>0</v>
      </c>
      <c r="V100" s="757">
        <v>0</v>
      </c>
      <c r="W100" s="757">
        <v>0</v>
      </c>
      <c r="X100" s="759" t="str">
        <f t="shared" si="12"/>
        <v>FC</v>
      </c>
      <c r="Y100" s="757">
        <v>1</v>
      </c>
      <c r="Z100" s="755">
        <v>1</v>
      </c>
      <c r="AA100" s="757">
        <v>1</v>
      </c>
      <c r="AB100" s="755">
        <v>1</v>
      </c>
      <c r="AC100" s="757">
        <v>1</v>
      </c>
      <c r="AD100" s="757">
        <v>1</v>
      </c>
      <c r="AE100" s="757">
        <v>0</v>
      </c>
      <c r="AF100" s="757">
        <v>0</v>
      </c>
      <c r="AG100" s="766"/>
      <c r="AH100" s="749" t="s">
        <v>1891</v>
      </c>
      <c r="AI100" s="749" t="s">
        <v>1891</v>
      </c>
      <c r="AJ100" s="747" t="s">
        <v>1890</v>
      </c>
      <c r="AK100" s="749" t="s">
        <v>1891</v>
      </c>
      <c r="AL100" s="749" t="s">
        <v>1891</v>
      </c>
      <c r="AM100" s="752" t="s">
        <v>1899</v>
      </c>
      <c r="AN100" s="751" t="s">
        <v>1922</v>
      </c>
    </row>
    <row r="101" spans="14:40">
      <c r="N101" s="748" t="s">
        <v>1894</v>
      </c>
      <c r="O101" s="748" t="str">
        <f t="shared" si="11"/>
        <v>50</v>
      </c>
      <c r="P101" s="757">
        <v>0</v>
      </c>
      <c r="Q101" s="755">
        <v>1</v>
      </c>
      <c r="R101" s="757">
        <v>0</v>
      </c>
      <c r="S101" s="755">
        <v>1</v>
      </c>
      <c r="T101" s="757">
        <v>0</v>
      </c>
      <c r="U101" s="757">
        <v>0</v>
      </c>
      <c r="V101" s="757">
        <v>0</v>
      </c>
      <c r="W101" s="757">
        <v>0</v>
      </c>
      <c r="X101" s="759" t="str">
        <f t="shared" si="12"/>
        <v>FE</v>
      </c>
      <c r="Y101" s="757">
        <v>1</v>
      </c>
      <c r="Z101" s="755">
        <v>1</v>
      </c>
      <c r="AA101" s="757">
        <v>1</v>
      </c>
      <c r="AB101" s="755">
        <v>1</v>
      </c>
      <c r="AC101" s="757">
        <v>1</v>
      </c>
      <c r="AD101" s="757">
        <v>1</v>
      </c>
      <c r="AE101" s="757">
        <v>1</v>
      </c>
      <c r="AF101" s="757">
        <v>0</v>
      </c>
      <c r="AG101" s="766"/>
      <c r="AH101" s="749" t="s">
        <v>1891</v>
      </c>
      <c r="AI101" s="749" t="s">
        <v>1891</v>
      </c>
      <c r="AJ101" s="747" t="s">
        <v>1890</v>
      </c>
      <c r="AK101" s="749" t="s">
        <v>1891</v>
      </c>
      <c r="AL101" s="749" t="s">
        <v>1891</v>
      </c>
      <c r="AM101" s="752" t="s">
        <v>1899</v>
      </c>
      <c r="AN101" s="751" t="s">
        <v>1922</v>
      </c>
    </row>
    <row r="102" spans="14:40">
      <c r="N102" s="748" t="s">
        <v>1894</v>
      </c>
      <c r="O102" s="748" t="str">
        <f t="shared" si="11"/>
        <v>50</v>
      </c>
      <c r="P102" s="757">
        <v>0</v>
      </c>
      <c r="Q102" s="755">
        <v>1</v>
      </c>
      <c r="R102" s="757">
        <v>0</v>
      </c>
      <c r="S102" s="755">
        <v>1</v>
      </c>
      <c r="T102" s="757">
        <v>0</v>
      </c>
      <c r="U102" s="757">
        <v>0</v>
      </c>
      <c r="V102" s="757">
        <v>0</v>
      </c>
      <c r="W102" s="757">
        <v>0</v>
      </c>
      <c r="X102" s="759" t="str">
        <f t="shared" si="12"/>
        <v>FF</v>
      </c>
      <c r="Y102" s="757">
        <v>1</v>
      </c>
      <c r="Z102" s="755">
        <v>1</v>
      </c>
      <c r="AA102" s="757">
        <v>1</v>
      </c>
      <c r="AB102" s="755">
        <v>1</v>
      </c>
      <c r="AC102" s="757">
        <v>1</v>
      </c>
      <c r="AD102" s="757">
        <v>1</v>
      </c>
      <c r="AE102" s="757">
        <v>1</v>
      </c>
      <c r="AF102" s="757">
        <v>1</v>
      </c>
      <c r="AG102" s="766"/>
      <c r="AH102" s="749" t="s">
        <v>1891</v>
      </c>
      <c r="AI102" s="749" t="s">
        <v>1891</v>
      </c>
      <c r="AJ102" s="747" t="s">
        <v>1890</v>
      </c>
      <c r="AK102" s="749" t="s">
        <v>1891</v>
      </c>
      <c r="AL102" s="749" t="s">
        <v>1891</v>
      </c>
      <c r="AM102" s="752" t="s">
        <v>1899</v>
      </c>
      <c r="AN102" s="751" t="s">
        <v>1922</v>
      </c>
    </row>
    <row r="103" spans="14:40">
      <c r="P103" s="758"/>
      <c r="Q103" s="758"/>
      <c r="R103" s="758"/>
      <c r="S103" s="758"/>
      <c r="T103" s="758"/>
      <c r="U103" s="758"/>
      <c r="V103" s="758"/>
      <c r="W103" s="758"/>
      <c r="X103" s="766"/>
      <c r="Y103" s="758"/>
      <c r="Z103" s="758"/>
      <c r="AA103" s="758"/>
      <c r="AB103" s="758"/>
      <c r="AC103" s="758"/>
      <c r="AD103" s="758"/>
      <c r="AE103" s="758"/>
      <c r="AF103" s="758"/>
      <c r="AG103" s="766"/>
    </row>
    <row r="104" spans="14:40">
      <c r="N104" s="748" t="s">
        <v>1894</v>
      </c>
      <c r="O104" s="748" t="str">
        <f t="shared" ref="O104:O112" si="13">BIN2HEX(P104&amp;Q104&amp;R104&amp;S104&amp;T104&amp;U104&amp;V104&amp;W104)</f>
        <v>0</v>
      </c>
      <c r="P104" s="757">
        <v>0</v>
      </c>
      <c r="Q104" s="755">
        <v>0</v>
      </c>
      <c r="R104" s="757">
        <v>0</v>
      </c>
      <c r="S104" s="755">
        <v>0</v>
      </c>
      <c r="T104" s="757">
        <v>0</v>
      </c>
      <c r="U104" s="757">
        <v>0</v>
      </c>
      <c r="V104" s="757">
        <v>0</v>
      </c>
      <c r="W104" s="757">
        <v>0</v>
      </c>
      <c r="X104" s="759" t="str">
        <f t="shared" ref="X104:X112" si="14">BIN2HEX(Y104&amp;Z104&amp;AA104&amp;AB104&amp;AC104&amp;AD104&amp;AE104&amp;AF104)</f>
        <v>50</v>
      </c>
      <c r="Y104" s="757">
        <v>0</v>
      </c>
      <c r="Z104" s="755">
        <v>1</v>
      </c>
      <c r="AA104" s="757">
        <v>0</v>
      </c>
      <c r="AB104" s="755">
        <v>1</v>
      </c>
      <c r="AC104" s="757">
        <v>0</v>
      </c>
      <c r="AD104" s="757">
        <v>0</v>
      </c>
      <c r="AE104" s="757">
        <v>0</v>
      </c>
      <c r="AF104" s="757">
        <v>0</v>
      </c>
      <c r="AG104" s="766"/>
      <c r="AH104" s="749" t="s">
        <v>1891</v>
      </c>
      <c r="AI104" s="749" t="s">
        <v>1891</v>
      </c>
      <c r="AJ104" s="747" t="s">
        <v>1890</v>
      </c>
      <c r="AK104" s="749" t="s">
        <v>1891</v>
      </c>
      <c r="AL104" s="749" t="s">
        <v>1891</v>
      </c>
      <c r="AM104" s="745" t="s">
        <v>1895</v>
      </c>
      <c r="AN104" s="751"/>
    </row>
    <row r="105" spans="14:40">
      <c r="N105" s="748" t="s">
        <v>1894</v>
      </c>
      <c r="O105" s="748" t="str">
        <f t="shared" si="13"/>
        <v>80</v>
      </c>
      <c r="P105" s="757">
        <v>1</v>
      </c>
      <c r="Q105" s="755">
        <v>0</v>
      </c>
      <c r="R105" s="757">
        <v>0</v>
      </c>
      <c r="S105" s="755">
        <v>0</v>
      </c>
      <c r="T105" s="757">
        <v>0</v>
      </c>
      <c r="U105" s="757">
        <v>0</v>
      </c>
      <c r="V105" s="757">
        <v>0</v>
      </c>
      <c r="W105" s="757">
        <v>0</v>
      </c>
      <c r="X105" s="759" t="str">
        <f t="shared" si="14"/>
        <v>50</v>
      </c>
      <c r="Y105" s="757">
        <v>0</v>
      </c>
      <c r="Z105" s="755">
        <v>1</v>
      </c>
      <c r="AA105" s="757">
        <v>0</v>
      </c>
      <c r="AB105" s="755">
        <v>1</v>
      </c>
      <c r="AC105" s="757">
        <v>0</v>
      </c>
      <c r="AD105" s="757">
        <v>0</v>
      </c>
      <c r="AE105" s="757">
        <v>0</v>
      </c>
      <c r="AF105" s="757">
        <v>0</v>
      </c>
      <c r="AG105" s="766"/>
      <c r="AH105" s="749" t="s">
        <v>1891</v>
      </c>
      <c r="AI105" s="749" t="s">
        <v>1891</v>
      </c>
      <c r="AJ105" s="747" t="s">
        <v>1890</v>
      </c>
      <c r="AK105" s="749" t="s">
        <v>1891</v>
      </c>
      <c r="AL105" s="749" t="s">
        <v>1891</v>
      </c>
      <c r="AM105" s="752" t="s">
        <v>1899</v>
      </c>
      <c r="AN105" s="751" t="s">
        <v>1922</v>
      </c>
    </row>
    <row r="106" spans="14:40">
      <c r="N106" s="748" t="s">
        <v>1894</v>
      </c>
      <c r="O106" s="748" t="str">
        <f t="shared" si="13"/>
        <v>C0</v>
      </c>
      <c r="P106" s="757">
        <v>1</v>
      </c>
      <c r="Q106" s="755">
        <v>1</v>
      </c>
      <c r="R106" s="757">
        <v>0</v>
      </c>
      <c r="S106" s="755">
        <v>0</v>
      </c>
      <c r="T106" s="757">
        <v>0</v>
      </c>
      <c r="U106" s="757">
        <v>0</v>
      </c>
      <c r="V106" s="757">
        <v>0</v>
      </c>
      <c r="W106" s="757">
        <v>0</v>
      </c>
      <c r="X106" s="759" t="str">
        <f t="shared" si="14"/>
        <v>50</v>
      </c>
      <c r="Y106" s="757">
        <v>0</v>
      </c>
      <c r="Z106" s="755">
        <v>1</v>
      </c>
      <c r="AA106" s="757">
        <v>0</v>
      </c>
      <c r="AB106" s="755">
        <v>1</v>
      </c>
      <c r="AC106" s="757">
        <v>0</v>
      </c>
      <c r="AD106" s="757">
        <v>0</v>
      </c>
      <c r="AE106" s="757">
        <v>0</v>
      </c>
      <c r="AF106" s="757">
        <v>0</v>
      </c>
      <c r="AG106" s="766"/>
      <c r="AH106" s="749" t="s">
        <v>1891</v>
      </c>
      <c r="AI106" s="749" t="s">
        <v>1891</v>
      </c>
      <c r="AJ106" s="747" t="s">
        <v>1890</v>
      </c>
      <c r="AK106" s="749" t="s">
        <v>1891</v>
      </c>
      <c r="AL106" s="749" t="s">
        <v>1891</v>
      </c>
      <c r="AM106" s="752" t="s">
        <v>1899</v>
      </c>
      <c r="AN106" s="751" t="s">
        <v>1922</v>
      </c>
    </row>
    <row r="107" spans="14:40">
      <c r="N107" s="748" t="s">
        <v>1894</v>
      </c>
      <c r="O107" s="748" t="str">
        <f t="shared" si="13"/>
        <v>E0</v>
      </c>
      <c r="P107" s="757">
        <v>1</v>
      </c>
      <c r="Q107" s="755">
        <v>1</v>
      </c>
      <c r="R107" s="757">
        <v>1</v>
      </c>
      <c r="S107" s="755">
        <v>0</v>
      </c>
      <c r="T107" s="757">
        <v>0</v>
      </c>
      <c r="U107" s="757">
        <v>0</v>
      </c>
      <c r="V107" s="757">
        <v>0</v>
      </c>
      <c r="W107" s="757">
        <v>0</v>
      </c>
      <c r="X107" s="759" t="str">
        <f t="shared" si="14"/>
        <v>50</v>
      </c>
      <c r="Y107" s="757">
        <v>0</v>
      </c>
      <c r="Z107" s="755">
        <v>1</v>
      </c>
      <c r="AA107" s="757">
        <v>0</v>
      </c>
      <c r="AB107" s="755">
        <v>1</v>
      </c>
      <c r="AC107" s="757">
        <v>0</v>
      </c>
      <c r="AD107" s="757">
        <v>0</v>
      </c>
      <c r="AE107" s="757">
        <v>0</v>
      </c>
      <c r="AF107" s="757">
        <v>0</v>
      </c>
      <c r="AG107" s="766"/>
      <c r="AH107" s="749" t="s">
        <v>1891</v>
      </c>
      <c r="AI107" s="749" t="s">
        <v>1891</v>
      </c>
      <c r="AJ107" s="747" t="s">
        <v>1890</v>
      </c>
      <c r="AK107" s="749" t="s">
        <v>1891</v>
      </c>
      <c r="AL107" s="749" t="s">
        <v>1891</v>
      </c>
      <c r="AM107" s="752" t="s">
        <v>1899</v>
      </c>
      <c r="AN107" s="751" t="s">
        <v>1922</v>
      </c>
    </row>
    <row r="108" spans="14:40">
      <c r="N108" s="748" t="s">
        <v>1894</v>
      </c>
      <c r="O108" s="748" t="str">
        <f t="shared" si="13"/>
        <v>F0</v>
      </c>
      <c r="P108" s="757">
        <v>1</v>
      </c>
      <c r="Q108" s="755">
        <v>1</v>
      </c>
      <c r="R108" s="757">
        <v>1</v>
      </c>
      <c r="S108" s="755">
        <v>1</v>
      </c>
      <c r="T108" s="757">
        <v>0</v>
      </c>
      <c r="U108" s="757">
        <v>0</v>
      </c>
      <c r="V108" s="757">
        <v>0</v>
      </c>
      <c r="W108" s="757">
        <v>0</v>
      </c>
      <c r="X108" s="759" t="str">
        <f t="shared" si="14"/>
        <v>50</v>
      </c>
      <c r="Y108" s="757">
        <v>0</v>
      </c>
      <c r="Z108" s="755">
        <v>1</v>
      </c>
      <c r="AA108" s="757">
        <v>0</v>
      </c>
      <c r="AB108" s="755">
        <v>1</v>
      </c>
      <c r="AC108" s="757">
        <v>0</v>
      </c>
      <c r="AD108" s="757">
        <v>0</v>
      </c>
      <c r="AE108" s="757">
        <v>0</v>
      </c>
      <c r="AF108" s="757">
        <v>0</v>
      </c>
      <c r="AG108" s="766"/>
      <c r="AH108" s="749" t="s">
        <v>1891</v>
      </c>
      <c r="AI108" s="749" t="s">
        <v>1891</v>
      </c>
      <c r="AJ108" s="747" t="s">
        <v>1890</v>
      </c>
      <c r="AK108" s="749" t="s">
        <v>1891</v>
      </c>
      <c r="AL108" s="749" t="s">
        <v>1891</v>
      </c>
      <c r="AM108" s="752" t="s">
        <v>1899</v>
      </c>
      <c r="AN108" s="751" t="s">
        <v>1922</v>
      </c>
    </row>
    <row r="109" spans="14:40">
      <c r="N109" s="748" t="s">
        <v>1894</v>
      </c>
      <c r="O109" s="748" t="str">
        <f t="shared" si="13"/>
        <v>F8</v>
      </c>
      <c r="P109" s="757">
        <v>1</v>
      </c>
      <c r="Q109" s="755">
        <v>1</v>
      </c>
      <c r="R109" s="757">
        <v>1</v>
      </c>
      <c r="S109" s="755">
        <v>1</v>
      </c>
      <c r="T109" s="757">
        <v>1</v>
      </c>
      <c r="U109" s="757">
        <v>0</v>
      </c>
      <c r="V109" s="757">
        <v>0</v>
      </c>
      <c r="W109" s="757">
        <v>0</v>
      </c>
      <c r="X109" s="759" t="str">
        <f t="shared" si="14"/>
        <v>50</v>
      </c>
      <c r="Y109" s="757">
        <v>0</v>
      </c>
      <c r="Z109" s="755">
        <v>1</v>
      </c>
      <c r="AA109" s="757">
        <v>0</v>
      </c>
      <c r="AB109" s="755">
        <v>1</v>
      </c>
      <c r="AC109" s="757">
        <v>0</v>
      </c>
      <c r="AD109" s="757">
        <v>0</v>
      </c>
      <c r="AE109" s="757">
        <v>0</v>
      </c>
      <c r="AF109" s="757">
        <v>0</v>
      </c>
      <c r="AG109" s="766"/>
      <c r="AH109" s="749" t="s">
        <v>1891</v>
      </c>
      <c r="AI109" s="749" t="s">
        <v>1891</v>
      </c>
      <c r="AJ109" s="747" t="s">
        <v>1890</v>
      </c>
      <c r="AK109" s="749" t="s">
        <v>1891</v>
      </c>
      <c r="AL109" s="749" t="s">
        <v>1891</v>
      </c>
      <c r="AM109" s="752" t="s">
        <v>1899</v>
      </c>
      <c r="AN109" s="751" t="s">
        <v>1922</v>
      </c>
    </row>
    <row r="110" spans="14:40">
      <c r="N110" s="748" t="s">
        <v>1894</v>
      </c>
      <c r="O110" s="748" t="str">
        <f t="shared" si="13"/>
        <v>FC</v>
      </c>
      <c r="P110" s="757">
        <v>1</v>
      </c>
      <c r="Q110" s="755">
        <v>1</v>
      </c>
      <c r="R110" s="757">
        <v>1</v>
      </c>
      <c r="S110" s="755">
        <v>1</v>
      </c>
      <c r="T110" s="757">
        <v>1</v>
      </c>
      <c r="U110" s="757">
        <v>1</v>
      </c>
      <c r="V110" s="757">
        <v>0</v>
      </c>
      <c r="W110" s="757">
        <v>0</v>
      </c>
      <c r="X110" s="759" t="str">
        <f t="shared" si="14"/>
        <v>50</v>
      </c>
      <c r="Y110" s="757">
        <v>0</v>
      </c>
      <c r="Z110" s="755">
        <v>1</v>
      </c>
      <c r="AA110" s="757">
        <v>0</v>
      </c>
      <c r="AB110" s="755">
        <v>1</v>
      </c>
      <c r="AC110" s="757">
        <v>0</v>
      </c>
      <c r="AD110" s="757">
        <v>0</v>
      </c>
      <c r="AE110" s="757">
        <v>0</v>
      </c>
      <c r="AF110" s="757">
        <v>0</v>
      </c>
      <c r="AG110" s="766"/>
      <c r="AH110" s="749" t="s">
        <v>1891</v>
      </c>
      <c r="AI110" s="749" t="s">
        <v>1891</v>
      </c>
      <c r="AJ110" s="747" t="s">
        <v>1890</v>
      </c>
      <c r="AK110" s="749" t="s">
        <v>1891</v>
      </c>
      <c r="AL110" s="749" t="s">
        <v>1891</v>
      </c>
      <c r="AM110" s="752" t="s">
        <v>1899</v>
      </c>
      <c r="AN110" s="751" t="s">
        <v>1922</v>
      </c>
    </row>
    <row r="111" spans="14:40">
      <c r="N111" s="748" t="s">
        <v>1894</v>
      </c>
      <c r="O111" s="748" t="str">
        <f t="shared" si="13"/>
        <v>FE</v>
      </c>
      <c r="P111" s="757">
        <v>1</v>
      </c>
      <c r="Q111" s="755">
        <v>1</v>
      </c>
      <c r="R111" s="757">
        <v>1</v>
      </c>
      <c r="S111" s="755">
        <v>1</v>
      </c>
      <c r="T111" s="757">
        <v>1</v>
      </c>
      <c r="U111" s="757">
        <v>1</v>
      </c>
      <c r="V111" s="757">
        <v>1</v>
      </c>
      <c r="W111" s="757">
        <v>0</v>
      </c>
      <c r="X111" s="759" t="str">
        <f t="shared" si="14"/>
        <v>50</v>
      </c>
      <c r="Y111" s="757">
        <v>0</v>
      </c>
      <c r="Z111" s="755">
        <v>1</v>
      </c>
      <c r="AA111" s="757">
        <v>0</v>
      </c>
      <c r="AB111" s="755">
        <v>1</v>
      </c>
      <c r="AC111" s="757">
        <v>0</v>
      </c>
      <c r="AD111" s="757">
        <v>0</v>
      </c>
      <c r="AE111" s="757">
        <v>0</v>
      </c>
      <c r="AF111" s="757">
        <v>0</v>
      </c>
      <c r="AG111" s="766"/>
      <c r="AH111" s="749" t="s">
        <v>1891</v>
      </c>
      <c r="AI111" s="749" t="s">
        <v>1891</v>
      </c>
      <c r="AJ111" s="747" t="s">
        <v>1890</v>
      </c>
      <c r="AK111" s="749" t="s">
        <v>1891</v>
      </c>
      <c r="AL111" s="749" t="s">
        <v>1891</v>
      </c>
      <c r="AM111" s="752" t="s">
        <v>1899</v>
      </c>
      <c r="AN111" s="751" t="s">
        <v>1922</v>
      </c>
    </row>
    <row r="112" spans="14:40">
      <c r="N112" s="748" t="s">
        <v>1894</v>
      </c>
      <c r="O112" s="748" t="str">
        <f t="shared" si="13"/>
        <v>FF</v>
      </c>
      <c r="P112" s="757">
        <v>1</v>
      </c>
      <c r="Q112" s="755">
        <v>1</v>
      </c>
      <c r="R112" s="757">
        <v>1</v>
      </c>
      <c r="S112" s="755">
        <v>1</v>
      </c>
      <c r="T112" s="757">
        <v>1</v>
      </c>
      <c r="U112" s="757">
        <v>1</v>
      </c>
      <c r="V112" s="757">
        <v>1</v>
      </c>
      <c r="W112" s="757">
        <v>1</v>
      </c>
      <c r="X112" s="759" t="str">
        <f t="shared" si="14"/>
        <v>50</v>
      </c>
      <c r="Y112" s="757">
        <v>0</v>
      </c>
      <c r="Z112" s="755">
        <v>1</v>
      </c>
      <c r="AA112" s="757">
        <v>0</v>
      </c>
      <c r="AB112" s="755">
        <v>1</v>
      </c>
      <c r="AC112" s="757">
        <v>0</v>
      </c>
      <c r="AD112" s="757">
        <v>0</v>
      </c>
      <c r="AE112" s="757">
        <v>0</v>
      </c>
      <c r="AF112" s="757">
        <v>0</v>
      </c>
      <c r="AG112" s="766"/>
      <c r="AH112" s="749" t="s">
        <v>1891</v>
      </c>
      <c r="AI112" s="749" t="s">
        <v>1891</v>
      </c>
      <c r="AJ112" s="747" t="s">
        <v>1890</v>
      </c>
      <c r="AK112" s="749" t="s">
        <v>1891</v>
      </c>
      <c r="AL112" s="749" t="s">
        <v>1891</v>
      </c>
      <c r="AM112" s="752" t="s">
        <v>1899</v>
      </c>
      <c r="AN112" s="751" t="s">
        <v>1922</v>
      </c>
    </row>
  </sheetData>
  <mergeCells count="76">
    <mergeCell ref="AK77:AL77"/>
    <mergeCell ref="K65:N65"/>
    <mergeCell ref="O65:R65"/>
    <mergeCell ref="AH77:AI77"/>
    <mergeCell ref="K3:N3"/>
    <mergeCell ref="O3:R3"/>
    <mergeCell ref="K4:N4"/>
    <mergeCell ref="O4:R4"/>
    <mergeCell ref="K5:N5"/>
    <mergeCell ref="O5:R5"/>
    <mergeCell ref="AH7:AI7"/>
    <mergeCell ref="AK7:AL7"/>
    <mergeCell ref="E10:L10"/>
    <mergeCell ref="I11:I12"/>
    <mergeCell ref="J11:J12"/>
    <mergeCell ref="K11:K12"/>
    <mergeCell ref="H72:H73"/>
    <mergeCell ref="I72:I73"/>
    <mergeCell ref="J72:J73"/>
    <mergeCell ref="K72:K73"/>
    <mergeCell ref="L72:L73"/>
    <mergeCell ref="C72:C73"/>
    <mergeCell ref="D72:D73"/>
    <mergeCell ref="E72:E73"/>
    <mergeCell ref="F72:F73"/>
    <mergeCell ref="G72:G73"/>
    <mergeCell ref="E69:L69"/>
    <mergeCell ref="C70:C71"/>
    <mergeCell ref="D70:D71"/>
    <mergeCell ref="E70:E71"/>
    <mergeCell ref="F70:F71"/>
    <mergeCell ref="G70:G71"/>
    <mergeCell ref="H70:H71"/>
    <mergeCell ref="I70:I71"/>
    <mergeCell ref="J70:J71"/>
    <mergeCell ref="K70:K71"/>
    <mergeCell ref="L70:L71"/>
    <mergeCell ref="C11:C12"/>
    <mergeCell ref="D11:D12"/>
    <mergeCell ref="E11:E12"/>
    <mergeCell ref="F11:F12"/>
    <mergeCell ref="G11:G12"/>
    <mergeCell ref="C13:C14"/>
    <mergeCell ref="D13:D14"/>
    <mergeCell ref="E13:E14"/>
    <mergeCell ref="F13:F14"/>
    <mergeCell ref="G13:G14"/>
    <mergeCell ref="I13:I14"/>
    <mergeCell ref="J13:J14"/>
    <mergeCell ref="K13:K14"/>
    <mergeCell ref="L13:L14"/>
    <mergeCell ref="E7:F7"/>
    <mergeCell ref="H13:H14"/>
    <mergeCell ref="H11:H12"/>
    <mergeCell ref="L11:L12"/>
    <mergeCell ref="E78:L78"/>
    <mergeCell ref="C79:C80"/>
    <mergeCell ref="D79:D80"/>
    <mergeCell ref="E79:E80"/>
    <mergeCell ref="F79:F80"/>
    <mergeCell ref="G79:G80"/>
    <mergeCell ref="H79:H80"/>
    <mergeCell ref="I79:I80"/>
    <mergeCell ref="J79:J80"/>
    <mergeCell ref="K79:K80"/>
    <mergeCell ref="L79:L80"/>
    <mergeCell ref="C81:C82"/>
    <mergeCell ref="D81:D82"/>
    <mergeCell ref="E81:E82"/>
    <mergeCell ref="F81:F82"/>
    <mergeCell ref="G81:G82"/>
    <mergeCell ref="H81:H82"/>
    <mergeCell ref="I81:I82"/>
    <mergeCell ref="J81:J82"/>
    <mergeCell ref="K81:K82"/>
    <mergeCell ref="L81:L82"/>
  </mergeCells>
  <phoneticPr fontId="13"/>
  <conditionalFormatting sqref="P9:W42 Y9:AF42">
    <cfRule type="cellIs" dxfId="2" priority="29" operator="greaterThan">
      <formula>0</formula>
    </cfRule>
  </conditionalFormatting>
  <conditionalFormatting sqref="Y79:AF112 P79:W112">
    <cfRule type="cellIs" dxfId="1" priority="2" operator="greaterThan">
      <formula>0</formula>
    </cfRule>
  </conditionalFormatting>
  <conditionalFormatting sqref="P43:W62 Y43:AF62">
    <cfRule type="cellIs" dxfId="0" priority="1" operator="greaterThan">
      <formula>0</formula>
    </cfRule>
  </conditionalFormatting>
  <pageMargins left="0.7" right="0.7" top="0.75" bottom="0.75" header="0.3" footer="0.3"/>
  <pageSetup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1377C9-0BE9-44AB-90A5-4300DEFDE01F}">
  <sheetPr codeName="Sheet10"/>
  <dimension ref="B2:AN64"/>
  <sheetViews>
    <sheetView showGridLines="0" zoomScale="55" zoomScaleNormal="55" workbookViewId="0"/>
  </sheetViews>
  <sheetFormatPr defaultColWidth="3" defaultRowHeight="13.2"/>
  <cols>
    <col min="1" max="16384" width="3" style="449"/>
  </cols>
  <sheetData>
    <row r="2" spans="2:40" ht="17.399999999999999">
      <c r="B2" s="447" t="s">
        <v>1311</v>
      </c>
      <c r="C2" s="448"/>
      <c r="D2" s="448"/>
      <c r="E2" s="448"/>
      <c r="F2" s="448"/>
      <c r="G2" s="448"/>
      <c r="H2" s="448"/>
      <c r="I2" s="448"/>
      <c r="J2" s="448"/>
      <c r="K2" s="448"/>
      <c r="L2" s="448"/>
      <c r="M2" s="448"/>
      <c r="N2" s="448"/>
      <c r="O2" s="448"/>
      <c r="P2" s="448"/>
      <c r="Q2" s="448"/>
      <c r="R2" s="448"/>
      <c r="S2" s="448"/>
      <c r="T2" s="448"/>
      <c r="U2" s="448"/>
      <c r="V2" s="448"/>
      <c r="W2" s="448"/>
      <c r="X2" s="448"/>
      <c r="Y2" s="448"/>
      <c r="Z2" s="448"/>
      <c r="AA2" s="448"/>
      <c r="AB2" s="448"/>
      <c r="AC2" s="448"/>
      <c r="AD2" s="448"/>
      <c r="AE2" s="448"/>
      <c r="AF2" s="448"/>
      <c r="AG2" s="448"/>
      <c r="AH2" s="448"/>
      <c r="AI2" s="448"/>
      <c r="AJ2" s="448"/>
      <c r="AK2" s="448"/>
      <c r="AL2" s="448"/>
      <c r="AM2" s="448"/>
      <c r="AN2" s="448"/>
    </row>
    <row r="3" spans="2:40">
      <c r="B3" s="448"/>
      <c r="C3" s="450"/>
      <c r="D3" s="450"/>
      <c r="E3" s="450"/>
      <c r="F3" s="448"/>
      <c r="G3" s="448"/>
      <c r="H3" s="448"/>
      <c r="I3" s="448"/>
      <c r="J3" s="448"/>
      <c r="K3" s="448"/>
      <c r="L3" s="448"/>
      <c r="M3" s="448"/>
      <c r="N3" s="448"/>
      <c r="O3" s="448"/>
      <c r="P3" s="448"/>
      <c r="Q3" s="448" t="s">
        <v>1312</v>
      </c>
      <c r="R3" s="448"/>
      <c r="S3" s="448"/>
      <c r="T3" s="448"/>
      <c r="U3" s="448"/>
      <c r="V3" s="448"/>
      <c r="W3" s="448"/>
      <c r="X3" s="448"/>
      <c r="Y3" s="448"/>
      <c r="Z3" s="448"/>
      <c r="AA3" s="448"/>
      <c r="AB3" s="448"/>
      <c r="AC3" s="448"/>
      <c r="AD3" s="448"/>
      <c r="AE3" s="448"/>
      <c r="AF3" s="448"/>
      <c r="AG3" s="448"/>
      <c r="AH3" s="448"/>
      <c r="AI3" s="448"/>
      <c r="AJ3" s="448"/>
      <c r="AK3" s="448"/>
      <c r="AL3" s="448"/>
      <c r="AM3" s="448"/>
      <c r="AN3" s="448"/>
    </row>
    <row r="4" spans="2:40">
      <c r="B4" s="448"/>
      <c r="C4" s="448"/>
      <c r="D4" s="448"/>
      <c r="E4" s="448"/>
      <c r="F4" s="448"/>
      <c r="G4" s="448"/>
      <c r="H4" s="448"/>
      <c r="I4" s="448"/>
      <c r="J4" s="448"/>
      <c r="K4" s="448"/>
      <c r="L4" s="448"/>
      <c r="M4" s="448"/>
      <c r="N4" s="448"/>
      <c r="O4" s="448"/>
      <c r="P4" s="448"/>
      <c r="Q4" s="448"/>
      <c r="R4" s="448"/>
      <c r="S4" s="448"/>
      <c r="T4" s="448"/>
      <c r="U4" s="448"/>
      <c r="V4" s="448"/>
      <c r="W4" s="448"/>
      <c r="X4" s="448"/>
      <c r="Y4" s="448"/>
      <c r="Z4" s="448"/>
      <c r="AA4" s="448"/>
      <c r="AB4" s="448"/>
      <c r="AC4" s="448"/>
      <c r="AD4" s="448"/>
      <c r="AE4" s="448"/>
      <c r="AF4" s="448"/>
      <c r="AG4" s="448"/>
      <c r="AH4" s="448"/>
      <c r="AI4" s="448" t="s">
        <v>1313</v>
      </c>
      <c r="AJ4" s="448"/>
      <c r="AK4" s="448"/>
      <c r="AL4" s="448"/>
      <c r="AM4" s="448"/>
      <c r="AN4" s="448"/>
    </row>
    <row r="5" spans="2:40">
      <c r="B5" s="448"/>
      <c r="C5" s="448"/>
      <c r="D5" s="448"/>
      <c r="E5" s="448"/>
      <c r="F5" s="448" t="s">
        <v>1314</v>
      </c>
      <c r="G5" s="448"/>
      <c r="H5" s="448"/>
      <c r="I5" s="448"/>
      <c r="J5" s="448"/>
      <c r="K5" s="448"/>
      <c r="L5" s="448"/>
      <c r="M5" s="448"/>
      <c r="N5" s="448"/>
      <c r="O5" s="448"/>
      <c r="P5" s="448"/>
      <c r="Q5" s="448"/>
      <c r="R5" s="448"/>
      <c r="S5" s="448"/>
      <c r="T5" s="448"/>
      <c r="U5" s="448"/>
      <c r="V5" s="448"/>
      <c r="W5" s="448"/>
      <c r="X5" s="448"/>
      <c r="Y5" s="448"/>
      <c r="Z5" s="448"/>
      <c r="AA5" s="448"/>
      <c r="AB5" s="448"/>
      <c r="AC5" s="448"/>
      <c r="AD5" s="448"/>
      <c r="AE5" s="448"/>
      <c r="AF5" s="448"/>
      <c r="AG5" s="448"/>
      <c r="AH5" s="448"/>
      <c r="AI5" s="448" t="s">
        <v>1315</v>
      </c>
      <c r="AJ5" s="448"/>
      <c r="AK5" s="448"/>
      <c r="AL5" s="448"/>
      <c r="AM5" s="448"/>
      <c r="AN5" s="448"/>
    </row>
    <row r="6" spans="2:40">
      <c r="B6" s="448"/>
      <c r="C6" s="448"/>
      <c r="D6" s="448"/>
      <c r="E6" s="448"/>
      <c r="F6" s="448"/>
      <c r="G6" s="448"/>
      <c r="H6" s="448"/>
      <c r="I6" s="448"/>
      <c r="J6" s="448"/>
      <c r="K6" s="448"/>
      <c r="L6" s="448"/>
      <c r="M6" s="448"/>
      <c r="N6" s="448"/>
      <c r="O6" s="448"/>
      <c r="P6" s="448"/>
      <c r="Q6" s="448"/>
      <c r="R6" s="448"/>
      <c r="S6" s="448"/>
      <c r="T6" s="448"/>
      <c r="U6" s="448"/>
      <c r="V6" s="448"/>
      <c r="W6" s="448"/>
      <c r="X6" s="448"/>
      <c r="Y6" s="448"/>
      <c r="Z6" s="448"/>
      <c r="AA6" s="448"/>
      <c r="AB6" s="448"/>
      <c r="AC6" s="448"/>
      <c r="AD6" s="448"/>
      <c r="AE6" s="448"/>
      <c r="AF6" s="448"/>
      <c r="AG6" s="448"/>
      <c r="AH6" s="448"/>
      <c r="AI6" s="448"/>
      <c r="AJ6" s="448"/>
      <c r="AK6" s="448"/>
      <c r="AL6" s="448"/>
      <c r="AM6" s="448"/>
      <c r="AN6" s="448"/>
    </row>
    <row r="7" spans="2:40">
      <c r="B7" s="448"/>
      <c r="C7" s="448"/>
      <c r="D7" s="448"/>
      <c r="E7" s="448"/>
      <c r="F7" s="448"/>
      <c r="G7" s="448"/>
      <c r="H7" s="448"/>
      <c r="I7" s="448"/>
      <c r="J7" s="448"/>
      <c r="K7" s="448"/>
      <c r="L7" s="448"/>
      <c r="M7" s="448"/>
      <c r="N7" s="448" t="s">
        <v>1316</v>
      </c>
      <c r="O7" s="448"/>
      <c r="P7" s="448"/>
      <c r="Q7" s="448"/>
      <c r="R7" s="448"/>
      <c r="S7" s="448"/>
      <c r="T7" s="448"/>
      <c r="U7" s="448"/>
      <c r="V7" s="448"/>
      <c r="W7" s="448"/>
      <c r="X7" s="448" t="s">
        <v>1317</v>
      </c>
      <c r="Y7" s="448"/>
      <c r="Z7" s="448"/>
      <c r="AA7" s="448"/>
      <c r="AB7" s="448"/>
      <c r="AC7" s="448"/>
      <c r="AD7" s="448"/>
      <c r="AE7" s="448"/>
      <c r="AF7" s="448"/>
      <c r="AG7" s="448"/>
      <c r="AH7" s="448"/>
      <c r="AI7" s="448" t="s">
        <v>1318</v>
      </c>
      <c r="AJ7" s="448"/>
      <c r="AK7" s="448"/>
      <c r="AL7" s="448"/>
      <c r="AM7" s="448"/>
      <c r="AN7" s="448"/>
    </row>
    <row r="8" spans="2:40">
      <c r="B8" s="448"/>
      <c r="C8" s="448"/>
      <c r="D8" s="448"/>
      <c r="E8" s="448"/>
      <c r="F8" s="448" t="s">
        <v>1319</v>
      </c>
      <c r="G8" s="448"/>
      <c r="H8" s="448"/>
      <c r="I8" s="448"/>
      <c r="J8" s="448"/>
      <c r="K8" s="448"/>
      <c r="L8" s="448"/>
      <c r="M8" s="448"/>
      <c r="N8" s="448"/>
      <c r="O8" s="448"/>
      <c r="P8" s="448"/>
      <c r="Q8" s="448"/>
      <c r="R8" s="448"/>
      <c r="S8" s="448"/>
      <c r="T8" s="448"/>
      <c r="U8" s="448"/>
      <c r="V8" s="448"/>
      <c r="W8" s="448"/>
      <c r="X8" s="448"/>
      <c r="Y8" s="448"/>
      <c r="Z8" s="448"/>
      <c r="AA8" s="448"/>
      <c r="AB8" s="448"/>
      <c r="AC8" s="448"/>
      <c r="AD8" s="448"/>
      <c r="AE8" s="448"/>
      <c r="AF8" s="448"/>
      <c r="AG8" s="448"/>
      <c r="AH8" s="448"/>
      <c r="AI8" s="448" t="s">
        <v>1320</v>
      </c>
      <c r="AJ8" s="448"/>
      <c r="AK8" s="448"/>
      <c r="AL8" s="448"/>
      <c r="AM8" s="448"/>
      <c r="AN8" s="448"/>
    </row>
    <row r="9" spans="2:40">
      <c r="B9" s="448"/>
      <c r="C9" s="448"/>
      <c r="D9" s="448"/>
      <c r="E9" s="448"/>
      <c r="F9" s="448"/>
      <c r="G9" s="448"/>
      <c r="H9" s="448"/>
      <c r="I9" s="448"/>
      <c r="J9" s="448"/>
      <c r="K9" s="448"/>
      <c r="L9" s="448"/>
      <c r="M9" s="448"/>
      <c r="N9" s="448"/>
      <c r="O9" s="448"/>
      <c r="P9" s="448"/>
      <c r="Q9" s="448"/>
      <c r="R9" s="448"/>
      <c r="S9" s="448"/>
      <c r="T9" s="448"/>
      <c r="U9" s="448"/>
      <c r="V9" s="448"/>
      <c r="W9" s="448"/>
      <c r="X9" s="448"/>
      <c r="Y9" s="448"/>
      <c r="Z9" s="448"/>
      <c r="AA9" s="448"/>
      <c r="AB9" s="448"/>
      <c r="AC9" s="448"/>
      <c r="AD9" s="448"/>
      <c r="AE9" s="448"/>
      <c r="AF9" s="448"/>
      <c r="AG9" s="448"/>
      <c r="AH9" s="448"/>
      <c r="AI9" s="448"/>
      <c r="AJ9" s="448"/>
      <c r="AK9" s="448"/>
      <c r="AL9" s="448"/>
      <c r="AM9" s="448"/>
      <c r="AN9" s="448"/>
    </row>
    <row r="10" spans="2:40">
      <c r="B10" s="448"/>
      <c r="C10" s="448"/>
      <c r="D10" s="448"/>
      <c r="E10" s="448"/>
      <c r="F10" s="448"/>
      <c r="G10" s="448"/>
      <c r="H10" s="448"/>
      <c r="I10" s="448"/>
      <c r="J10" s="448"/>
      <c r="K10" s="448"/>
      <c r="L10" s="448"/>
      <c r="M10" s="448"/>
      <c r="N10" s="448"/>
      <c r="O10" s="448"/>
      <c r="P10" s="448"/>
      <c r="Q10" s="448"/>
      <c r="R10" s="448"/>
      <c r="S10" s="448"/>
      <c r="T10" s="448"/>
      <c r="U10" s="448"/>
      <c r="V10" s="448"/>
      <c r="W10" s="448"/>
      <c r="X10" s="448"/>
      <c r="Y10" s="448"/>
      <c r="Z10" s="448"/>
      <c r="AA10" s="448"/>
      <c r="AB10" s="448"/>
      <c r="AC10" s="448"/>
      <c r="AD10" s="448"/>
      <c r="AE10" s="448"/>
      <c r="AF10" s="448"/>
      <c r="AG10" s="448"/>
      <c r="AH10" s="448"/>
      <c r="AI10" s="448" t="s">
        <v>1321</v>
      </c>
      <c r="AJ10" s="448"/>
      <c r="AK10" s="448"/>
      <c r="AL10" s="448"/>
      <c r="AM10" s="448"/>
      <c r="AN10" s="448"/>
    </row>
    <row r="11" spans="2:40">
      <c r="B11" s="448"/>
      <c r="C11" s="448"/>
      <c r="D11" s="448"/>
      <c r="E11" s="448"/>
      <c r="F11" s="448" t="s">
        <v>1322</v>
      </c>
      <c r="G11" s="448"/>
      <c r="H11" s="448"/>
      <c r="I11" s="448"/>
      <c r="J11" s="448"/>
      <c r="K11" s="448"/>
      <c r="L11" s="448"/>
      <c r="M11" s="448"/>
      <c r="N11" s="448"/>
      <c r="O11" s="448"/>
      <c r="P11" s="448"/>
      <c r="Q11" s="448"/>
      <c r="R11" s="448"/>
      <c r="S11" s="448"/>
      <c r="T11" s="448"/>
      <c r="U11" s="448"/>
      <c r="V11" s="448"/>
      <c r="W11" s="448"/>
      <c r="X11" s="448"/>
      <c r="Y11" s="448"/>
      <c r="Z11" s="448"/>
      <c r="AA11" s="448"/>
      <c r="AB11" s="448"/>
      <c r="AC11" s="448"/>
      <c r="AD11" s="448"/>
      <c r="AE11" s="448"/>
      <c r="AF11" s="448"/>
      <c r="AG11" s="448"/>
      <c r="AH11" s="448"/>
      <c r="AI11" s="448" t="s">
        <v>1323</v>
      </c>
      <c r="AJ11" s="448"/>
      <c r="AK11" s="448"/>
      <c r="AL11" s="448"/>
      <c r="AM11" s="448"/>
      <c r="AN11" s="448"/>
    </row>
    <row r="12" spans="2:40">
      <c r="B12" s="448"/>
      <c r="C12" s="448"/>
      <c r="D12" s="448"/>
      <c r="E12" s="448"/>
      <c r="F12" s="448"/>
      <c r="G12" s="448"/>
      <c r="H12" s="448"/>
      <c r="I12" s="448"/>
      <c r="J12" s="448"/>
      <c r="K12" s="448"/>
      <c r="L12" s="448"/>
      <c r="M12" s="448"/>
      <c r="N12" s="448"/>
      <c r="O12" s="448"/>
      <c r="P12" s="448"/>
      <c r="Q12" s="448"/>
      <c r="R12" s="448"/>
      <c r="S12" s="448"/>
      <c r="T12" s="448"/>
      <c r="U12" s="448"/>
      <c r="V12" s="448"/>
      <c r="W12" s="448"/>
      <c r="X12" s="448"/>
      <c r="Y12" s="448"/>
      <c r="Z12" s="448"/>
      <c r="AA12" s="448"/>
      <c r="AB12" s="448"/>
      <c r="AC12" s="448"/>
      <c r="AD12" s="448"/>
      <c r="AE12" s="448"/>
      <c r="AF12" s="448"/>
      <c r="AG12" s="448"/>
      <c r="AH12" s="448"/>
      <c r="AI12" s="448"/>
      <c r="AJ12" s="448"/>
      <c r="AK12" s="448"/>
      <c r="AL12" s="448"/>
      <c r="AM12" s="448"/>
      <c r="AN12" s="448"/>
    </row>
    <row r="13" spans="2:40">
      <c r="B13" s="448"/>
      <c r="C13" s="448"/>
      <c r="D13" s="448"/>
      <c r="E13" s="448"/>
      <c r="F13" s="448"/>
      <c r="G13" s="448"/>
      <c r="H13" s="448"/>
      <c r="I13" s="448"/>
      <c r="J13" s="448"/>
      <c r="K13" s="448"/>
      <c r="L13" s="448"/>
      <c r="M13" s="448"/>
      <c r="N13" s="448"/>
      <c r="O13" s="448"/>
      <c r="P13" s="448"/>
      <c r="Q13" s="448"/>
      <c r="R13" s="448"/>
      <c r="S13" s="448"/>
      <c r="T13" s="448"/>
      <c r="U13" s="448"/>
      <c r="V13" s="448"/>
      <c r="W13" s="448"/>
      <c r="X13" s="448"/>
      <c r="Y13" s="448"/>
      <c r="Z13" s="448"/>
      <c r="AA13" s="448"/>
      <c r="AB13" s="448"/>
      <c r="AC13" s="448"/>
      <c r="AD13" s="448"/>
      <c r="AE13" s="448"/>
      <c r="AF13" s="448"/>
      <c r="AG13" s="448"/>
      <c r="AH13" s="448"/>
      <c r="AI13" s="448" t="s">
        <v>1324</v>
      </c>
      <c r="AJ13" s="448"/>
      <c r="AK13" s="448"/>
      <c r="AL13" s="448"/>
      <c r="AM13" s="448"/>
      <c r="AN13" s="448"/>
    </row>
    <row r="14" spans="2:40">
      <c r="B14" s="448"/>
      <c r="C14" s="448"/>
      <c r="D14" s="448"/>
      <c r="E14" s="448"/>
      <c r="F14" s="448" t="s">
        <v>1325</v>
      </c>
      <c r="G14" s="448"/>
      <c r="H14" s="448"/>
      <c r="I14" s="448"/>
      <c r="J14" s="448"/>
      <c r="K14" s="448"/>
      <c r="L14" s="448"/>
      <c r="M14" s="448"/>
      <c r="N14" s="448"/>
      <c r="O14" s="448"/>
      <c r="P14" s="448"/>
      <c r="Q14" s="448"/>
      <c r="R14" s="448"/>
      <c r="S14" s="448"/>
      <c r="T14" s="448"/>
      <c r="U14" s="448"/>
      <c r="V14" s="448"/>
      <c r="W14" s="448"/>
      <c r="X14" s="448"/>
      <c r="Y14" s="448"/>
      <c r="Z14" s="448"/>
      <c r="AA14" s="448"/>
      <c r="AB14" s="448"/>
      <c r="AC14" s="448"/>
      <c r="AD14" s="448"/>
      <c r="AE14" s="448"/>
      <c r="AF14" s="448"/>
      <c r="AG14" s="448"/>
      <c r="AH14" s="448"/>
      <c r="AI14" s="451" t="s">
        <v>1326</v>
      </c>
      <c r="AJ14" s="448"/>
      <c r="AK14" s="448"/>
      <c r="AL14" s="448"/>
      <c r="AM14" s="448"/>
      <c r="AN14" s="448"/>
    </row>
    <row r="15" spans="2:40">
      <c r="B15" s="448"/>
      <c r="C15" s="448"/>
      <c r="D15" s="448"/>
      <c r="E15" s="448"/>
      <c r="F15" s="448"/>
      <c r="G15" s="448"/>
      <c r="H15" s="448"/>
      <c r="I15" s="448"/>
      <c r="J15" s="448"/>
      <c r="K15" s="448"/>
      <c r="L15" s="448"/>
      <c r="M15" s="448"/>
      <c r="N15" s="448"/>
      <c r="O15" s="448"/>
      <c r="P15" s="448"/>
      <c r="Q15" s="448"/>
      <c r="R15" s="448"/>
      <c r="S15" s="448"/>
      <c r="T15" s="448"/>
      <c r="U15" s="448"/>
      <c r="V15" s="448"/>
      <c r="W15" s="448"/>
      <c r="X15" s="448"/>
      <c r="Y15" s="448"/>
      <c r="Z15" s="448"/>
      <c r="AA15" s="448"/>
      <c r="AB15" s="448"/>
      <c r="AC15" s="448"/>
      <c r="AD15" s="448"/>
      <c r="AE15" s="448"/>
      <c r="AF15" s="448"/>
      <c r="AG15" s="448"/>
      <c r="AH15" s="448"/>
      <c r="AI15" s="451"/>
      <c r="AJ15" s="448"/>
      <c r="AK15" s="448"/>
      <c r="AL15" s="448"/>
      <c r="AM15" s="448"/>
      <c r="AN15" s="448"/>
    </row>
    <row r="16" spans="2:40">
      <c r="B16" s="448"/>
      <c r="C16" s="448"/>
      <c r="D16" s="448"/>
      <c r="E16" s="448"/>
      <c r="F16" s="448"/>
      <c r="G16" s="448"/>
      <c r="H16" s="448"/>
      <c r="I16" s="448"/>
      <c r="J16" s="448"/>
      <c r="K16" s="448"/>
      <c r="L16" s="448"/>
      <c r="M16" s="448"/>
      <c r="N16" s="448"/>
      <c r="O16" s="448"/>
      <c r="P16" s="448"/>
      <c r="Q16" s="448"/>
      <c r="R16" s="448"/>
      <c r="S16" s="448"/>
      <c r="T16" s="448"/>
      <c r="U16" s="448"/>
      <c r="V16" s="448"/>
      <c r="W16" s="448"/>
      <c r="X16" s="448"/>
      <c r="Y16" s="448"/>
      <c r="Z16" s="448"/>
      <c r="AA16" s="448"/>
      <c r="AB16" s="448"/>
      <c r="AC16" s="448"/>
      <c r="AD16" s="448"/>
      <c r="AE16" s="448"/>
      <c r="AF16" s="448"/>
      <c r="AG16" s="448"/>
      <c r="AH16" s="448"/>
      <c r="AI16" s="451" t="s">
        <v>1318</v>
      </c>
      <c r="AJ16" s="448"/>
      <c r="AK16" s="448"/>
      <c r="AL16" s="448"/>
      <c r="AM16" s="448"/>
      <c r="AN16" s="448"/>
    </row>
    <row r="17" spans="2:40">
      <c r="B17" s="448"/>
      <c r="C17" s="448"/>
      <c r="D17" s="448"/>
      <c r="E17" s="448"/>
      <c r="F17" s="448" t="s">
        <v>1327</v>
      </c>
      <c r="G17" s="448"/>
      <c r="H17" s="448"/>
      <c r="I17" s="448"/>
      <c r="J17" s="448"/>
      <c r="K17" s="448"/>
      <c r="L17" s="448"/>
      <c r="M17" s="448"/>
      <c r="N17" s="448"/>
      <c r="O17" s="448"/>
      <c r="P17" s="448"/>
      <c r="Q17" s="448"/>
      <c r="R17" s="448"/>
      <c r="S17" s="448"/>
      <c r="T17" s="448"/>
      <c r="U17" s="448"/>
      <c r="V17" s="448"/>
      <c r="W17" s="448"/>
      <c r="X17" s="448"/>
      <c r="Y17" s="448"/>
      <c r="Z17" s="448"/>
      <c r="AA17" s="448"/>
      <c r="AB17" s="448"/>
      <c r="AC17" s="448"/>
      <c r="AD17" s="448"/>
      <c r="AE17" s="448"/>
      <c r="AF17" s="448"/>
      <c r="AG17" s="448"/>
      <c r="AH17" s="448"/>
      <c r="AI17" s="451" t="s">
        <v>1320</v>
      </c>
      <c r="AJ17" s="448"/>
      <c r="AK17" s="448"/>
      <c r="AL17" s="448"/>
      <c r="AM17" s="448"/>
      <c r="AN17" s="448"/>
    </row>
    <row r="18" spans="2:40">
      <c r="B18" s="448"/>
      <c r="C18" s="448"/>
      <c r="D18" s="448"/>
      <c r="E18" s="448"/>
      <c r="F18" s="448"/>
      <c r="G18" s="448"/>
      <c r="H18" s="448"/>
      <c r="I18" s="448"/>
      <c r="J18" s="448"/>
      <c r="K18" s="448"/>
      <c r="L18" s="448"/>
      <c r="M18" s="448"/>
      <c r="N18" s="448"/>
      <c r="O18" s="448"/>
      <c r="P18" s="448"/>
      <c r="Q18" s="448"/>
      <c r="R18" s="448"/>
      <c r="S18" s="448"/>
      <c r="T18" s="448"/>
      <c r="U18" s="448"/>
      <c r="V18" s="448"/>
      <c r="W18" s="448"/>
      <c r="X18" s="448"/>
      <c r="Y18" s="448"/>
      <c r="Z18" s="448"/>
      <c r="AA18" s="448"/>
      <c r="AB18" s="448"/>
      <c r="AC18" s="448"/>
      <c r="AD18" s="448"/>
      <c r="AE18" s="448"/>
      <c r="AF18" s="448"/>
      <c r="AG18" s="448"/>
      <c r="AH18" s="448"/>
      <c r="AI18" s="448"/>
      <c r="AJ18" s="448"/>
      <c r="AK18" s="448"/>
      <c r="AL18" s="448"/>
      <c r="AM18" s="448"/>
      <c r="AN18" s="448"/>
    </row>
    <row r="21" spans="2:40" ht="17.399999999999999">
      <c r="B21" s="447" t="s">
        <v>1328</v>
      </c>
      <c r="C21" s="448"/>
      <c r="D21" s="448"/>
      <c r="E21" s="448"/>
      <c r="F21" s="448"/>
      <c r="G21" s="448"/>
      <c r="H21" s="448"/>
      <c r="I21" s="448"/>
      <c r="J21" s="448"/>
      <c r="K21" s="448"/>
      <c r="L21" s="448"/>
      <c r="M21" s="448"/>
      <c r="N21" s="448"/>
      <c r="O21" s="448"/>
      <c r="P21" s="448"/>
      <c r="Q21" s="448"/>
      <c r="R21" s="448"/>
      <c r="S21" s="448"/>
      <c r="T21" s="448"/>
      <c r="U21" s="448"/>
      <c r="V21" s="448"/>
      <c r="W21" s="448"/>
      <c r="X21" s="448"/>
      <c r="Y21" s="448"/>
      <c r="Z21" s="448"/>
      <c r="AA21" s="448"/>
      <c r="AB21" s="448"/>
      <c r="AC21" s="448"/>
      <c r="AD21" s="448"/>
      <c r="AE21" s="448"/>
      <c r="AF21" s="448"/>
      <c r="AG21" s="448"/>
      <c r="AH21" s="448"/>
      <c r="AI21" s="448"/>
      <c r="AJ21" s="448"/>
      <c r="AK21" s="448"/>
      <c r="AL21" s="448"/>
      <c r="AM21" s="448"/>
      <c r="AN21" s="448"/>
    </row>
    <row r="22" spans="2:40">
      <c r="B22" s="448"/>
      <c r="C22" s="450"/>
      <c r="D22" s="450"/>
      <c r="E22" s="450"/>
      <c r="F22" s="448"/>
      <c r="G22" s="448"/>
      <c r="H22" s="448"/>
      <c r="I22" s="448"/>
      <c r="J22" s="448"/>
      <c r="K22" s="448"/>
      <c r="L22" s="448"/>
      <c r="M22" s="448"/>
      <c r="N22" s="448"/>
      <c r="O22" s="448"/>
      <c r="P22" s="448"/>
      <c r="Q22" s="448" t="s">
        <v>1312</v>
      </c>
      <c r="R22" s="448"/>
      <c r="S22" s="448"/>
      <c r="T22" s="448"/>
      <c r="U22" s="448"/>
      <c r="V22" s="448"/>
      <c r="W22" s="448"/>
      <c r="X22" s="448"/>
      <c r="Y22" s="448"/>
      <c r="Z22" s="448"/>
      <c r="AA22" s="448"/>
      <c r="AB22" s="448"/>
      <c r="AC22" s="448"/>
      <c r="AD22" s="448"/>
      <c r="AE22" s="448"/>
      <c r="AF22" s="448"/>
      <c r="AG22" s="448"/>
      <c r="AH22" s="448"/>
      <c r="AI22" s="448"/>
      <c r="AJ22" s="448"/>
      <c r="AK22" s="448"/>
      <c r="AL22" s="448"/>
      <c r="AM22" s="448"/>
      <c r="AN22" s="448"/>
    </row>
    <row r="23" spans="2:40">
      <c r="B23" s="448"/>
      <c r="C23" s="448"/>
      <c r="D23" s="448"/>
      <c r="E23" s="448"/>
      <c r="F23" s="448"/>
      <c r="G23" s="448"/>
      <c r="H23" s="448"/>
      <c r="I23" s="448"/>
      <c r="J23" s="448"/>
      <c r="K23" s="448"/>
      <c r="L23" s="448"/>
      <c r="M23" s="448"/>
      <c r="N23" s="448"/>
      <c r="O23" s="448"/>
      <c r="P23" s="448"/>
      <c r="Q23" s="448"/>
      <c r="R23" s="448"/>
      <c r="S23" s="448"/>
      <c r="T23" s="448"/>
      <c r="U23" s="448"/>
      <c r="V23" s="448"/>
      <c r="W23" s="448"/>
      <c r="X23" s="448"/>
      <c r="Y23" s="448"/>
      <c r="Z23" s="448"/>
      <c r="AA23" s="448"/>
      <c r="AB23" s="448"/>
      <c r="AC23" s="448"/>
      <c r="AD23" s="448"/>
      <c r="AE23" s="448"/>
      <c r="AF23" s="448"/>
      <c r="AG23" s="448"/>
      <c r="AH23" s="448"/>
      <c r="AI23" s="448" t="s">
        <v>1313</v>
      </c>
      <c r="AJ23" s="448"/>
      <c r="AK23" s="448"/>
      <c r="AL23" s="448"/>
      <c r="AM23" s="448"/>
      <c r="AN23" s="448"/>
    </row>
    <row r="24" spans="2:40">
      <c r="B24" s="448"/>
      <c r="C24" s="448"/>
      <c r="D24" s="448"/>
      <c r="E24" s="448"/>
      <c r="F24" s="448" t="s">
        <v>1314</v>
      </c>
      <c r="G24" s="448"/>
      <c r="H24" s="448"/>
      <c r="I24" s="448"/>
      <c r="J24" s="448"/>
      <c r="K24" s="448"/>
      <c r="L24" s="448"/>
      <c r="M24" s="448"/>
      <c r="N24" s="448"/>
      <c r="O24" s="448"/>
      <c r="P24" s="448"/>
      <c r="Q24" s="448"/>
      <c r="R24" s="448"/>
      <c r="S24" s="448"/>
      <c r="T24" s="448"/>
      <c r="U24" s="448"/>
      <c r="V24" s="448"/>
      <c r="W24" s="448"/>
      <c r="X24" s="448"/>
      <c r="Y24" s="448"/>
      <c r="Z24" s="448"/>
      <c r="AA24" s="448"/>
      <c r="AB24" s="448"/>
      <c r="AC24" s="448"/>
      <c r="AD24" s="448"/>
      <c r="AE24" s="448"/>
      <c r="AF24" s="448"/>
      <c r="AG24" s="448"/>
      <c r="AH24" s="448"/>
      <c r="AI24" s="448" t="s">
        <v>1315</v>
      </c>
      <c r="AJ24" s="448"/>
      <c r="AK24" s="448"/>
      <c r="AL24" s="448"/>
      <c r="AM24" s="448"/>
      <c r="AN24" s="448"/>
    </row>
    <row r="25" spans="2:40">
      <c r="B25" s="448"/>
      <c r="C25" s="448"/>
      <c r="D25" s="448"/>
      <c r="E25" s="448"/>
      <c r="F25" s="448"/>
      <c r="G25" s="448"/>
      <c r="H25" s="448"/>
      <c r="I25" s="448"/>
      <c r="J25" s="448"/>
      <c r="K25" s="448"/>
      <c r="L25" s="448"/>
      <c r="M25" s="448"/>
      <c r="N25" s="448"/>
      <c r="O25" s="448"/>
      <c r="P25" s="448"/>
      <c r="Q25" s="448"/>
      <c r="R25" s="448"/>
      <c r="S25" s="448"/>
      <c r="T25" s="448"/>
      <c r="U25" s="448"/>
      <c r="V25" s="448"/>
      <c r="W25" s="448"/>
      <c r="X25" s="448"/>
      <c r="Y25" s="448"/>
      <c r="Z25" s="448"/>
      <c r="AA25" s="448"/>
      <c r="AB25" s="448"/>
      <c r="AC25" s="448"/>
      <c r="AD25" s="448"/>
      <c r="AE25" s="448"/>
      <c r="AF25" s="448"/>
      <c r="AG25" s="448"/>
      <c r="AH25" s="448"/>
      <c r="AI25" s="448"/>
      <c r="AJ25" s="448"/>
      <c r="AK25" s="448"/>
      <c r="AL25" s="448"/>
      <c r="AM25" s="448"/>
      <c r="AN25" s="448"/>
    </row>
    <row r="26" spans="2:40">
      <c r="B26" s="448"/>
      <c r="C26" s="448"/>
      <c r="D26" s="448"/>
      <c r="E26" s="448"/>
      <c r="F26" s="448"/>
      <c r="G26" s="448"/>
      <c r="H26" s="448"/>
      <c r="I26" s="448"/>
      <c r="J26" s="448"/>
      <c r="K26" s="448"/>
      <c r="L26" s="448"/>
      <c r="M26" s="448"/>
      <c r="N26" s="448"/>
      <c r="O26" s="448"/>
      <c r="P26" s="448"/>
      <c r="Q26" s="448"/>
      <c r="R26" s="448"/>
      <c r="S26" s="448"/>
      <c r="T26" s="448"/>
      <c r="U26" s="448"/>
      <c r="V26" s="448"/>
      <c r="W26" s="448"/>
      <c r="X26" s="448"/>
      <c r="Y26" s="448"/>
      <c r="Z26" s="448"/>
      <c r="AA26" s="448"/>
      <c r="AB26" s="448"/>
      <c r="AC26" s="448" t="s">
        <v>1329</v>
      </c>
      <c r="AD26" s="448"/>
      <c r="AE26" s="448"/>
      <c r="AF26" s="448"/>
      <c r="AG26" s="448"/>
      <c r="AH26" s="448"/>
      <c r="AI26" s="448"/>
      <c r="AJ26" s="448" t="s">
        <v>1318</v>
      </c>
      <c r="AK26" s="448"/>
      <c r="AL26" s="448"/>
      <c r="AM26" s="448"/>
      <c r="AN26" s="448"/>
    </row>
    <row r="27" spans="2:40">
      <c r="B27" s="448"/>
      <c r="C27" s="448"/>
      <c r="D27" s="448"/>
      <c r="E27" s="448"/>
      <c r="F27" s="448" t="s">
        <v>1327</v>
      </c>
      <c r="G27" s="448"/>
      <c r="H27" s="448"/>
      <c r="I27" s="448"/>
      <c r="J27" s="448"/>
      <c r="K27" s="448"/>
      <c r="L27" s="448"/>
      <c r="M27" s="448"/>
      <c r="N27" s="448"/>
      <c r="O27" s="448"/>
      <c r="P27" s="448"/>
      <c r="Q27" s="448"/>
      <c r="R27" s="448"/>
      <c r="S27" s="448"/>
      <c r="T27" s="448"/>
      <c r="U27" s="448"/>
      <c r="V27" s="448"/>
      <c r="W27" s="448"/>
      <c r="X27" s="448"/>
      <c r="Y27" s="448"/>
      <c r="Z27" s="448"/>
      <c r="AA27" s="448"/>
      <c r="AB27" s="448"/>
      <c r="AC27" s="448"/>
      <c r="AD27" s="448"/>
      <c r="AE27" s="448"/>
      <c r="AF27" s="448"/>
      <c r="AG27" s="448"/>
      <c r="AH27" s="448"/>
      <c r="AI27" s="448"/>
      <c r="AJ27" s="451" t="s">
        <v>1320</v>
      </c>
      <c r="AK27" s="448"/>
      <c r="AL27" s="448"/>
      <c r="AM27" s="448"/>
      <c r="AN27" s="448"/>
    </row>
    <row r="28" spans="2:40">
      <c r="B28" s="448"/>
      <c r="C28" s="448"/>
      <c r="D28" s="448"/>
      <c r="E28" s="448"/>
      <c r="F28" s="448"/>
      <c r="G28" s="448"/>
      <c r="H28" s="448"/>
      <c r="I28" s="448"/>
      <c r="J28" s="448"/>
      <c r="K28" s="448"/>
      <c r="L28" s="448"/>
      <c r="M28" s="448"/>
      <c r="N28" s="448"/>
      <c r="O28" s="448"/>
      <c r="P28" s="448"/>
      <c r="Q28" s="448"/>
      <c r="R28" s="448"/>
      <c r="S28" s="448"/>
      <c r="T28" s="448"/>
      <c r="U28" s="448"/>
      <c r="V28" s="448"/>
      <c r="W28" s="448"/>
      <c r="X28" s="448"/>
      <c r="Y28" s="448"/>
      <c r="Z28" s="448"/>
      <c r="AA28" s="448"/>
      <c r="AB28" s="448"/>
      <c r="AC28" s="448"/>
      <c r="AD28" s="448"/>
      <c r="AE28" s="448"/>
      <c r="AF28" s="448"/>
      <c r="AG28" s="448"/>
      <c r="AH28" s="448"/>
      <c r="AI28" s="448"/>
      <c r="AJ28" s="448"/>
      <c r="AK28" s="448"/>
      <c r="AL28" s="448"/>
      <c r="AM28" s="448"/>
      <c r="AN28" s="448"/>
    </row>
    <row r="29" spans="2:40">
      <c r="B29" s="448"/>
      <c r="C29" s="448"/>
      <c r="D29" s="448"/>
      <c r="E29" s="448"/>
      <c r="F29" s="448"/>
      <c r="G29" s="448"/>
      <c r="H29" s="448"/>
      <c r="I29" s="448"/>
      <c r="J29" s="448"/>
      <c r="K29" s="448"/>
      <c r="L29" s="448"/>
      <c r="M29" s="448"/>
      <c r="N29" s="448"/>
      <c r="O29" s="448"/>
      <c r="P29" s="448"/>
      <c r="Q29" s="448"/>
      <c r="R29" s="448"/>
      <c r="S29" s="448"/>
      <c r="T29" s="448"/>
      <c r="U29" s="448"/>
      <c r="V29" s="448"/>
      <c r="W29" s="448"/>
      <c r="X29" s="448"/>
      <c r="Y29" s="448"/>
      <c r="Z29" s="448"/>
      <c r="AA29" s="448"/>
      <c r="AB29" s="448"/>
      <c r="AC29" s="448"/>
      <c r="AD29" s="448"/>
      <c r="AE29" s="448"/>
      <c r="AF29" s="448"/>
      <c r="AG29" s="448"/>
      <c r="AH29" s="448"/>
      <c r="AI29" s="448"/>
      <c r="AJ29" s="448"/>
      <c r="AK29" s="448"/>
      <c r="AL29" s="448"/>
      <c r="AM29" s="448"/>
      <c r="AN29" s="448"/>
    </row>
    <row r="32" spans="2:40" ht="17.399999999999999">
      <c r="B32" s="447" t="s">
        <v>1330</v>
      </c>
      <c r="C32" s="448"/>
      <c r="D32" s="448"/>
      <c r="E32" s="448"/>
      <c r="F32" s="448"/>
      <c r="G32" s="448"/>
      <c r="H32" s="448"/>
      <c r="I32" s="448"/>
      <c r="J32" s="448"/>
      <c r="K32" s="448"/>
      <c r="L32" s="448"/>
      <c r="M32" s="448"/>
      <c r="N32" s="448"/>
      <c r="O32" s="448"/>
      <c r="P32" s="448"/>
      <c r="Q32" s="448"/>
      <c r="R32" s="448"/>
      <c r="S32" s="448"/>
      <c r="T32" s="448"/>
      <c r="U32" s="448"/>
      <c r="V32" s="448"/>
      <c r="W32" s="452" t="s">
        <v>1331</v>
      </c>
      <c r="X32" s="448"/>
      <c r="Y32" s="448"/>
      <c r="Z32" s="448"/>
      <c r="AA32" s="448"/>
      <c r="AB32" s="448"/>
      <c r="AC32" s="448"/>
      <c r="AD32" s="448"/>
      <c r="AE32" s="448"/>
      <c r="AF32" s="448"/>
      <c r="AG32" s="448"/>
      <c r="AH32" s="448"/>
      <c r="AI32" s="448"/>
      <c r="AJ32" s="448"/>
      <c r="AK32" s="448"/>
      <c r="AL32" s="448"/>
      <c r="AM32" s="448"/>
      <c r="AN32" s="448"/>
    </row>
    <row r="33" spans="2:40">
      <c r="B33" s="448"/>
      <c r="C33" s="450"/>
      <c r="D33" s="450"/>
      <c r="E33" s="450"/>
      <c r="F33" s="448"/>
      <c r="G33" s="448"/>
      <c r="H33" s="448"/>
      <c r="I33" s="448"/>
      <c r="J33" s="448"/>
      <c r="K33" s="448"/>
      <c r="L33" s="448"/>
      <c r="M33" s="448"/>
      <c r="N33" s="453" t="s">
        <v>1331</v>
      </c>
      <c r="O33" s="448"/>
      <c r="P33" s="448"/>
      <c r="Q33" s="448"/>
      <c r="R33" s="448"/>
      <c r="S33" s="448"/>
      <c r="T33" s="448"/>
      <c r="U33" s="448"/>
      <c r="V33" s="448"/>
      <c r="W33" s="448"/>
      <c r="X33" s="448"/>
      <c r="Y33" s="448"/>
      <c r="Z33" s="448"/>
      <c r="AA33" s="448"/>
      <c r="AB33" s="448"/>
      <c r="AC33" s="448"/>
      <c r="AD33" s="448"/>
      <c r="AE33" s="448"/>
      <c r="AF33" s="448"/>
      <c r="AG33" s="448"/>
      <c r="AH33" s="448"/>
      <c r="AI33" s="448"/>
      <c r="AJ33" s="448"/>
      <c r="AK33" s="448"/>
      <c r="AL33" s="448"/>
      <c r="AM33" s="448"/>
      <c r="AN33" s="448"/>
    </row>
    <row r="34" spans="2:40">
      <c r="B34" s="448"/>
      <c r="C34" s="448"/>
      <c r="D34" s="448"/>
      <c r="E34" s="448"/>
      <c r="F34" s="448"/>
      <c r="G34" s="448"/>
      <c r="H34" s="448"/>
      <c r="I34" s="448"/>
      <c r="J34" s="448"/>
      <c r="K34" s="448"/>
      <c r="L34" s="448"/>
      <c r="M34" s="448"/>
      <c r="N34" s="448"/>
      <c r="O34" s="448"/>
      <c r="P34" s="448"/>
      <c r="Q34" s="448"/>
      <c r="R34" s="448"/>
      <c r="S34" s="448"/>
      <c r="T34" s="448"/>
      <c r="U34" s="448"/>
      <c r="V34" s="448"/>
      <c r="W34" s="448"/>
      <c r="X34" s="448"/>
      <c r="Y34" s="448"/>
      <c r="Z34" s="448"/>
      <c r="AA34" s="448"/>
      <c r="AB34" s="448"/>
      <c r="AC34" s="448"/>
      <c r="AD34" s="448"/>
      <c r="AE34" s="448"/>
      <c r="AF34" s="448"/>
      <c r="AG34" s="448"/>
      <c r="AH34" s="448"/>
      <c r="AI34" s="448" t="s">
        <v>1313</v>
      </c>
      <c r="AJ34" s="448"/>
      <c r="AK34" s="448"/>
      <c r="AL34" s="448"/>
      <c r="AM34" s="448"/>
      <c r="AN34" s="448"/>
    </row>
    <row r="35" spans="2:40">
      <c r="B35" s="448"/>
      <c r="C35" s="448"/>
      <c r="D35" s="448"/>
      <c r="E35" s="448"/>
      <c r="F35" s="448" t="s">
        <v>1314</v>
      </c>
      <c r="G35" s="448"/>
      <c r="H35" s="448"/>
      <c r="I35" s="448"/>
      <c r="J35" s="448"/>
      <c r="K35" s="448"/>
      <c r="L35" s="448"/>
      <c r="M35" s="448"/>
      <c r="N35" s="448"/>
      <c r="O35" s="448"/>
      <c r="P35" s="448"/>
      <c r="Q35" s="448"/>
      <c r="R35" s="448"/>
      <c r="S35" s="448"/>
      <c r="T35" s="448"/>
      <c r="U35" s="448"/>
      <c r="V35" s="448"/>
      <c r="W35" s="448"/>
      <c r="X35" s="448"/>
      <c r="Y35" s="448"/>
      <c r="Z35" s="448"/>
      <c r="AA35" s="448"/>
      <c r="AB35" s="448"/>
      <c r="AC35" s="448"/>
      <c r="AD35" s="448"/>
      <c r="AE35" s="448"/>
      <c r="AF35" s="448"/>
      <c r="AG35" s="448"/>
      <c r="AH35" s="448"/>
      <c r="AI35" s="448" t="s">
        <v>1315</v>
      </c>
      <c r="AJ35" s="448"/>
      <c r="AK35" s="448"/>
      <c r="AL35" s="448"/>
      <c r="AM35" s="448"/>
      <c r="AN35" s="448"/>
    </row>
    <row r="36" spans="2:40">
      <c r="B36" s="448"/>
      <c r="C36" s="448"/>
      <c r="D36" s="448"/>
      <c r="E36" s="448"/>
      <c r="F36" s="448"/>
      <c r="G36" s="448"/>
      <c r="H36" s="448"/>
      <c r="I36" s="448"/>
      <c r="J36" s="448"/>
      <c r="K36" s="448"/>
      <c r="L36" s="448"/>
      <c r="M36" s="448"/>
      <c r="N36" s="448"/>
      <c r="O36" s="448"/>
      <c r="P36" s="448"/>
      <c r="Q36" s="448"/>
      <c r="R36" s="448"/>
      <c r="S36" s="448"/>
      <c r="T36" s="448"/>
      <c r="U36" s="448"/>
      <c r="V36" s="448"/>
      <c r="W36" s="448"/>
      <c r="X36" s="448"/>
      <c r="Y36" s="448"/>
      <c r="Z36" s="448"/>
      <c r="AA36" s="448"/>
      <c r="AB36" s="448"/>
      <c r="AC36" s="448"/>
      <c r="AD36" s="448"/>
      <c r="AE36" s="448"/>
      <c r="AF36" s="448"/>
      <c r="AG36" s="448"/>
      <c r="AH36" s="448"/>
      <c r="AI36" s="448"/>
      <c r="AJ36" s="448"/>
      <c r="AK36" s="448"/>
      <c r="AL36" s="448"/>
      <c r="AM36" s="448"/>
      <c r="AN36" s="448"/>
    </row>
    <row r="37" spans="2:40">
      <c r="B37" s="448"/>
      <c r="C37" s="448"/>
      <c r="D37" s="448"/>
      <c r="E37" s="448"/>
      <c r="F37" s="448"/>
      <c r="G37" s="448"/>
      <c r="H37" s="448" t="s">
        <v>1316</v>
      </c>
      <c r="I37" s="448"/>
      <c r="J37" s="448"/>
      <c r="K37" s="448"/>
      <c r="L37" s="448"/>
      <c r="M37" s="448"/>
      <c r="N37" s="448" t="s">
        <v>1332</v>
      </c>
      <c r="O37" s="448"/>
      <c r="P37" s="448"/>
      <c r="Q37" s="448"/>
      <c r="R37" s="448"/>
      <c r="S37" s="448"/>
      <c r="T37" s="448"/>
      <c r="U37" s="448"/>
      <c r="V37" s="448"/>
      <c r="W37" s="448"/>
      <c r="X37" s="448"/>
      <c r="Y37" s="448"/>
      <c r="Z37" s="448"/>
      <c r="AA37" s="448"/>
      <c r="AB37" s="448" t="s">
        <v>1333</v>
      </c>
      <c r="AC37" s="448"/>
      <c r="AD37" s="448"/>
      <c r="AE37" s="448"/>
      <c r="AF37" s="448"/>
      <c r="AG37" s="448"/>
      <c r="AH37" s="448"/>
      <c r="AI37" s="448" t="s">
        <v>1318</v>
      </c>
      <c r="AJ37" s="448"/>
      <c r="AK37" s="448"/>
      <c r="AL37" s="448"/>
      <c r="AM37" s="448"/>
      <c r="AN37" s="448"/>
    </row>
    <row r="38" spans="2:40">
      <c r="B38" s="448"/>
      <c r="C38" s="448"/>
      <c r="D38" s="448"/>
      <c r="E38" s="448"/>
      <c r="F38" s="448" t="s">
        <v>1319</v>
      </c>
      <c r="G38" s="448"/>
      <c r="H38" s="448"/>
      <c r="I38" s="448"/>
      <c r="J38" s="448"/>
      <c r="K38" s="448"/>
      <c r="L38" s="448"/>
      <c r="M38" s="448"/>
      <c r="N38" s="448"/>
      <c r="O38" s="448"/>
      <c r="P38" s="448"/>
      <c r="Q38" s="448"/>
      <c r="R38" s="448"/>
      <c r="S38" s="448"/>
      <c r="T38" s="448"/>
      <c r="U38" s="448"/>
      <c r="V38" s="448"/>
      <c r="W38" s="448"/>
      <c r="X38" s="448"/>
      <c r="Y38" s="448"/>
      <c r="Z38" s="448"/>
      <c r="AA38" s="448"/>
      <c r="AB38" s="448"/>
      <c r="AC38" s="448"/>
      <c r="AD38" s="448"/>
      <c r="AE38" s="448"/>
      <c r="AF38" s="448"/>
      <c r="AG38" s="448"/>
      <c r="AH38" s="448"/>
      <c r="AI38" s="448" t="s">
        <v>1320</v>
      </c>
      <c r="AJ38" s="448"/>
      <c r="AK38" s="448"/>
      <c r="AL38" s="448"/>
      <c r="AM38" s="448"/>
      <c r="AN38" s="448"/>
    </row>
    <row r="39" spans="2:40">
      <c r="B39" s="448"/>
      <c r="C39" s="448"/>
      <c r="D39" s="448"/>
      <c r="E39" s="448"/>
      <c r="F39" s="448"/>
      <c r="G39" s="448"/>
      <c r="H39" s="448"/>
      <c r="I39" s="448"/>
      <c r="J39" s="448"/>
      <c r="K39" s="448"/>
      <c r="L39" s="448"/>
      <c r="M39" s="448"/>
      <c r="N39" s="448"/>
      <c r="O39" s="448"/>
      <c r="P39" s="448"/>
      <c r="Q39" s="448"/>
      <c r="R39" s="448"/>
      <c r="S39" s="448"/>
      <c r="T39" s="448"/>
      <c r="U39" s="448"/>
      <c r="V39" s="448"/>
      <c r="W39" s="448"/>
      <c r="X39" s="448"/>
      <c r="Y39" s="448"/>
      <c r="Z39" s="448"/>
      <c r="AA39" s="448"/>
      <c r="AB39" s="448"/>
      <c r="AC39" s="448"/>
      <c r="AD39" s="448"/>
      <c r="AE39" s="448"/>
      <c r="AF39" s="448"/>
      <c r="AG39" s="448"/>
      <c r="AH39" s="448"/>
      <c r="AI39" s="448"/>
      <c r="AJ39" s="448"/>
      <c r="AK39" s="448"/>
      <c r="AL39" s="448"/>
      <c r="AM39" s="448"/>
      <c r="AN39" s="448"/>
    </row>
    <row r="40" spans="2:40">
      <c r="B40" s="448"/>
      <c r="C40" s="448"/>
      <c r="D40" s="448"/>
      <c r="E40" s="448"/>
      <c r="F40" s="448"/>
      <c r="G40" s="448"/>
      <c r="H40" s="448"/>
      <c r="I40" s="448"/>
      <c r="J40" s="448"/>
      <c r="K40" s="448"/>
      <c r="L40" s="448"/>
      <c r="M40" s="448"/>
      <c r="N40" s="448"/>
      <c r="O40" s="448"/>
      <c r="P40" s="448"/>
      <c r="Q40" s="448"/>
      <c r="R40" s="448"/>
      <c r="S40" s="448"/>
      <c r="T40" s="448"/>
      <c r="U40" s="448"/>
      <c r="V40" s="448"/>
      <c r="W40" s="448"/>
      <c r="X40" s="448"/>
      <c r="Y40" s="448"/>
      <c r="Z40" s="448"/>
      <c r="AA40" s="448"/>
      <c r="AB40" s="448"/>
      <c r="AC40" s="448"/>
      <c r="AD40" s="448"/>
      <c r="AE40" s="448"/>
      <c r="AF40" s="448"/>
      <c r="AG40" s="448"/>
      <c r="AH40" s="448"/>
      <c r="AI40" s="448" t="s">
        <v>1321</v>
      </c>
      <c r="AJ40" s="448"/>
      <c r="AK40" s="448"/>
      <c r="AL40" s="448"/>
      <c r="AM40" s="448"/>
      <c r="AN40" s="448"/>
    </row>
    <row r="41" spans="2:40">
      <c r="B41" s="448"/>
      <c r="C41" s="448"/>
      <c r="D41" s="448"/>
      <c r="E41" s="448"/>
      <c r="F41" s="448" t="s">
        <v>1322</v>
      </c>
      <c r="G41" s="448"/>
      <c r="H41" s="448"/>
      <c r="I41" s="448"/>
      <c r="J41" s="448"/>
      <c r="K41" s="448"/>
      <c r="L41" s="448"/>
      <c r="M41" s="448"/>
      <c r="N41" s="448"/>
      <c r="O41" s="448"/>
      <c r="P41" s="448"/>
      <c r="Q41" s="448"/>
      <c r="R41" s="448"/>
      <c r="S41" s="448"/>
      <c r="T41" s="448"/>
      <c r="U41" s="448"/>
      <c r="V41" s="448"/>
      <c r="W41" s="448"/>
      <c r="X41" s="448"/>
      <c r="Y41" s="448"/>
      <c r="Z41" s="448"/>
      <c r="AA41" s="448"/>
      <c r="AB41" s="448"/>
      <c r="AC41" s="448"/>
      <c r="AD41" s="448"/>
      <c r="AE41" s="448"/>
      <c r="AF41" s="448"/>
      <c r="AG41" s="448"/>
      <c r="AH41" s="448"/>
      <c r="AI41" s="448" t="s">
        <v>1323</v>
      </c>
      <c r="AJ41" s="448"/>
      <c r="AK41" s="448"/>
      <c r="AL41" s="448"/>
      <c r="AM41" s="448"/>
      <c r="AN41" s="448"/>
    </row>
    <row r="42" spans="2:40">
      <c r="B42" s="448"/>
      <c r="C42" s="448"/>
      <c r="D42" s="448"/>
      <c r="E42" s="448"/>
      <c r="F42" s="448"/>
      <c r="G42" s="448"/>
      <c r="H42" s="448"/>
      <c r="I42" s="448"/>
      <c r="J42" s="448"/>
      <c r="K42" s="448"/>
      <c r="L42" s="448"/>
      <c r="M42" s="448"/>
      <c r="N42" s="448"/>
      <c r="O42" s="448"/>
      <c r="P42" s="448"/>
      <c r="Q42" s="448"/>
      <c r="R42" s="448"/>
      <c r="S42" s="448"/>
      <c r="T42" s="448"/>
      <c r="U42" s="448"/>
      <c r="V42" s="448"/>
      <c r="W42" s="448"/>
      <c r="X42" s="448"/>
      <c r="Y42" s="448"/>
      <c r="Z42" s="448"/>
      <c r="AA42" s="448"/>
      <c r="AB42" s="448"/>
      <c r="AC42" s="448"/>
      <c r="AD42" s="448"/>
      <c r="AE42" s="448"/>
      <c r="AF42" s="448"/>
      <c r="AG42" s="448"/>
      <c r="AH42" s="448"/>
      <c r="AI42" s="448"/>
      <c r="AJ42" s="448"/>
      <c r="AK42" s="448"/>
      <c r="AL42" s="448"/>
      <c r="AM42" s="448"/>
      <c r="AN42" s="448"/>
    </row>
    <row r="43" spans="2:40">
      <c r="B43" s="448"/>
      <c r="C43" s="448"/>
      <c r="D43" s="448"/>
      <c r="E43" s="448"/>
      <c r="F43" s="448"/>
      <c r="G43" s="448"/>
      <c r="H43" s="448"/>
      <c r="I43" s="448"/>
      <c r="J43" s="448"/>
      <c r="K43" s="448"/>
      <c r="L43" s="448"/>
      <c r="M43" s="448"/>
      <c r="N43" s="448"/>
      <c r="O43" s="448"/>
      <c r="P43" s="448"/>
      <c r="Q43" s="448"/>
      <c r="R43" s="448"/>
      <c r="S43" s="448"/>
      <c r="T43" s="448"/>
      <c r="U43" s="448"/>
      <c r="V43" s="448"/>
      <c r="W43" s="448"/>
      <c r="X43" s="448"/>
      <c r="Y43" s="448"/>
      <c r="Z43" s="448"/>
      <c r="AA43" s="448"/>
      <c r="AB43" s="448"/>
      <c r="AC43" s="448"/>
      <c r="AD43" s="448"/>
      <c r="AE43" s="448"/>
      <c r="AF43" s="448"/>
      <c r="AG43" s="448"/>
      <c r="AH43" s="448"/>
      <c r="AI43" s="451" t="s">
        <v>1318</v>
      </c>
      <c r="AJ43" s="448"/>
      <c r="AK43" s="448"/>
      <c r="AL43" s="448"/>
      <c r="AM43" s="448"/>
      <c r="AN43" s="448"/>
    </row>
    <row r="44" spans="2:40">
      <c r="B44" s="448"/>
      <c r="C44" s="448"/>
      <c r="D44" s="448"/>
      <c r="E44" s="448"/>
      <c r="F44" s="448" t="s">
        <v>1327</v>
      </c>
      <c r="G44" s="448"/>
      <c r="H44" s="448"/>
      <c r="I44" s="448"/>
      <c r="J44" s="448"/>
      <c r="K44" s="448"/>
      <c r="L44" s="448"/>
      <c r="M44" s="448"/>
      <c r="N44" s="448"/>
      <c r="O44" s="448"/>
      <c r="P44" s="448"/>
      <c r="Q44" s="448"/>
      <c r="R44" s="448"/>
      <c r="S44" s="448"/>
      <c r="T44" s="448"/>
      <c r="U44" s="448"/>
      <c r="V44" s="448"/>
      <c r="W44" s="448"/>
      <c r="X44" s="448"/>
      <c r="Y44" s="448"/>
      <c r="Z44" s="448"/>
      <c r="AA44" s="448"/>
      <c r="AB44" s="448"/>
      <c r="AC44" s="448"/>
      <c r="AD44" s="448"/>
      <c r="AE44" s="448"/>
      <c r="AF44" s="448"/>
      <c r="AG44" s="448"/>
      <c r="AH44" s="448"/>
      <c r="AI44" s="451" t="s">
        <v>1320</v>
      </c>
      <c r="AJ44" s="448"/>
      <c r="AK44" s="448"/>
      <c r="AL44" s="448"/>
      <c r="AM44" s="448"/>
      <c r="AN44" s="448"/>
    </row>
    <row r="45" spans="2:40">
      <c r="B45" s="448"/>
      <c r="C45" s="448"/>
      <c r="D45" s="448"/>
      <c r="E45" s="448"/>
      <c r="F45" s="448"/>
      <c r="G45" s="448"/>
      <c r="H45" s="448"/>
      <c r="I45" s="448"/>
      <c r="J45" s="448"/>
      <c r="K45" s="448"/>
      <c r="L45" s="448"/>
      <c r="M45" s="448"/>
      <c r="N45" s="448"/>
      <c r="O45" s="448"/>
      <c r="P45" s="448"/>
      <c r="Q45" s="448"/>
      <c r="R45" s="448"/>
      <c r="S45" s="448"/>
      <c r="T45" s="448"/>
      <c r="U45" s="448"/>
      <c r="V45" s="448"/>
      <c r="W45" s="448"/>
      <c r="X45" s="448"/>
      <c r="Y45" s="448"/>
      <c r="Z45" s="448"/>
      <c r="AA45" s="448"/>
      <c r="AB45" s="448"/>
      <c r="AC45" s="448"/>
      <c r="AD45" s="448"/>
      <c r="AE45" s="448"/>
      <c r="AF45" s="448"/>
      <c r="AG45" s="448"/>
      <c r="AH45" s="448"/>
      <c r="AI45" s="448"/>
      <c r="AJ45" s="448"/>
      <c r="AK45" s="448"/>
      <c r="AL45" s="448"/>
      <c r="AM45" s="448"/>
      <c r="AN45" s="448"/>
    </row>
    <row r="48" spans="2:40" ht="17.399999999999999">
      <c r="B48" s="447" t="s">
        <v>1334</v>
      </c>
      <c r="C48" s="448"/>
      <c r="D48" s="448"/>
      <c r="E48" s="448"/>
      <c r="F48" s="448"/>
      <c r="G48" s="448"/>
      <c r="H48" s="448"/>
      <c r="I48" s="448"/>
      <c r="J48" s="448"/>
      <c r="K48" s="448"/>
      <c r="L48" s="448"/>
      <c r="M48" s="448"/>
      <c r="N48" s="448"/>
      <c r="O48" s="448"/>
      <c r="P48" s="448"/>
      <c r="Q48" s="448"/>
      <c r="R48" s="448"/>
      <c r="S48" s="448"/>
      <c r="T48" s="448"/>
      <c r="U48" s="448"/>
      <c r="V48" s="448"/>
      <c r="W48" s="448"/>
      <c r="X48" s="448"/>
      <c r="Y48" s="448"/>
      <c r="Z48" s="448"/>
      <c r="AA48" s="448"/>
      <c r="AB48" s="448"/>
      <c r="AC48" s="448"/>
      <c r="AD48" s="448"/>
      <c r="AE48" s="448"/>
      <c r="AF48" s="448"/>
      <c r="AG48" s="448"/>
      <c r="AH48" s="448"/>
      <c r="AI48" s="448"/>
      <c r="AJ48" s="448"/>
      <c r="AK48" s="448"/>
      <c r="AL48" s="448"/>
      <c r="AM48" s="448"/>
      <c r="AN48" s="448"/>
    </row>
    <row r="49" spans="2:40">
      <c r="B49" s="448"/>
      <c r="C49" s="450"/>
      <c r="D49" s="450"/>
      <c r="E49" s="450"/>
      <c r="F49" s="448"/>
      <c r="G49" s="448"/>
      <c r="H49" s="448"/>
      <c r="I49" s="448"/>
      <c r="J49" s="448"/>
      <c r="K49" s="448"/>
      <c r="L49" s="448"/>
      <c r="M49" s="448"/>
      <c r="N49" s="448" t="s">
        <v>1316</v>
      </c>
      <c r="O49" s="448"/>
      <c r="P49" s="448"/>
      <c r="Q49" s="448"/>
      <c r="R49" s="448"/>
      <c r="S49" s="448"/>
      <c r="T49" s="448"/>
      <c r="U49" s="448"/>
      <c r="V49" s="448"/>
      <c r="W49" s="448"/>
      <c r="X49" s="448"/>
      <c r="Y49" s="448"/>
      <c r="Z49" s="448"/>
      <c r="AA49" s="453" t="s">
        <v>1316</v>
      </c>
      <c r="AB49" s="448"/>
      <c r="AC49" s="448"/>
      <c r="AD49" s="448"/>
      <c r="AE49" s="448"/>
      <c r="AF49" s="448"/>
      <c r="AG49" s="448"/>
      <c r="AH49" s="448"/>
      <c r="AI49" s="448"/>
      <c r="AJ49" s="448"/>
      <c r="AK49" s="448"/>
      <c r="AL49" s="448"/>
      <c r="AM49" s="448"/>
      <c r="AN49" s="448"/>
    </row>
    <row r="50" spans="2:40">
      <c r="B50" s="448"/>
      <c r="C50" s="448"/>
      <c r="D50" s="448"/>
      <c r="E50" s="448"/>
      <c r="F50" s="448"/>
      <c r="G50" s="448"/>
      <c r="H50" s="448"/>
      <c r="I50" s="448"/>
      <c r="J50" s="448"/>
      <c r="K50" s="448"/>
      <c r="L50" s="448"/>
      <c r="M50" s="448"/>
      <c r="N50" s="448"/>
      <c r="O50" s="448"/>
      <c r="P50" s="448"/>
      <c r="Q50" s="448"/>
      <c r="R50" s="448"/>
      <c r="S50" s="448"/>
      <c r="T50" s="448"/>
      <c r="U50" s="448"/>
      <c r="V50" s="448"/>
      <c r="W50" s="448"/>
      <c r="X50" s="448"/>
      <c r="Y50" s="448"/>
      <c r="Z50" s="448"/>
      <c r="AA50" s="448"/>
      <c r="AB50" s="448"/>
      <c r="AC50" s="448"/>
      <c r="AD50" s="448"/>
      <c r="AE50" s="448"/>
      <c r="AF50" s="448"/>
      <c r="AG50" s="448"/>
      <c r="AH50" s="448"/>
      <c r="AI50" s="448" t="s">
        <v>1313</v>
      </c>
      <c r="AJ50" s="448"/>
      <c r="AK50" s="448"/>
      <c r="AL50" s="448"/>
      <c r="AM50" s="448"/>
      <c r="AN50" s="448"/>
    </row>
    <row r="51" spans="2:40">
      <c r="B51" s="448"/>
      <c r="C51" s="448"/>
      <c r="D51" s="448"/>
      <c r="E51" s="448"/>
      <c r="F51" s="448" t="s">
        <v>1314</v>
      </c>
      <c r="G51" s="448"/>
      <c r="H51" s="448"/>
      <c r="I51" s="448"/>
      <c r="J51" s="448"/>
      <c r="K51" s="448"/>
      <c r="L51" s="448"/>
      <c r="M51" s="448"/>
      <c r="N51" s="448"/>
      <c r="O51" s="448"/>
      <c r="P51" s="448"/>
      <c r="Q51" s="448"/>
      <c r="R51" s="448"/>
      <c r="S51" s="448"/>
      <c r="T51" s="448"/>
      <c r="U51" s="448"/>
      <c r="V51" s="448"/>
      <c r="W51" s="448"/>
      <c r="X51" s="448"/>
      <c r="Y51" s="448"/>
      <c r="Z51" s="448"/>
      <c r="AA51" s="448"/>
      <c r="AB51" s="448"/>
      <c r="AC51" s="448"/>
      <c r="AD51" s="448"/>
      <c r="AE51" s="448"/>
      <c r="AF51" s="448"/>
      <c r="AG51" s="448"/>
      <c r="AH51" s="448"/>
      <c r="AI51" s="448" t="s">
        <v>1315</v>
      </c>
      <c r="AJ51" s="448"/>
      <c r="AK51" s="448"/>
      <c r="AL51" s="448"/>
      <c r="AM51" s="448"/>
      <c r="AN51" s="448"/>
    </row>
    <row r="52" spans="2:40">
      <c r="B52" s="448"/>
      <c r="C52" s="448"/>
      <c r="D52" s="448"/>
      <c r="E52" s="448"/>
      <c r="F52" s="448"/>
      <c r="G52" s="448"/>
      <c r="H52" s="448"/>
      <c r="I52" s="448"/>
      <c r="J52" s="448"/>
      <c r="K52" s="448"/>
      <c r="L52" s="448"/>
      <c r="M52" s="448"/>
      <c r="N52" s="448"/>
      <c r="O52" s="448"/>
      <c r="P52" s="448"/>
      <c r="Q52" s="448"/>
      <c r="R52" s="448"/>
      <c r="S52" s="448"/>
      <c r="T52" s="448"/>
      <c r="U52" s="448"/>
      <c r="V52" s="448"/>
      <c r="W52" s="448"/>
      <c r="X52" s="448"/>
      <c r="Y52" s="448"/>
      <c r="Z52" s="448"/>
      <c r="AA52" s="448"/>
      <c r="AB52" s="448"/>
      <c r="AC52" s="448"/>
      <c r="AD52" s="448"/>
      <c r="AE52" s="448"/>
      <c r="AF52" s="448"/>
      <c r="AG52" s="448"/>
      <c r="AH52" s="448"/>
      <c r="AI52" s="448"/>
      <c r="AJ52" s="448"/>
      <c r="AK52" s="448"/>
      <c r="AL52" s="448"/>
      <c r="AM52" s="448"/>
      <c r="AN52" s="448"/>
    </row>
    <row r="53" spans="2:40">
      <c r="B53" s="448"/>
      <c r="C53" s="448"/>
      <c r="D53" s="448"/>
      <c r="E53" s="448"/>
      <c r="F53" s="448"/>
      <c r="G53" s="448"/>
      <c r="H53" s="448"/>
      <c r="I53" s="448"/>
      <c r="J53" s="448"/>
      <c r="K53" s="448"/>
      <c r="L53" s="448"/>
      <c r="M53" s="448"/>
      <c r="N53" s="448"/>
      <c r="O53" s="448"/>
      <c r="P53" s="448"/>
      <c r="Q53" s="448"/>
      <c r="R53" s="448"/>
      <c r="S53" s="448"/>
      <c r="T53" s="448"/>
      <c r="U53" s="448" t="s">
        <v>1335</v>
      </c>
      <c r="V53" s="448"/>
      <c r="W53" s="448"/>
      <c r="X53" s="448"/>
      <c r="Y53" s="453" t="s">
        <v>1336</v>
      </c>
      <c r="Z53" s="448"/>
      <c r="AA53" s="448"/>
      <c r="AB53" s="448"/>
      <c r="AC53" s="448"/>
      <c r="AD53" s="448"/>
      <c r="AE53" s="448"/>
      <c r="AF53" s="448"/>
      <c r="AG53" s="448"/>
      <c r="AH53" s="448"/>
      <c r="AI53" s="448" t="s">
        <v>1318</v>
      </c>
      <c r="AJ53" s="448"/>
      <c r="AK53" s="448"/>
      <c r="AL53" s="448"/>
      <c r="AM53" s="448"/>
      <c r="AN53" s="448"/>
    </row>
    <row r="54" spans="2:40">
      <c r="B54" s="448"/>
      <c r="C54" s="448"/>
      <c r="D54" s="448"/>
      <c r="E54" s="448"/>
      <c r="F54" s="448" t="s">
        <v>1319</v>
      </c>
      <c r="G54" s="448"/>
      <c r="H54" s="448"/>
      <c r="I54" s="448"/>
      <c r="J54" s="448"/>
      <c r="K54" s="448"/>
      <c r="L54" s="448"/>
      <c r="M54" s="448"/>
      <c r="N54" s="448"/>
      <c r="O54" s="448"/>
      <c r="P54" s="448"/>
      <c r="Q54" s="448"/>
      <c r="R54" s="448"/>
      <c r="S54" s="448"/>
      <c r="T54" s="448"/>
      <c r="U54" s="448"/>
      <c r="V54" s="448"/>
      <c r="W54" s="448"/>
      <c r="X54" s="448"/>
      <c r="Y54" s="448"/>
      <c r="Z54" s="448"/>
      <c r="AA54" s="448"/>
      <c r="AB54" s="448"/>
      <c r="AC54" s="448"/>
      <c r="AD54" s="448"/>
      <c r="AE54" s="448"/>
      <c r="AF54" s="448"/>
      <c r="AG54" s="448"/>
      <c r="AH54" s="448"/>
      <c r="AI54" s="448" t="s">
        <v>1320</v>
      </c>
      <c r="AJ54" s="448"/>
      <c r="AK54" s="448"/>
      <c r="AL54" s="448"/>
      <c r="AM54" s="448"/>
      <c r="AN54" s="448"/>
    </row>
    <row r="55" spans="2:40">
      <c r="B55" s="448"/>
      <c r="C55" s="448"/>
      <c r="D55" s="448"/>
      <c r="E55" s="448"/>
      <c r="F55" s="448"/>
      <c r="G55" s="448"/>
      <c r="H55" s="448"/>
      <c r="I55" s="448"/>
      <c r="J55" s="448"/>
      <c r="K55" s="448"/>
      <c r="L55" s="448"/>
      <c r="M55" s="448"/>
      <c r="N55" s="448"/>
      <c r="O55" s="448"/>
      <c r="P55" s="448"/>
      <c r="Q55" s="448"/>
      <c r="R55" s="448"/>
      <c r="S55" s="448"/>
      <c r="T55" s="448"/>
      <c r="U55" s="448"/>
      <c r="V55" s="448"/>
      <c r="W55" s="448"/>
      <c r="X55" s="448"/>
      <c r="Y55" s="448"/>
      <c r="Z55" s="448"/>
      <c r="AA55" s="448"/>
      <c r="AB55" s="448"/>
      <c r="AC55" s="448"/>
      <c r="AD55" s="448"/>
      <c r="AE55" s="448"/>
      <c r="AF55" s="448"/>
      <c r="AG55" s="448"/>
      <c r="AH55" s="448"/>
      <c r="AI55" s="448"/>
      <c r="AJ55" s="448"/>
      <c r="AK55" s="448"/>
      <c r="AL55" s="448"/>
      <c r="AM55" s="448"/>
      <c r="AN55" s="448"/>
    </row>
    <row r="56" spans="2:40">
      <c r="B56" s="448"/>
      <c r="C56" s="448"/>
      <c r="D56" s="448"/>
      <c r="E56" s="448"/>
      <c r="F56" s="448"/>
      <c r="G56" s="448"/>
      <c r="H56" s="448"/>
      <c r="I56" s="448"/>
      <c r="J56" s="448"/>
      <c r="K56" s="448"/>
      <c r="L56" s="448"/>
      <c r="M56" s="448"/>
      <c r="N56" s="448"/>
      <c r="O56" s="448"/>
      <c r="P56" s="448"/>
      <c r="Q56" s="448"/>
      <c r="R56" s="448"/>
      <c r="S56" s="448"/>
      <c r="T56" s="448"/>
      <c r="U56" s="448"/>
      <c r="V56" s="448"/>
      <c r="W56" s="448"/>
      <c r="X56" s="448"/>
      <c r="Y56" s="448"/>
      <c r="Z56" s="448"/>
      <c r="AA56" s="448"/>
      <c r="AB56" s="448"/>
      <c r="AC56" s="448"/>
      <c r="AD56" s="448"/>
      <c r="AE56" s="448"/>
      <c r="AF56" s="448"/>
      <c r="AG56" s="448"/>
      <c r="AH56" s="448"/>
      <c r="AI56" s="448" t="s">
        <v>1321</v>
      </c>
      <c r="AJ56" s="448"/>
      <c r="AK56" s="448"/>
      <c r="AL56" s="448"/>
      <c r="AM56" s="448"/>
      <c r="AN56" s="448"/>
    </row>
    <row r="57" spans="2:40">
      <c r="B57" s="448"/>
      <c r="C57" s="448"/>
      <c r="D57" s="448"/>
      <c r="E57" s="448"/>
      <c r="F57" s="448" t="s">
        <v>1322</v>
      </c>
      <c r="G57" s="448"/>
      <c r="H57" s="448"/>
      <c r="I57" s="448"/>
      <c r="J57" s="448"/>
      <c r="K57" s="448"/>
      <c r="L57" s="448"/>
      <c r="M57" s="448"/>
      <c r="N57" s="448"/>
      <c r="O57" s="448"/>
      <c r="P57" s="448"/>
      <c r="Q57" s="448"/>
      <c r="R57" s="448"/>
      <c r="S57" s="448"/>
      <c r="T57" s="448"/>
      <c r="U57" s="448"/>
      <c r="V57" s="448"/>
      <c r="W57" s="448"/>
      <c r="X57" s="448"/>
      <c r="Y57" s="448"/>
      <c r="Z57" s="448"/>
      <c r="AA57" s="448"/>
      <c r="AB57" s="448"/>
      <c r="AC57" s="448"/>
      <c r="AD57" s="448"/>
      <c r="AE57" s="448"/>
      <c r="AF57" s="448"/>
      <c r="AG57" s="448"/>
      <c r="AH57" s="448"/>
      <c r="AI57" s="448" t="s">
        <v>1323</v>
      </c>
      <c r="AJ57" s="448"/>
      <c r="AK57" s="448"/>
      <c r="AL57" s="448"/>
      <c r="AM57" s="448"/>
      <c r="AN57" s="448"/>
    </row>
    <row r="58" spans="2:40">
      <c r="B58" s="448"/>
      <c r="C58" s="448"/>
      <c r="D58" s="448"/>
      <c r="E58" s="448"/>
      <c r="F58" s="448"/>
      <c r="G58" s="448"/>
      <c r="H58" s="448"/>
      <c r="I58" s="448"/>
      <c r="J58" s="448"/>
      <c r="K58" s="448"/>
      <c r="L58" s="448"/>
      <c r="M58" s="448"/>
      <c r="N58" s="448"/>
      <c r="O58" s="448"/>
      <c r="P58" s="448"/>
      <c r="Q58" s="448"/>
      <c r="R58" s="448"/>
      <c r="S58" s="448"/>
      <c r="T58" s="448"/>
      <c r="U58" s="448"/>
      <c r="V58" s="448"/>
      <c r="W58" s="448"/>
      <c r="X58" s="448"/>
      <c r="Y58" s="448"/>
      <c r="Z58" s="448"/>
      <c r="AA58" s="448"/>
      <c r="AB58" s="448"/>
      <c r="AC58" s="448"/>
      <c r="AD58" s="448"/>
      <c r="AE58" s="448"/>
      <c r="AF58" s="448"/>
      <c r="AG58" s="448"/>
      <c r="AH58" s="448"/>
      <c r="AI58" s="448"/>
      <c r="AJ58" s="448"/>
      <c r="AK58" s="448"/>
      <c r="AL58" s="448"/>
      <c r="AM58" s="448"/>
      <c r="AN58" s="448"/>
    </row>
    <row r="59" spans="2:40">
      <c r="B59" s="448"/>
      <c r="C59" s="448"/>
      <c r="D59" s="448"/>
      <c r="E59" s="448"/>
      <c r="F59" s="448"/>
      <c r="G59" s="448"/>
      <c r="H59" s="448"/>
      <c r="I59" s="448"/>
      <c r="J59" s="448"/>
      <c r="K59" s="448"/>
      <c r="L59" s="448"/>
      <c r="M59" s="448"/>
      <c r="N59" s="448"/>
      <c r="O59" s="448"/>
      <c r="P59" s="448"/>
      <c r="Q59" s="448"/>
      <c r="R59" s="448"/>
      <c r="S59" s="448"/>
      <c r="T59" s="448"/>
      <c r="U59" s="448"/>
      <c r="V59" s="448"/>
      <c r="W59" s="448"/>
      <c r="X59" s="448"/>
      <c r="Y59" s="448"/>
      <c r="Z59" s="448"/>
      <c r="AA59" s="448"/>
      <c r="AB59" s="448"/>
      <c r="AC59" s="448"/>
      <c r="AD59" s="448"/>
      <c r="AE59" s="448"/>
      <c r="AF59" s="448"/>
      <c r="AG59" s="448"/>
      <c r="AH59" s="448"/>
      <c r="AI59" s="448" t="s">
        <v>1324</v>
      </c>
      <c r="AJ59" s="448"/>
      <c r="AK59" s="448"/>
      <c r="AL59" s="448"/>
      <c r="AM59" s="448"/>
      <c r="AN59" s="448"/>
    </row>
    <row r="60" spans="2:40">
      <c r="B60" s="448"/>
      <c r="C60" s="448"/>
      <c r="D60" s="448"/>
      <c r="E60" s="448"/>
      <c r="F60" s="448" t="s">
        <v>1325</v>
      </c>
      <c r="G60" s="448"/>
      <c r="H60" s="448"/>
      <c r="I60" s="448"/>
      <c r="J60" s="448"/>
      <c r="K60" s="448"/>
      <c r="L60" s="448"/>
      <c r="M60" s="448"/>
      <c r="N60" s="448"/>
      <c r="O60" s="448"/>
      <c r="P60" s="448"/>
      <c r="Q60" s="448"/>
      <c r="R60" s="448"/>
      <c r="S60" s="448"/>
      <c r="T60" s="448"/>
      <c r="U60" s="448"/>
      <c r="V60" s="448"/>
      <c r="W60" s="448"/>
      <c r="X60" s="448"/>
      <c r="Y60" s="448"/>
      <c r="Z60" s="448"/>
      <c r="AA60" s="448"/>
      <c r="AB60" s="448"/>
      <c r="AC60" s="448"/>
      <c r="AD60" s="448"/>
      <c r="AE60" s="448"/>
      <c r="AF60" s="448"/>
      <c r="AG60" s="448"/>
      <c r="AH60" s="448"/>
      <c r="AI60" s="451" t="s">
        <v>1326</v>
      </c>
      <c r="AJ60" s="448"/>
      <c r="AK60" s="448"/>
      <c r="AL60" s="448"/>
      <c r="AM60" s="448"/>
      <c r="AN60" s="448"/>
    </row>
    <row r="61" spans="2:40">
      <c r="B61" s="448"/>
      <c r="C61" s="448"/>
      <c r="D61" s="448"/>
      <c r="E61" s="448"/>
      <c r="F61" s="448"/>
      <c r="G61" s="448"/>
      <c r="H61" s="448"/>
      <c r="I61" s="448"/>
      <c r="J61" s="448"/>
      <c r="K61" s="448"/>
      <c r="L61" s="448"/>
      <c r="M61" s="448"/>
      <c r="N61" s="448"/>
      <c r="O61" s="448"/>
      <c r="P61" s="448"/>
      <c r="Q61" s="448"/>
      <c r="R61" s="448"/>
      <c r="S61" s="448"/>
      <c r="T61" s="448"/>
      <c r="U61" s="448"/>
      <c r="V61" s="448"/>
      <c r="W61" s="448"/>
      <c r="X61" s="448"/>
      <c r="Y61" s="448"/>
      <c r="Z61" s="448"/>
      <c r="AA61" s="448"/>
      <c r="AB61" s="448"/>
      <c r="AC61" s="448"/>
      <c r="AD61" s="448"/>
      <c r="AE61" s="448"/>
      <c r="AF61" s="448"/>
      <c r="AG61" s="448"/>
      <c r="AH61" s="448"/>
      <c r="AI61" s="451"/>
      <c r="AJ61" s="448"/>
      <c r="AK61" s="448"/>
      <c r="AL61" s="448"/>
      <c r="AM61" s="448"/>
      <c r="AN61" s="448"/>
    </row>
    <row r="62" spans="2:40">
      <c r="B62" s="448"/>
      <c r="C62" s="448"/>
      <c r="D62" s="448"/>
      <c r="E62" s="448"/>
      <c r="F62" s="448"/>
      <c r="G62" s="448"/>
      <c r="H62" s="448"/>
      <c r="I62" s="448"/>
      <c r="J62" s="448"/>
      <c r="K62" s="448"/>
      <c r="L62" s="448"/>
      <c r="M62" s="448"/>
      <c r="N62" s="448"/>
      <c r="O62" s="448"/>
      <c r="P62" s="448"/>
      <c r="Q62" s="448"/>
      <c r="R62" s="448"/>
      <c r="S62" s="448"/>
      <c r="T62" s="448"/>
      <c r="U62" s="448"/>
      <c r="V62" s="448"/>
      <c r="W62" s="448"/>
      <c r="X62" s="448"/>
      <c r="Y62" s="448"/>
      <c r="Z62" s="448"/>
      <c r="AA62" s="448"/>
      <c r="AB62" s="448"/>
      <c r="AC62" s="448"/>
      <c r="AD62" s="448"/>
      <c r="AE62" s="448"/>
      <c r="AF62" s="448"/>
      <c r="AG62" s="448"/>
      <c r="AH62" s="448"/>
      <c r="AI62" s="451" t="s">
        <v>1318</v>
      </c>
      <c r="AJ62" s="448"/>
      <c r="AK62" s="448"/>
      <c r="AL62" s="448"/>
      <c r="AM62" s="448"/>
      <c r="AN62" s="448"/>
    </row>
    <row r="63" spans="2:40">
      <c r="B63" s="448"/>
      <c r="C63" s="448"/>
      <c r="D63" s="448"/>
      <c r="E63" s="448"/>
      <c r="F63" s="448" t="s">
        <v>1327</v>
      </c>
      <c r="G63" s="448"/>
      <c r="H63" s="448"/>
      <c r="I63" s="448"/>
      <c r="J63" s="448"/>
      <c r="K63" s="448"/>
      <c r="L63" s="448"/>
      <c r="M63" s="448"/>
      <c r="N63" s="448"/>
      <c r="O63" s="448"/>
      <c r="P63" s="448"/>
      <c r="Q63" s="448"/>
      <c r="R63" s="448"/>
      <c r="S63" s="448"/>
      <c r="T63" s="448"/>
      <c r="U63" s="448"/>
      <c r="V63" s="448"/>
      <c r="W63" s="448"/>
      <c r="X63" s="448"/>
      <c r="Y63" s="448"/>
      <c r="Z63" s="448"/>
      <c r="AA63" s="448"/>
      <c r="AB63" s="448"/>
      <c r="AC63" s="448"/>
      <c r="AD63" s="448"/>
      <c r="AE63" s="448"/>
      <c r="AF63" s="448"/>
      <c r="AG63" s="448"/>
      <c r="AH63" s="448"/>
      <c r="AI63" s="451" t="s">
        <v>1320</v>
      </c>
      <c r="AJ63" s="448"/>
      <c r="AK63" s="448"/>
      <c r="AL63" s="448"/>
      <c r="AM63" s="448"/>
      <c r="AN63" s="448"/>
    </row>
    <row r="64" spans="2:40">
      <c r="B64" s="448"/>
      <c r="C64" s="448"/>
      <c r="D64" s="448"/>
      <c r="E64" s="448"/>
      <c r="F64" s="448"/>
      <c r="G64" s="448"/>
      <c r="H64" s="448"/>
      <c r="I64" s="448"/>
      <c r="J64" s="448"/>
      <c r="K64" s="448"/>
      <c r="L64" s="448"/>
      <c r="M64" s="448"/>
      <c r="N64" s="448"/>
      <c r="O64" s="448"/>
      <c r="P64" s="448"/>
      <c r="Q64" s="448"/>
      <c r="R64" s="448"/>
      <c r="S64" s="448"/>
      <c r="T64" s="448"/>
      <c r="U64" s="448"/>
      <c r="V64" s="448"/>
      <c r="W64" s="448"/>
      <c r="X64" s="448"/>
      <c r="Y64" s="448"/>
      <c r="Z64" s="448"/>
      <c r="AA64" s="448"/>
      <c r="AB64" s="448"/>
      <c r="AC64" s="448"/>
      <c r="AD64" s="448"/>
      <c r="AE64" s="448"/>
      <c r="AF64" s="448"/>
      <c r="AG64" s="448"/>
      <c r="AH64" s="448"/>
      <c r="AI64" s="448"/>
      <c r="AJ64" s="448"/>
      <c r="AK64" s="448"/>
      <c r="AL64" s="448"/>
      <c r="AM64" s="448"/>
      <c r="AN64" s="448"/>
    </row>
  </sheetData>
  <phoneticPr fontId="13"/>
  <pageMargins left="0.7" right="0.7" top="0.75" bottom="0.75" header="0.3" footer="0.3"/>
  <pageSetup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CC7B3C-C4A0-42BB-ACFB-FF939162A984}">
  <sheetPr codeName="Sheet11"/>
  <dimension ref="B2:O41"/>
  <sheetViews>
    <sheetView zoomScale="85" zoomScaleNormal="85" workbookViewId="0">
      <selection activeCell="M10" sqref="M10"/>
    </sheetView>
  </sheetViews>
  <sheetFormatPr defaultColWidth="9.125" defaultRowHeight="11.4"/>
  <cols>
    <col min="1" max="2" width="2.75" style="950" customWidth="1"/>
    <col min="3" max="3" width="14" style="950" bestFit="1" customWidth="1"/>
    <col min="4" max="4" width="30.625" style="950" bestFit="1" customWidth="1"/>
    <col min="5" max="5" width="11" style="950" bestFit="1" customWidth="1"/>
    <col min="6" max="6" width="3.75" style="950" bestFit="1" customWidth="1"/>
    <col min="7" max="7" width="8.75" style="950" bestFit="1" customWidth="1"/>
    <col min="8" max="8" width="9" style="950" bestFit="1" customWidth="1"/>
    <col min="9" max="9" width="47.125" style="950" bestFit="1" customWidth="1"/>
    <col min="10" max="11" width="9" style="950" customWidth="1"/>
    <col min="12" max="12" width="2.75" style="950" customWidth="1"/>
    <col min="13" max="13" width="10" style="953" customWidth="1"/>
    <col min="14" max="14" width="36.375" style="950" bestFit="1" customWidth="1"/>
    <col min="15" max="15" width="15.75" style="950" bestFit="1" customWidth="1"/>
    <col min="16" max="16384" width="9.125" style="950"/>
  </cols>
  <sheetData>
    <row r="2" spans="2:15">
      <c r="B2" s="955" t="s">
        <v>2169</v>
      </c>
      <c r="L2" s="956" t="s">
        <v>2170</v>
      </c>
    </row>
    <row r="3" spans="2:15">
      <c r="C3" s="950" t="s">
        <v>2074</v>
      </c>
      <c r="D3" s="950" t="s">
        <v>1828</v>
      </c>
      <c r="E3" s="950" t="s">
        <v>2139</v>
      </c>
      <c r="F3" s="950">
        <v>3</v>
      </c>
      <c r="G3" s="950" t="s">
        <v>2140</v>
      </c>
      <c r="H3" s="950" t="s">
        <v>2075</v>
      </c>
      <c r="I3" s="950" t="s">
        <v>2164</v>
      </c>
      <c r="M3" s="952" t="s">
        <v>2144</v>
      </c>
      <c r="N3" s="950" t="s">
        <v>2142</v>
      </c>
    </row>
    <row r="4" spans="2:15">
      <c r="C4" s="950" t="s">
        <v>2074</v>
      </c>
      <c r="D4" s="950" t="s">
        <v>1827</v>
      </c>
      <c r="E4" s="950" t="s">
        <v>2139</v>
      </c>
      <c r="F4" s="950">
        <v>4</v>
      </c>
      <c r="G4" s="950" t="s">
        <v>2140</v>
      </c>
      <c r="H4" s="950" t="s">
        <v>2076</v>
      </c>
      <c r="I4" s="950" t="s">
        <v>2164</v>
      </c>
      <c r="M4" s="952" t="s">
        <v>2145</v>
      </c>
      <c r="N4" s="950" t="s">
        <v>2141</v>
      </c>
    </row>
    <row r="5" spans="2:15">
      <c r="C5" s="950" t="s">
        <v>2074</v>
      </c>
      <c r="D5" s="950" t="s">
        <v>1361</v>
      </c>
      <c r="E5" s="950" t="s">
        <v>2139</v>
      </c>
      <c r="F5" s="950">
        <v>5</v>
      </c>
      <c r="G5" s="950" t="s">
        <v>2140</v>
      </c>
      <c r="H5" s="950" t="s">
        <v>2077</v>
      </c>
      <c r="I5" s="950" t="s">
        <v>2165</v>
      </c>
      <c r="M5" s="952" t="s">
        <v>2148</v>
      </c>
      <c r="N5" s="950" t="s">
        <v>2149</v>
      </c>
      <c r="O5" s="950" t="s">
        <v>2150</v>
      </c>
    </row>
    <row r="6" spans="2:15">
      <c r="C6" s="950" t="s">
        <v>2074</v>
      </c>
      <c r="D6" s="950" t="s">
        <v>2114</v>
      </c>
      <c r="E6" s="950" t="s">
        <v>2139</v>
      </c>
      <c r="F6" s="950">
        <v>6</v>
      </c>
      <c r="G6" s="950" t="s">
        <v>2140</v>
      </c>
      <c r="H6" s="950" t="s">
        <v>2078</v>
      </c>
      <c r="I6" s="950" t="s">
        <v>2166</v>
      </c>
      <c r="M6" s="952"/>
    </row>
    <row r="7" spans="2:15">
      <c r="C7" s="950" t="s">
        <v>2074</v>
      </c>
      <c r="D7" s="950" t="s">
        <v>1829</v>
      </c>
      <c r="E7" s="950" t="s">
        <v>2139</v>
      </c>
      <c r="F7" s="950">
        <v>7</v>
      </c>
      <c r="G7" s="950" t="s">
        <v>2140</v>
      </c>
      <c r="H7" s="950" t="s">
        <v>2079</v>
      </c>
      <c r="I7" s="950" t="s">
        <v>2164</v>
      </c>
      <c r="M7" s="952" t="s">
        <v>2146</v>
      </c>
      <c r="N7" s="950" t="s">
        <v>2143</v>
      </c>
    </row>
    <row r="8" spans="2:15">
      <c r="C8" s="950" t="s">
        <v>2074</v>
      </c>
      <c r="D8" s="950" t="s">
        <v>2115</v>
      </c>
      <c r="E8" s="950" t="s">
        <v>2139</v>
      </c>
      <c r="F8" s="950">
        <v>8</v>
      </c>
      <c r="G8" s="950" t="s">
        <v>2140</v>
      </c>
      <c r="H8" s="950" t="s">
        <v>2080</v>
      </c>
      <c r="I8" s="950" t="s">
        <v>2166</v>
      </c>
      <c r="M8" s="952"/>
    </row>
    <row r="9" spans="2:15">
      <c r="C9" s="950" t="s">
        <v>2074</v>
      </c>
      <c r="D9" s="950" t="s">
        <v>2116</v>
      </c>
      <c r="E9" s="950" t="s">
        <v>2139</v>
      </c>
      <c r="F9" s="950">
        <v>9</v>
      </c>
      <c r="G9" s="950" t="s">
        <v>2140</v>
      </c>
      <c r="H9" s="950" t="s">
        <v>2081</v>
      </c>
      <c r="I9" s="950" t="s">
        <v>2166</v>
      </c>
      <c r="M9" s="952"/>
    </row>
    <row r="10" spans="2:15">
      <c r="C10" s="950" t="s">
        <v>2074</v>
      </c>
      <c r="D10" s="950" t="s">
        <v>2117</v>
      </c>
      <c r="E10" s="950" t="s">
        <v>2139</v>
      </c>
      <c r="F10" s="950">
        <v>10</v>
      </c>
      <c r="G10" s="950" t="s">
        <v>2140</v>
      </c>
      <c r="H10" s="950" t="s">
        <v>2082</v>
      </c>
      <c r="I10" s="950" t="s">
        <v>2164</v>
      </c>
      <c r="M10" s="952"/>
    </row>
    <row r="11" spans="2:15">
      <c r="C11" s="950" t="s">
        <v>2074</v>
      </c>
      <c r="D11" s="950" t="s">
        <v>1379</v>
      </c>
      <c r="E11" s="950" t="s">
        <v>2139</v>
      </c>
      <c r="F11" s="950">
        <v>11</v>
      </c>
      <c r="G11" s="950" t="s">
        <v>2140</v>
      </c>
      <c r="H11" s="950" t="s">
        <v>2083</v>
      </c>
      <c r="I11" s="950" t="s">
        <v>2164</v>
      </c>
      <c r="M11" s="952" t="s">
        <v>2157</v>
      </c>
      <c r="N11" s="950" t="s">
        <v>2159</v>
      </c>
    </row>
    <row r="12" spans="2:15">
      <c r="C12" s="950" t="s">
        <v>2074</v>
      </c>
      <c r="D12" s="950" t="s">
        <v>1380</v>
      </c>
      <c r="E12" s="950" t="s">
        <v>2139</v>
      </c>
      <c r="F12" s="950">
        <v>12</v>
      </c>
      <c r="G12" s="950" t="s">
        <v>2140</v>
      </c>
      <c r="H12" s="950" t="s">
        <v>2084</v>
      </c>
      <c r="I12" s="950" t="s">
        <v>2164</v>
      </c>
      <c r="M12" s="952" t="s">
        <v>2157</v>
      </c>
      <c r="N12" s="950" t="s">
        <v>2158</v>
      </c>
    </row>
    <row r="13" spans="2:15">
      <c r="C13" s="950" t="s">
        <v>2074</v>
      </c>
      <c r="D13" s="950" t="s">
        <v>2118</v>
      </c>
      <c r="E13" s="950" t="s">
        <v>2139</v>
      </c>
      <c r="F13" s="950">
        <v>13</v>
      </c>
      <c r="G13" s="950" t="s">
        <v>2140</v>
      </c>
      <c r="H13" s="950" t="s">
        <v>2085</v>
      </c>
      <c r="I13" s="950" t="s">
        <v>2167</v>
      </c>
      <c r="M13" s="952"/>
    </row>
    <row r="14" spans="2:15">
      <c r="C14" s="950" t="s">
        <v>2074</v>
      </c>
      <c r="D14" s="950" t="s">
        <v>2119</v>
      </c>
      <c r="E14" s="950" t="s">
        <v>2139</v>
      </c>
      <c r="F14" s="950">
        <v>14</v>
      </c>
      <c r="G14" s="950" t="s">
        <v>2140</v>
      </c>
      <c r="H14" s="950" t="s">
        <v>2086</v>
      </c>
      <c r="I14" s="950" t="s">
        <v>2164</v>
      </c>
      <c r="M14" s="952"/>
    </row>
    <row r="15" spans="2:15">
      <c r="C15" s="950" t="s">
        <v>2074</v>
      </c>
      <c r="D15" s="950" t="s">
        <v>2120</v>
      </c>
      <c r="E15" s="950" t="s">
        <v>2139</v>
      </c>
      <c r="F15" s="950">
        <v>15</v>
      </c>
      <c r="G15" s="950" t="s">
        <v>2140</v>
      </c>
      <c r="H15" s="950" t="s">
        <v>2087</v>
      </c>
      <c r="I15" s="950" t="s">
        <v>2167</v>
      </c>
      <c r="M15" s="952"/>
    </row>
    <row r="16" spans="2:15">
      <c r="C16" s="950" t="s">
        <v>2074</v>
      </c>
      <c r="D16" s="950" t="s">
        <v>2121</v>
      </c>
      <c r="E16" s="950" t="s">
        <v>2139</v>
      </c>
      <c r="F16" s="950">
        <v>16</v>
      </c>
      <c r="G16" s="950" t="s">
        <v>2140</v>
      </c>
      <c r="H16" s="950" t="s">
        <v>2088</v>
      </c>
      <c r="I16" s="950" t="s">
        <v>2164</v>
      </c>
      <c r="M16" s="952"/>
    </row>
    <row r="17" spans="3:14">
      <c r="C17" s="950" t="s">
        <v>2074</v>
      </c>
      <c r="D17" s="950" t="s">
        <v>2122</v>
      </c>
      <c r="E17" s="950" t="s">
        <v>2139</v>
      </c>
      <c r="F17" s="950">
        <v>17</v>
      </c>
      <c r="G17" s="950" t="s">
        <v>2140</v>
      </c>
      <c r="H17" s="950" t="s">
        <v>2089</v>
      </c>
      <c r="I17" s="950" t="s">
        <v>2166</v>
      </c>
      <c r="M17" s="952"/>
    </row>
    <row r="18" spans="3:14">
      <c r="C18" s="950" t="s">
        <v>2074</v>
      </c>
      <c r="D18" s="950" t="s">
        <v>2123</v>
      </c>
      <c r="E18" s="950" t="s">
        <v>2139</v>
      </c>
      <c r="F18" s="950">
        <v>18</v>
      </c>
      <c r="G18" s="950" t="s">
        <v>2140</v>
      </c>
      <c r="H18" s="950" t="s">
        <v>2090</v>
      </c>
      <c r="I18" s="950" t="s">
        <v>2166</v>
      </c>
      <c r="M18" s="952"/>
    </row>
    <row r="19" spans="3:14">
      <c r="C19" s="950" t="s">
        <v>2074</v>
      </c>
      <c r="D19" s="950" t="s">
        <v>2124</v>
      </c>
      <c r="E19" s="950" t="s">
        <v>2139</v>
      </c>
      <c r="F19" s="950">
        <v>19</v>
      </c>
      <c r="G19" s="950" t="s">
        <v>2140</v>
      </c>
      <c r="H19" s="950" t="s">
        <v>2091</v>
      </c>
      <c r="I19" s="950" t="s">
        <v>2166</v>
      </c>
      <c r="M19" s="952"/>
    </row>
    <row r="20" spans="3:14">
      <c r="C20" s="950" t="s">
        <v>2074</v>
      </c>
      <c r="D20" s="950" t="s">
        <v>1384</v>
      </c>
      <c r="E20" s="950" t="s">
        <v>2139</v>
      </c>
      <c r="F20" s="950">
        <v>20</v>
      </c>
      <c r="G20" s="950" t="s">
        <v>2140</v>
      </c>
      <c r="H20" s="950" t="s">
        <v>2092</v>
      </c>
      <c r="I20" s="950" t="s">
        <v>2164</v>
      </c>
      <c r="M20" s="952"/>
    </row>
    <row r="21" spans="3:14">
      <c r="C21" s="950" t="s">
        <v>2074</v>
      </c>
      <c r="D21" s="950" t="s">
        <v>2125</v>
      </c>
      <c r="E21" s="950" t="s">
        <v>2139</v>
      </c>
      <c r="F21" s="950">
        <v>21</v>
      </c>
      <c r="G21" s="950" t="s">
        <v>2140</v>
      </c>
      <c r="H21" s="950" t="s">
        <v>2093</v>
      </c>
      <c r="I21" s="950" t="s">
        <v>2164</v>
      </c>
      <c r="M21" s="952"/>
    </row>
    <row r="22" spans="3:14">
      <c r="C22" s="950" t="s">
        <v>2074</v>
      </c>
      <c r="D22" s="950" t="s">
        <v>2126</v>
      </c>
      <c r="E22" s="950" t="s">
        <v>2139</v>
      </c>
      <c r="F22" s="950">
        <v>22</v>
      </c>
      <c r="G22" s="950" t="s">
        <v>2140</v>
      </c>
      <c r="H22" s="950" t="s">
        <v>2094</v>
      </c>
      <c r="I22" s="950" t="s">
        <v>2166</v>
      </c>
      <c r="M22" s="952"/>
    </row>
    <row r="23" spans="3:14">
      <c r="C23" s="950" t="s">
        <v>2074</v>
      </c>
      <c r="D23" s="950" t="s">
        <v>2127</v>
      </c>
      <c r="E23" s="950" t="s">
        <v>2139</v>
      </c>
      <c r="F23" s="950">
        <v>23</v>
      </c>
      <c r="G23" s="950" t="s">
        <v>2140</v>
      </c>
      <c r="H23" s="950" t="s">
        <v>2095</v>
      </c>
      <c r="I23" s="950" t="s">
        <v>2166</v>
      </c>
      <c r="M23" s="952"/>
    </row>
    <row r="24" spans="3:14">
      <c r="C24" s="950" t="s">
        <v>2074</v>
      </c>
      <c r="D24" s="950" t="s">
        <v>1382</v>
      </c>
      <c r="E24" s="950" t="s">
        <v>2139</v>
      </c>
      <c r="F24" s="950">
        <v>24</v>
      </c>
      <c r="G24" s="950" t="s">
        <v>2140</v>
      </c>
      <c r="H24" s="950" t="s">
        <v>2096</v>
      </c>
      <c r="I24" s="950" t="s">
        <v>2164</v>
      </c>
      <c r="M24" s="952" t="s">
        <v>2161</v>
      </c>
      <c r="N24" s="950" t="s">
        <v>2160</v>
      </c>
    </row>
    <row r="25" spans="3:14">
      <c r="C25" s="950" t="s">
        <v>2074</v>
      </c>
      <c r="D25" s="950" t="s">
        <v>2128</v>
      </c>
      <c r="E25" s="950" t="s">
        <v>2139</v>
      </c>
      <c r="F25" s="950">
        <v>25</v>
      </c>
      <c r="G25" s="950" t="s">
        <v>2140</v>
      </c>
      <c r="H25" s="950" t="s">
        <v>2097</v>
      </c>
      <c r="I25" s="950" t="s">
        <v>2164</v>
      </c>
      <c r="M25" s="952"/>
    </row>
    <row r="26" spans="3:14">
      <c r="C26" s="950" t="s">
        <v>2074</v>
      </c>
      <c r="D26" s="950" t="s">
        <v>1373</v>
      </c>
      <c r="E26" s="950" t="s">
        <v>2139</v>
      </c>
      <c r="F26" s="950">
        <v>26</v>
      </c>
      <c r="G26" s="950" t="s">
        <v>2140</v>
      </c>
      <c r="H26" s="950" t="s">
        <v>2098</v>
      </c>
      <c r="I26" s="950" t="s">
        <v>2164</v>
      </c>
      <c r="M26" s="952" t="s">
        <v>2154</v>
      </c>
      <c r="N26" s="950" t="s">
        <v>2153</v>
      </c>
    </row>
    <row r="27" spans="3:14">
      <c r="C27" s="950" t="s">
        <v>2074</v>
      </c>
      <c r="D27" s="950" t="s">
        <v>1374</v>
      </c>
      <c r="E27" s="950" t="s">
        <v>2139</v>
      </c>
      <c r="F27" s="950">
        <v>27</v>
      </c>
      <c r="G27" s="950" t="s">
        <v>2140</v>
      </c>
      <c r="H27" s="950" t="s">
        <v>2099</v>
      </c>
      <c r="I27" s="950" t="s">
        <v>2164</v>
      </c>
      <c r="M27" s="952" t="s">
        <v>2154</v>
      </c>
      <c r="N27" s="950" t="s">
        <v>2155</v>
      </c>
    </row>
    <row r="28" spans="3:14">
      <c r="C28" s="950" t="s">
        <v>2074</v>
      </c>
      <c r="D28" s="950" t="s">
        <v>1831</v>
      </c>
      <c r="E28" s="950" t="s">
        <v>2139</v>
      </c>
      <c r="F28" s="950">
        <v>28</v>
      </c>
      <c r="G28" s="950" t="s">
        <v>2140</v>
      </c>
      <c r="H28" s="950" t="s">
        <v>2100</v>
      </c>
      <c r="I28" s="950" t="s">
        <v>2164</v>
      </c>
      <c r="M28" s="952" t="s">
        <v>2151</v>
      </c>
      <c r="N28" s="950" t="s">
        <v>2152</v>
      </c>
    </row>
    <row r="29" spans="3:14">
      <c r="C29" s="950" t="s">
        <v>2074</v>
      </c>
      <c r="D29" s="950" t="s">
        <v>1832</v>
      </c>
      <c r="E29" s="950" t="s">
        <v>2139</v>
      </c>
      <c r="F29" s="950">
        <v>29</v>
      </c>
      <c r="G29" s="950" t="s">
        <v>2140</v>
      </c>
      <c r="H29" s="950" t="s">
        <v>2101</v>
      </c>
      <c r="I29" s="950" t="s">
        <v>2164</v>
      </c>
      <c r="M29" s="952" t="s">
        <v>2156</v>
      </c>
      <c r="N29" s="950" t="s">
        <v>1694</v>
      </c>
    </row>
    <row r="30" spans="3:14">
      <c r="C30" s="950" t="s">
        <v>2074</v>
      </c>
      <c r="D30" s="950" t="s">
        <v>1830</v>
      </c>
      <c r="E30" s="950" t="s">
        <v>2139</v>
      </c>
      <c r="F30" s="950">
        <v>30</v>
      </c>
      <c r="G30" s="950" t="s">
        <v>2140</v>
      </c>
      <c r="H30" s="950" t="s">
        <v>2102</v>
      </c>
      <c r="I30" s="950" t="s">
        <v>2164</v>
      </c>
      <c r="M30" s="952" t="s">
        <v>2147</v>
      </c>
      <c r="N30" s="950" t="s">
        <v>1573</v>
      </c>
    </row>
    <row r="31" spans="3:14">
      <c r="C31" s="950" t="s">
        <v>2074</v>
      </c>
      <c r="D31" s="950" t="s">
        <v>2129</v>
      </c>
      <c r="E31" s="950" t="s">
        <v>2139</v>
      </c>
      <c r="F31" s="950">
        <v>31</v>
      </c>
      <c r="G31" s="950" t="s">
        <v>2140</v>
      </c>
      <c r="H31" s="950" t="s">
        <v>2103</v>
      </c>
      <c r="I31" s="950" t="s">
        <v>2166</v>
      </c>
      <c r="M31" s="952"/>
    </row>
    <row r="32" spans="3:14">
      <c r="C32" s="950" t="s">
        <v>2074</v>
      </c>
      <c r="D32" s="950" t="s">
        <v>2130</v>
      </c>
      <c r="E32" s="950" t="s">
        <v>2139</v>
      </c>
      <c r="F32" s="950">
        <v>32</v>
      </c>
      <c r="G32" s="950" t="s">
        <v>2140</v>
      </c>
      <c r="H32" s="950" t="s">
        <v>2104</v>
      </c>
      <c r="I32" s="950" t="s">
        <v>2166</v>
      </c>
      <c r="M32" s="952"/>
    </row>
    <row r="33" spans="3:14">
      <c r="C33" s="950" t="s">
        <v>2074</v>
      </c>
      <c r="D33" s="950" t="s">
        <v>2131</v>
      </c>
      <c r="E33" s="950" t="s">
        <v>2139</v>
      </c>
      <c r="F33" s="950">
        <v>33</v>
      </c>
      <c r="G33" s="950" t="s">
        <v>2140</v>
      </c>
      <c r="H33" s="950" t="s">
        <v>2105</v>
      </c>
      <c r="I33" s="950" t="s">
        <v>2166</v>
      </c>
      <c r="M33" s="952"/>
    </row>
    <row r="34" spans="3:14">
      <c r="C34" s="950" t="s">
        <v>2074</v>
      </c>
      <c r="D34" s="950" t="s">
        <v>2132</v>
      </c>
      <c r="E34" s="950" t="s">
        <v>2139</v>
      </c>
      <c r="F34" s="950">
        <v>34</v>
      </c>
      <c r="G34" s="950" t="s">
        <v>2140</v>
      </c>
      <c r="H34" s="950" t="s">
        <v>2106</v>
      </c>
      <c r="I34" s="950" t="s">
        <v>2167</v>
      </c>
      <c r="M34" s="952"/>
    </row>
    <row r="35" spans="3:14">
      <c r="C35" s="950" t="s">
        <v>2074</v>
      </c>
      <c r="D35" s="950" t="s">
        <v>2133</v>
      </c>
      <c r="E35" s="950" t="s">
        <v>2139</v>
      </c>
      <c r="F35" s="950">
        <v>35</v>
      </c>
      <c r="G35" s="950" t="s">
        <v>2140</v>
      </c>
      <c r="H35" s="950" t="s">
        <v>2107</v>
      </c>
      <c r="I35" s="950" t="s">
        <v>2164</v>
      </c>
      <c r="M35" s="952"/>
    </row>
    <row r="36" spans="3:14">
      <c r="C36" s="950" t="s">
        <v>2074</v>
      </c>
      <c r="D36" s="950" t="s">
        <v>2134</v>
      </c>
      <c r="E36" s="950" t="s">
        <v>2139</v>
      </c>
      <c r="F36" s="950">
        <v>36</v>
      </c>
      <c r="G36" s="950" t="s">
        <v>2140</v>
      </c>
      <c r="H36" s="950" t="s">
        <v>2108</v>
      </c>
      <c r="I36" s="950" t="s">
        <v>2167</v>
      </c>
      <c r="M36" s="952"/>
    </row>
    <row r="37" spans="3:14">
      <c r="C37" s="950" t="s">
        <v>2074</v>
      </c>
      <c r="D37" s="950" t="s">
        <v>2135</v>
      </c>
      <c r="E37" s="950" t="s">
        <v>2139</v>
      </c>
      <c r="F37" s="950">
        <v>37</v>
      </c>
      <c r="G37" s="950" t="s">
        <v>2140</v>
      </c>
      <c r="H37" s="950" t="s">
        <v>2109</v>
      </c>
      <c r="I37" s="950" t="s">
        <v>2164</v>
      </c>
      <c r="M37" s="952"/>
    </row>
    <row r="38" spans="3:14">
      <c r="C38" s="950" t="s">
        <v>2074</v>
      </c>
      <c r="D38" s="950" t="s">
        <v>2136</v>
      </c>
      <c r="E38" s="950" t="s">
        <v>2139</v>
      </c>
      <c r="F38" s="950">
        <v>38</v>
      </c>
      <c r="G38" s="950" t="s">
        <v>2140</v>
      </c>
      <c r="H38" s="950" t="s">
        <v>2110</v>
      </c>
      <c r="I38" s="950" t="s">
        <v>2166</v>
      </c>
      <c r="M38" s="952"/>
    </row>
    <row r="39" spans="3:14">
      <c r="C39" s="950" t="s">
        <v>2074</v>
      </c>
      <c r="D39" s="950" t="s">
        <v>2137</v>
      </c>
      <c r="E39" s="950" t="s">
        <v>2139</v>
      </c>
      <c r="F39" s="950">
        <v>39</v>
      </c>
      <c r="G39" s="950" t="s">
        <v>2140</v>
      </c>
      <c r="H39" s="950" t="s">
        <v>2111</v>
      </c>
      <c r="I39" s="950" t="s">
        <v>2166</v>
      </c>
      <c r="M39" s="952"/>
    </row>
    <row r="40" spans="3:14">
      <c r="C40" s="950" t="s">
        <v>2074</v>
      </c>
      <c r="D40" s="950" t="s">
        <v>2138</v>
      </c>
      <c r="E40" s="950" t="s">
        <v>2139</v>
      </c>
      <c r="F40" s="950">
        <v>40</v>
      </c>
      <c r="G40" s="950" t="s">
        <v>2140</v>
      </c>
      <c r="H40" s="950" t="s">
        <v>2112</v>
      </c>
      <c r="I40" s="950" t="s">
        <v>2166</v>
      </c>
      <c r="M40" s="952"/>
    </row>
    <row r="41" spans="3:14">
      <c r="C41" s="950" t="s">
        <v>2074</v>
      </c>
      <c r="D41" s="950" t="s">
        <v>1388</v>
      </c>
      <c r="E41" s="950" t="s">
        <v>2139</v>
      </c>
      <c r="F41" s="950">
        <v>41</v>
      </c>
      <c r="G41" s="950" t="s">
        <v>2140</v>
      </c>
      <c r="H41" s="950" t="s">
        <v>2113</v>
      </c>
      <c r="I41" s="950" t="s">
        <v>2168</v>
      </c>
      <c r="M41" s="952" t="s">
        <v>2163</v>
      </c>
      <c r="N41" s="950" t="s">
        <v>2162</v>
      </c>
    </row>
  </sheetData>
  <phoneticPr fontId="13"/>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IconOverlay xmlns="http://schemas.microsoft.com/sharepoint/v4" xsi:nil="true"/>
    <Conversation-Topic xmlns="bca0bc44-19d1-4824-98a4-321de56310bf" xsi:nil="true"/>
    <Received xmlns="bca0bc44-19d1-4824-98a4-321de56310bf" xsi:nil="true"/>
    <Importance xmlns="bca0bc44-19d1-4824-98a4-321de56310bf" xsi:nil="true"/>
    <MessageClass xmlns="bca0bc44-19d1-4824-98a4-321de56310bf" xsi:nil="true"/>
    <Conversation-Index xmlns="bca0bc44-19d1-4824-98a4-321de56310bf" xsi:nil="true"/>
    <Bcc xmlns="bca0bc44-19d1-4824-98a4-321de56310bf" xsi:nil="true"/>
    <Sensitivity xmlns="bca0bc44-19d1-4824-98a4-321de56310bf" xsi:nil="true"/>
    <To xmlns="bca0bc44-19d1-4824-98a4-321de56310bf" xsi:nil="true"/>
    <Reply-To xmlns="bca0bc44-19d1-4824-98a4-321de56310bf" xsi:nil="true"/>
    <In-Reply-To xmlns="bca0bc44-19d1-4824-98a4-321de56310bf" xsi:nil="true"/>
    <MailPreviewData xmlns="bca0bc44-19d1-4824-98a4-321de56310bf" xsi:nil="true"/>
    <Date1 xmlns="bca0bc44-19d1-4824-98a4-321de56310bf" xsi:nil="true"/>
    <Attachment xmlns="bca0bc44-19d1-4824-98a4-321de56310bf">true</Attachment>
    <References xmlns="bca0bc44-19d1-4824-98a4-321de56310bf" xsi:nil="true"/>
    <Cc xmlns="bca0bc44-19d1-4824-98a4-321de56310bf" xsi:nil="true"/>
    <Message-ID xmlns="bca0bc44-19d1-4824-98a4-321de56310bf" xsi:nil="true"/>
    <OriginalSubject xmlns="bca0bc44-19d1-4824-98a4-321de56310bf" xsi:nil="true"/>
    <From1 xmlns="bca0bc44-19d1-4824-98a4-321de56310bf" xsi:nil="true"/>
    <_vti_ItemDeclaredRecord xmlns="http://schemas.microsoft.com/sharepoint/v3" xsi:nil="true"/>
    <_vti_ItemHoldRecordStatus xmlns="http://schemas.microsoft.com/sharepoint/v3" xsi:nil="true"/>
    <ArchivingPeriod xmlns="4228e23f-2745-4c53-92c0-2e99de0c7a92">35</ArchivingPeriod>
    <ISC xmlns="4228e23f-2745-4c53-92c0-2e99de0c7a92">1</ISC>
    <_dlc_DocId xmlns="4228e23f-2745-4c53-92c0-2e99de0c7a92">P13S105090-1884248599-3693</_dlc_DocId>
    <TaxCatchAll xmlns="4228e23f-2745-4c53-92c0-2e99de0c7a92"/>
    <Safeguarding xmlns="4228e23f-2745-4c53-92c0-2e99de0c7a92">No</Safeguarding>
    <_dlc_DocIdUrl xmlns="4228e23f-2745-4c53-92c0-2e99de0c7a92">
      <Url>https://sites.inside-share3.bosch.com/sites/105090/_layouts/15/DocIdRedir.aspx?ID=P13S105090-1884248599-3693</Url>
      <Description>P13S105090-1884248599-3693</Description>
    </_dlc_DocIdUrl>
    <CSC xmlns="4228e23f-2745-4c53-92c0-2e99de0c7a92">2</CSC>
    <ASC xmlns="4228e23f-2745-4c53-92c0-2e99de0c7a92">1</ASC>
    <Historicalrelevance xmlns="4228e23f-2745-4c53-92c0-2e99de0c7a92">No</Historicalrelevance>
    <Revisions xmlns="4228e23f-2745-4c53-92c0-2e99de0c7a92">
      <Url xsi:nil="true"/>
      <Description xsi:nil="true"/>
    </Revisions>
    <ILMCreationRevision xmlns="4228e23f-2745-4c53-92c0-2e99de0c7a92">false</ILMCreationRevision>
    <IlmBasedOn xmlns="4228e23f-2745-4c53-92c0-2e99de0c7a92" xsi:nil="true"/>
    <LockedStatus xmlns="4228e23f-2745-4c53-92c0-2e99de0c7a92">Unlocked</LockedStatus>
    <ILMItemType xmlns="4228e23f-2745-4c53-92c0-2e99de0c7a92">ConceptualItem</ILMItemType>
    <LockedBy xmlns="4228e23f-2745-4c53-92c0-2e99de0c7a92">
      <UserInfo>
        <DisplayName/>
        <AccountId xsi:nil="true"/>
        <AccountType/>
      </UserInfo>
    </LockedBy>
    <n80d6be93a244867bc93b0f88d1ded04 xmlns="4228e23f-2745-4c53-92c0-2e99de0c7a92">
      <Terms xmlns="http://schemas.microsoft.com/office/infopath/2007/PartnerControls"/>
    </n80d6be93a244867bc93b0f88d1ded04>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Version=15.0.0.0, Culture=neutral, PublicKeyToken=71e9bce111e9429c</Assembly>
    <Class>Microsoft.Office.DocumentManagement.Internal.DocIdHandler</Class>
    <Data/>
    <Filter/>
  </Receiver>
</spe:Receivers>
</file>

<file path=customXml/item4.xml><?xml version="1.0" encoding="utf-8"?>
<ct:contentTypeSchema xmlns:ct="http://schemas.microsoft.com/office/2006/metadata/contentType" xmlns:ma="http://schemas.microsoft.com/office/2006/metadata/properties/metaAttributes" ct:_="" ma:_="" ma:contentTypeName="ILMBoschDocument" ma:contentTypeID="0x0101008D5398AC1C300E4CB82D62610BFF4F06010019989A37776095439741B1A4ED33D4FF" ma:contentTypeVersion="37" ma:contentTypeDescription="Bosch Document Content Type for ILM" ma:contentTypeScope="" ma:versionID="d88c7a7e4d6a0655a4ce0d8b8a66105f">
  <xsd:schema xmlns:xsd="http://www.w3.org/2001/XMLSchema" xmlns:xs="http://www.w3.org/2001/XMLSchema" xmlns:p="http://schemas.microsoft.com/office/2006/metadata/properties" xmlns:ns1="http://schemas.microsoft.com/sharepoint/v3" xmlns:ns2="4228e23f-2745-4c53-92c0-2e99de0c7a92" xmlns:ns3="http://schemas.microsoft.com/sharepoint/v4" xmlns:ns4="bca0bc44-19d1-4824-98a4-321de56310bf" targetNamespace="http://schemas.microsoft.com/office/2006/metadata/properties" ma:root="true" ma:fieldsID="6f04357a5d122533cd2a74922b0395fd" ns1:_="" ns2:_="" ns3:_="" ns4:_="">
    <xsd:import namespace="http://schemas.microsoft.com/sharepoint/v3"/>
    <xsd:import namespace="4228e23f-2745-4c53-92c0-2e99de0c7a92"/>
    <xsd:import namespace="http://schemas.microsoft.com/sharepoint/v4"/>
    <xsd:import namespace="bca0bc44-19d1-4824-98a4-321de56310bf"/>
    <xsd:element name="properties">
      <xsd:complexType>
        <xsd:sequence>
          <xsd:element name="documentManagement">
            <xsd:complexType>
              <xsd:all>
                <xsd:element ref="ns2:_dlc_DocId" minOccurs="0"/>
                <xsd:element ref="ns2:_dlc_DocIdUrl" minOccurs="0"/>
                <xsd:element ref="ns2:_dlc_DocIdPersistId" minOccurs="0"/>
                <xsd:element ref="ns2:n80d6be93a244867bc93b0f88d1ded04" minOccurs="0"/>
                <xsd:element ref="ns2:TaxCatchAll" minOccurs="0"/>
                <xsd:element ref="ns2:TaxCatchAllLabel" minOccurs="0"/>
                <xsd:element ref="ns2:CSC"/>
                <xsd:element ref="ns2:ASC"/>
                <xsd:element ref="ns2:ISC"/>
                <xsd:element ref="ns2:ArchivingPeriod"/>
                <xsd:element ref="ns2:Safeguarding"/>
                <xsd:element ref="ns2:Historicalrelevance"/>
                <xsd:element ref="ns2:IlmBasedOn" minOccurs="0"/>
                <xsd:element ref="ns2:LockedStatus" minOccurs="0"/>
                <xsd:element ref="ns2:LockedBy" minOccurs="0"/>
                <xsd:element ref="ns2:ILMItemType" minOccurs="0"/>
                <xsd:element ref="ns2:ILMCreationRevision" minOccurs="0"/>
                <xsd:element ref="ns2:Revisions" minOccurs="0"/>
                <xsd:element ref="ns3:IconOverlay" minOccurs="0"/>
                <xsd:element ref="ns4:OriginalSubject" minOccurs="0"/>
                <xsd:element ref="ns4:From1" minOccurs="0"/>
                <xsd:element ref="ns4:Cc" minOccurs="0"/>
                <xsd:element ref="ns4:Bcc" minOccurs="0"/>
                <xsd:element ref="ns4:Conversation-Topic" minOccurs="0"/>
                <xsd:element ref="ns4:Date1" minOccurs="0"/>
                <xsd:element ref="ns4:Reply-To" minOccurs="0"/>
                <xsd:element ref="ns4:To" minOccurs="0"/>
                <xsd:element ref="ns4:Received" minOccurs="0"/>
                <xsd:element ref="ns4:Attachment" minOccurs="0"/>
                <xsd:element ref="ns4:Sensitivity" minOccurs="0"/>
                <xsd:element ref="ns4:Importance" minOccurs="0"/>
                <xsd:element ref="ns4:In-Reply-To" minOccurs="0"/>
                <xsd:element ref="ns4:References" minOccurs="0"/>
                <xsd:element ref="ns4:Conversation-Index" minOccurs="0"/>
                <xsd:element ref="ns4:MailPreviewData" minOccurs="0"/>
                <xsd:element ref="ns4:MessageClass" minOccurs="0"/>
                <xsd:element ref="ns4:Message-ID" minOccurs="0"/>
                <xsd:element ref="ns1:_vti_ItemDeclaredRecord" minOccurs="0"/>
                <xsd:element ref="ns1:_vti_ItemHoldRecordStatus" minOccurs="0"/>
                <xsd:element ref="ns2:SharedWithUsers" minOccurs="0"/>
                <xsd:element ref="ns2: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vti_ItemDeclaredRecord" ma:index="46" nillable="true" ma:displayName="Declared Record" ma:hidden="true" ma:internalName="_vti_ItemDeclaredRecord" ma:readOnly="true">
      <xsd:simpleType>
        <xsd:restriction base="dms:DateTime"/>
      </xsd:simpleType>
    </xsd:element>
    <xsd:element name="_vti_ItemHoldRecordStatus" ma:index="47" nillable="true" ma:displayName="Hold and Record Status" ma:decimals="0" ma:description="" ma:hidden="true" ma:indexed="true" ma:internalName="_vti_ItemHoldRecordStatu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4228e23f-2745-4c53-92c0-2e99de0c7a92" elementFormDefault="qualified">
    <xsd:import namespace="http://schemas.microsoft.com/office/2006/documentManagement/types"/>
    <xsd:import namespace="http://schemas.microsoft.com/office/infopath/2007/PartnerControls"/>
    <xsd:element name="_dlc_DocId" ma:index="8" nillable="true" ma:displayName="Document ID Value" ma:description="The value of the document ID assigned to this item." ma:indexed="true" ma:internalName="_dlc_DocId" ma:readOnly="true">
      <xsd:simpleType>
        <xsd:restriction base="dms:Text"/>
      </xsd:simpleType>
    </xsd:element>
    <xsd:element name="_dlc_DocIdUrl" ma:index="9"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10" nillable="true" ma:displayName="Persist ID" ma:description="Keep ID on add." ma:hidden="true" ma:internalName="_dlc_DocIdPersistId" ma:readOnly="true">
      <xsd:simpleType>
        <xsd:restriction base="dms:Boolean"/>
      </xsd:simpleType>
    </xsd:element>
    <xsd:element name="n80d6be93a244867bc93b0f88d1ded04" ma:index="11" nillable="true" ma:taxonomy="true" ma:internalName="n80d6be93a244867bc93b0f88d1ded04" ma:taxonomyFieldName="DMSKeywords" ma:displayName="Keywords" ma:fieldId="{780d6be9-3a24-4867-bc93-b0f88d1ded04}" ma:sspId="b81b984e-7d9a-4f77-a40b-67f8485df2c3" ma:termSetId="5db12ddb-219e-449d-90fb-b7b011efcfbc" ma:anchorId="00000000-0000-0000-0000-000000000000" ma:open="true" ma:isKeyword="false">
      <xsd:complexType>
        <xsd:sequence>
          <xsd:element ref="pc:Terms" minOccurs="0" maxOccurs="1"/>
        </xsd:sequence>
      </xsd:complexType>
    </xsd:element>
    <xsd:element name="TaxCatchAll" ma:index="12" nillable="true" ma:displayName="Taxonomy Catch All Column" ma:hidden="true" ma:list="{be1ffa2c-f8e8-434a-9407-43facbbcc20e}" ma:internalName="TaxCatchAll" ma:showField="CatchAllData" ma:web="4228e23f-2745-4c53-92c0-2e99de0c7a92">
      <xsd:complexType>
        <xsd:complexContent>
          <xsd:extension base="dms:MultiChoiceLookup">
            <xsd:sequence>
              <xsd:element name="Value" type="dms:Lookup" maxOccurs="unbounded" minOccurs="0" nillable="true"/>
            </xsd:sequence>
          </xsd:extension>
        </xsd:complexContent>
      </xsd:complexType>
    </xsd:element>
    <xsd:element name="TaxCatchAllLabel" ma:index="13" nillable="true" ma:displayName="Taxonomy Catch All Column1" ma:hidden="true" ma:list="{be1ffa2c-f8e8-434a-9407-43facbbcc20e}" ma:internalName="TaxCatchAllLabel" ma:readOnly="true" ma:showField="CatchAllDataLabel" ma:web="4228e23f-2745-4c53-92c0-2e99de0c7a92">
      <xsd:complexType>
        <xsd:complexContent>
          <xsd:extension base="dms:MultiChoiceLookup">
            <xsd:sequence>
              <xsd:element name="Value" type="dms:Lookup" maxOccurs="unbounded" minOccurs="0" nillable="true"/>
            </xsd:sequence>
          </xsd:extension>
        </xsd:complexContent>
      </xsd:complexType>
    </xsd:element>
    <xsd:element name="CSC" ma:index="15" ma:displayName="C-SC" ma:default="1" ma:description="Security Class for Confidentiality." ma:format="Dropdown" ma:indexed="true" ma:internalName="CSC" ma:readOnly="false">
      <xsd:simpleType>
        <xsd:restriction base="dms:Choice">
          <xsd:enumeration value="0"/>
          <xsd:enumeration value="1"/>
          <xsd:enumeration value="2"/>
          <xsd:enumeration value="3"/>
        </xsd:restriction>
      </xsd:simpleType>
    </xsd:element>
    <xsd:element name="ASC" ma:index="16" ma:displayName="A-SC" ma:default="1" ma:description="Security Class for Availability" ma:format="Dropdown" ma:indexed="true" ma:internalName="ASC" ma:readOnly="false">
      <xsd:simpleType>
        <xsd:restriction base="dms:Choice">
          <xsd:enumeration value="0"/>
          <xsd:enumeration value="1"/>
          <xsd:enumeration value="2"/>
          <xsd:enumeration value="3"/>
        </xsd:restriction>
      </xsd:simpleType>
    </xsd:element>
    <xsd:element name="ISC" ma:index="17" ma:displayName="I-SC" ma:default="1" ma:description="Security Class for Integrity" ma:format="Dropdown" ma:internalName="ISC" ma:readOnly="false">
      <xsd:simpleType>
        <xsd:restriction base="dms:Choice">
          <xsd:enumeration value="0"/>
          <xsd:enumeration value="1"/>
          <xsd:enumeration value="2"/>
          <xsd:enumeration value="3"/>
        </xsd:restriction>
      </xsd:simpleType>
    </xsd:element>
    <xsd:element name="ArchivingPeriod" ma:index="18" ma:displayName="Archiving Period (in years)" ma:default="35" ma:description="File will be deleted from the archive after end of the archiving" ma:format="Dropdown" ma:indexed="true" ma:internalName="ArchivingPeriod" ma:readOnly="false">
      <xsd:simpleType>
        <xsd:union memberTypes="dms:Text">
          <xsd:simpleType>
            <xsd:restriction base="dms:Choice">
              <xsd:enumeration value="1"/>
              <xsd:enumeration value="3"/>
              <xsd:enumeration value="6"/>
              <xsd:enumeration value="10"/>
              <xsd:enumeration value="15"/>
              <xsd:enumeration value="35"/>
              <xsd:enumeration value="Delete when archiving"/>
              <xsd:enumeration value="infinite"/>
            </xsd:restriction>
          </xsd:simpleType>
        </xsd:union>
      </xsd:simpleType>
    </xsd:element>
    <xsd:element name="Safeguarding" ma:index="19" ma:displayName="Safeguarding" ma:default="No" ma:description="Special safeguarding requirements" ma:format="Dropdown" ma:internalName="Safeguarding" ma:readOnly="false">
      <xsd:simpleType>
        <xsd:restriction base="dms:Choice">
          <xsd:enumeration value="Yes"/>
          <xsd:enumeration value="No"/>
        </xsd:restriction>
      </xsd:simpleType>
    </xsd:element>
    <xsd:element name="Historicalrelevance" ma:index="20" ma:displayName="Historical relevance" ma:default="No" ma:description="Handover to C/CCH" ma:format="Dropdown" ma:internalName="Historicalrelevance" ma:readOnly="false">
      <xsd:simpleType>
        <xsd:restriction base="dms:Choice">
          <xsd:enumeration value="Yes"/>
          <xsd:enumeration value="No"/>
        </xsd:restriction>
      </xsd:simpleType>
    </xsd:element>
    <xsd:element name="IlmBasedOn" ma:index="21" nillable="true" ma:displayName="Based on" ma:internalName="IlmBasedOn" ma:readOnly="true">
      <xsd:simpleType>
        <xsd:restriction base="dms:Text"/>
      </xsd:simpleType>
    </xsd:element>
    <xsd:element name="LockedStatus" ma:index="22" nillable="true" ma:displayName="Locked Status" ma:default="Unlocked" ma:internalName="LockedStatus" ma:readOnly="true">
      <xsd:simpleType>
        <xsd:restriction base="dms:Text"/>
      </xsd:simpleType>
    </xsd:element>
    <xsd:element name="LockedBy" ma:index="23" nillable="true" ma:displayName="Locked By" ma:internalName="LockedBy" ma:readOnly="tru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ILMItemType" ma:index="24" nillable="true" ma:displayName="ILMItemType" ma:default="ConceptualItem" ma:indexed="true" ma:internalName="ILMItemType" ma:readOnly="true">
      <xsd:simpleType>
        <xsd:restriction base="dms:Text"/>
      </xsd:simpleType>
    </xsd:element>
    <xsd:element name="ILMCreationRevision" ma:index="25" nillable="true" ma:displayName="Creating Revision" ma:internalName="ILMCreationRevision" ma:readOnly="true">
      <xsd:simpleType>
        <xsd:restriction base="dms:Boolean"/>
      </xsd:simpleType>
    </xsd:element>
    <xsd:element name="Revisions" ma:index="26" nillable="true" ma:displayName="Revision set" ma:internalName="Revisions"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SharedWithUsers" ma:index="4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49"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4" elementFormDefault="qualified">
    <xsd:import namespace="http://schemas.microsoft.com/office/2006/documentManagement/types"/>
    <xsd:import namespace="http://schemas.microsoft.com/office/infopath/2007/PartnerControls"/>
    <xsd:element name="IconOverlay" ma:index="27" nillable="true" ma:displayName="IconOverlay" ma:hidden="true" ma:internalName="IconOverlay">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bca0bc44-19d1-4824-98a4-321de56310bf" elementFormDefault="qualified">
    <xsd:import namespace="http://schemas.microsoft.com/office/2006/documentManagement/types"/>
    <xsd:import namespace="http://schemas.microsoft.com/office/infopath/2007/PartnerControls"/>
    <xsd:element name="OriginalSubject" ma:index="28" nillable="true" ma:displayName="OriginalSubject" ma:internalName="OriginalSubject">
      <xsd:simpleType>
        <xsd:restriction base="dms:Text">
          <xsd:maxLength value="255"/>
        </xsd:restriction>
      </xsd:simpleType>
    </xsd:element>
    <xsd:element name="From1" ma:index="29" nillable="true" ma:displayName="From" ma:internalName="From1">
      <xsd:simpleType>
        <xsd:restriction base="dms:Text">
          <xsd:maxLength value="255"/>
        </xsd:restriction>
      </xsd:simpleType>
    </xsd:element>
    <xsd:element name="Cc" ma:index="30" nillable="true" ma:displayName="Cc" ma:internalName="Cc">
      <xsd:simpleType>
        <xsd:restriction base="dms:Note">
          <xsd:maxLength value="255"/>
        </xsd:restriction>
      </xsd:simpleType>
    </xsd:element>
    <xsd:element name="Bcc" ma:index="31" nillable="true" ma:displayName="Bcc" ma:internalName="Bcc">
      <xsd:simpleType>
        <xsd:restriction base="dms:Note">
          <xsd:maxLength value="255"/>
        </xsd:restriction>
      </xsd:simpleType>
    </xsd:element>
    <xsd:element name="Conversation-Topic" ma:index="32" nillable="true" ma:displayName="Conversation-Topic" ma:internalName="Conversation_x002d_Topic">
      <xsd:simpleType>
        <xsd:restriction base="dms:Text">
          <xsd:maxLength value="255"/>
        </xsd:restriction>
      </xsd:simpleType>
    </xsd:element>
    <xsd:element name="Date1" ma:index="33" nillable="true" ma:displayName="Date" ma:format="DateOnly" ma:internalName="Date1">
      <xsd:simpleType>
        <xsd:restriction base="dms:DateTime"/>
      </xsd:simpleType>
    </xsd:element>
    <xsd:element name="Reply-To" ma:index="34" nillable="true" ma:displayName="Reply-To" ma:internalName="Reply_x002d_To">
      <xsd:simpleType>
        <xsd:restriction base="dms:Text">
          <xsd:maxLength value="255"/>
        </xsd:restriction>
      </xsd:simpleType>
    </xsd:element>
    <xsd:element name="To" ma:index="35" nillable="true" ma:displayName="To" ma:internalName="To">
      <xsd:simpleType>
        <xsd:restriction base="dms:Note">
          <xsd:maxLength value="255"/>
        </xsd:restriction>
      </xsd:simpleType>
    </xsd:element>
    <xsd:element name="Received" ma:index="36" nillable="true" ma:displayName="Received" ma:internalName="Received">
      <xsd:simpleType>
        <xsd:restriction base="dms:Text">
          <xsd:maxLength value="255"/>
        </xsd:restriction>
      </xsd:simpleType>
    </xsd:element>
    <xsd:element name="Attachment" ma:index="37" nillable="true" ma:displayName="Attachment" ma:default="1" ma:internalName="Attachment">
      <xsd:simpleType>
        <xsd:restriction base="dms:Boolean"/>
      </xsd:simpleType>
    </xsd:element>
    <xsd:element name="Sensitivity" ma:index="38" nillable="true" ma:displayName="Sensitivity" ma:internalName="Sensitivity">
      <xsd:simpleType>
        <xsd:restriction base="dms:Text">
          <xsd:maxLength value="255"/>
        </xsd:restriction>
      </xsd:simpleType>
    </xsd:element>
    <xsd:element name="Importance" ma:index="39" nillable="true" ma:displayName="Importance" ma:internalName="Importance">
      <xsd:simpleType>
        <xsd:restriction base="dms:Text">
          <xsd:maxLength value="255"/>
        </xsd:restriction>
      </xsd:simpleType>
    </xsd:element>
    <xsd:element name="In-Reply-To" ma:index="40" nillable="true" ma:displayName="In-Reply-To" ma:internalName="In_x002d_Reply_x002d_To">
      <xsd:simpleType>
        <xsd:restriction base="dms:Text">
          <xsd:maxLength value="255"/>
        </xsd:restriction>
      </xsd:simpleType>
    </xsd:element>
    <xsd:element name="References" ma:index="41" nillable="true" ma:displayName="References" ma:internalName="References">
      <xsd:simpleType>
        <xsd:restriction base="dms:Text">
          <xsd:maxLength value="255"/>
        </xsd:restriction>
      </xsd:simpleType>
    </xsd:element>
    <xsd:element name="Conversation-Index" ma:index="42" nillable="true" ma:displayName="Conversation-Index" ma:internalName="Conversation_x002d_Index" ma:readOnly="false">
      <xsd:simpleType>
        <xsd:restriction base="dms:Text">
          <xsd:maxLength value="255"/>
        </xsd:restriction>
      </xsd:simpleType>
    </xsd:element>
    <xsd:element name="MailPreviewData" ma:index="43" nillable="true" ma:displayName="MailPreviewData" ma:internalName="MailPreviewData" ma:readOnly="false">
      <xsd:simpleType>
        <xsd:restriction base="dms:Note"/>
      </xsd:simpleType>
    </xsd:element>
    <xsd:element name="MessageClass" ma:index="44" nillable="true" ma:displayName="MessageClass" ma:internalName="MessageClass" ma:readOnly="false">
      <xsd:simpleType>
        <xsd:restriction base="dms:Text">
          <xsd:maxLength value="255"/>
        </xsd:restriction>
      </xsd:simpleType>
    </xsd:element>
    <xsd:element name="Message-ID" ma:index="45" nillable="true" ma:displayName="Message-ID" ma:internalName="Message_x002d_ID" ma:readOnly="false">
      <xsd:simpleType>
        <xsd:restriction base="dms:Text">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6D4919DA-0814-4888-9381-7ED06138C269}"/>
</file>

<file path=customXml/itemProps2.xml><?xml version="1.0" encoding="utf-8"?>
<ds:datastoreItem xmlns:ds="http://schemas.openxmlformats.org/officeDocument/2006/customXml" ds:itemID="{71640E2B-BC5F-48B9-9FAA-5516F04F6B3F}"/>
</file>

<file path=customXml/itemProps3.xml><?xml version="1.0" encoding="utf-8"?>
<ds:datastoreItem xmlns:ds="http://schemas.openxmlformats.org/officeDocument/2006/customXml" ds:itemID="{B5B1845C-D417-4CA0-892A-7FC0543197BC}"/>
</file>

<file path=customXml/itemProps4.xml><?xml version="1.0" encoding="utf-8"?>
<ds:datastoreItem xmlns:ds="http://schemas.openxmlformats.org/officeDocument/2006/customXml" ds:itemID="{487B9A40-C1BD-4B7D-A893-D8AD7458DB31}"/>
</file>

<file path=docProps/app.xml><?xml version="1.0" encoding="utf-8"?>
<Properties xmlns="http://schemas.openxmlformats.org/officeDocument/2006/extended-properties" xmlns:vt="http://schemas.openxmlformats.org/officeDocument/2006/docPropsVTypes">
  <TotalTime>0</TotalTime>
  <Application>Microsoft Excel</Application>
  <DocSecurity>2</DocSecurity>
  <ScaleCrop>false</ScaleCrop>
  <HeadingPairs>
    <vt:vector size="2" baseType="variant">
      <vt:variant>
        <vt:lpstr>ワークシート</vt:lpstr>
      </vt:variant>
      <vt:variant>
        <vt:i4>12</vt:i4>
      </vt:variant>
    </vt:vector>
  </HeadingPairs>
  <TitlesOfParts>
    <vt:vector size="12" baseType="lpstr">
      <vt:lpstr>Hist</vt:lpstr>
      <vt:lpstr>SID</vt:lpstr>
      <vt:lpstr>DID(RDBI)</vt:lpstr>
      <vt:lpstr>DID(WDBI)</vt:lpstr>
      <vt:lpstr>DID(CPS)</vt:lpstr>
      <vt:lpstr>RID</vt:lpstr>
      <vt:lpstr>DID(IOCBI)</vt:lpstr>
      <vt:lpstr>IOCBI(Layout)</vt:lpstr>
      <vt:lpstr>Note --&gt;</vt:lpstr>
      <vt:lpstr>IOCBI(NRC Matrix)</vt:lpstr>
      <vt:lpstr>RID$1500</vt:lpstr>
      <vt:lpstr>ATS</vt:lpstr>
    </vt:vector>
  </TitlesOfParts>
  <Manager/>
  <Company>Bosch Group</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ISZ_EV-VCU_SupportInfo_v05_Rev9.xlsm</dc:title>
  <dc:subject/>
  <dc:creator>soy5yh</dc:creator>
  <cp:keywords/>
  <dc:description/>
  <cp:lastModifiedBy>Haga Takashi (PS-EC/ECH4-JP)</cp:lastModifiedBy>
  <cp:revision/>
  <dcterms:created xsi:type="dcterms:W3CDTF">2014-09-25T04:22:55Z</dcterms:created>
  <dcterms:modified xsi:type="dcterms:W3CDTF">2022-08-01T09:32:39Z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0x0101008D5398AC1C300E4CB82D62610BFF4F06010019989A37776095439741B1A4ED33D4FF</vt:lpwstr>
  </property>
  <property fmtid="{D5CDD505-2E9C-101B-9397-08002B2CF9AE}" pid="3" name="_dlc_DocIdItemGuid">
    <vt:lpwstr>d76ad5a8-9ba1-4b70-9c93-98a7d227202b</vt:lpwstr>
  </property>
  <property fmtid="{D5CDD505-2E9C-101B-9397-08002B2CF9AE}" pid="4" name="DMSKeywords">
    <vt:lpwstr/>
  </property>
  <property fmtid="{D5CDD505-2E9C-101B-9397-08002B2CF9AE}" pid="5" name="ILMRevision">
    <vt:lpwstr/>
  </property>
  <property fmtid="{D5CDD505-2E9C-101B-9397-08002B2CF9AE}" pid="6" name="ConceptualVersionTreeview">
    <vt:lpwstr/>
  </property>
  <property fmtid="{D5CDD505-2E9C-101B-9397-08002B2CF9AE}" pid="7" name="ConceptualVersion">
    <vt:lpwstr/>
  </property>
  <property fmtid="{D5CDD505-2E9C-101B-9397-08002B2CF9AE}" pid="8" name="ILMComments">
    <vt:lpwstr/>
  </property>
  <property fmtid="{D5CDD505-2E9C-101B-9397-08002B2CF9AE}" pid="9" name="ILMExternalReference">
    <vt:lpwstr/>
  </property>
  <property fmtid="{D5CDD505-2E9C-101B-9397-08002B2CF9AE}" pid="10" name="DocIdOfLinkItem">
    <vt:lpwstr/>
  </property>
  <property fmtid="{D5CDD505-2E9C-101B-9397-08002B2CF9AE}" pid="11" name="ecm_ItemDeleteBlockHolders">
    <vt:lpwstr/>
  </property>
  <property fmtid="{D5CDD505-2E9C-101B-9397-08002B2CF9AE}" pid="12" name="ecm_RecordRestrictions">
    <vt:lpwstr/>
  </property>
  <property fmtid="{D5CDD505-2E9C-101B-9397-08002B2CF9AE}" pid="13" name="ecm_ItemLockHolders">
    <vt:lpwstr/>
  </property>
</Properties>
</file>